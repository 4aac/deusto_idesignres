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N:\IDEES2023\Calibration_output\Results\xCountries\RO\"/>
    </mc:Choice>
  </mc:AlternateContent>
  <bookViews>
    <workbookView xWindow="-120" yWindow="-120" windowWidth="29040" windowHeight="15720" tabRatio="710"/>
  </bookViews>
  <sheets>
    <sheet name="cover" sheetId="41" r:id="rId1"/>
    <sheet name="index" sheetId="4" r:id="rId2"/>
    <sheet name="SER_summary" sheetId="6" r:id="rId3"/>
    <sheet name="SER_hh_num" sheetId="7" r:id="rId4"/>
    <sheet name="SER_hh_fec" sheetId="8" r:id="rId5"/>
    <sheet name="SER_hh_tes" sheetId="9" r:id="rId6"/>
    <sheet name="SER_hh_eff" sheetId="10" r:id="rId7"/>
    <sheet name="SER_hh_emi" sheetId="11" r:id="rId8"/>
    <sheet name="SER_hh_fech" sheetId="12" r:id="rId9"/>
    <sheet name="SER_hh_tesh" sheetId="13" r:id="rId10"/>
    <sheet name="SER_hh_emih" sheetId="14" r:id="rId11"/>
    <sheet name="SER_hh_fecs" sheetId="15" r:id="rId12"/>
    <sheet name="SER_hh_tess" sheetId="16" r:id="rId13"/>
    <sheet name="SER_hh_emis" sheetId="17" r:id="rId14"/>
    <sheet name="SER_hh_num_in" sheetId="18" r:id="rId15"/>
    <sheet name="SER_hh_fec_in" sheetId="19" r:id="rId16"/>
    <sheet name="SER_hh_tes_in" sheetId="20" r:id="rId17"/>
    <sheet name="SER_hh_eff_in" sheetId="21" r:id="rId18"/>
    <sheet name="SER_hh_emi_in" sheetId="22" r:id="rId19"/>
    <sheet name="SER_hh_fech_in" sheetId="23" r:id="rId20"/>
    <sheet name="SER_hh_tesh_in" sheetId="24" r:id="rId21"/>
    <sheet name="SER_hh_emih_in" sheetId="25" r:id="rId22"/>
    <sheet name="SER_hh_fecs_in" sheetId="26" r:id="rId23"/>
    <sheet name="SER_hh_tess_in" sheetId="27" r:id="rId24"/>
    <sheet name="SER_hh_emis_in" sheetId="28" r:id="rId25"/>
    <sheet name="SER_se-appl" sheetId="29" r:id="rId26"/>
    <sheet name="SER_VE" sheetId="30" r:id="rId27"/>
    <sheet name="SER_SL" sheetId="31" r:id="rId28"/>
    <sheet name="SER_BL" sheetId="32" r:id="rId29"/>
    <sheet name="SER_CR" sheetId="33" r:id="rId30"/>
    <sheet name="SER_BT" sheetId="34" r:id="rId31"/>
    <sheet name="SER_IT" sheetId="35" r:id="rId32"/>
    <sheet name="AGR" sheetId="36" r:id="rId33"/>
    <sheet name="AGR_fec" sheetId="37" r:id="rId34"/>
    <sheet name="AGR_ued" sheetId="38" r:id="rId35"/>
    <sheet name="AGR_emi" sheetId="39" r:id="rId36"/>
  </sheets>
  <definedNames>
    <definedName name="_xlnm.Print_Area" localSheetId="32">AGR!$A$1:$L$34</definedName>
    <definedName name="_xlnm.Print_Titles" localSheetId="32">AGR!$1:$1</definedName>
    <definedName name="_xlnm.Print_Titles" localSheetId="35">AGR_emi!$1:$1</definedName>
    <definedName name="_xlnm.Print_Titles" localSheetId="33">AGR_fec!$1:$1</definedName>
    <definedName name="_xlnm.Print_Titles" localSheetId="34">AGR_ued!$1:$1</definedName>
    <definedName name="_xlnm.Print_Titles" localSheetId="28">SER_BL!$1:$1</definedName>
    <definedName name="_xlnm.Print_Titles" localSheetId="30">SER_BT!$1:$1</definedName>
    <definedName name="_xlnm.Print_Titles" localSheetId="29">SER_CR!$1:$1</definedName>
    <definedName name="_xlnm.Print_Titles" localSheetId="6">SER_hh_eff!$1:$1</definedName>
    <definedName name="_xlnm.Print_Titles" localSheetId="17">SER_hh_eff_in!$1:$1</definedName>
    <definedName name="_xlnm.Print_Titles" localSheetId="7">SER_hh_emi!$1:$1</definedName>
    <definedName name="_xlnm.Print_Titles" localSheetId="18">SER_hh_emi_in!$1:$1</definedName>
    <definedName name="_xlnm.Print_Titles" localSheetId="10">SER_hh_emih!$1:$1</definedName>
    <definedName name="_xlnm.Print_Titles" localSheetId="21">SER_hh_emih_in!$1:$1</definedName>
    <definedName name="_xlnm.Print_Titles" localSheetId="13">SER_hh_emis!$1:$1</definedName>
    <definedName name="_xlnm.Print_Titles" localSheetId="24">SER_hh_emis_in!$1:$1</definedName>
    <definedName name="_xlnm.Print_Titles" localSheetId="4">SER_hh_fec!$1:$1</definedName>
    <definedName name="_xlnm.Print_Titles" localSheetId="15">SER_hh_fec_in!$1:$1</definedName>
    <definedName name="_xlnm.Print_Titles" localSheetId="8">SER_hh_fech!$1:$1</definedName>
    <definedName name="_xlnm.Print_Titles" localSheetId="19">SER_hh_fech_in!$1:$1</definedName>
    <definedName name="_xlnm.Print_Titles" localSheetId="11">SER_hh_fecs!$1:$1</definedName>
    <definedName name="_xlnm.Print_Titles" localSheetId="22">SER_hh_fecs_in!$1:$1</definedName>
    <definedName name="_xlnm.Print_Titles" localSheetId="3">SER_hh_num!$1:$1</definedName>
    <definedName name="_xlnm.Print_Titles" localSheetId="14">SER_hh_num_in!$1:$1</definedName>
    <definedName name="_xlnm.Print_Titles" localSheetId="5">SER_hh_tes!$1:$1</definedName>
    <definedName name="_xlnm.Print_Titles" localSheetId="16">SER_hh_tes_in!$1:$1</definedName>
    <definedName name="_xlnm.Print_Titles" localSheetId="9">SER_hh_tesh!$1:$1</definedName>
    <definedName name="_xlnm.Print_Titles" localSheetId="20">SER_hh_tesh_in!$1:$1</definedName>
    <definedName name="_xlnm.Print_Titles" localSheetId="12">SER_hh_tess!$1:$1</definedName>
    <definedName name="_xlnm.Print_Titles" localSheetId="23">SER_hh_tess_in!$1:$1</definedName>
    <definedName name="_xlnm.Print_Titles" localSheetId="31">SER_IT!$1:$1</definedName>
    <definedName name="_xlnm.Print_Titles" localSheetId="25">'SER_se-appl'!$1:$1</definedName>
    <definedName name="_xlnm.Print_Titles" localSheetId="27">SER_SL!$1:$1</definedName>
    <definedName name="_xlnm.Print_Titles" localSheetId="2">SER_summary!$1:$1</definedName>
    <definedName name="_xlnm.Print_Titles" localSheetId="26">SER_VE!$1:$1</definedName>
  </definedName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Y95" i="6" l="1"/>
  <c r="X95" i="6"/>
  <c r="Y67" i="6"/>
  <c r="X67" i="6"/>
  <c r="Y27" i="6"/>
  <c r="Y119" i="6"/>
  <c r="Y173" i="6" s="1"/>
  <c r="X119" i="6"/>
  <c r="X173" i="6" s="1"/>
  <c r="Y16" i="7"/>
  <c r="X16" i="7"/>
  <c r="Y14" i="13"/>
  <c r="X13" i="12"/>
  <c r="X21" i="12"/>
  <c r="X20" i="12"/>
  <c r="X16" i="8"/>
  <c r="X7" i="12"/>
  <c r="Y6" i="12"/>
  <c r="X33" i="10"/>
  <c r="Y22" i="13"/>
  <c r="X22" i="13"/>
  <c r="Y21" i="13"/>
  <c r="X21" i="13"/>
  <c r="Y20" i="13"/>
  <c r="Y18" i="13"/>
  <c r="X18" i="10"/>
  <c r="Y17" i="13"/>
  <c r="X17" i="10"/>
  <c r="Y6" i="13"/>
  <c r="Y33" i="10"/>
  <c r="Y18" i="10"/>
  <c r="X6" i="10"/>
  <c r="Y33" i="14"/>
  <c r="Y33" i="17" s="1"/>
  <c r="X33" i="14"/>
  <c r="X33" i="17" s="1"/>
  <c r="Y26" i="14"/>
  <c r="Y26" i="17" s="1"/>
  <c r="X26" i="14"/>
  <c r="X26" i="17" s="1"/>
  <c r="Y25" i="14"/>
  <c r="Y25" i="17" s="1"/>
  <c r="X25" i="14"/>
  <c r="X25" i="17" s="1"/>
  <c r="X22" i="14"/>
  <c r="Y21" i="14"/>
  <c r="X21" i="14"/>
  <c r="Y20" i="14"/>
  <c r="X20" i="14"/>
  <c r="Y18" i="14"/>
  <c r="Y18" i="17" s="1"/>
  <c r="X18" i="14"/>
  <c r="X18" i="17" s="1"/>
  <c r="Y17" i="14"/>
  <c r="X16" i="11"/>
  <c r="Y14" i="14"/>
  <c r="Y14" i="17" s="1"/>
  <c r="X14" i="14"/>
  <c r="X14" i="17" s="1"/>
  <c r="Y13" i="14"/>
  <c r="Y13" i="17" s="1"/>
  <c r="X13" i="14"/>
  <c r="X13" i="17" s="1"/>
  <c r="Y12" i="14"/>
  <c r="Y12" i="17" s="1"/>
  <c r="X12" i="14"/>
  <c r="X12" i="17" s="1"/>
  <c r="Y11" i="14"/>
  <c r="Y11" i="17" s="1"/>
  <c r="X11" i="14"/>
  <c r="X11" i="17" s="1"/>
  <c r="Y6" i="14"/>
  <c r="X32" i="12"/>
  <c r="Y31" i="12"/>
  <c r="X31" i="12"/>
  <c r="X26" i="12"/>
  <c r="X24" i="12"/>
  <c r="X23" i="12"/>
  <c r="Y22" i="12"/>
  <c r="X17" i="12"/>
  <c r="X14" i="12"/>
  <c r="Y33" i="13"/>
  <c r="X33" i="13"/>
  <c r="X32" i="13"/>
  <c r="Y28" i="14"/>
  <c r="Y28" i="17" s="1"/>
  <c r="X28" i="14"/>
  <c r="X28" i="17" s="1"/>
  <c r="Y27" i="14"/>
  <c r="Y27" i="17" s="1"/>
  <c r="X27" i="14"/>
  <c r="X27" i="17" s="1"/>
  <c r="Y15" i="14"/>
  <c r="Y15" i="17" s="1"/>
  <c r="X15" i="14"/>
  <c r="X15" i="17" s="1"/>
  <c r="Y29" i="18"/>
  <c r="X28" i="23"/>
  <c r="Y26" i="23"/>
  <c r="Y24" i="25"/>
  <c r="Y14" i="24"/>
  <c r="X13" i="23"/>
  <c r="Y10" i="24"/>
  <c r="X9" i="23"/>
  <c r="Y7" i="25"/>
  <c r="X24" i="23"/>
  <c r="Y23" i="23"/>
  <c r="X23" i="23"/>
  <c r="Y22" i="23"/>
  <c r="X5" i="21"/>
  <c r="X33" i="21"/>
  <c r="Y22" i="24"/>
  <c r="Y20" i="21"/>
  <c r="X18" i="24"/>
  <c r="Y17" i="24"/>
  <c r="X15" i="21"/>
  <c r="X20" i="21"/>
  <c r="Y18" i="21"/>
  <c r="Y33" i="25"/>
  <c r="Y33" i="28" s="1"/>
  <c r="X33" i="25"/>
  <c r="X33" i="28" s="1"/>
  <c r="Y26" i="25"/>
  <c r="Y26" i="28" s="1"/>
  <c r="X25" i="25"/>
  <c r="X25" i="28" s="1"/>
  <c r="X24" i="25"/>
  <c r="Y23" i="25"/>
  <c r="X23" i="25"/>
  <c r="Y20" i="25"/>
  <c r="Y20" i="28" s="1"/>
  <c r="X20" i="25"/>
  <c r="X20" i="28" s="1"/>
  <c r="Y18" i="25"/>
  <c r="Y18" i="28" s="1"/>
  <c r="X18" i="25"/>
  <c r="X18" i="28" s="1"/>
  <c r="Y14" i="25"/>
  <c r="Y14" i="28" s="1"/>
  <c r="X14" i="25"/>
  <c r="X14" i="28" s="1"/>
  <c r="Y13" i="25"/>
  <c r="Y13" i="28" s="1"/>
  <c r="X13" i="25"/>
  <c r="X13" i="28" s="1"/>
  <c r="Y12" i="25"/>
  <c r="Y12" i="28" s="1"/>
  <c r="X12" i="25"/>
  <c r="X12" i="28" s="1"/>
  <c r="Y11" i="25"/>
  <c r="Y11" i="28" s="1"/>
  <c r="Y33" i="23"/>
  <c r="Y20" i="23"/>
  <c r="Y20" i="26" s="1"/>
  <c r="Y8" i="23"/>
  <c r="Y33" i="24"/>
  <c r="Y33" i="27" s="1"/>
  <c r="Y21" i="24"/>
  <c r="X21" i="24"/>
  <c r="Y20" i="24"/>
  <c r="Y20" i="27" s="1"/>
  <c r="X20" i="24"/>
  <c r="X20" i="27" s="1"/>
  <c r="Y18" i="24"/>
  <c r="Y28" i="25"/>
  <c r="Y28" i="28" s="1"/>
  <c r="X28" i="25"/>
  <c r="X28" i="28" s="1"/>
  <c r="Y27" i="25"/>
  <c r="Y27" i="28" s="1"/>
  <c r="X27" i="25"/>
  <c r="X27" i="28" s="1"/>
  <c r="X26" i="25"/>
  <c r="X26" i="28" s="1"/>
  <c r="Y25" i="25"/>
  <c r="Y25" i="28" s="1"/>
  <c r="Y22" i="25"/>
  <c r="Y15" i="25"/>
  <c r="Y15" i="28" s="1"/>
  <c r="X15" i="25"/>
  <c r="X15" i="28" s="1"/>
  <c r="X11" i="25"/>
  <c r="X11" i="28" s="1"/>
  <c r="Y15" i="35"/>
  <c r="X15" i="35"/>
  <c r="Y15" i="34"/>
  <c r="X15" i="34"/>
  <c r="Y15" i="33"/>
  <c r="X15" i="33"/>
  <c r="Y15" i="32"/>
  <c r="X15" i="32"/>
  <c r="Y15" i="31"/>
  <c r="X15" i="31"/>
  <c r="Y15" i="30"/>
  <c r="X15" i="30"/>
  <c r="Y14" i="35"/>
  <c r="X14" i="35"/>
  <c r="Y14" i="34"/>
  <c r="X14" i="34"/>
  <c r="Y14" i="33"/>
  <c r="X14" i="33"/>
  <c r="Y14" i="32"/>
  <c r="Y14" i="31"/>
  <c r="X14" i="31"/>
  <c r="Y14" i="30"/>
  <c r="X12" i="29"/>
  <c r="X5" i="30" s="1"/>
  <c r="Y12" i="35"/>
  <c r="X12" i="35"/>
  <c r="Y12" i="34"/>
  <c r="X12" i="34"/>
  <c r="Y12" i="33"/>
  <c r="X12" i="33"/>
  <c r="Y12" i="32"/>
  <c r="X12" i="32"/>
  <c r="Y12" i="31"/>
  <c r="X12" i="31"/>
  <c r="Y12" i="30"/>
  <c r="X12" i="30"/>
  <c r="Y10" i="35"/>
  <c r="X10" i="35"/>
  <c r="X10" i="34"/>
  <c r="Y10" i="33"/>
  <c r="X10" i="33"/>
  <c r="Y10" i="32"/>
  <c r="X10" i="32"/>
  <c r="Y10" i="31"/>
  <c r="X10" i="31"/>
  <c r="X10" i="30"/>
  <c r="Y9" i="35"/>
  <c r="X9" i="35"/>
  <c r="Y9" i="34"/>
  <c r="X9" i="34"/>
  <c r="Y9" i="33"/>
  <c r="X9" i="33"/>
  <c r="Y9" i="32"/>
  <c r="X9" i="32"/>
  <c r="Y9" i="31"/>
  <c r="X9" i="31"/>
  <c r="Y9" i="30"/>
  <c r="X9" i="30"/>
  <c r="Y8" i="32"/>
  <c r="X8" i="30"/>
  <c r="Y10" i="30"/>
  <c r="X14" i="32"/>
  <c r="Y10" i="34"/>
  <c r="Y49" i="38"/>
  <c r="X49" i="38"/>
  <c r="Y45" i="38"/>
  <c r="X45" i="38"/>
  <c r="Y40" i="39"/>
  <c r="X40" i="39"/>
  <c r="Y52" i="39"/>
  <c r="X52" i="39"/>
  <c r="Y47" i="39"/>
  <c r="X47" i="39"/>
  <c r="Y46" i="39"/>
  <c r="X46" i="39"/>
  <c r="Y32" i="39"/>
  <c r="X32" i="39"/>
  <c r="Y14" i="36"/>
  <c r="Y9" i="36"/>
  <c r="Y7" i="28" l="1"/>
  <c r="Y24" i="28"/>
  <c r="Y17" i="10"/>
  <c r="X5" i="10"/>
  <c r="X8" i="12"/>
  <c r="Y24" i="23"/>
  <c r="Y24" i="26" s="1"/>
  <c r="Y5" i="10"/>
  <c r="Y24" i="12"/>
  <c r="X25" i="12"/>
  <c r="X23" i="21"/>
  <c r="Y7" i="24"/>
  <c r="Y7" i="27" s="1"/>
  <c r="Y23" i="10"/>
  <c r="Y10" i="12"/>
  <c r="X8" i="13"/>
  <c r="X11" i="12"/>
  <c r="X7" i="21"/>
  <c r="Y8" i="24"/>
  <c r="Y8" i="13"/>
  <c r="X17" i="24"/>
  <c r="X17" i="27" s="1"/>
  <c r="X25" i="13"/>
  <c r="X12" i="12"/>
  <c r="X14" i="30"/>
  <c r="Y23" i="28"/>
  <c r="X7" i="14"/>
  <c r="Y25" i="13"/>
  <c r="X31" i="23"/>
  <c r="X26" i="13"/>
  <c r="Y26" i="24"/>
  <c r="Y31" i="23"/>
  <c r="Y31" i="26" s="1"/>
  <c r="Y10" i="13"/>
  <c r="Y26" i="13"/>
  <c r="X27" i="21"/>
  <c r="X32" i="23"/>
  <c r="X32" i="26" s="1"/>
  <c r="X11" i="13"/>
  <c r="X25" i="23"/>
  <c r="Y11" i="24"/>
  <c r="Y11" i="27" s="1"/>
  <c r="Y14" i="12"/>
  <c r="X13" i="29"/>
  <c r="X5" i="29" s="1"/>
  <c r="X12" i="24"/>
  <c r="X12" i="13"/>
  <c r="X30" i="13"/>
  <c r="Y8" i="25"/>
  <c r="Y8" i="28" s="1"/>
  <c r="Y13" i="29"/>
  <c r="Y5" i="29" s="1"/>
  <c r="Y9" i="25"/>
  <c r="Y9" i="28" s="1"/>
  <c r="Y12" i="24"/>
  <c r="Y12" i="27" s="1"/>
  <c r="Y21" i="25"/>
  <c r="Y21" i="28" s="1"/>
  <c r="X10" i="14"/>
  <c r="X30" i="14"/>
  <c r="Y12" i="13"/>
  <c r="X8" i="24"/>
  <c r="X8" i="27" s="1"/>
  <c r="Y52" i="38"/>
  <c r="X14" i="29"/>
  <c r="X6" i="29" s="1"/>
  <c r="X10" i="25"/>
  <c r="X13" i="21"/>
  <c r="X31" i="24"/>
  <c r="X17" i="23"/>
  <c r="X22" i="24"/>
  <c r="Y10" i="14"/>
  <c r="X31" i="13"/>
  <c r="Y33" i="12"/>
  <c r="X21" i="21"/>
  <c r="X25" i="24"/>
  <c r="Y17" i="23"/>
  <c r="Y17" i="26" s="1"/>
  <c r="X31" i="14"/>
  <c r="Y31" i="13"/>
  <c r="X8" i="25"/>
  <c r="X8" i="28" s="1"/>
  <c r="X9" i="36"/>
  <c r="Y53" i="38"/>
  <c r="Y31" i="14"/>
  <c r="X32" i="10"/>
  <c r="Y19" i="22"/>
  <c r="Y14" i="21"/>
  <c r="Y32" i="21"/>
  <c r="X17" i="13"/>
  <c r="X9" i="21"/>
  <c r="Y45" i="37"/>
  <c r="Y33" i="21"/>
  <c r="Y12" i="23"/>
  <c r="Y12" i="26" s="1"/>
  <c r="X6" i="14"/>
  <c r="X10" i="12"/>
  <c r="X14" i="13"/>
  <c r="X13" i="24"/>
  <c r="X32" i="25"/>
  <c r="X11" i="24"/>
  <c r="X29" i="19"/>
  <c r="X71" i="6"/>
  <c r="X7" i="25"/>
  <c r="X17" i="25"/>
  <c r="X17" i="28" s="1"/>
  <c r="Y31" i="21"/>
  <c r="Y6" i="23"/>
  <c r="Y6" i="26" s="1"/>
  <c r="Y10" i="23"/>
  <c r="Y10" i="26" s="1"/>
  <c r="Y14" i="23"/>
  <c r="Y14" i="26" s="1"/>
  <c r="Y19" i="19"/>
  <c r="Y5" i="23"/>
  <c r="Y5" i="26" s="1"/>
  <c r="X14" i="36"/>
  <c r="X22" i="25"/>
  <c r="X17" i="21"/>
  <c r="X32" i="21"/>
  <c r="X7" i="23"/>
  <c r="X11" i="23"/>
  <c r="X11" i="26" s="1"/>
  <c r="Y26" i="12"/>
  <c r="Y29" i="7"/>
  <c r="Y23" i="26"/>
  <c r="Y37" i="6"/>
  <c r="X33" i="24"/>
  <c r="Y30" i="14"/>
  <c r="Y24" i="13"/>
  <c r="Y30" i="13"/>
  <c r="X18" i="12"/>
  <c r="X23" i="14"/>
  <c r="X28" i="12"/>
  <c r="X33" i="12"/>
  <c r="X27" i="6"/>
  <c r="X25" i="27" s="1"/>
  <c r="Y8" i="14"/>
  <c r="Y12" i="12"/>
  <c r="Y18" i="12"/>
  <c r="Y28" i="12"/>
  <c r="X82" i="6"/>
  <c r="X81" i="6" s="1"/>
  <c r="X93" i="6" s="1"/>
  <c r="X107" i="6"/>
  <c r="X24" i="28"/>
  <c r="X9" i="25"/>
  <c r="X9" i="28" s="1"/>
  <c r="X8" i="21"/>
  <c r="X9" i="14"/>
  <c r="X20" i="13"/>
  <c r="X24" i="14"/>
  <c r="Y8" i="36"/>
  <c r="X45" i="37"/>
  <c r="Y8" i="21"/>
  <c r="X71" i="29"/>
  <c r="X6" i="33" s="1"/>
  <c r="X20" i="6"/>
  <c r="Y8" i="33"/>
  <c r="X23" i="6"/>
  <c r="X162" i="6" s="1"/>
  <c r="Y115" i="6"/>
  <c r="X19" i="6"/>
  <c r="X21" i="6"/>
  <c r="X116" i="6"/>
  <c r="Y71" i="29"/>
  <c r="Y6" i="33" s="1"/>
  <c r="Y19" i="6"/>
  <c r="Y26" i="6"/>
  <c r="Y24" i="15" s="1"/>
  <c r="Y68" i="29"/>
  <c r="Y6" i="30" s="1"/>
  <c r="X101" i="6"/>
  <c r="X122" i="6" s="1"/>
  <c r="X118" i="6"/>
  <c r="Y73" i="29"/>
  <c r="Y6" i="35" s="1"/>
  <c r="Y118" i="6"/>
  <c r="X48" i="6"/>
  <c r="X47" i="6" s="1"/>
  <c r="X60" i="6" s="1"/>
  <c r="X37" i="6"/>
  <c r="X31" i="6" s="1"/>
  <c r="X21" i="27"/>
  <c r="X29" i="8"/>
  <c r="X30" i="12"/>
  <c r="X30" i="10"/>
  <c r="X4" i="7"/>
  <c r="X3" i="7" s="1"/>
  <c r="X5" i="12"/>
  <c r="X32" i="14"/>
  <c r="X29" i="11"/>
  <c r="Y20" i="12"/>
  <c r="Y20" i="10"/>
  <c r="X33" i="6"/>
  <c r="X5" i="24"/>
  <c r="X5" i="27" s="1"/>
  <c r="X5" i="23"/>
  <c r="X5" i="26" s="1"/>
  <c r="X30" i="23"/>
  <c r="X18" i="13"/>
  <c r="X20" i="10"/>
  <c r="X10" i="13"/>
  <c r="X14" i="10"/>
  <c r="X19" i="9"/>
  <c r="X24" i="13"/>
  <c r="X29" i="9"/>
  <c r="Y8" i="12"/>
  <c r="X22" i="12"/>
  <c r="Y31" i="10"/>
  <c r="Y24" i="14"/>
  <c r="Y101" i="6"/>
  <c r="Y122" i="6" s="1"/>
  <c r="X117" i="6"/>
  <c r="X9" i="13"/>
  <c r="X23" i="13"/>
  <c r="X52" i="37"/>
  <c r="Y31" i="24"/>
  <c r="Y31" i="27" s="1"/>
  <c r="X21" i="25"/>
  <c r="Y12" i="21"/>
  <c r="X9" i="24"/>
  <c r="X12" i="21"/>
  <c r="X17" i="26"/>
  <c r="X17" i="14"/>
  <c r="X5" i="13"/>
  <c r="X6" i="12"/>
  <c r="Y14" i="10"/>
  <c r="X4" i="8"/>
  <c r="X9" i="12"/>
  <c r="Y117" i="6"/>
  <c r="Y29" i="22"/>
  <c r="Y29" i="25" s="1"/>
  <c r="Y29" i="28" s="1"/>
  <c r="Y5" i="21"/>
  <c r="Y23" i="24"/>
  <c r="Y23" i="27" s="1"/>
  <c r="Y28" i="24"/>
  <c r="Y28" i="27" s="1"/>
  <c r="Y16" i="18"/>
  <c r="Y32" i="25"/>
  <c r="Y32" i="28" s="1"/>
  <c r="Y5" i="13"/>
  <c r="X5" i="14"/>
  <c r="X19" i="11"/>
  <c r="X4" i="9"/>
  <c r="X15" i="10"/>
  <c r="Y13" i="12"/>
  <c r="X27" i="10"/>
  <c r="Y11" i="12"/>
  <c r="Y21" i="27"/>
  <c r="X5" i="25"/>
  <c r="X5" i="28" s="1"/>
  <c r="X28" i="13"/>
  <c r="Y9" i="13"/>
  <c r="Y16" i="9"/>
  <c r="Y16" i="13" s="1"/>
  <c r="Y9" i="39"/>
  <c r="Y17" i="38"/>
  <c r="Y46" i="37"/>
  <c r="Y17" i="27"/>
  <c r="X6" i="25"/>
  <c r="X6" i="28" s="1"/>
  <c r="Y8" i="27"/>
  <c r="Y15" i="21"/>
  <c r="X51" i="39"/>
  <c r="Y32" i="24"/>
  <c r="Y32" i="27" s="1"/>
  <c r="Y16" i="22"/>
  <c r="Y16" i="25" s="1"/>
  <c r="Y16" i="28" s="1"/>
  <c r="X6" i="24"/>
  <c r="X24" i="24"/>
  <c r="X30" i="24"/>
  <c r="X6" i="13"/>
  <c r="Y11" i="10"/>
  <c r="Y15" i="10"/>
  <c r="X8" i="14"/>
  <c r="Y22" i="26"/>
  <c r="X13" i="13"/>
  <c r="X9" i="39"/>
  <c r="X5" i="39" s="1"/>
  <c r="X46" i="37"/>
  <c r="X21" i="23"/>
  <c r="X21" i="26" s="1"/>
  <c r="Y13" i="13"/>
  <c r="X19" i="7"/>
  <c r="X27" i="12" s="1"/>
  <c r="X29" i="7"/>
  <c r="Y19" i="18"/>
  <c r="Y31" i="25"/>
  <c r="Y31" i="28" s="1"/>
  <c r="Y9" i="38"/>
  <c r="Y52" i="37"/>
  <c r="X32" i="24"/>
  <c r="X32" i="27" s="1"/>
  <c r="Y51" i="39"/>
  <c r="Y6" i="24"/>
  <c r="Y24" i="24"/>
  <c r="Y24" i="27" s="1"/>
  <c r="Y18" i="23"/>
  <c r="Y18" i="26" s="1"/>
  <c r="X16" i="9"/>
  <c r="X16" i="13" s="1"/>
  <c r="X19" i="8"/>
  <c r="Y33" i="6"/>
  <c r="X16" i="10"/>
  <c r="X103" i="6"/>
  <c r="X124" i="6" s="1"/>
  <c r="X17" i="37"/>
  <c r="X50" i="37" s="1"/>
  <c r="Y11" i="23"/>
  <c r="Y11" i="26" s="1"/>
  <c r="Y71" i="6"/>
  <c r="Y104" i="6"/>
  <c r="Y10" i="21"/>
  <c r="X21" i="10"/>
  <c r="X105" i="6"/>
  <c r="X8" i="33"/>
  <c r="Y9" i="21"/>
  <c r="Y25" i="21"/>
  <c r="Y13" i="23"/>
  <c r="Y13" i="26" s="1"/>
  <c r="Y21" i="10"/>
  <c r="Y9" i="12"/>
  <c r="Y105" i="6"/>
  <c r="X72" i="29"/>
  <c r="X6" i="34" s="1"/>
  <c r="X10" i="21"/>
  <c r="X26" i="21"/>
  <c r="X14" i="23"/>
  <c r="X22" i="10"/>
  <c r="Y72" i="29"/>
  <c r="Y6" i="34" s="1"/>
  <c r="Y22" i="10"/>
  <c r="Y25" i="12"/>
  <c r="X29" i="18"/>
  <c r="X17" i="29"/>
  <c r="X5" i="35" s="1"/>
  <c r="X11" i="21"/>
  <c r="X23" i="10"/>
  <c r="X24" i="10"/>
  <c r="X104" i="6"/>
  <c r="Y8" i="30"/>
  <c r="Y24" i="10"/>
  <c r="Y16" i="11"/>
  <c r="Y16" i="14" s="1"/>
  <c r="Y6" i="10"/>
  <c r="X25" i="10"/>
  <c r="X16" i="19"/>
  <c r="X7" i="10"/>
  <c r="Y25" i="10"/>
  <c r="Y19" i="9"/>
  <c r="X12" i="23"/>
  <c r="Y22" i="21"/>
  <c r="Y13" i="21"/>
  <c r="Y16" i="19"/>
  <c r="X8" i="10"/>
  <c r="X26" i="10"/>
  <c r="X30" i="25"/>
  <c r="Y23" i="21"/>
  <c r="X14" i="21"/>
  <c r="X33" i="23"/>
  <c r="X4" i="11"/>
  <c r="Y8" i="10"/>
  <c r="Y26" i="10"/>
  <c r="X15" i="7"/>
  <c r="X15" i="13" s="1"/>
  <c r="Y19" i="7"/>
  <c r="Y27" i="12" s="1"/>
  <c r="Y17" i="37"/>
  <c r="X31" i="25"/>
  <c r="Y24" i="21"/>
  <c r="X7" i="13"/>
  <c r="X9" i="10"/>
  <c r="X115" i="6"/>
  <c r="X10" i="28"/>
  <c r="X23" i="24"/>
  <c r="X23" i="27" s="1"/>
  <c r="X25" i="21"/>
  <c r="Y9" i="10"/>
  <c r="Y6" i="21"/>
  <c r="Y103" i="6"/>
  <c r="Y19" i="36"/>
  <c r="Y12" i="36" s="1"/>
  <c r="Y34" i="39"/>
  <c r="Y9" i="37"/>
  <c r="Y48" i="37" s="1"/>
  <c r="Y53" i="37"/>
  <c r="Y10" i="25"/>
  <c r="Y10" i="28" s="1"/>
  <c r="Y26" i="21"/>
  <c r="X10" i="10"/>
  <c r="Y30" i="10"/>
  <c r="X8" i="32"/>
  <c r="X34" i="39"/>
  <c r="Y27" i="21"/>
  <c r="Y19" i="11"/>
  <c r="Y10" i="10"/>
  <c r="X31" i="10"/>
  <c r="X102" i="6"/>
  <c r="X123" i="6" s="1"/>
  <c r="Y33" i="39"/>
  <c r="X30" i="21"/>
  <c r="X19" i="19"/>
  <c r="X11" i="10"/>
  <c r="X19" i="36"/>
  <c r="X9" i="37"/>
  <c r="X48" i="37" s="1"/>
  <c r="X12" i="10"/>
  <c r="Y23" i="6"/>
  <c r="Y70" i="29"/>
  <c r="Y6" i="32" s="1"/>
  <c r="X4" i="29"/>
  <c r="Y25" i="24"/>
  <c r="Y25" i="27" s="1"/>
  <c r="X29" i="22"/>
  <c r="Y12" i="10"/>
  <c r="X24" i="6"/>
  <c r="X23" i="28"/>
  <c r="X17" i="38"/>
  <c r="X53" i="37"/>
  <c r="X17" i="39"/>
  <c r="X47" i="38"/>
  <c r="Y14" i="29"/>
  <c r="X7" i="24"/>
  <c r="X26" i="24"/>
  <c r="Y21" i="23"/>
  <c r="Y21" i="26" s="1"/>
  <c r="X13" i="10"/>
  <c r="Y24" i="6"/>
  <c r="Y17" i="39"/>
  <c r="Y47" i="38"/>
  <c r="X15" i="29"/>
  <c r="X7" i="29" s="1"/>
  <c r="Y17" i="25"/>
  <c r="Y17" i="28" s="1"/>
  <c r="Y25" i="23"/>
  <c r="Y25" i="26" s="1"/>
  <c r="X25" i="6"/>
  <c r="X51" i="38"/>
  <c r="Y15" i="29"/>
  <c r="Y5" i="33" s="1"/>
  <c r="X28" i="24"/>
  <c r="X28" i="27" s="1"/>
  <c r="X23" i="26"/>
  <c r="X4" i="19"/>
  <c r="X26" i="23"/>
  <c r="Y9" i="14"/>
  <c r="Y25" i="6"/>
  <c r="Y49" i="37"/>
  <c r="X16" i="29"/>
  <c r="Y9" i="23"/>
  <c r="Y9" i="26" s="1"/>
  <c r="X26" i="6"/>
  <c r="X33" i="39"/>
  <c r="Y51" i="38"/>
  <c r="X9" i="38"/>
  <c r="X52" i="38"/>
  <c r="X68" i="29"/>
  <c r="X6" i="30" s="1"/>
  <c r="X10" i="23"/>
  <c r="X10" i="26" s="1"/>
  <c r="Y12" i="29"/>
  <c r="Y16" i="29"/>
  <c r="X8" i="23"/>
  <c r="X8" i="26" s="1"/>
  <c r="Y30" i="23"/>
  <c r="Y30" i="26" s="1"/>
  <c r="X24" i="21"/>
  <c r="X29" i="20"/>
  <c r="X31" i="21"/>
  <c r="X4" i="18"/>
  <c r="X3" i="18" s="1"/>
  <c r="X15" i="18"/>
  <c r="X6" i="23"/>
  <c r="X6" i="26" s="1"/>
  <c r="Y32" i="14"/>
  <c r="Y29" i="11"/>
  <c r="Y29" i="14" s="1"/>
  <c r="Y29" i="8"/>
  <c r="Y29" i="12" s="1"/>
  <c r="Y30" i="12"/>
  <c r="X69" i="29"/>
  <c r="X6" i="31" s="1"/>
  <c r="Y22" i="28"/>
  <c r="Y8" i="26"/>
  <c r="Y13" i="24"/>
  <c r="Y13" i="27" s="1"/>
  <c r="X4" i="22"/>
  <c r="Y48" i="6"/>
  <c r="Y102" i="6"/>
  <c r="X8" i="35"/>
  <c r="Y4" i="18"/>
  <c r="Y3" i="18" s="1"/>
  <c r="Y15" i="18"/>
  <c r="Y15" i="24" s="1"/>
  <c r="Y15" i="27" s="1"/>
  <c r="X16" i="14"/>
  <c r="X16" i="12"/>
  <c r="Y8" i="35"/>
  <c r="X8" i="34"/>
  <c r="Y26" i="26"/>
  <c r="Y5" i="25"/>
  <c r="Y5" i="28" s="1"/>
  <c r="X20" i="23"/>
  <c r="X20" i="26" s="1"/>
  <c r="Y30" i="25"/>
  <c r="Y30" i="28" s="1"/>
  <c r="Y11" i="21"/>
  <c r="Y19" i="20"/>
  <c r="Y21" i="21"/>
  <c r="Y19" i="8"/>
  <c r="Y21" i="12"/>
  <c r="Y82" i="6"/>
  <c r="Y116" i="6"/>
  <c r="X73" i="29"/>
  <c r="X6" i="35" s="1"/>
  <c r="Y4" i="19"/>
  <c r="Y7" i="23"/>
  <c r="Y7" i="26" s="1"/>
  <c r="Y21" i="6"/>
  <c r="Y20" i="6"/>
  <c r="Y69" i="29"/>
  <c r="Y6" i="31" s="1"/>
  <c r="Y5" i="24"/>
  <c r="Y5" i="27" s="1"/>
  <c r="Y32" i="12"/>
  <c r="Y7" i="10"/>
  <c r="Y4" i="9"/>
  <c r="Y23" i="12"/>
  <c r="Y23" i="14"/>
  <c r="X70" i="29"/>
  <c r="X6" i="32" s="1"/>
  <c r="Y29" i="20"/>
  <c r="Y30" i="21"/>
  <c r="Y30" i="24"/>
  <c r="Y30" i="27" s="1"/>
  <c r="X8" i="31"/>
  <c r="Y8" i="34"/>
  <c r="Y8" i="31"/>
  <c r="Y17" i="29"/>
  <c r="Y6" i="25"/>
  <c r="Y6" i="28" s="1"/>
  <c r="Y4" i="22"/>
  <c r="X22" i="21"/>
  <c r="X19" i="20"/>
  <c r="X19" i="18"/>
  <c r="X22" i="23"/>
  <c r="Y22" i="14"/>
  <c r="Y13" i="10"/>
  <c r="Y16" i="8"/>
  <c r="Y16" i="12" s="1"/>
  <c r="Y17" i="12"/>
  <c r="Y107" i="6"/>
  <c r="Y32" i="10"/>
  <c r="Y29" i="9"/>
  <c r="Y32" i="13"/>
  <c r="Y9" i="24"/>
  <c r="Y9" i="27" s="1"/>
  <c r="X4" i="20"/>
  <c r="X6" i="21"/>
  <c r="Y27" i="10"/>
  <c r="Y28" i="13"/>
  <c r="Y7" i="12"/>
  <c r="Y4" i="7"/>
  <c r="Y3" i="7" s="1"/>
  <c r="Y7" i="14"/>
  <c r="Y15" i="7"/>
  <c r="Y15" i="12" s="1"/>
  <c r="X10" i="24"/>
  <c r="X10" i="27" s="1"/>
  <c r="X19" i="22"/>
  <c r="Y4" i="20"/>
  <c r="Y16" i="20"/>
  <c r="Y17" i="21"/>
  <c r="Y32" i="23"/>
  <c r="Y32" i="26" s="1"/>
  <c r="Y29" i="19"/>
  <c r="Y29" i="23" s="1"/>
  <c r="Y29" i="26" s="1"/>
  <c r="Y4" i="11"/>
  <c r="Y5" i="14"/>
  <c r="Y4" i="8"/>
  <c r="Y5" i="12"/>
  <c r="Y149" i="6"/>
  <c r="X14" i="24"/>
  <c r="Y6" i="27"/>
  <c r="Y10" i="27"/>
  <c r="Y14" i="27"/>
  <c r="Y18" i="27"/>
  <c r="Y22" i="27"/>
  <c r="Y26" i="27"/>
  <c r="Y33" i="26"/>
  <c r="X16" i="22"/>
  <c r="Y7" i="21"/>
  <c r="X16" i="20"/>
  <c r="X18" i="21"/>
  <c r="Y28" i="23"/>
  <c r="Y28" i="26" s="1"/>
  <c r="X16" i="18"/>
  <c r="X18" i="23"/>
  <c r="Y7" i="13"/>
  <c r="Y11" i="13"/>
  <c r="Y23" i="13"/>
  <c r="X149" i="6"/>
  <c r="X53" i="38"/>
  <c r="X45" i="39"/>
  <c r="X47" i="37"/>
  <c r="Y53" i="39"/>
  <c r="Y47" i="37"/>
  <c r="Y51" i="37"/>
  <c r="X53" i="39"/>
  <c r="Y49" i="39"/>
  <c r="X39" i="39"/>
  <c r="Y45" i="39"/>
  <c r="Y46" i="38"/>
  <c r="Y39" i="39"/>
  <c r="X49" i="39"/>
  <c r="X51" i="37"/>
  <c r="X49" i="37"/>
  <c r="X46" i="38"/>
  <c r="X19" i="10" l="1"/>
  <c r="Y31" i="6"/>
  <c r="X7" i="28"/>
  <c r="Y19" i="23"/>
  <c r="Y19" i="26" s="1"/>
  <c r="X12" i="36"/>
  <c r="Y10" i="17"/>
  <c r="X5" i="31"/>
  <c r="X31" i="26"/>
  <c r="X22" i="28"/>
  <c r="X29" i="23"/>
  <c r="X29" i="26" s="1"/>
  <c r="Y5" i="39"/>
  <c r="Y37" i="39" s="1"/>
  <c r="Y5" i="31"/>
  <c r="Y28" i="16"/>
  <c r="X33" i="26"/>
  <c r="X14" i="27"/>
  <c r="Y16" i="23"/>
  <c r="Y16" i="26" s="1"/>
  <c r="X22" i="27"/>
  <c r="X25" i="26"/>
  <c r="X18" i="27"/>
  <c r="X30" i="28"/>
  <c r="X29" i="13"/>
  <c r="X29" i="16" s="1"/>
  <c r="X22" i="15"/>
  <c r="X30" i="26"/>
  <c r="X15" i="12"/>
  <c r="X15" i="15" s="1"/>
  <c r="Y139" i="6"/>
  <c r="X163" i="6"/>
  <c r="X114" i="6"/>
  <c r="X168" i="6" s="1"/>
  <c r="X90" i="6"/>
  <c r="X22" i="26"/>
  <c r="X14" i="26"/>
  <c r="Y30" i="15"/>
  <c r="X91" i="6"/>
  <c r="Y5" i="37"/>
  <c r="Y32" i="37" s="1"/>
  <c r="X9" i="29"/>
  <c r="X3" i="35" s="1"/>
  <c r="X26" i="26"/>
  <c r="X12" i="26"/>
  <c r="Y10" i="16"/>
  <c r="X18" i="26"/>
  <c r="X7" i="26"/>
  <c r="X31" i="28"/>
  <c r="X4" i="23"/>
  <c r="X4" i="26" s="1"/>
  <c r="Y15" i="13"/>
  <c r="Y15" i="16" s="1"/>
  <c r="X29" i="10"/>
  <c r="X3" i="8"/>
  <c r="X3" i="19"/>
  <c r="Y27" i="24"/>
  <c r="Y27" i="27" s="1"/>
  <c r="X13" i="26"/>
  <c r="X5" i="32"/>
  <c r="X11" i="27"/>
  <c r="X94" i="6"/>
  <c r="X92" i="6"/>
  <c r="X27" i="13"/>
  <c r="X27" i="16" s="1"/>
  <c r="X28" i="26"/>
  <c r="X33" i="27"/>
  <c r="X9" i="27"/>
  <c r="X13" i="27"/>
  <c r="X113" i="6"/>
  <c r="X143" i="6" s="1"/>
  <c r="X6" i="27"/>
  <c r="X89" i="6"/>
  <c r="X26" i="27"/>
  <c r="X21" i="28"/>
  <c r="X4" i="12"/>
  <c r="X4" i="15" s="1"/>
  <c r="X7" i="27"/>
  <c r="X30" i="27"/>
  <c r="X24" i="27"/>
  <c r="X4" i="14"/>
  <c r="X4" i="17" s="1"/>
  <c r="X4" i="13"/>
  <c r="X4" i="16" s="1"/>
  <c r="X57" i="6"/>
  <c r="X56" i="6"/>
  <c r="X19" i="13"/>
  <c r="X19" i="16" s="1"/>
  <c r="Y19" i="25"/>
  <c r="Y19" i="28" s="1"/>
  <c r="Y172" i="6"/>
  <c r="X9" i="26"/>
  <c r="X59" i="6"/>
  <c r="X61" i="6"/>
  <c r="Y19" i="14"/>
  <c r="Y19" i="17" s="1"/>
  <c r="X100" i="6"/>
  <c r="X130" i="6" s="1"/>
  <c r="Y48" i="39"/>
  <c r="X29" i="14"/>
  <c r="X29" i="17" s="1"/>
  <c r="X48" i="38"/>
  <c r="X99" i="6"/>
  <c r="X129" i="6" s="1"/>
  <c r="X12" i="27"/>
  <c r="X24" i="26"/>
  <c r="X58" i="6"/>
  <c r="Y50" i="39"/>
  <c r="Y48" i="38"/>
  <c r="X19" i="14"/>
  <c r="X19" i="17" s="1"/>
  <c r="X31" i="27"/>
  <c r="X16" i="23"/>
  <c r="X16" i="26" s="1"/>
  <c r="X5" i="37"/>
  <c r="X36" i="37" s="1"/>
  <c r="X48" i="39"/>
  <c r="Y27" i="23"/>
  <c r="Y27" i="26" s="1"/>
  <c r="X55" i="6"/>
  <c r="X32" i="28"/>
  <c r="X161" i="6"/>
  <c r="Y5" i="16"/>
  <c r="X169" i="6"/>
  <c r="X159" i="6"/>
  <c r="X155" i="6"/>
  <c r="X171" i="6"/>
  <c r="X131" i="6"/>
  <c r="X165" i="6"/>
  <c r="Y14" i="15"/>
  <c r="Y9" i="17"/>
  <c r="Y23" i="16"/>
  <c r="X156" i="6"/>
  <c r="X11" i="29"/>
  <c r="Y147" i="6"/>
  <c r="Y11" i="15"/>
  <c r="Y158" i="6"/>
  <c r="X164" i="6"/>
  <c r="X16" i="17"/>
  <c r="X172" i="6"/>
  <c r="Y12" i="15"/>
  <c r="X170" i="6"/>
  <c r="Y24" i="17"/>
  <c r="Y10" i="15"/>
  <c r="Y6" i="16"/>
  <c r="Y138" i="6"/>
  <c r="Y7" i="15"/>
  <c r="Y16" i="17"/>
  <c r="Y24" i="16"/>
  <c r="Y9" i="16"/>
  <c r="Y18" i="15"/>
  <c r="Y14" i="16"/>
  <c r="Y5" i="15"/>
  <c r="Y32" i="15"/>
  <c r="Y29" i="15"/>
  <c r="Y20" i="15"/>
  <c r="Y25" i="15"/>
  <c r="Y11" i="16"/>
  <c r="Y17" i="16"/>
  <c r="Y22" i="15"/>
  <c r="Y18" i="16"/>
  <c r="Y17" i="15"/>
  <c r="Y29" i="17"/>
  <c r="Y6" i="17"/>
  <c r="Y27" i="15"/>
  <c r="Y12" i="16"/>
  <c r="Y7" i="16"/>
  <c r="Y148" i="6"/>
  <c r="Y21" i="16"/>
  <c r="Y26" i="15"/>
  <c r="Y22" i="16"/>
  <c r="Y5" i="17"/>
  <c r="Y16" i="15"/>
  <c r="Y145" i="6"/>
  <c r="Y32" i="17"/>
  <c r="Y133" i="6"/>
  <c r="Y8" i="16"/>
  <c r="Y20" i="16"/>
  <c r="Y8" i="15"/>
  <c r="Y33" i="15"/>
  <c r="Y25" i="16"/>
  <c r="Y141" i="6"/>
  <c r="Y26" i="16"/>
  <c r="Y15" i="15"/>
  <c r="Y21" i="15"/>
  <c r="Y9" i="15"/>
  <c r="Y31" i="17"/>
  <c r="Y13" i="15"/>
  <c r="X27" i="15"/>
  <c r="X32" i="17"/>
  <c r="Y8" i="17"/>
  <c r="Y33" i="16"/>
  <c r="Y17" i="17"/>
  <c r="Y30" i="16"/>
  <c r="Y7" i="17"/>
  <c r="Y32" i="16"/>
  <c r="Y22" i="17"/>
  <c r="Y23" i="17"/>
  <c r="Y31" i="16"/>
  <c r="Y28" i="15"/>
  <c r="Y30" i="17"/>
  <c r="Y140" i="6"/>
  <c r="Y13" i="16"/>
  <c r="Y20" i="17"/>
  <c r="Y6" i="15"/>
  <c r="Y21" i="17"/>
  <c r="Y31" i="15"/>
  <c r="Y23" i="15"/>
  <c r="Y16" i="16"/>
  <c r="Y50" i="38"/>
  <c r="X10" i="16"/>
  <c r="X6" i="15"/>
  <c r="X31" i="16"/>
  <c r="Y131" i="6"/>
  <c r="X11" i="16"/>
  <c r="X22" i="16"/>
  <c r="X10" i="15"/>
  <c r="X50" i="39"/>
  <c r="X8" i="16"/>
  <c r="X36" i="39"/>
  <c r="X138" i="6"/>
  <c r="X146" i="6"/>
  <c r="Y19" i="13"/>
  <c r="Y19" i="16" s="1"/>
  <c r="X7" i="16"/>
  <c r="X29" i="12"/>
  <c r="X29" i="15" s="1"/>
  <c r="X3" i="9"/>
  <c r="X134" i="6"/>
  <c r="X28" i="15"/>
  <c r="X25" i="15"/>
  <c r="X24" i="15"/>
  <c r="X33" i="16"/>
  <c r="X148" i="6"/>
  <c r="X9" i="15"/>
  <c r="X50" i="38"/>
  <c r="X21" i="17"/>
  <c r="X7" i="15"/>
  <c r="X132" i="6"/>
  <c r="Y19" i="12"/>
  <c r="Y19" i="15" s="1"/>
  <c r="X23" i="17"/>
  <c r="X28" i="16"/>
  <c r="Y50" i="37"/>
  <c r="Y44" i="37" s="1"/>
  <c r="X4" i="10"/>
  <c r="X10" i="17"/>
  <c r="X14" i="16"/>
  <c r="X21" i="16"/>
  <c r="X135" i="6"/>
  <c r="X5" i="15"/>
  <c r="X30" i="17"/>
  <c r="X23" i="16"/>
  <c r="X19" i="12"/>
  <c r="X19" i="15" s="1"/>
  <c r="X30" i="15"/>
  <c r="X26" i="16"/>
  <c r="Y5" i="38"/>
  <c r="Y33" i="36" s="1"/>
  <c r="X145" i="6"/>
  <c r="Y27" i="13"/>
  <c r="Y27" i="16" s="1"/>
  <c r="X29" i="25"/>
  <c r="X29" i="28" s="1"/>
  <c r="X140" i="6"/>
  <c r="X16" i="15"/>
  <c r="X20" i="17"/>
  <c r="X32" i="16"/>
  <c r="X8" i="15"/>
  <c r="X23" i="15"/>
  <c r="Y31" i="36"/>
  <c r="Y34" i="36"/>
  <c r="Y32" i="36"/>
  <c r="X8" i="36"/>
  <c r="X3" i="11"/>
  <c r="Y159" i="6"/>
  <c r="Y135" i="6"/>
  <c r="X5" i="38"/>
  <c r="X38" i="38" s="1"/>
  <c r="X44" i="37"/>
  <c r="X3" i="31"/>
  <c r="Y163" i="6"/>
  <c r="Y165" i="6"/>
  <c r="Y3" i="31"/>
  <c r="X158" i="6"/>
  <c r="X125" i="6"/>
  <c r="Y164" i="6"/>
  <c r="X3" i="32"/>
  <c r="X3" i="30"/>
  <c r="X3" i="33"/>
  <c r="Y171" i="6"/>
  <c r="Y162" i="6"/>
  <c r="Y157" i="6"/>
  <c r="Y124" i="6"/>
  <c r="Y134" i="6"/>
  <c r="Y125" i="6"/>
  <c r="X12" i="15"/>
  <c r="X13" i="16"/>
  <c r="X16" i="16"/>
  <c r="Y169" i="6"/>
  <c r="X35" i="39"/>
  <c r="X16" i="25"/>
  <c r="X16" i="28" s="1"/>
  <c r="X30" i="16"/>
  <c r="X9" i="17"/>
  <c r="X31" i="17"/>
  <c r="X147" i="6"/>
  <c r="X26" i="15"/>
  <c r="X5" i="33"/>
  <c r="X139" i="6"/>
  <c r="X22" i="17"/>
  <c r="X31" i="15"/>
  <c r="X6" i="16"/>
  <c r="X5" i="16"/>
  <c r="X7" i="17"/>
  <c r="X6" i="17"/>
  <c r="X21" i="15"/>
  <c r="X14" i="15"/>
  <c r="X20" i="15"/>
  <c r="X18" i="16"/>
  <c r="X18" i="15"/>
  <c r="X17" i="16"/>
  <c r="X141" i="6"/>
  <c r="X17" i="15"/>
  <c r="X20" i="16"/>
  <c r="X137" i="6"/>
  <c r="X13" i="15"/>
  <c r="X133" i="6"/>
  <c r="X157" i="6"/>
  <c r="X25" i="16"/>
  <c r="Y5" i="32"/>
  <c r="Y6" i="29"/>
  <c r="X17" i="17"/>
  <c r="X9" i="16"/>
  <c r="Y155" i="6"/>
  <c r="X8" i="29"/>
  <c r="X5" i="34"/>
  <c r="X15" i="16"/>
  <c r="X32" i="15"/>
  <c r="X33" i="15"/>
  <c r="X5" i="17"/>
  <c r="X11" i="15"/>
  <c r="X24" i="17"/>
  <c r="Y7" i="29"/>
  <c r="X12" i="16"/>
  <c r="X24" i="16"/>
  <c r="X8" i="17"/>
  <c r="X3" i="20"/>
  <c r="X4" i="24"/>
  <c r="X4" i="27" s="1"/>
  <c r="X4" i="21"/>
  <c r="Y137" i="6"/>
  <c r="Y161" i="6"/>
  <c r="Y9" i="29"/>
  <c r="Y5" i="35"/>
  <c r="Y146" i="6"/>
  <c r="Y170" i="6"/>
  <c r="Y100" i="6"/>
  <c r="Y47" i="6"/>
  <c r="X29" i="24"/>
  <c r="X29" i="27" s="1"/>
  <c r="X29" i="21"/>
  <c r="Y3" i="11"/>
  <c r="Y4" i="14"/>
  <c r="Y4" i="17" s="1"/>
  <c r="Y114" i="6"/>
  <c r="Y81" i="6"/>
  <c r="Y19" i="10"/>
  <c r="X16" i="24"/>
  <c r="X16" i="27" s="1"/>
  <c r="X16" i="21"/>
  <c r="X27" i="23"/>
  <c r="X27" i="26" s="1"/>
  <c r="X27" i="24"/>
  <c r="X27" i="27" s="1"/>
  <c r="X3" i="22"/>
  <c r="X4" i="25"/>
  <c r="X4" i="28" s="1"/>
  <c r="X19" i="21"/>
  <c r="X19" i="24"/>
  <c r="X19" i="27" s="1"/>
  <c r="Y4" i="10"/>
  <c r="Y4" i="13"/>
  <c r="Y4" i="16" s="1"/>
  <c r="Y3" i="9"/>
  <c r="X19" i="23"/>
  <c r="X19" i="26" s="1"/>
  <c r="Y16" i="21"/>
  <c r="Y16" i="24"/>
  <c r="Y16" i="27" s="1"/>
  <c r="Y3" i="22"/>
  <c r="Y4" i="25"/>
  <c r="Y4" i="28" s="1"/>
  <c r="Y4" i="23"/>
  <c r="Y4" i="26" s="1"/>
  <c r="Y3" i="19"/>
  <c r="X15" i="23"/>
  <c r="X15" i="26" s="1"/>
  <c r="X15" i="24"/>
  <c r="X15" i="27" s="1"/>
  <c r="Y5" i="34"/>
  <c r="Y8" i="29"/>
  <c r="Y29" i="10"/>
  <c r="Y29" i="13"/>
  <c r="Y29" i="16" s="1"/>
  <c r="Y3" i="20"/>
  <c r="Y4" i="21"/>
  <c r="Y4" i="24"/>
  <c r="Y4" i="27" s="1"/>
  <c r="Y15" i="23"/>
  <c r="Y15" i="26" s="1"/>
  <c r="Y29" i="21"/>
  <c r="Y29" i="24"/>
  <c r="Y29" i="27" s="1"/>
  <c r="Y19" i="24"/>
  <c r="Y19" i="27" s="1"/>
  <c r="Y19" i="21"/>
  <c r="Y4" i="29"/>
  <c r="Y5" i="30"/>
  <c r="Y11" i="29"/>
  <c r="Y3" i="8"/>
  <c r="Y4" i="12"/>
  <c r="Y4" i="15" s="1"/>
  <c r="X19" i="25"/>
  <c r="X19" i="28" s="1"/>
  <c r="Y123" i="6"/>
  <c r="Y132" i="6"/>
  <c r="Y156" i="6"/>
  <c r="Y16" i="10"/>
  <c r="Y38" i="39"/>
  <c r="Y35" i="39"/>
  <c r="X31" i="36"/>
  <c r="X34" i="36"/>
  <c r="X32" i="36"/>
  <c r="X38" i="39"/>
  <c r="X37" i="39"/>
  <c r="Y36" i="39" l="1"/>
  <c r="X3" i="14"/>
  <c r="Y34" i="37"/>
  <c r="X144" i="6"/>
  <c r="Y37" i="37"/>
  <c r="Y35" i="37"/>
  <c r="Y36" i="37"/>
  <c r="Y44" i="39"/>
  <c r="Y38" i="37"/>
  <c r="X3" i="23"/>
  <c r="X3" i="26" s="1"/>
  <c r="Y40" i="37"/>
  <c r="Y39" i="37"/>
  <c r="Y33" i="37"/>
  <c r="Y31" i="37" s="1"/>
  <c r="X3" i="12"/>
  <c r="X3" i="15" s="1"/>
  <c r="X3" i="29"/>
  <c r="Y39" i="38"/>
  <c r="Y44" i="38"/>
  <c r="X153" i="6"/>
  <c r="X44" i="39"/>
  <c r="X34" i="37"/>
  <c r="X37" i="37"/>
  <c r="X167" i="6"/>
  <c r="X32" i="37"/>
  <c r="X33" i="37"/>
  <c r="X35" i="37"/>
  <c r="X39" i="37"/>
  <c r="X38" i="37"/>
  <c r="X40" i="37"/>
  <c r="X3" i="13"/>
  <c r="X3" i="16" s="1"/>
  <c r="X3" i="10"/>
  <c r="X154" i="6"/>
  <c r="X121" i="6"/>
  <c r="X31" i="39"/>
  <c r="Y33" i="38"/>
  <c r="Y34" i="38"/>
  <c r="Y35" i="38"/>
  <c r="Y32" i="38"/>
  <c r="Y36" i="38"/>
  <c r="Y40" i="38"/>
  <c r="Y38" i="38"/>
  <c r="Y37" i="38"/>
  <c r="Y3" i="32"/>
  <c r="Y31" i="39"/>
  <c r="Y3" i="12"/>
  <c r="Y3" i="33"/>
  <c r="X36" i="38"/>
  <c r="X35" i="38"/>
  <c r="X44" i="38"/>
  <c r="X33" i="38"/>
  <c r="Y121" i="6"/>
  <c r="X3" i="17"/>
  <c r="X39" i="38"/>
  <c r="X37" i="38"/>
  <c r="Y3" i="35"/>
  <c r="X32" i="38"/>
  <c r="Y3" i="14"/>
  <c r="Y3" i="34"/>
  <c r="Y3" i="25"/>
  <c r="X34" i="38"/>
  <c r="X33" i="36"/>
  <c r="X3" i="34"/>
  <c r="X3" i="25"/>
  <c r="X40" i="38"/>
  <c r="Y3" i="23"/>
  <c r="Y3" i="10"/>
  <c r="Y3" i="13"/>
  <c r="Y144" i="6"/>
  <c r="Y168" i="6"/>
  <c r="Y99" i="6"/>
  <c r="Y61" i="6"/>
  <c r="Y57" i="6"/>
  <c r="Y60" i="6"/>
  <c r="Y55" i="6"/>
  <c r="Y59" i="6"/>
  <c r="Y58" i="6"/>
  <c r="Y3" i="24"/>
  <c r="Y3" i="21"/>
  <c r="Y56" i="6"/>
  <c r="Y3" i="30"/>
  <c r="Y3" i="29"/>
  <c r="Y130" i="6"/>
  <c r="Y154" i="6"/>
  <c r="Y93" i="6"/>
  <c r="Y89" i="6"/>
  <c r="Y113" i="6"/>
  <c r="Y91" i="6"/>
  <c r="Y94" i="6"/>
  <c r="Y92" i="6"/>
  <c r="Y90" i="6"/>
  <c r="X3" i="21"/>
  <c r="X3" i="24"/>
  <c r="X31" i="37" l="1"/>
  <c r="Y31" i="38"/>
  <c r="X31" i="38"/>
  <c r="Y3" i="27"/>
  <c r="Y3" i="28"/>
  <c r="Y3" i="16"/>
  <c r="X3" i="27"/>
  <c r="Y3" i="26"/>
  <c r="Y3" i="17"/>
  <c r="Y3" i="15"/>
  <c r="X3" i="28"/>
  <c r="Y143" i="6"/>
  <c r="Y167" i="6"/>
  <c r="Y129" i="6"/>
  <c r="Y153" i="6"/>
  <c r="Y14" i="6" l="1"/>
  <c r="X14" i="6"/>
  <c r="H9" i="36"/>
  <c r="C17" i="39"/>
  <c r="P9" i="36"/>
  <c r="C9" i="39"/>
  <c r="V9" i="39"/>
  <c r="K9" i="39"/>
  <c r="S17" i="39"/>
  <c r="N9" i="39"/>
  <c r="F9" i="39"/>
  <c r="T9" i="39"/>
  <c r="D9" i="39"/>
  <c r="L9" i="39"/>
  <c r="J17" i="39"/>
  <c r="R17" i="39"/>
  <c r="E17" i="39"/>
  <c r="M17" i="39"/>
  <c r="U17" i="39"/>
  <c r="H9" i="39"/>
  <c r="P9" i="39"/>
  <c r="S9" i="39"/>
  <c r="J9" i="39"/>
  <c r="J5" i="39" s="1"/>
  <c r="R9" i="39"/>
  <c r="R5" i="39" s="1"/>
  <c r="E9" i="39"/>
  <c r="E5" i="39" s="1"/>
  <c r="M9" i="39"/>
  <c r="M5" i="39" s="1"/>
  <c r="U9" i="39"/>
  <c r="U5" i="39" s="1"/>
  <c r="H17" i="37"/>
  <c r="K9" i="36"/>
  <c r="S9" i="36"/>
  <c r="C9" i="36"/>
  <c r="E9" i="36"/>
  <c r="M9" i="36"/>
  <c r="U9" i="36"/>
  <c r="K17" i="39"/>
  <c r="C17" i="38"/>
  <c r="B17" i="39"/>
  <c r="I17" i="39"/>
  <c r="Q17" i="39"/>
  <c r="Q9" i="36"/>
  <c r="B9" i="36"/>
  <c r="J9" i="36"/>
  <c r="R9" i="36"/>
  <c r="D9" i="36"/>
  <c r="L9" i="36"/>
  <c r="T9" i="36"/>
  <c r="I9" i="39"/>
  <c r="I5" i="39" s="1"/>
  <c r="Q9" i="39"/>
  <c r="I9" i="36"/>
  <c r="K9" i="38"/>
  <c r="K17" i="38"/>
  <c r="C9" i="38"/>
  <c r="S9" i="38"/>
  <c r="S17" i="38"/>
  <c r="F9" i="36"/>
  <c r="N9" i="36"/>
  <c r="V9" i="36"/>
  <c r="H9" i="38"/>
  <c r="P9" i="38"/>
  <c r="F17" i="39"/>
  <c r="N17" i="39"/>
  <c r="V17" i="39"/>
  <c r="D17" i="39"/>
  <c r="L17" i="39"/>
  <c r="T17" i="39"/>
  <c r="G17" i="39"/>
  <c r="O17" i="39"/>
  <c r="W17" i="39"/>
  <c r="H17" i="39"/>
  <c r="P17" i="39"/>
  <c r="B17" i="38"/>
  <c r="G9" i="39"/>
  <c r="O9" i="39"/>
  <c r="W9" i="39"/>
  <c r="B9" i="38"/>
  <c r="F17" i="38"/>
  <c r="N17" i="38"/>
  <c r="V17" i="38"/>
  <c r="D17" i="38"/>
  <c r="L17" i="38"/>
  <c r="T17" i="38"/>
  <c r="H17" i="38"/>
  <c r="P17" i="38"/>
  <c r="B9" i="39"/>
  <c r="G17" i="38"/>
  <c r="O17" i="38"/>
  <c r="W17" i="38"/>
  <c r="J17" i="38"/>
  <c r="R17" i="38"/>
  <c r="E17" i="38"/>
  <c r="M17" i="38"/>
  <c r="U17" i="38"/>
  <c r="B17" i="37"/>
  <c r="N9" i="38"/>
  <c r="D9" i="38"/>
  <c r="G9" i="36"/>
  <c r="O9" i="36"/>
  <c r="W9" i="36"/>
  <c r="P17" i="37"/>
  <c r="G9" i="38"/>
  <c r="O9" i="38"/>
  <c r="W9" i="38"/>
  <c r="J9" i="38"/>
  <c r="R9" i="38"/>
  <c r="E9" i="38"/>
  <c r="M9" i="38"/>
  <c r="U9" i="38"/>
  <c r="I17" i="38"/>
  <c r="Q17" i="38"/>
  <c r="F9" i="38"/>
  <c r="Q9" i="38"/>
  <c r="T9" i="38"/>
  <c r="V9" i="38"/>
  <c r="L9" i="38"/>
  <c r="B9" i="37"/>
  <c r="I9" i="38"/>
  <c r="H9" i="37"/>
  <c r="P9" i="37"/>
  <c r="G9" i="37"/>
  <c r="O9" i="37"/>
  <c r="W9" i="37"/>
  <c r="C17" i="37"/>
  <c r="K17" i="37"/>
  <c r="S17" i="37"/>
  <c r="F17" i="37"/>
  <c r="N17" i="37"/>
  <c r="V17" i="37"/>
  <c r="I17" i="37"/>
  <c r="Q17" i="37"/>
  <c r="D17" i="37"/>
  <c r="L17" i="37"/>
  <c r="T17" i="37"/>
  <c r="E17" i="37"/>
  <c r="M17" i="37"/>
  <c r="U17" i="37"/>
  <c r="C9" i="37"/>
  <c r="K9" i="37"/>
  <c r="S9" i="37"/>
  <c r="F9" i="37"/>
  <c r="N9" i="37"/>
  <c r="V9" i="37"/>
  <c r="I9" i="37"/>
  <c r="Q9" i="37"/>
  <c r="D9" i="37"/>
  <c r="L9" i="37"/>
  <c r="T9" i="37"/>
  <c r="J9" i="37"/>
  <c r="R9" i="37"/>
  <c r="G17" i="37"/>
  <c r="O17" i="37"/>
  <c r="W17" i="37"/>
  <c r="J17" i="37"/>
  <c r="R17" i="37"/>
  <c r="E9" i="37"/>
  <c r="M9" i="37"/>
  <c r="U9" i="37"/>
  <c r="D5" i="38" l="1"/>
  <c r="I5" i="38"/>
  <c r="X15" i="6"/>
  <c r="Y15" i="6"/>
  <c r="B5" i="38"/>
  <c r="Q5" i="39"/>
  <c r="S5" i="38"/>
  <c r="C5" i="39"/>
  <c r="S5" i="39"/>
  <c r="V5" i="39"/>
  <c r="N5" i="39"/>
  <c r="T5" i="39"/>
  <c r="K5" i="39"/>
  <c r="W5" i="38"/>
  <c r="N5" i="38"/>
  <c r="D5" i="39"/>
  <c r="F5" i="39"/>
  <c r="C5" i="38"/>
  <c r="P5" i="39"/>
  <c r="G5" i="38"/>
  <c r="B5" i="37"/>
  <c r="K5" i="38"/>
  <c r="V5" i="38"/>
  <c r="O5" i="38"/>
  <c r="L5" i="39"/>
  <c r="H5" i="39"/>
  <c r="U5" i="38"/>
  <c r="B5" i="39"/>
  <c r="F5" i="38"/>
  <c r="L5" i="38"/>
  <c r="R5" i="38"/>
  <c r="T5" i="38"/>
  <c r="W5" i="39"/>
  <c r="M5" i="38"/>
  <c r="P5" i="38"/>
  <c r="O5" i="39"/>
  <c r="Q5" i="38"/>
  <c r="J5" i="38"/>
  <c r="E5" i="38"/>
  <c r="H5" i="38"/>
  <c r="G5" i="39"/>
  <c r="B33" i="36"/>
  <c r="N14" i="36" l="1"/>
  <c r="F14" i="36"/>
  <c r="B14" i="36"/>
  <c r="S14" i="36"/>
  <c r="K14" i="36"/>
  <c r="V14" i="36"/>
  <c r="G14" i="36"/>
  <c r="O14" i="36"/>
  <c r="W14" i="36"/>
  <c r="H14" i="36"/>
  <c r="P14" i="36"/>
  <c r="I14" i="36"/>
  <c r="Q14" i="36"/>
  <c r="C14" i="36"/>
  <c r="D14" i="36"/>
  <c r="L14" i="36"/>
  <c r="T14" i="36"/>
  <c r="E19" i="36"/>
  <c r="F19" i="36"/>
  <c r="N19" i="36"/>
  <c r="V19" i="36"/>
  <c r="U19" i="36"/>
  <c r="G19" i="36"/>
  <c r="O19" i="36"/>
  <c r="W19" i="36"/>
  <c r="H19" i="36"/>
  <c r="P19" i="36"/>
  <c r="U14" i="36"/>
  <c r="I19" i="36"/>
  <c r="Q19" i="36"/>
  <c r="J14" i="36"/>
  <c r="R14" i="36"/>
  <c r="B19" i="36"/>
  <c r="J19" i="36"/>
  <c r="R19" i="36"/>
  <c r="E14" i="36"/>
  <c r="C19" i="36"/>
  <c r="K19" i="36"/>
  <c r="S19" i="36"/>
  <c r="M14" i="36"/>
  <c r="M19" i="36"/>
  <c r="D19" i="36"/>
  <c r="L19" i="36"/>
  <c r="T19" i="36"/>
  <c r="S12" i="36" l="1"/>
  <c r="N12" i="36"/>
  <c r="O12" i="36"/>
  <c r="G12" i="36"/>
  <c r="H12" i="36"/>
  <c r="Q12" i="36"/>
  <c r="B12" i="36"/>
  <c r="B31" i="36" s="1"/>
  <c r="W12" i="36"/>
  <c r="C12" i="36"/>
  <c r="P12" i="36"/>
  <c r="D12" i="36"/>
  <c r="M12" i="36"/>
  <c r="T12" i="36"/>
  <c r="L12" i="36"/>
  <c r="U12" i="36"/>
  <c r="J12" i="36"/>
  <c r="F12" i="36"/>
  <c r="E12" i="36"/>
  <c r="I12" i="36"/>
  <c r="K12" i="36"/>
  <c r="R12" i="36"/>
  <c r="V12" i="36"/>
  <c r="B32" i="36" l="1"/>
  <c r="T5" i="37"/>
  <c r="N5" i="37"/>
  <c r="C5" i="37"/>
  <c r="R5" i="37"/>
  <c r="O5" i="37"/>
  <c r="G5" i="37"/>
  <c r="M5" i="37"/>
  <c r="L5" i="37"/>
  <c r="D5" i="37"/>
  <c r="J5" i="37"/>
  <c r="W5" i="37"/>
  <c r="I5" i="37"/>
  <c r="H5" i="37" l="1"/>
  <c r="U5" i="37"/>
  <c r="P5" i="37"/>
  <c r="K5" i="37"/>
  <c r="E5" i="37"/>
  <c r="F5" i="37"/>
  <c r="V5" i="37"/>
  <c r="Q5" i="37"/>
  <c r="S5" i="37" l="1"/>
  <c r="Q67" i="6" l="1"/>
  <c r="I67" i="6"/>
  <c r="C33" i="6" l="1"/>
  <c r="K33" i="6"/>
  <c r="E33" i="6"/>
  <c r="M33" i="6"/>
  <c r="U33" i="6"/>
  <c r="G67" i="6"/>
  <c r="O67" i="6"/>
  <c r="W67" i="6"/>
  <c r="O33" i="6"/>
  <c r="E71" i="6"/>
  <c r="M71" i="6"/>
  <c r="U71" i="6"/>
  <c r="K37" i="6"/>
  <c r="S37" i="6"/>
  <c r="F67" i="6"/>
  <c r="V67" i="6"/>
  <c r="I33" i="6"/>
  <c r="Q33" i="6"/>
  <c r="H71" i="6"/>
  <c r="P71" i="6"/>
  <c r="H67" i="6"/>
  <c r="P67" i="6"/>
  <c r="C67" i="6"/>
  <c r="K67" i="6"/>
  <c r="S67" i="6"/>
  <c r="S33" i="6"/>
  <c r="F33" i="6"/>
  <c r="N33" i="6"/>
  <c r="V33" i="6"/>
  <c r="J67" i="6"/>
  <c r="R67" i="6"/>
  <c r="J33" i="6"/>
  <c r="R33" i="6"/>
  <c r="I37" i="6"/>
  <c r="Q37" i="6"/>
  <c r="C37" i="6"/>
  <c r="G33" i="6"/>
  <c r="W33" i="6"/>
  <c r="N67" i="6"/>
  <c r="C71" i="6"/>
  <c r="K71" i="6"/>
  <c r="S71" i="6"/>
  <c r="J71" i="6"/>
  <c r="R71" i="6"/>
  <c r="F37" i="6"/>
  <c r="N37" i="6"/>
  <c r="V37" i="6"/>
  <c r="H33" i="6"/>
  <c r="P33" i="6"/>
  <c r="D37" i="6"/>
  <c r="T37" i="6"/>
  <c r="D33" i="6"/>
  <c r="L33" i="6"/>
  <c r="T33" i="6"/>
  <c r="G37" i="6"/>
  <c r="O37" i="6"/>
  <c r="W37" i="6"/>
  <c r="J37" i="6"/>
  <c r="R37" i="6"/>
  <c r="L37" i="6"/>
  <c r="T71" i="6"/>
  <c r="W71" i="6"/>
  <c r="E67" i="6"/>
  <c r="M67" i="6"/>
  <c r="U67" i="6"/>
  <c r="D71" i="6"/>
  <c r="G71" i="6"/>
  <c r="F71" i="6"/>
  <c r="N71" i="6"/>
  <c r="V71" i="6"/>
  <c r="I71" i="6"/>
  <c r="Q71" i="6"/>
  <c r="L71" i="6"/>
  <c r="O71" i="6"/>
  <c r="E37" i="6"/>
  <c r="E31" i="6" s="1"/>
  <c r="M37" i="6"/>
  <c r="U37" i="6"/>
  <c r="H37" i="6"/>
  <c r="P37" i="6"/>
  <c r="D67" i="6"/>
  <c r="L67" i="6"/>
  <c r="T67" i="6"/>
  <c r="H31" i="6" l="1"/>
  <c r="N31" i="6"/>
  <c r="K31" i="6"/>
  <c r="T31" i="6"/>
  <c r="S31" i="6"/>
  <c r="F31" i="6"/>
  <c r="U31" i="6"/>
  <c r="M31" i="6"/>
  <c r="C31" i="6"/>
  <c r="W31" i="6"/>
  <c r="V31" i="6"/>
  <c r="D31" i="6"/>
  <c r="Q31" i="6"/>
  <c r="I31" i="6"/>
  <c r="O31" i="6"/>
  <c r="P31" i="6"/>
  <c r="G31" i="6"/>
  <c r="L31" i="6"/>
  <c r="R31" i="6"/>
  <c r="J31" i="6"/>
  <c r="W50" i="39" l="1"/>
  <c r="W46" i="39"/>
  <c r="W45" i="39"/>
  <c r="W39" i="39"/>
  <c r="W35" i="39"/>
  <c r="W32" i="39"/>
  <c r="W53" i="39"/>
  <c r="W52" i="39"/>
  <c r="W38" i="39"/>
  <c r="W37" i="39"/>
  <c r="W49" i="39"/>
  <c r="W48" i="39"/>
  <c r="W34" i="39"/>
  <c r="W33" i="39"/>
  <c r="W44" i="39"/>
  <c r="W49" i="38"/>
  <c r="W47" i="38"/>
  <c r="W45" i="38"/>
  <c r="W38" i="38"/>
  <c r="W36" i="38"/>
  <c r="W34" i="38"/>
  <c r="W32" i="38"/>
  <c r="W53" i="38"/>
  <c r="W39" i="38"/>
  <c r="W51" i="38"/>
  <c r="W50" i="38"/>
  <c r="W35" i="38"/>
  <c r="W46" i="38"/>
  <c r="W33" i="36"/>
  <c r="W49" i="37"/>
  <c r="W47" i="37"/>
  <c r="W45" i="37"/>
  <c r="W38" i="37"/>
  <c r="W36" i="37"/>
  <c r="W34" i="37"/>
  <c r="W32" i="37"/>
  <c r="W53" i="37"/>
  <c r="W39" i="37"/>
  <c r="W51" i="37"/>
  <c r="W50" i="37"/>
  <c r="W35" i="37"/>
  <c r="W46" i="37"/>
  <c r="W34" i="36"/>
  <c r="W32" i="36"/>
  <c r="W31" i="36"/>
  <c r="W36" i="39" l="1"/>
  <c r="W40" i="39"/>
  <c r="W47" i="39"/>
  <c r="W51" i="39"/>
  <c r="W33" i="38"/>
  <c r="W37" i="38"/>
  <c r="W44" i="38"/>
  <c r="W48" i="38"/>
  <c r="W52" i="38"/>
  <c r="W40" i="38"/>
  <c r="W33" i="37"/>
  <c r="W37" i="37"/>
  <c r="W48" i="37"/>
  <c r="W52" i="37"/>
  <c r="W40" i="37"/>
  <c r="W31" i="38" l="1"/>
  <c r="W44" i="37"/>
  <c r="W31" i="39"/>
  <c r="W31" i="37"/>
  <c r="T31" i="36" l="1"/>
  <c r="T34" i="36"/>
  <c r="V31" i="36"/>
  <c r="V34" i="36"/>
  <c r="U34" i="36"/>
  <c r="U31" i="36"/>
  <c r="S34" i="36"/>
  <c r="S31" i="36"/>
  <c r="R34" i="36"/>
  <c r="R31" i="36"/>
  <c r="S32" i="36" l="1"/>
  <c r="S51" i="37"/>
  <c r="S49" i="37"/>
  <c r="R45" i="37" l="1"/>
  <c r="R32" i="36"/>
  <c r="R49" i="37"/>
  <c r="R51" i="37"/>
  <c r="R46" i="37"/>
  <c r="V32" i="36"/>
  <c r="V49" i="37"/>
  <c r="V51" i="37"/>
  <c r="V48" i="37"/>
  <c r="R47" i="37"/>
  <c r="V52" i="37"/>
  <c r="U32" i="36"/>
  <c r="U49" i="37"/>
  <c r="U51" i="37"/>
  <c r="R52" i="37" l="1"/>
  <c r="T32" i="36"/>
  <c r="T51" i="37"/>
  <c r="T49" i="37"/>
  <c r="V46" i="37"/>
  <c r="T52" i="37"/>
  <c r="U52" i="37"/>
  <c r="V45" i="37"/>
  <c r="V50" i="37"/>
  <c r="T45" i="37"/>
  <c r="V47" i="37"/>
  <c r="T47" i="37" l="1"/>
  <c r="R50" i="37"/>
  <c r="U47" i="37"/>
  <c r="U48" i="37"/>
  <c r="T48" i="37"/>
  <c r="U45" i="37"/>
  <c r="U46" i="37"/>
  <c r="T46" i="37"/>
  <c r="S45" i="37"/>
  <c r="S52" i="37"/>
  <c r="S48" i="37" l="1"/>
  <c r="T50" i="37"/>
  <c r="S46" i="37"/>
  <c r="R48" i="37"/>
  <c r="S47" i="37"/>
  <c r="U50" i="37" l="1"/>
  <c r="S50" i="37" l="1"/>
  <c r="N31" i="36" l="1"/>
  <c r="N34" i="36"/>
  <c r="P34" i="36"/>
  <c r="P31" i="36"/>
  <c r="K34" i="36"/>
  <c r="K31" i="36"/>
  <c r="J34" i="36"/>
  <c r="J31" i="36"/>
  <c r="M34" i="36"/>
  <c r="M31" i="36"/>
  <c r="I34" i="36"/>
  <c r="I31" i="36"/>
  <c r="F34" i="36"/>
  <c r="F31" i="36"/>
  <c r="H34" i="36"/>
  <c r="H31" i="36"/>
  <c r="Q34" i="36"/>
  <c r="Q31" i="36"/>
  <c r="L34" i="36"/>
  <c r="L31" i="36"/>
  <c r="C34" i="36"/>
  <c r="C31" i="36"/>
  <c r="G34" i="36"/>
  <c r="G31" i="36"/>
  <c r="D31" i="36"/>
  <c r="D34" i="36"/>
  <c r="O34" i="36"/>
  <c r="O31" i="36"/>
  <c r="Q32" i="36" l="1"/>
  <c r="P32" i="36"/>
  <c r="O32" i="36"/>
  <c r="N32" i="36"/>
  <c r="M32" i="36"/>
  <c r="S53" i="37" l="1"/>
  <c r="S44" i="37" s="1"/>
  <c r="T53" i="37"/>
  <c r="T44" i="37" s="1"/>
  <c r="V53" i="37" l="1"/>
  <c r="V44" i="37" s="1"/>
  <c r="R53" i="37"/>
  <c r="R44" i="37" s="1"/>
  <c r="U53" i="37"/>
  <c r="U44" i="37" s="1"/>
  <c r="V36" i="37" l="1"/>
  <c r="V38" i="37"/>
  <c r="V35" i="37"/>
  <c r="V39" i="37"/>
  <c r="V37" i="37"/>
  <c r="V34" i="37"/>
  <c r="V32" i="37"/>
  <c r="V33" i="37"/>
  <c r="V40" i="37"/>
  <c r="S40" i="37"/>
  <c r="S38" i="37"/>
  <c r="S36" i="37"/>
  <c r="S32" i="37"/>
  <c r="S39" i="37"/>
  <c r="S35" i="37"/>
  <c r="S34" i="37"/>
  <c r="S33" i="37"/>
  <c r="S37" i="37"/>
  <c r="U36" i="37"/>
  <c r="U38" i="37"/>
  <c r="U39" i="37"/>
  <c r="U35" i="37"/>
  <c r="U32" i="37"/>
  <c r="U34" i="37"/>
  <c r="U33" i="37"/>
  <c r="U37" i="37"/>
  <c r="U40" i="37"/>
  <c r="R36" i="37"/>
  <c r="R38" i="37"/>
  <c r="R32" i="37"/>
  <c r="R34" i="37"/>
  <c r="R33" i="37"/>
  <c r="R39" i="37"/>
  <c r="R37" i="37"/>
  <c r="R35" i="37"/>
  <c r="R40" i="37"/>
  <c r="T40" i="37"/>
  <c r="T38" i="37"/>
  <c r="T36" i="37"/>
  <c r="T39" i="37"/>
  <c r="T32" i="37"/>
  <c r="T33" i="37"/>
  <c r="T34" i="37"/>
  <c r="T35" i="37"/>
  <c r="T37" i="37"/>
  <c r="R31" i="37" l="1"/>
  <c r="S31" i="37"/>
  <c r="V31" i="37"/>
  <c r="T31" i="37"/>
  <c r="U31" i="37"/>
  <c r="H32" i="36" l="1"/>
  <c r="F32" i="36"/>
  <c r="I32" i="36"/>
  <c r="D32" i="36"/>
  <c r="G32" i="36"/>
  <c r="C32" i="36"/>
  <c r="J32" i="36"/>
  <c r="L32" i="36"/>
  <c r="K32" i="36"/>
  <c r="D8" i="36" l="1"/>
  <c r="S49" i="39" l="1"/>
  <c r="R49" i="39"/>
  <c r="R47" i="39" l="1"/>
  <c r="R34" i="39"/>
  <c r="T32" i="39"/>
  <c r="T45" i="39"/>
  <c r="V49" i="39"/>
  <c r="S46" i="39"/>
  <c r="S33" i="39"/>
  <c r="V53" i="39"/>
  <c r="V40" i="39"/>
  <c r="T52" i="39"/>
  <c r="T39" i="39"/>
  <c r="V33" i="39"/>
  <c r="V46" i="39"/>
  <c r="U47" i="39"/>
  <c r="U34" i="39"/>
  <c r="S40" i="39"/>
  <c r="S53" i="39"/>
  <c r="R46" i="39"/>
  <c r="R33" i="39"/>
  <c r="T53" i="39"/>
  <c r="T40" i="39"/>
  <c r="T49" i="39"/>
  <c r="U40" i="39"/>
  <c r="U53" i="39"/>
  <c r="R52" i="39"/>
  <c r="R39" i="39"/>
  <c r="U52" i="39"/>
  <c r="U39" i="39"/>
  <c r="V52" i="39"/>
  <c r="V39" i="39"/>
  <c r="T51" i="39"/>
  <c r="S34" i="39"/>
  <c r="S47" i="39"/>
  <c r="T47" i="39"/>
  <c r="T34" i="39"/>
  <c r="U33" i="39"/>
  <c r="U46" i="39"/>
  <c r="U32" i="39"/>
  <c r="U45" i="39"/>
  <c r="S52" i="39"/>
  <c r="S39" i="39"/>
  <c r="S51" i="39"/>
  <c r="R51" i="39"/>
  <c r="V34" i="39"/>
  <c r="V47" i="39"/>
  <c r="R40" i="39"/>
  <c r="R53" i="39"/>
  <c r="T33" i="39"/>
  <c r="T46" i="39"/>
  <c r="V51" i="39"/>
  <c r="S32" i="39" l="1"/>
  <c r="S45" i="39"/>
  <c r="V45" i="39"/>
  <c r="V32" i="39"/>
  <c r="U49" i="39"/>
  <c r="R32" i="39"/>
  <c r="R45" i="39"/>
  <c r="U51" i="39"/>
  <c r="U50" i="39" l="1"/>
  <c r="V50" i="39"/>
  <c r="R48" i="39"/>
  <c r="R50" i="39"/>
  <c r="S50" i="39" l="1"/>
  <c r="S48" i="39"/>
  <c r="T50" i="39"/>
  <c r="V48" i="39"/>
  <c r="T48" i="39"/>
  <c r="U48" i="39"/>
  <c r="V35" i="39"/>
  <c r="U44" i="39" l="1"/>
  <c r="U38" i="39"/>
  <c r="U36" i="39"/>
  <c r="U37" i="39"/>
  <c r="U35" i="39"/>
  <c r="V44" i="39"/>
  <c r="V36" i="39"/>
  <c r="V38" i="39"/>
  <c r="V37" i="39"/>
  <c r="U31" i="39" l="1"/>
  <c r="V31" i="39"/>
  <c r="R36" i="39"/>
  <c r="R44" i="39"/>
  <c r="R38" i="39"/>
  <c r="R37" i="39"/>
  <c r="R35" i="39"/>
  <c r="T44" i="39"/>
  <c r="T38" i="39"/>
  <c r="T36" i="39"/>
  <c r="T35" i="39"/>
  <c r="T37" i="39"/>
  <c r="S36" i="39"/>
  <c r="S44" i="39"/>
  <c r="S38" i="39"/>
  <c r="S37" i="39"/>
  <c r="S35" i="39"/>
  <c r="S31" i="39" l="1"/>
  <c r="R31" i="39"/>
  <c r="T31" i="39"/>
  <c r="E34" i="36" l="1"/>
  <c r="E31" i="36"/>
  <c r="E32" i="36" l="1"/>
  <c r="E8" i="36" l="1"/>
  <c r="F8" i="36" l="1"/>
  <c r="G8" i="36" l="1"/>
  <c r="H8" i="36" l="1"/>
  <c r="I8" i="36" l="1"/>
  <c r="J8" i="36" l="1"/>
  <c r="K8" i="36" l="1"/>
  <c r="L8" i="36" l="1"/>
  <c r="M8" i="36" l="1"/>
  <c r="L33" i="36"/>
  <c r="G33" i="36"/>
  <c r="F33" i="36"/>
  <c r="I33" i="36" l="1"/>
  <c r="E33" i="36"/>
  <c r="D33" i="36"/>
  <c r="J33" i="36"/>
  <c r="C33" i="36"/>
  <c r="K33" i="36"/>
  <c r="H33" i="36"/>
  <c r="N8" i="36" l="1"/>
  <c r="M33" i="36"/>
  <c r="O8" i="36"/>
  <c r="N33" i="36" l="1"/>
  <c r="P8" i="36" l="1"/>
  <c r="O33" i="36" l="1"/>
  <c r="P33" i="36" l="1"/>
  <c r="Q8" i="36"/>
  <c r="R8" i="36" l="1"/>
  <c r="Q33" i="36" l="1"/>
  <c r="R49" i="38" l="1"/>
  <c r="R47" i="38" l="1"/>
  <c r="S8" i="36"/>
  <c r="R51" i="38"/>
  <c r="R53" i="38"/>
  <c r="R52" i="38"/>
  <c r="R45" i="38"/>
  <c r="R46" i="38"/>
  <c r="R36" i="38" l="1"/>
  <c r="R44" i="38"/>
  <c r="R33" i="36"/>
  <c r="R32" i="38"/>
  <c r="R39" i="38"/>
  <c r="R33" i="38"/>
  <c r="R38" i="38"/>
  <c r="R34" i="38"/>
  <c r="R48" i="38"/>
  <c r="R35" i="38"/>
  <c r="R37" i="38"/>
  <c r="R50" i="38"/>
  <c r="R40" i="38"/>
  <c r="T8" i="36" l="1"/>
  <c r="R31" i="38"/>
  <c r="S53" i="38"/>
  <c r="S47" i="38" l="1"/>
  <c r="S52" i="38"/>
  <c r="S45" i="38"/>
  <c r="S46" i="38"/>
  <c r="S51" i="38"/>
  <c r="S49" i="38"/>
  <c r="S36" i="38"/>
  <c r="U8" i="36"/>
  <c r="S39" i="38"/>
  <c r="S48" i="38" l="1"/>
  <c r="S35" i="38"/>
  <c r="S38" i="38"/>
  <c r="S40" i="38"/>
  <c r="S44" i="38"/>
  <c r="S33" i="36"/>
  <c r="S32" i="38"/>
  <c r="S34" i="38"/>
  <c r="S37" i="38"/>
  <c r="S50" i="38"/>
  <c r="S33" i="38"/>
  <c r="T53" i="38"/>
  <c r="T51" i="38" l="1"/>
  <c r="S31" i="38"/>
  <c r="T47" i="38"/>
  <c r="T52" i="38"/>
  <c r="T49" i="38"/>
  <c r="T46" i="38"/>
  <c r="T45" i="38"/>
  <c r="W8" i="36"/>
  <c r="V8" i="36"/>
  <c r="U45" i="38" l="1"/>
  <c r="U46" i="38"/>
  <c r="T50" i="38"/>
  <c r="U52" i="38"/>
  <c r="U49" i="38"/>
  <c r="U53" i="38"/>
  <c r="U51" i="38"/>
  <c r="T48" i="38"/>
  <c r="U47" i="38"/>
  <c r="T35" i="38"/>
  <c r="V47" i="38"/>
  <c r="V52" i="38" l="1"/>
  <c r="T40" i="38"/>
  <c r="T44" i="38"/>
  <c r="T33" i="36"/>
  <c r="T38" i="38"/>
  <c r="T39" i="38"/>
  <c r="T33" i="38"/>
  <c r="T32" i="38"/>
  <c r="T34" i="38"/>
  <c r="T36" i="38"/>
  <c r="V45" i="38"/>
  <c r="V38" i="38"/>
  <c r="V51" i="38"/>
  <c r="U48" i="38"/>
  <c r="U50" i="38"/>
  <c r="V49" i="38"/>
  <c r="V53" i="38"/>
  <c r="V46" i="38"/>
  <c r="T37" i="38"/>
  <c r="V34" i="38" l="1"/>
  <c r="V33" i="36"/>
  <c r="V44" i="38"/>
  <c r="V35" i="38"/>
  <c r="V48" i="38"/>
  <c r="T31" i="38"/>
  <c r="U44" i="38"/>
  <c r="U33" i="36"/>
  <c r="U38" i="38"/>
  <c r="U34" i="38"/>
  <c r="U32" i="38"/>
  <c r="U39" i="38"/>
  <c r="U40" i="38"/>
  <c r="U36" i="38"/>
  <c r="U33" i="38"/>
  <c r="V40" i="38"/>
  <c r="U37" i="38"/>
  <c r="U35" i="38"/>
  <c r="V39" i="38"/>
  <c r="V50" i="38"/>
  <c r="V37" i="38"/>
  <c r="V33" i="38"/>
  <c r="V36" i="38"/>
  <c r="V32" i="38"/>
  <c r="V31" i="38" l="1"/>
  <c r="U31" i="38"/>
  <c r="R15" i="30" l="1"/>
  <c r="V12" i="30"/>
  <c r="T10" i="30"/>
  <c r="R9" i="30"/>
  <c r="V14" i="31"/>
  <c r="T12" i="31"/>
  <c r="R10" i="31"/>
  <c r="V8" i="31"/>
  <c r="V15" i="32"/>
  <c r="T14" i="32"/>
  <c r="R12" i="32"/>
  <c r="V9" i="32"/>
  <c r="T8" i="32"/>
  <c r="T15" i="33"/>
  <c r="R14" i="33"/>
  <c r="V10" i="33"/>
  <c r="T9" i="33"/>
  <c r="R8" i="33"/>
  <c r="R15" i="34"/>
  <c r="V12" i="34"/>
  <c r="T10" i="34"/>
  <c r="R9" i="34"/>
  <c r="V14" i="35"/>
  <c r="T12" i="35"/>
  <c r="R10" i="35"/>
  <c r="V8" i="35"/>
  <c r="W15" i="35"/>
  <c r="V15" i="35"/>
  <c r="U15" i="35"/>
  <c r="T15" i="35"/>
  <c r="S15" i="35"/>
  <c r="R15" i="35"/>
  <c r="W15" i="34"/>
  <c r="V15" i="34"/>
  <c r="U15" i="34"/>
  <c r="T15" i="34"/>
  <c r="S15" i="34"/>
  <c r="W15" i="33"/>
  <c r="V15" i="33"/>
  <c r="U15" i="33"/>
  <c r="S15" i="33"/>
  <c r="R15" i="33"/>
  <c r="W15" i="32"/>
  <c r="U15" i="32"/>
  <c r="T15" i="32"/>
  <c r="S15" i="32"/>
  <c r="R15" i="32"/>
  <c r="W15" i="31"/>
  <c r="V15" i="31"/>
  <c r="U15" i="31"/>
  <c r="T15" i="31"/>
  <c r="S15" i="31"/>
  <c r="R15" i="31"/>
  <c r="W15" i="30"/>
  <c r="V15" i="30"/>
  <c r="U15" i="30"/>
  <c r="T15" i="30"/>
  <c r="S15" i="30"/>
  <c r="W14" i="35"/>
  <c r="U14" i="35"/>
  <c r="T14" i="35"/>
  <c r="S14" i="35"/>
  <c r="R14" i="35"/>
  <c r="W14" i="34"/>
  <c r="V14" i="34"/>
  <c r="U14" i="34"/>
  <c r="T14" i="34"/>
  <c r="S14" i="34"/>
  <c r="R14" i="34"/>
  <c r="W14" i="33"/>
  <c r="V14" i="33"/>
  <c r="U14" i="33"/>
  <c r="T14" i="33"/>
  <c r="S14" i="33"/>
  <c r="W14" i="32"/>
  <c r="V14" i="32"/>
  <c r="U14" i="32"/>
  <c r="S14" i="32"/>
  <c r="R14" i="32"/>
  <c r="W14" i="31"/>
  <c r="U14" i="31"/>
  <c r="T14" i="31"/>
  <c r="S14" i="31"/>
  <c r="R14" i="31"/>
  <c r="W14" i="30"/>
  <c r="V14" i="30"/>
  <c r="U14" i="30"/>
  <c r="T14" i="30"/>
  <c r="S14" i="30"/>
  <c r="R14" i="30"/>
  <c r="W12" i="35"/>
  <c r="V12" i="35"/>
  <c r="U12" i="35"/>
  <c r="S12" i="35"/>
  <c r="R12" i="35"/>
  <c r="W12" i="34"/>
  <c r="U12" i="34"/>
  <c r="T12" i="34"/>
  <c r="S12" i="34"/>
  <c r="R12" i="34"/>
  <c r="W12" i="33"/>
  <c r="V12" i="33"/>
  <c r="U12" i="33"/>
  <c r="T12" i="33"/>
  <c r="S12" i="33"/>
  <c r="R12" i="33"/>
  <c r="W12" i="32"/>
  <c r="V12" i="32"/>
  <c r="U12" i="32"/>
  <c r="T12" i="32"/>
  <c r="S12" i="32"/>
  <c r="W12" i="31"/>
  <c r="V12" i="31"/>
  <c r="U12" i="31"/>
  <c r="S12" i="31"/>
  <c r="R12" i="31"/>
  <c r="W12" i="30"/>
  <c r="U12" i="30"/>
  <c r="T12" i="30"/>
  <c r="S12" i="30"/>
  <c r="R12" i="30"/>
  <c r="W10" i="35"/>
  <c r="V10" i="35"/>
  <c r="U10" i="35"/>
  <c r="T10" i="35"/>
  <c r="S10" i="35"/>
  <c r="W10" i="34"/>
  <c r="V10" i="34"/>
  <c r="U10" i="34"/>
  <c r="S10" i="34"/>
  <c r="R10" i="34"/>
  <c r="W10" i="33"/>
  <c r="U10" i="33"/>
  <c r="T10" i="33"/>
  <c r="S10" i="33"/>
  <c r="R10" i="33"/>
  <c r="W10" i="32"/>
  <c r="V10" i="32"/>
  <c r="U10" i="32"/>
  <c r="T10" i="32"/>
  <c r="S10" i="32"/>
  <c r="R10" i="32"/>
  <c r="W10" i="31"/>
  <c r="V10" i="31"/>
  <c r="U10" i="31"/>
  <c r="T10" i="31"/>
  <c r="S10" i="31"/>
  <c r="W10" i="30"/>
  <c r="V10" i="30"/>
  <c r="U10" i="30"/>
  <c r="S10" i="30"/>
  <c r="R10" i="30"/>
  <c r="W9" i="35"/>
  <c r="V9" i="35"/>
  <c r="U9" i="35"/>
  <c r="T9" i="35"/>
  <c r="S9" i="35"/>
  <c r="R9" i="35"/>
  <c r="W9" i="34"/>
  <c r="V9" i="34"/>
  <c r="U9" i="34"/>
  <c r="T9" i="34"/>
  <c r="S9" i="34"/>
  <c r="W9" i="33"/>
  <c r="V9" i="33"/>
  <c r="U9" i="33"/>
  <c r="S9" i="33"/>
  <c r="R9" i="33"/>
  <c r="W9" i="32"/>
  <c r="U9" i="32"/>
  <c r="T9" i="32"/>
  <c r="S9" i="32"/>
  <c r="R9" i="32"/>
  <c r="W9" i="31"/>
  <c r="V9" i="31"/>
  <c r="U9" i="31"/>
  <c r="T9" i="31"/>
  <c r="S9" i="31"/>
  <c r="R9" i="31"/>
  <c r="W9" i="30"/>
  <c r="V9" i="30"/>
  <c r="U9" i="30"/>
  <c r="T9" i="30"/>
  <c r="S9" i="30"/>
  <c r="W73" i="29"/>
  <c r="W6" i="35" s="1"/>
  <c r="V73" i="29"/>
  <c r="V6" i="35" s="1"/>
  <c r="T73" i="29"/>
  <c r="T6" i="35" s="1"/>
  <c r="S73" i="29"/>
  <c r="S6" i="35" s="1"/>
  <c r="R73" i="29"/>
  <c r="R6" i="35" s="1"/>
  <c r="Q73" i="29"/>
  <c r="P73" i="29"/>
  <c r="O73" i="29"/>
  <c r="N73" i="29"/>
  <c r="M73" i="29"/>
  <c r="L73" i="29"/>
  <c r="K73" i="29"/>
  <c r="J73" i="29"/>
  <c r="I73" i="29"/>
  <c r="H73" i="29"/>
  <c r="G73" i="29"/>
  <c r="F73" i="29"/>
  <c r="E73" i="29"/>
  <c r="D73" i="29"/>
  <c r="W72" i="29"/>
  <c r="W6" i="34" s="1"/>
  <c r="V72" i="29"/>
  <c r="V6" i="34" s="1"/>
  <c r="U72" i="29"/>
  <c r="U6" i="34" s="1"/>
  <c r="T72" i="29"/>
  <c r="T6" i="34" s="1"/>
  <c r="S72" i="29"/>
  <c r="S6" i="34" s="1"/>
  <c r="R72" i="29"/>
  <c r="R6" i="34" s="1"/>
  <c r="Q72" i="29"/>
  <c r="P72" i="29"/>
  <c r="O72" i="29"/>
  <c r="N72" i="29"/>
  <c r="M72" i="29"/>
  <c r="L72" i="29"/>
  <c r="K72" i="29"/>
  <c r="J72" i="29"/>
  <c r="I72" i="29"/>
  <c r="H72" i="29"/>
  <c r="G72" i="29"/>
  <c r="F72" i="29"/>
  <c r="E72" i="29"/>
  <c r="D72" i="29"/>
  <c r="W71" i="29"/>
  <c r="W6" i="33" s="1"/>
  <c r="V71" i="29"/>
  <c r="V6" i="33" s="1"/>
  <c r="T71" i="29"/>
  <c r="T6" i="33" s="1"/>
  <c r="S71" i="29"/>
  <c r="S6" i="33" s="1"/>
  <c r="R71" i="29"/>
  <c r="R6" i="33" s="1"/>
  <c r="Q71" i="29"/>
  <c r="P71" i="29"/>
  <c r="O71" i="29"/>
  <c r="N71" i="29"/>
  <c r="M71" i="29"/>
  <c r="L71" i="29"/>
  <c r="K71" i="29"/>
  <c r="J71" i="29"/>
  <c r="I71" i="29"/>
  <c r="H71" i="29"/>
  <c r="G71" i="29"/>
  <c r="F71" i="29"/>
  <c r="E71" i="29"/>
  <c r="D71" i="29"/>
  <c r="W70" i="29"/>
  <c r="W6" i="32" s="1"/>
  <c r="V70" i="29"/>
  <c r="V6" i="32" s="1"/>
  <c r="U70" i="29"/>
  <c r="U6" i="32" s="1"/>
  <c r="T70" i="29"/>
  <c r="T6" i="32" s="1"/>
  <c r="S70" i="29"/>
  <c r="S6" i="32" s="1"/>
  <c r="R70" i="29"/>
  <c r="R6" i="32" s="1"/>
  <c r="Q70" i="29"/>
  <c r="P70" i="29"/>
  <c r="O70" i="29"/>
  <c r="N70" i="29"/>
  <c r="M70" i="29"/>
  <c r="L70" i="29"/>
  <c r="K70" i="29"/>
  <c r="J70" i="29"/>
  <c r="I70" i="29"/>
  <c r="H70" i="29"/>
  <c r="G70" i="29"/>
  <c r="F70" i="29"/>
  <c r="E70" i="29"/>
  <c r="D70" i="29"/>
  <c r="W69" i="29"/>
  <c r="W6" i="31" s="1"/>
  <c r="V69" i="29"/>
  <c r="V6" i="31" s="1"/>
  <c r="T69" i="29"/>
  <c r="T6" i="31" s="1"/>
  <c r="S69" i="29"/>
  <c r="S6" i="31" s="1"/>
  <c r="R69" i="29"/>
  <c r="R6" i="31" s="1"/>
  <c r="Q69" i="29"/>
  <c r="P69" i="29"/>
  <c r="O69" i="29"/>
  <c r="N69" i="29"/>
  <c r="M69" i="29"/>
  <c r="L69" i="29"/>
  <c r="K69" i="29"/>
  <c r="J69" i="29"/>
  <c r="I69" i="29"/>
  <c r="H69" i="29"/>
  <c r="G69" i="29"/>
  <c r="F69" i="29"/>
  <c r="E69" i="29"/>
  <c r="D69" i="29"/>
  <c r="W68" i="29"/>
  <c r="W6" i="30" s="1"/>
  <c r="V68" i="29"/>
  <c r="V6" i="30" s="1"/>
  <c r="U68" i="29"/>
  <c r="U6" i="30" s="1"/>
  <c r="T68" i="29"/>
  <c r="T6" i="30" s="1"/>
  <c r="S68" i="29"/>
  <c r="S6" i="30" s="1"/>
  <c r="R68" i="29"/>
  <c r="R6" i="30" s="1"/>
  <c r="Q68" i="29"/>
  <c r="P68" i="29"/>
  <c r="O68" i="29"/>
  <c r="N68" i="29"/>
  <c r="M68" i="29"/>
  <c r="L68" i="29"/>
  <c r="K68" i="29"/>
  <c r="J68" i="29"/>
  <c r="I68" i="29"/>
  <c r="H68" i="29"/>
  <c r="G68" i="29"/>
  <c r="F68" i="29"/>
  <c r="E68" i="29"/>
  <c r="D68" i="29"/>
  <c r="W17" i="29"/>
  <c r="W5" i="35" s="1"/>
  <c r="V17" i="29"/>
  <c r="V5" i="35" s="1"/>
  <c r="U17" i="29"/>
  <c r="T17" i="29"/>
  <c r="T5" i="35" s="1"/>
  <c r="S17" i="29"/>
  <c r="S5" i="35" s="1"/>
  <c r="R17" i="29"/>
  <c r="R5" i="35" s="1"/>
  <c r="Q17" i="29"/>
  <c r="Q9" i="29" s="1"/>
  <c r="P17" i="29"/>
  <c r="P9" i="29" s="1"/>
  <c r="O17" i="29"/>
  <c r="O9" i="29" s="1"/>
  <c r="N17" i="29"/>
  <c r="N9" i="29" s="1"/>
  <c r="M17" i="29"/>
  <c r="M9" i="29" s="1"/>
  <c r="L17" i="29"/>
  <c r="L9" i="29" s="1"/>
  <c r="K17" i="29"/>
  <c r="K9" i="29" s="1"/>
  <c r="J17" i="29"/>
  <c r="J9" i="29" s="1"/>
  <c r="I17" i="29"/>
  <c r="I9" i="29" s="1"/>
  <c r="H17" i="29"/>
  <c r="H9" i="29" s="1"/>
  <c r="G17" i="29"/>
  <c r="G9" i="29" s="1"/>
  <c r="F17" i="29"/>
  <c r="F9" i="29" s="1"/>
  <c r="E17" i="29"/>
  <c r="E9" i="29" s="1"/>
  <c r="D17" i="29"/>
  <c r="D9" i="29" s="1"/>
  <c r="W16" i="29"/>
  <c r="W5" i="34" s="1"/>
  <c r="V16" i="29"/>
  <c r="V5" i="34" s="1"/>
  <c r="U16" i="29"/>
  <c r="U5" i="34" s="1"/>
  <c r="T16" i="29"/>
  <c r="T8" i="29" s="1"/>
  <c r="S16" i="29"/>
  <c r="S5" i="34" s="1"/>
  <c r="R16" i="29"/>
  <c r="R5" i="34" s="1"/>
  <c r="Q16" i="29"/>
  <c r="Q8" i="29" s="1"/>
  <c r="P16" i="29"/>
  <c r="P8" i="29" s="1"/>
  <c r="O16" i="29"/>
  <c r="O8" i="29" s="1"/>
  <c r="N16" i="29"/>
  <c r="N8" i="29" s="1"/>
  <c r="M16" i="29"/>
  <c r="M8" i="29" s="1"/>
  <c r="L16" i="29"/>
  <c r="L8" i="29" s="1"/>
  <c r="K16" i="29"/>
  <c r="K8" i="29" s="1"/>
  <c r="J16" i="29"/>
  <c r="J8" i="29" s="1"/>
  <c r="I16" i="29"/>
  <c r="I8" i="29" s="1"/>
  <c r="H16" i="29"/>
  <c r="G16" i="29"/>
  <c r="G8" i="29" s="1"/>
  <c r="F16" i="29"/>
  <c r="F8" i="29" s="1"/>
  <c r="E16" i="29"/>
  <c r="E8" i="29" s="1"/>
  <c r="D16" i="29"/>
  <c r="D8" i="29" s="1"/>
  <c r="W15" i="29"/>
  <c r="W5" i="33" s="1"/>
  <c r="V15" i="29"/>
  <c r="V5" i="33" s="1"/>
  <c r="U15" i="29"/>
  <c r="T15" i="29"/>
  <c r="T5" i="33" s="1"/>
  <c r="S15" i="29"/>
  <c r="S5" i="33" s="1"/>
  <c r="R15" i="29"/>
  <c r="R5" i="33" s="1"/>
  <c r="Q15" i="29"/>
  <c r="Q7" i="29" s="1"/>
  <c r="P15" i="29"/>
  <c r="P7" i="29" s="1"/>
  <c r="O15" i="29"/>
  <c r="O7" i="29" s="1"/>
  <c r="N15" i="29"/>
  <c r="N7" i="29" s="1"/>
  <c r="M15" i="29"/>
  <c r="M7" i="29" s="1"/>
  <c r="L15" i="29"/>
  <c r="L7" i="29" s="1"/>
  <c r="K15" i="29"/>
  <c r="K7" i="29" s="1"/>
  <c r="J15" i="29"/>
  <c r="J7" i="29" s="1"/>
  <c r="I15" i="29"/>
  <c r="I7" i="29" s="1"/>
  <c r="H15" i="29"/>
  <c r="H7" i="29" s="1"/>
  <c r="G15" i="29"/>
  <c r="G7" i="29" s="1"/>
  <c r="F15" i="29"/>
  <c r="F7" i="29" s="1"/>
  <c r="E15" i="29"/>
  <c r="E7" i="29" s="1"/>
  <c r="D15" i="29"/>
  <c r="D7" i="29" s="1"/>
  <c r="W14" i="29"/>
  <c r="W5" i="32" s="1"/>
  <c r="V14" i="29"/>
  <c r="V5" i="32" s="1"/>
  <c r="U14" i="29"/>
  <c r="U5" i="32" s="1"/>
  <c r="T14" i="29"/>
  <c r="T6" i="29" s="1"/>
  <c r="S14" i="29"/>
  <c r="S5" i="32" s="1"/>
  <c r="R14" i="29"/>
  <c r="R5" i="32" s="1"/>
  <c r="Q14" i="29"/>
  <c r="Q6" i="29" s="1"/>
  <c r="P14" i="29"/>
  <c r="P6" i="29" s="1"/>
  <c r="O14" i="29"/>
  <c r="O6" i="29" s="1"/>
  <c r="N14" i="29"/>
  <c r="N6" i="29" s="1"/>
  <c r="M14" i="29"/>
  <c r="M6" i="29" s="1"/>
  <c r="L14" i="29"/>
  <c r="L6" i="29" s="1"/>
  <c r="K14" i="29"/>
  <c r="K6" i="29" s="1"/>
  <c r="J14" i="29"/>
  <c r="J6" i="29" s="1"/>
  <c r="I14" i="29"/>
  <c r="I6" i="29" s="1"/>
  <c r="H14" i="29"/>
  <c r="H6" i="29" s="1"/>
  <c r="G14" i="29"/>
  <c r="G6" i="29" s="1"/>
  <c r="F14" i="29"/>
  <c r="F6" i="29" s="1"/>
  <c r="E14" i="29"/>
  <c r="E6" i="29" s="1"/>
  <c r="D14" i="29"/>
  <c r="D6" i="29" s="1"/>
  <c r="W13" i="29"/>
  <c r="W5" i="31" s="1"/>
  <c r="V13" i="29"/>
  <c r="V5" i="31" s="1"/>
  <c r="U13" i="29"/>
  <c r="T13" i="29"/>
  <c r="T5" i="31" s="1"/>
  <c r="S13" i="29"/>
  <c r="S5" i="31" s="1"/>
  <c r="R13" i="29"/>
  <c r="R5" i="31" s="1"/>
  <c r="Q13" i="29"/>
  <c r="Q5" i="29" s="1"/>
  <c r="P13" i="29"/>
  <c r="P5" i="29" s="1"/>
  <c r="O13" i="29"/>
  <c r="O5" i="29" s="1"/>
  <c r="N13" i="29"/>
  <c r="M13" i="29"/>
  <c r="L13" i="29"/>
  <c r="L5" i="29" s="1"/>
  <c r="K13" i="29"/>
  <c r="J13" i="29"/>
  <c r="J5" i="29" s="1"/>
  <c r="I13" i="29"/>
  <c r="I5" i="29" s="1"/>
  <c r="H13" i="29"/>
  <c r="H5" i="29" s="1"/>
  <c r="G13" i="29"/>
  <c r="F13" i="29"/>
  <c r="F5" i="29" s="1"/>
  <c r="E13" i="29"/>
  <c r="D13" i="29"/>
  <c r="D5" i="29" s="1"/>
  <c r="W12" i="29"/>
  <c r="W5" i="30" s="1"/>
  <c r="V12" i="29"/>
  <c r="V5" i="30" s="1"/>
  <c r="U12" i="29"/>
  <c r="U5" i="30" s="1"/>
  <c r="T12" i="29"/>
  <c r="S12" i="29"/>
  <c r="S5" i="30" s="1"/>
  <c r="R12" i="29"/>
  <c r="R5" i="30" s="1"/>
  <c r="Q12" i="29"/>
  <c r="P12" i="29"/>
  <c r="P4" i="29" s="1"/>
  <c r="O12" i="29"/>
  <c r="O4" i="29" s="1"/>
  <c r="N12" i="29"/>
  <c r="N4" i="29" s="1"/>
  <c r="M12" i="29"/>
  <c r="M4" i="29" s="1"/>
  <c r="L12" i="29"/>
  <c r="K12" i="29"/>
  <c r="J12" i="29"/>
  <c r="I12" i="29"/>
  <c r="H12" i="29"/>
  <c r="H4" i="29" s="1"/>
  <c r="G12" i="29"/>
  <c r="G4" i="29" s="1"/>
  <c r="F12" i="29"/>
  <c r="F4" i="29" s="1"/>
  <c r="E12" i="29"/>
  <c r="E4" i="29" s="1"/>
  <c r="D12" i="29"/>
  <c r="H8" i="29"/>
  <c r="K5" i="29"/>
  <c r="C73" i="29"/>
  <c r="C72" i="29"/>
  <c r="C70" i="29"/>
  <c r="C17" i="29"/>
  <c r="C9" i="29" s="1"/>
  <c r="C16" i="29"/>
  <c r="C71" i="29"/>
  <c r="C14" i="29"/>
  <c r="C6" i="29" s="1"/>
  <c r="C13" i="29"/>
  <c r="C5" i="29" s="1"/>
  <c r="C68" i="29"/>
  <c r="C15" i="29"/>
  <c r="C7" i="29" s="1"/>
  <c r="B73" i="29"/>
  <c r="B70" i="29"/>
  <c r="B17" i="29"/>
  <c r="B9" i="29" s="1"/>
  <c r="B15" i="29"/>
  <c r="B12" i="29"/>
  <c r="B4" i="29" s="1"/>
  <c r="B68" i="29"/>
  <c r="B13" i="29"/>
  <c r="B5" i="29" s="1"/>
  <c r="B14" i="29"/>
  <c r="B6" i="29" s="1"/>
  <c r="B71" i="29"/>
  <c r="W28" i="25"/>
  <c r="W28" i="28" s="1"/>
  <c r="V28" i="25"/>
  <c r="V28" i="28" s="1"/>
  <c r="U28" i="25"/>
  <c r="U28" i="28" s="1"/>
  <c r="T28" i="25"/>
  <c r="T28" i="28" s="1"/>
  <c r="S28" i="25"/>
  <c r="S28" i="28" s="1"/>
  <c r="R28" i="25"/>
  <c r="R28" i="28" s="1"/>
  <c r="W27" i="25"/>
  <c r="W27" i="28" s="1"/>
  <c r="V27" i="25"/>
  <c r="V27" i="28" s="1"/>
  <c r="U27" i="25"/>
  <c r="U27" i="28" s="1"/>
  <c r="T27" i="25"/>
  <c r="T27" i="28" s="1"/>
  <c r="S27" i="25"/>
  <c r="S27" i="28" s="1"/>
  <c r="R27" i="25"/>
  <c r="R27" i="28" s="1"/>
  <c r="W15" i="25"/>
  <c r="W15" i="28" s="1"/>
  <c r="V15" i="25"/>
  <c r="V15" i="28" s="1"/>
  <c r="U15" i="25"/>
  <c r="U15" i="28" s="1"/>
  <c r="T15" i="25"/>
  <c r="T15" i="28" s="1"/>
  <c r="S15" i="25"/>
  <c r="S15" i="28" s="1"/>
  <c r="R15" i="25"/>
  <c r="R15" i="28" s="1"/>
  <c r="U10" i="24"/>
  <c r="R5" i="23"/>
  <c r="W33" i="25"/>
  <c r="W33" i="28" s="1"/>
  <c r="V33" i="25"/>
  <c r="V33" i="28" s="1"/>
  <c r="U33" i="25"/>
  <c r="U33" i="28" s="1"/>
  <c r="T33" i="25"/>
  <c r="T33" i="28" s="1"/>
  <c r="S33" i="25"/>
  <c r="S33" i="28" s="1"/>
  <c r="R33" i="25"/>
  <c r="R33" i="28" s="1"/>
  <c r="S29" i="22"/>
  <c r="W26" i="25"/>
  <c r="W26" i="28" s="1"/>
  <c r="V26" i="25"/>
  <c r="V26" i="28" s="1"/>
  <c r="U26" i="25"/>
  <c r="U26" i="28" s="1"/>
  <c r="T26" i="25"/>
  <c r="T26" i="28" s="1"/>
  <c r="S26" i="25"/>
  <c r="S26" i="28" s="1"/>
  <c r="R26" i="25"/>
  <c r="R26" i="28" s="1"/>
  <c r="W25" i="25"/>
  <c r="W25" i="28" s="1"/>
  <c r="V25" i="25"/>
  <c r="V25" i="28" s="1"/>
  <c r="U25" i="25"/>
  <c r="U25" i="28" s="1"/>
  <c r="T25" i="25"/>
  <c r="T25" i="28" s="1"/>
  <c r="S25" i="25"/>
  <c r="S25" i="28" s="1"/>
  <c r="R25" i="25"/>
  <c r="R25" i="28" s="1"/>
  <c r="W23" i="25"/>
  <c r="U22" i="25"/>
  <c r="W19" i="22"/>
  <c r="W18" i="25"/>
  <c r="W18" i="28" s="1"/>
  <c r="V18" i="25"/>
  <c r="V18" i="28" s="1"/>
  <c r="U18" i="25"/>
  <c r="U18" i="28" s="1"/>
  <c r="T18" i="25"/>
  <c r="T18" i="28" s="1"/>
  <c r="S18" i="25"/>
  <c r="S18" i="28" s="1"/>
  <c r="R18" i="25"/>
  <c r="R18" i="28" s="1"/>
  <c r="U16" i="22"/>
  <c r="R16" i="22"/>
  <c r="W14" i="25"/>
  <c r="W14" i="28" s="1"/>
  <c r="V14" i="25"/>
  <c r="V14" i="28" s="1"/>
  <c r="U14" i="25"/>
  <c r="U14" i="28" s="1"/>
  <c r="T14" i="25"/>
  <c r="T14" i="28" s="1"/>
  <c r="S14" i="25"/>
  <c r="S14" i="28" s="1"/>
  <c r="R14" i="25"/>
  <c r="R14" i="28" s="1"/>
  <c r="W13" i="25"/>
  <c r="W13" i="28" s="1"/>
  <c r="V13" i="25"/>
  <c r="V13" i="28" s="1"/>
  <c r="U13" i="25"/>
  <c r="U13" i="28" s="1"/>
  <c r="T13" i="25"/>
  <c r="T13" i="28" s="1"/>
  <c r="S13" i="25"/>
  <c r="S13" i="28" s="1"/>
  <c r="R13" i="25"/>
  <c r="R13" i="28" s="1"/>
  <c r="W12" i="25"/>
  <c r="W12" i="28" s="1"/>
  <c r="V12" i="25"/>
  <c r="V12" i="28" s="1"/>
  <c r="U12" i="25"/>
  <c r="U12" i="28" s="1"/>
  <c r="T12" i="25"/>
  <c r="T12" i="28" s="1"/>
  <c r="S12" i="25"/>
  <c r="S12" i="28" s="1"/>
  <c r="R12" i="25"/>
  <c r="R12" i="28" s="1"/>
  <c r="W11" i="25"/>
  <c r="W11" i="28" s="1"/>
  <c r="V11" i="25"/>
  <c r="V11" i="28" s="1"/>
  <c r="U11" i="25"/>
  <c r="U11" i="28" s="1"/>
  <c r="T11" i="25"/>
  <c r="T11" i="28" s="1"/>
  <c r="S11" i="25"/>
  <c r="S11" i="28" s="1"/>
  <c r="R11" i="25"/>
  <c r="R11" i="28" s="1"/>
  <c r="W10" i="25"/>
  <c r="U9" i="25"/>
  <c r="S8" i="25"/>
  <c r="T4" i="22"/>
  <c r="V33" i="21"/>
  <c r="T32" i="21"/>
  <c r="R31" i="21"/>
  <c r="T27" i="21"/>
  <c r="R18" i="21"/>
  <c r="T15" i="21"/>
  <c r="T7" i="21"/>
  <c r="R6" i="21"/>
  <c r="W33" i="21"/>
  <c r="U33" i="21"/>
  <c r="V32" i="21"/>
  <c r="U32" i="21"/>
  <c r="S32" i="21"/>
  <c r="T31" i="21"/>
  <c r="S31" i="21"/>
  <c r="W30" i="21"/>
  <c r="R30" i="21"/>
  <c r="W27" i="21"/>
  <c r="V27" i="21"/>
  <c r="U27" i="21"/>
  <c r="S27" i="21"/>
  <c r="V26" i="21"/>
  <c r="U26" i="21"/>
  <c r="T26" i="21"/>
  <c r="S26" i="21"/>
  <c r="W25" i="21"/>
  <c r="T25" i="21"/>
  <c r="S25" i="21"/>
  <c r="R25" i="21"/>
  <c r="W24" i="21"/>
  <c r="U24" i="21"/>
  <c r="R24" i="21"/>
  <c r="W23" i="21"/>
  <c r="V23" i="21"/>
  <c r="U23" i="21"/>
  <c r="S23" i="21"/>
  <c r="V22" i="21"/>
  <c r="U22" i="21"/>
  <c r="T22" i="21"/>
  <c r="S22" i="21"/>
  <c r="W21" i="21"/>
  <c r="T21" i="21"/>
  <c r="S21" i="21"/>
  <c r="R21" i="21"/>
  <c r="W20" i="21"/>
  <c r="U20" i="21"/>
  <c r="R20" i="21"/>
  <c r="W19" i="20"/>
  <c r="W17" i="21"/>
  <c r="W16" i="20"/>
  <c r="V15" i="21"/>
  <c r="U15" i="21"/>
  <c r="S15" i="21"/>
  <c r="T14" i="21"/>
  <c r="S14" i="21"/>
  <c r="W13" i="21"/>
  <c r="V13" i="21"/>
  <c r="R13" i="21"/>
  <c r="W12" i="21"/>
  <c r="U12" i="21"/>
  <c r="V11" i="21"/>
  <c r="U11" i="21"/>
  <c r="S11" i="21"/>
  <c r="U10" i="21"/>
  <c r="T10" i="21"/>
  <c r="S10" i="21"/>
  <c r="W9" i="21"/>
  <c r="R9" i="21"/>
  <c r="W8" i="21"/>
  <c r="U8" i="21"/>
  <c r="V7" i="21"/>
  <c r="U7" i="21"/>
  <c r="T7" i="24"/>
  <c r="S7" i="21"/>
  <c r="T6" i="21"/>
  <c r="S6" i="21"/>
  <c r="W5" i="21"/>
  <c r="R5" i="21"/>
  <c r="R33" i="23"/>
  <c r="T30" i="23"/>
  <c r="R26" i="23"/>
  <c r="V24" i="23"/>
  <c r="V21" i="23"/>
  <c r="U18" i="23"/>
  <c r="T18" i="23"/>
  <c r="R17" i="23"/>
  <c r="T16" i="19"/>
  <c r="T14" i="23"/>
  <c r="R14" i="23"/>
  <c r="R13" i="23"/>
  <c r="V12" i="23"/>
  <c r="V11" i="23"/>
  <c r="T11" i="23"/>
  <c r="T10" i="23"/>
  <c r="R10" i="23"/>
  <c r="R9" i="23"/>
  <c r="V8" i="21"/>
  <c r="V7" i="23"/>
  <c r="T6" i="23"/>
  <c r="S4" i="19"/>
  <c r="U29" i="18"/>
  <c r="T29" i="18"/>
  <c r="W29" i="18"/>
  <c r="R29" i="18"/>
  <c r="R19" i="18"/>
  <c r="T19" i="18"/>
  <c r="S19" i="18"/>
  <c r="V19" i="18"/>
  <c r="T16" i="18"/>
  <c r="S16" i="18"/>
  <c r="W16" i="18"/>
  <c r="V16" i="18"/>
  <c r="R16" i="18"/>
  <c r="U16" i="18"/>
  <c r="W4" i="18"/>
  <c r="W3" i="18" s="1"/>
  <c r="V4" i="18"/>
  <c r="V3" i="18" s="1"/>
  <c r="U4" i="18"/>
  <c r="U3" i="18" s="1"/>
  <c r="W28" i="14"/>
  <c r="W28" i="17" s="1"/>
  <c r="V28" i="14"/>
  <c r="V28" i="17" s="1"/>
  <c r="U28" i="14"/>
  <c r="U28" i="17" s="1"/>
  <c r="T28" i="14"/>
  <c r="T28" i="17" s="1"/>
  <c r="S28" i="14"/>
  <c r="S28" i="17" s="1"/>
  <c r="R28" i="14"/>
  <c r="R28" i="17" s="1"/>
  <c r="W27" i="14"/>
  <c r="W27" i="17" s="1"/>
  <c r="V27" i="14"/>
  <c r="V27" i="17" s="1"/>
  <c r="U27" i="14"/>
  <c r="U27" i="17" s="1"/>
  <c r="T27" i="14"/>
  <c r="T27" i="17" s="1"/>
  <c r="S27" i="14"/>
  <c r="S27" i="17" s="1"/>
  <c r="R27" i="14"/>
  <c r="R27" i="17" s="1"/>
  <c r="W15" i="14"/>
  <c r="W15" i="17" s="1"/>
  <c r="V15" i="14"/>
  <c r="V15" i="17" s="1"/>
  <c r="U15" i="14"/>
  <c r="U15" i="17" s="1"/>
  <c r="T15" i="14"/>
  <c r="T15" i="17" s="1"/>
  <c r="S15" i="14"/>
  <c r="S15" i="17" s="1"/>
  <c r="R15" i="14"/>
  <c r="R15" i="17" s="1"/>
  <c r="S30" i="13"/>
  <c r="L14" i="24"/>
  <c r="D14" i="24"/>
  <c r="K13" i="24"/>
  <c r="C13" i="24"/>
  <c r="J12" i="24"/>
  <c r="Q11" i="24"/>
  <c r="I11" i="24"/>
  <c r="P10" i="24"/>
  <c r="H10" i="24"/>
  <c r="O9" i="24"/>
  <c r="G9" i="24"/>
  <c r="N8" i="24"/>
  <c r="F8" i="24"/>
  <c r="M7" i="24"/>
  <c r="E7" i="24"/>
  <c r="N6" i="24"/>
  <c r="L6" i="24"/>
  <c r="D6" i="24"/>
  <c r="K5" i="24"/>
  <c r="C5" i="24"/>
  <c r="L14" i="23"/>
  <c r="D14" i="23"/>
  <c r="K13" i="23"/>
  <c r="C13" i="23"/>
  <c r="J12" i="23"/>
  <c r="Q11" i="23"/>
  <c r="I11" i="23"/>
  <c r="P10" i="23"/>
  <c r="H10" i="23"/>
  <c r="O9" i="23"/>
  <c r="G9" i="23"/>
  <c r="N8" i="23"/>
  <c r="F8" i="23"/>
  <c r="M7" i="23"/>
  <c r="E7" i="23"/>
  <c r="N6" i="23"/>
  <c r="L6" i="23"/>
  <c r="D6" i="23"/>
  <c r="K5" i="23"/>
  <c r="C5" i="23"/>
  <c r="W33" i="14"/>
  <c r="W33" i="17" s="1"/>
  <c r="V33" i="14"/>
  <c r="V33" i="17" s="1"/>
  <c r="U33" i="14"/>
  <c r="U33" i="17" s="1"/>
  <c r="T33" i="14"/>
  <c r="T33" i="17" s="1"/>
  <c r="S33" i="14"/>
  <c r="S33" i="17" s="1"/>
  <c r="R33" i="14"/>
  <c r="R33" i="17" s="1"/>
  <c r="S29" i="11"/>
  <c r="W26" i="14"/>
  <c r="W26" i="17" s="1"/>
  <c r="V26" i="14"/>
  <c r="V26" i="17" s="1"/>
  <c r="U26" i="14"/>
  <c r="U26" i="17" s="1"/>
  <c r="T26" i="14"/>
  <c r="T26" i="17" s="1"/>
  <c r="S26" i="14"/>
  <c r="S26" i="17" s="1"/>
  <c r="R26" i="14"/>
  <c r="R26" i="17" s="1"/>
  <c r="W25" i="14"/>
  <c r="W25" i="17" s="1"/>
  <c r="V25" i="14"/>
  <c r="V25" i="17" s="1"/>
  <c r="U25" i="14"/>
  <c r="U25" i="17" s="1"/>
  <c r="T25" i="14"/>
  <c r="T25" i="17" s="1"/>
  <c r="S25" i="14"/>
  <c r="S25" i="17" s="1"/>
  <c r="R25" i="14"/>
  <c r="R25" i="17" s="1"/>
  <c r="R19" i="11"/>
  <c r="W18" i="14"/>
  <c r="W18" i="17" s="1"/>
  <c r="U18" i="14"/>
  <c r="U18" i="17" s="1"/>
  <c r="T18" i="14"/>
  <c r="T18" i="17" s="1"/>
  <c r="S18" i="14"/>
  <c r="S18" i="17" s="1"/>
  <c r="R18" i="14"/>
  <c r="R18" i="17" s="1"/>
  <c r="U16" i="11"/>
  <c r="S16" i="11"/>
  <c r="W14" i="14"/>
  <c r="W14" i="17" s="1"/>
  <c r="V14" i="14"/>
  <c r="V14" i="17" s="1"/>
  <c r="U14" i="14"/>
  <c r="U14" i="17" s="1"/>
  <c r="T14" i="14"/>
  <c r="T14" i="17" s="1"/>
  <c r="S14" i="14"/>
  <c r="S14" i="17" s="1"/>
  <c r="R14" i="14"/>
  <c r="R14" i="17" s="1"/>
  <c r="W13" i="14"/>
  <c r="W13" i="17" s="1"/>
  <c r="V13" i="14"/>
  <c r="V13" i="17" s="1"/>
  <c r="U13" i="14"/>
  <c r="U13" i="17" s="1"/>
  <c r="T13" i="14"/>
  <c r="T13" i="17" s="1"/>
  <c r="S13" i="14"/>
  <c r="S13" i="17" s="1"/>
  <c r="R13" i="14"/>
  <c r="R13" i="17" s="1"/>
  <c r="W12" i="14"/>
  <c r="W12" i="17" s="1"/>
  <c r="V12" i="14"/>
  <c r="V12" i="17" s="1"/>
  <c r="U12" i="14"/>
  <c r="U12" i="17" s="1"/>
  <c r="T12" i="14"/>
  <c r="T12" i="17" s="1"/>
  <c r="S12" i="14"/>
  <c r="S12" i="17" s="1"/>
  <c r="R12" i="14"/>
  <c r="R12" i="17" s="1"/>
  <c r="W11" i="14"/>
  <c r="W11" i="17" s="1"/>
  <c r="V11" i="14"/>
  <c r="V11" i="17" s="1"/>
  <c r="U11" i="14"/>
  <c r="U11" i="17" s="1"/>
  <c r="T11" i="14"/>
  <c r="T11" i="17" s="1"/>
  <c r="S11" i="14"/>
  <c r="S11" i="17" s="1"/>
  <c r="R11" i="14"/>
  <c r="R11" i="17" s="1"/>
  <c r="W4" i="11"/>
  <c r="R32" i="10"/>
  <c r="V30" i="10"/>
  <c r="R23" i="10"/>
  <c r="V17" i="10"/>
  <c r="R15" i="10"/>
  <c r="V13" i="10"/>
  <c r="T12" i="10"/>
  <c r="R11" i="10"/>
  <c r="V9" i="10"/>
  <c r="T8" i="10"/>
  <c r="R7" i="10"/>
  <c r="V5" i="10"/>
  <c r="W29" i="9"/>
  <c r="W31" i="10"/>
  <c r="R31" i="10"/>
  <c r="U30" i="10"/>
  <c r="S30" i="10"/>
  <c r="V25" i="10"/>
  <c r="W24" i="10"/>
  <c r="T24" i="10"/>
  <c r="U19" i="9"/>
  <c r="W18" i="10"/>
  <c r="R18" i="10"/>
  <c r="U17" i="10"/>
  <c r="W16" i="9"/>
  <c r="W15" i="10"/>
  <c r="U15" i="10"/>
  <c r="T15" i="10"/>
  <c r="S15" i="10"/>
  <c r="U14" i="10"/>
  <c r="S14" i="13"/>
  <c r="R14" i="10"/>
  <c r="W13" i="10"/>
  <c r="S13" i="10"/>
  <c r="W12" i="10"/>
  <c r="V12" i="10"/>
  <c r="U12" i="10"/>
  <c r="W11" i="10"/>
  <c r="U11" i="10"/>
  <c r="T11" i="10"/>
  <c r="S11" i="10"/>
  <c r="U10" i="10"/>
  <c r="S10" i="10"/>
  <c r="R10" i="10"/>
  <c r="W9" i="10"/>
  <c r="S9" i="10"/>
  <c r="W8" i="13"/>
  <c r="V8" i="10"/>
  <c r="U8" i="10"/>
  <c r="W7" i="10"/>
  <c r="U7" i="10"/>
  <c r="T7" i="10"/>
  <c r="S7" i="10"/>
  <c r="U6" i="10"/>
  <c r="S6" i="10"/>
  <c r="R6" i="10"/>
  <c r="W5" i="10"/>
  <c r="S5" i="10"/>
  <c r="N33" i="13"/>
  <c r="F33" i="13"/>
  <c r="N32" i="13"/>
  <c r="F32" i="13"/>
  <c r="N31" i="13"/>
  <c r="F31" i="13"/>
  <c r="N30" i="13"/>
  <c r="F30" i="13"/>
  <c r="N26" i="13"/>
  <c r="F26" i="13"/>
  <c r="N25" i="13"/>
  <c r="M25" i="13"/>
  <c r="F25" i="13"/>
  <c r="N24" i="13"/>
  <c r="F24" i="13"/>
  <c r="N23" i="13"/>
  <c r="K23" i="13"/>
  <c r="F23" i="13"/>
  <c r="N22" i="13"/>
  <c r="F22" i="13"/>
  <c r="B22" i="13"/>
  <c r="N21" i="13"/>
  <c r="I21" i="13"/>
  <c r="F21" i="13"/>
  <c r="N20" i="13"/>
  <c r="F20" i="13"/>
  <c r="N18" i="13"/>
  <c r="F18" i="13"/>
  <c r="N17" i="13"/>
  <c r="F17" i="13"/>
  <c r="E17" i="13"/>
  <c r="N14" i="13"/>
  <c r="F14" i="13"/>
  <c r="N13" i="13"/>
  <c r="F13" i="13"/>
  <c r="N12" i="13"/>
  <c r="F12" i="13"/>
  <c r="N11" i="13"/>
  <c r="F11" i="13"/>
  <c r="N10" i="13"/>
  <c r="F10" i="13"/>
  <c r="N9" i="13"/>
  <c r="F9" i="13"/>
  <c r="N8" i="13"/>
  <c r="F8" i="13"/>
  <c r="N7" i="13"/>
  <c r="F7" i="13"/>
  <c r="N6" i="13"/>
  <c r="J6" i="13"/>
  <c r="F6" i="13"/>
  <c r="N5" i="13"/>
  <c r="F5" i="13"/>
  <c r="U33" i="12"/>
  <c r="S32" i="12"/>
  <c r="W31" i="12"/>
  <c r="R29" i="8"/>
  <c r="V26" i="12"/>
  <c r="U26" i="12"/>
  <c r="T25" i="12"/>
  <c r="R24" i="12"/>
  <c r="S21" i="12"/>
  <c r="U19" i="8"/>
  <c r="S16" i="8"/>
  <c r="R16" i="8"/>
  <c r="V15" i="10"/>
  <c r="V14" i="12"/>
  <c r="T14" i="10"/>
  <c r="T13" i="12"/>
  <c r="R13" i="10"/>
  <c r="R12" i="12"/>
  <c r="V11" i="10"/>
  <c r="V10" i="12"/>
  <c r="U10" i="12"/>
  <c r="T10" i="10"/>
  <c r="T9" i="12"/>
  <c r="R9" i="10"/>
  <c r="R8" i="12"/>
  <c r="V7" i="10"/>
  <c r="T6" i="10"/>
  <c r="S5" i="12"/>
  <c r="R5" i="10"/>
  <c r="W4" i="8"/>
  <c r="M33" i="12"/>
  <c r="I33" i="12"/>
  <c r="E33" i="12"/>
  <c r="Q32" i="12"/>
  <c r="N32" i="12"/>
  <c r="M32" i="12"/>
  <c r="I32" i="12"/>
  <c r="E32" i="12"/>
  <c r="Q31" i="12"/>
  <c r="M31" i="12"/>
  <c r="I31" i="12"/>
  <c r="E31" i="12"/>
  <c r="Q30" i="12"/>
  <c r="M30" i="12"/>
  <c r="I30" i="12"/>
  <c r="E30" i="12"/>
  <c r="J28" i="12"/>
  <c r="Q26" i="12"/>
  <c r="M26" i="12"/>
  <c r="I26" i="12"/>
  <c r="E26" i="12"/>
  <c r="Q25" i="12"/>
  <c r="M25" i="12"/>
  <c r="I25" i="12"/>
  <c r="E25" i="12"/>
  <c r="Q24" i="12"/>
  <c r="M24" i="12"/>
  <c r="I24" i="12"/>
  <c r="F24" i="12"/>
  <c r="E24" i="12"/>
  <c r="Q23" i="12"/>
  <c r="M23" i="12"/>
  <c r="I23" i="12"/>
  <c r="E23" i="12"/>
  <c r="Q22" i="12"/>
  <c r="M22" i="12"/>
  <c r="I22" i="12"/>
  <c r="E22" i="12"/>
  <c r="Q21" i="12"/>
  <c r="M21" i="12"/>
  <c r="I21" i="12"/>
  <c r="E21" i="12"/>
  <c r="Q20" i="12"/>
  <c r="M20" i="12"/>
  <c r="I20" i="12"/>
  <c r="E20" i="12"/>
  <c r="Q18" i="12"/>
  <c r="M18" i="12"/>
  <c r="I18" i="12"/>
  <c r="E18" i="12"/>
  <c r="Q17" i="12"/>
  <c r="O17" i="12"/>
  <c r="M17" i="12"/>
  <c r="I17" i="12"/>
  <c r="E17" i="12"/>
  <c r="Q14" i="12"/>
  <c r="M14" i="12"/>
  <c r="I14" i="12"/>
  <c r="E14" i="12"/>
  <c r="Q13" i="12"/>
  <c r="M13" i="12"/>
  <c r="I13" i="12"/>
  <c r="F13" i="12"/>
  <c r="E13" i="12"/>
  <c r="Q12" i="12"/>
  <c r="M12" i="12"/>
  <c r="I12" i="12"/>
  <c r="E12" i="12"/>
  <c r="Q11" i="12"/>
  <c r="M11" i="12"/>
  <c r="I11" i="12"/>
  <c r="E11" i="12"/>
  <c r="B11" i="12"/>
  <c r="Q10" i="12"/>
  <c r="M10" i="12"/>
  <c r="K10" i="12"/>
  <c r="I10" i="12"/>
  <c r="E10" i="12"/>
  <c r="C10" i="12"/>
  <c r="Q9" i="12"/>
  <c r="M9" i="12"/>
  <c r="J9" i="12"/>
  <c r="I9" i="12"/>
  <c r="E9" i="12"/>
  <c r="Q8" i="12"/>
  <c r="M8" i="12"/>
  <c r="I8" i="12"/>
  <c r="E8" i="12"/>
  <c r="Q7" i="12"/>
  <c r="M7" i="12"/>
  <c r="I7" i="12"/>
  <c r="E7" i="12"/>
  <c r="Q6" i="12"/>
  <c r="O6" i="12"/>
  <c r="M6" i="12"/>
  <c r="I6" i="12"/>
  <c r="G6" i="12"/>
  <c r="E6" i="12"/>
  <c r="Q5" i="12"/>
  <c r="N5" i="12"/>
  <c r="M5" i="12"/>
  <c r="I5" i="12"/>
  <c r="F5" i="12"/>
  <c r="E5" i="12"/>
  <c r="W29" i="7"/>
  <c r="U29" i="7"/>
  <c r="S29" i="7"/>
  <c r="W19" i="7"/>
  <c r="S19" i="7"/>
  <c r="V16" i="7"/>
  <c r="R16" i="7"/>
  <c r="U16" i="7"/>
  <c r="T16" i="7"/>
  <c r="S16" i="7"/>
  <c r="W9" i="14"/>
  <c r="W15" i="7"/>
  <c r="W15" i="12" s="1"/>
  <c r="U15" i="7"/>
  <c r="S15" i="7"/>
  <c r="W4" i="7"/>
  <c r="W3" i="7" s="1"/>
  <c r="D22" i="12"/>
  <c r="L11" i="12"/>
  <c r="H7" i="12"/>
  <c r="W119" i="6"/>
  <c r="W173" i="6" s="1"/>
  <c r="V119" i="6"/>
  <c r="V149" i="6" s="1"/>
  <c r="U119" i="6"/>
  <c r="U173" i="6" s="1"/>
  <c r="T119" i="6"/>
  <c r="T173" i="6" s="1"/>
  <c r="S119" i="6"/>
  <c r="S173" i="6" s="1"/>
  <c r="R119" i="6"/>
  <c r="R173" i="6" s="1"/>
  <c r="Q119" i="6"/>
  <c r="Q149" i="6" s="1"/>
  <c r="P119" i="6"/>
  <c r="P149" i="6" s="1"/>
  <c r="O119" i="6"/>
  <c r="O173" i="6" s="1"/>
  <c r="N119" i="6"/>
  <c r="N149" i="6" s="1"/>
  <c r="M119" i="6"/>
  <c r="M173" i="6" s="1"/>
  <c r="L119" i="6"/>
  <c r="L173" i="6" s="1"/>
  <c r="K119" i="6"/>
  <c r="K173" i="6" s="1"/>
  <c r="J119" i="6"/>
  <c r="J173" i="6" s="1"/>
  <c r="I119" i="6"/>
  <c r="I149" i="6" s="1"/>
  <c r="H119" i="6"/>
  <c r="H149" i="6" s="1"/>
  <c r="G119" i="6"/>
  <c r="G173" i="6" s="1"/>
  <c r="F119" i="6"/>
  <c r="F149" i="6" s="1"/>
  <c r="E119" i="6"/>
  <c r="E173" i="6" s="1"/>
  <c r="D119" i="6"/>
  <c r="D173" i="6" s="1"/>
  <c r="C119" i="6"/>
  <c r="C173" i="6" s="1"/>
  <c r="V105" i="6"/>
  <c r="U105" i="6"/>
  <c r="Q105" i="6"/>
  <c r="P105" i="6"/>
  <c r="N105" i="6"/>
  <c r="M105" i="6"/>
  <c r="I105" i="6"/>
  <c r="H105" i="6"/>
  <c r="F105" i="6"/>
  <c r="E105" i="6"/>
  <c r="W95" i="6"/>
  <c r="V95" i="6"/>
  <c r="U95" i="6"/>
  <c r="T95" i="6"/>
  <c r="S95" i="6"/>
  <c r="R95" i="6"/>
  <c r="Q95" i="6"/>
  <c r="P95" i="6"/>
  <c r="O95" i="6"/>
  <c r="N95" i="6"/>
  <c r="M95" i="6"/>
  <c r="L95" i="6"/>
  <c r="K95" i="6"/>
  <c r="J95" i="6"/>
  <c r="I95" i="6"/>
  <c r="H95" i="6"/>
  <c r="G95" i="6"/>
  <c r="F95" i="6"/>
  <c r="E95" i="6"/>
  <c r="D95" i="6"/>
  <c r="C95" i="6"/>
  <c r="S105" i="6"/>
  <c r="R105" i="6"/>
  <c r="O105" i="6"/>
  <c r="L105" i="6"/>
  <c r="K105" i="6"/>
  <c r="J105" i="6"/>
  <c r="G105" i="6"/>
  <c r="D105" i="6"/>
  <c r="C105" i="6"/>
  <c r="B105" i="6"/>
  <c r="V4" i="29" l="1"/>
  <c r="T7" i="29"/>
  <c r="R7" i="29"/>
  <c r="V8" i="29"/>
  <c r="W8" i="29"/>
  <c r="S7" i="29"/>
  <c r="N11" i="29"/>
  <c r="L11" i="29"/>
  <c r="U8" i="29"/>
  <c r="W4" i="29"/>
  <c r="J11" i="29"/>
  <c r="K11" i="29"/>
  <c r="R5" i="29"/>
  <c r="S5" i="29"/>
  <c r="T5" i="29"/>
  <c r="T11" i="29"/>
  <c r="U6" i="29"/>
  <c r="V6" i="29"/>
  <c r="W6" i="29"/>
  <c r="R9" i="29"/>
  <c r="S9" i="29"/>
  <c r="G11" i="29"/>
  <c r="T9" i="29"/>
  <c r="U11" i="29"/>
  <c r="V11" i="29"/>
  <c r="W11" i="29"/>
  <c r="U4" i="29"/>
  <c r="D11" i="29"/>
  <c r="W9" i="29"/>
  <c r="O11" i="29"/>
  <c r="G5" i="29"/>
  <c r="W5" i="29"/>
  <c r="S4" i="29"/>
  <c r="W7" i="29"/>
  <c r="S6" i="29"/>
  <c r="S8" i="29"/>
  <c r="K4" i="29"/>
  <c r="S11" i="29"/>
  <c r="H173" i="6"/>
  <c r="P173" i="6"/>
  <c r="R4" i="29"/>
  <c r="V7" i="29"/>
  <c r="F11" i="29"/>
  <c r="J4" i="29"/>
  <c r="V5" i="29"/>
  <c r="N5" i="29"/>
  <c r="R8" i="29"/>
  <c r="R6" i="29"/>
  <c r="R3" i="32" s="1"/>
  <c r="V9" i="29"/>
  <c r="V3" i="35" s="1"/>
  <c r="R11" i="29"/>
  <c r="T3" i="33"/>
  <c r="T5" i="34"/>
  <c r="T5" i="30"/>
  <c r="G149" i="6"/>
  <c r="O149" i="6"/>
  <c r="W149" i="6"/>
  <c r="F173" i="6"/>
  <c r="N173" i="6"/>
  <c r="V173" i="6"/>
  <c r="J149" i="6"/>
  <c r="R149" i="6"/>
  <c r="I173" i="6"/>
  <c r="Q173" i="6"/>
  <c r="C149" i="6"/>
  <c r="K149" i="6"/>
  <c r="S149" i="6"/>
  <c r="D149" i="6"/>
  <c r="L149" i="6"/>
  <c r="T149" i="6"/>
  <c r="E149" i="6"/>
  <c r="M149" i="6"/>
  <c r="U149" i="6"/>
  <c r="G107" i="6"/>
  <c r="W17" i="12"/>
  <c r="W16" i="8"/>
  <c r="W16" i="10" s="1"/>
  <c r="W107" i="6"/>
  <c r="W105" i="6"/>
  <c r="O107" i="6"/>
  <c r="V107" i="6"/>
  <c r="I107" i="6"/>
  <c r="D107" i="6"/>
  <c r="J107" i="6"/>
  <c r="L107" i="6"/>
  <c r="F107" i="6"/>
  <c r="Q107" i="6"/>
  <c r="N107" i="6"/>
  <c r="T107" i="6"/>
  <c r="R107" i="6"/>
  <c r="T105" i="6"/>
  <c r="E107" i="6"/>
  <c r="M107" i="6"/>
  <c r="U107" i="6"/>
  <c r="H107" i="6"/>
  <c r="P107" i="6"/>
  <c r="C107" i="6"/>
  <c r="K107" i="6"/>
  <c r="S107" i="6"/>
  <c r="R15" i="7"/>
  <c r="R15" i="13" s="1"/>
  <c r="R4" i="7"/>
  <c r="R3" i="7" s="1"/>
  <c r="D11" i="12"/>
  <c r="L30" i="12"/>
  <c r="S29" i="8"/>
  <c r="S29" i="12" s="1"/>
  <c r="W17" i="10"/>
  <c r="R30" i="13"/>
  <c r="R29" i="9"/>
  <c r="R30" i="10"/>
  <c r="T31" i="13"/>
  <c r="T31" i="10"/>
  <c r="V32" i="13"/>
  <c r="V32" i="10"/>
  <c r="E28" i="12"/>
  <c r="M28" i="12"/>
  <c r="T4" i="8"/>
  <c r="T5" i="12"/>
  <c r="V4" i="8"/>
  <c r="V6" i="12"/>
  <c r="R16" i="12"/>
  <c r="W29" i="13"/>
  <c r="L8" i="13"/>
  <c r="D32" i="13"/>
  <c r="T20" i="13"/>
  <c r="V21" i="13"/>
  <c r="V19" i="9"/>
  <c r="R23" i="13"/>
  <c r="T24" i="13"/>
  <c r="V25" i="13"/>
  <c r="R28" i="13"/>
  <c r="R27" i="10"/>
  <c r="S16" i="12"/>
  <c r="U4" i="9"/>
  <c r="U5" i="13"/>
  <c r="U5" i="10"/>
  <c r="W6" i="13"/>
  <c r="W4" i="9"/>
  <c r="W6" i="10"/>
  <c r="S8" i="13"/>
  <c r="S8" i="10"/>
  <c r="U9" i="13"/>
  <c r="U9" i="10"/>
  <c r="W10" i="13"/>
  <c r="W10" i="10"/>
  <c r="S12" i="13"/>
  <c r="S12" i="10"/>
  <c r="U13" i="13"/>
  <c r="U13" i="10"/>
  <c r="W14" i="13"/>
  <c r="W14" i="10"/>
  <c r="R16" i="9"/>
  <c r="R17" i="13"/>
  <c r="R17" i="10"/>
  <c r="T18" i="13"/>
  <c r="T18" i="10"/>
  <c r="P7" i="12"/>
  <c r="P13" i="12"/>
  <c r="H26" i="12"/>
  <c r="W30" i="12"/>
  <c r="W29" i="8"/>
  <c r="W29" i="12" s="1"/>
  <c r="F28" i="13"/>
  <c r="N28" i="13"/>
  <c r="R29" i="7"/>
  <c r="R29" i="12" s="1"/>
  <c r="W30" i="10"/>
  <c r="S32" i="10"/>
  <c r="T20" i="10"/>
  <c r="R19" i="8"/>
  <c r="R20" i="12"/>
  <c r="T19" i="8"/>
  <c r="T21" i="12"/>
  <c r="V19" i="8"/>
  <c r="V22" i="12"/>
  <c r="P12" i="13"/>
  <c r="V21" i="10"/>
  <c r="S4" i="7"/>
  <c r="S3" i="7" s="1"/>
  <c r="D5" i="12"/>
  <c r="L5" i="12"/>
  <c r="D6" i="12"/>
  <c r="L6" i="12"/>
  <c r="D7" i="12"/>
  <c r="L7" i="12"/>
  <c r="D8" i="12"/>
  <c r="L8" i="12"/>
  <c r="D9" i="12"/>
  <c r="L9" i="12"/>
  <c r="D10" i="12"/>
  <c r="L10" i="12"/>
  <c r="D12" i="12"/>
  <c r="L12" i="12"/>
  <c r="D13" i="12"/>
  <c r="L13" i="12"/>
  <c r="D14" i="12"/>
  <c r="L14" i="12"/>
  <c r="D17" i="12"/>
  <c r="L17" i="12"/>
  <c r="D18" i="12"/>
  <c r="L18" i="12"/>
  <c r="D20" i="12"/>
  <c r="L20" i="12"/>
  <c r="D21" i="12"/>
  <c r="L21" i="12"/>
  <c r="L22" i="12"/>
  <c r="D23" i="12"/>
  <c r="L23" i="12"/>
  <c r="D24" i="12"/>
  <c r="L24" i="12"/>
  <c r="D25" i="12"/>
  <c r="L25" i="12"/>
  <c r="D26" i="12"/>
  <c r="L26" i="12"/>
  <c r="D28" i="12"/>
  <c r="L28" i="12"/>
  <c r="D30" i="12"/>
  <c r="D31" i="12"/>
  <c r="L31" i="12"/>
  <c r="D32" i="12"/>
  <c r="L32" i="12"/>
  <c r="D33" i="12"/>
  <c r="L33" i="12"/>
  <c r="U6" i="12"/>
  <c r="W7" i="12"/>
  <c r="S9" i="12"/>
  <c r="W11" i="12"/>
  <c r="S13" i="12"/>
  <c r="U14" i="12"/>
  <c r="V17" i="12"/>
  <c r="U22" i="12"/>
  <c r="W23" i="12"/>
  <c r="S25" i="12"/>
  <c r="W28" i="12"/>
  <c r="W27" i="12"/>
  <c r="V29" i="8"/>
  <c r="V30" i="12"/>
  <c r="R32" i="12"/>
  <c r="T33" i="12"/>
  <c r="E5" i="13"/>
  <c r="M5" i="13"/>
  <c r="E6" i="13"/>
  <c r="M6" i="13"/>
  <c r="E7" i="13"/>
  <c r="M7" i="13"/>
  <c r="E8" i="13"/>
  <c r="M8" i="13"/>
  <c r="E9" i="13"/>
  <c r="M9" i="13"/>
  <c r="E10" i="13"/>
  <c r="M10" i="13"/>
  <c r="E11" i="13"/>
  <c r="M11" i="13"/>
  <c r="E12" i="13"/>
  <c r="M12" i="13"/>
  <c r="E13" i="13"/>
  <c r="M13" i="13"/>
  <c r="E14" i="13"/>
  <c r="M14" i="13"/>
  <c r="M17" i="13"/>
  <c r="E18" i="13"/>
  <c r="M18" i="13"/>
  <c r="E20" i="13"/>
  <c r="M20" i="13"/>
  <c r="E21" i="13"/>
  <c r="M21" i="13"/>
  <c r="E22" i="13"/>
  <c r="M22" i="13"/>
  <c r="E23" i="13"/>
  <c r="M23" i="13"/>
  <c r="E24" i="13"/>
  <c r="M24" i="13"/>
  <c r="E25" i="13"/>
  <c r="E26" i="13"/>
  <c r="M26" i="13"/>
  <c r="E28" i="13"/>
  <c r="M28" i="13"/>
  <c r="E30" i="13"/>
  <c r="M30" i="13"/>
  <c r="E31" i="13"/>
  <c r="M31" i="13"/>
  <c r="E32" i="13"/>
  <c r="M32" i="13"/>
  <c r="E33" i="13"/>
  <c r="M33" i="13"/>
  <c r="T4" i="9"/>
  <c r="T5" i="13"/>
  <c r="V4" i="9"/>
  <c r="V6" i="13"/>
  <c r="R8" i="13"/>
  <c r="T9" i="13"/>
  <c r="V10" i="13"/>
  <c r="R12" i="13"/>
  <c r="T13" i="13"/>
  <c r="V14" i="13"/>
  <c r="S16" i="9"/>
  <c r="S18" i="13"/>
  <c r="S19" i="9"/>
  <c r="S20" i="13"/>
  <c r="U21" i="13"/>
  <c r="W22" i="13"/>
  <c r="S24" i="13"/>
  <c r="U25" i="13"/>
  <c r="W26" i="13"/>
  <c r="S29" i="9"/>
  <c r="S31" i="13"/>
  <c r="U32" i="13"/>
  <c r="U32" i="10"/>
  <c r="W33" i="13"/>
  <c r="W33" i="10"/>
  <c r="S20" i="10"/>
  <c r="U21" i="10"/>
  <c r="W22" i="10"/>
  <c r="S24" i="10"/>
  <c r="U25" i="10"/>
  <c r="W26" i="10"/>
  <c r="W4" i="14"/>
  <c r="S4" i="11"/>
  <c r="S6" i="14"/>
  <c r="U7" i="14"/>
  <c r="W8" i="14"/>
  <c r="S10" i="14"/>
  <c r="W24" i="13"/>
  <c r="W16" i="7"/>
  <c r="W16" i="13" s="1"/>
  <c r="F6" i="12"/>
  <c r="N6" i="12"/>
  <c r="F7" i="12"/>
  <c r="N7" i="12"/>
  <c r="F8" i="12"/>
  <c r="N8" i="12"/>
  <c r="F9" i="12"/>
  <c r="N9" i="12"/>
  <c r="F10" i="12"/>
  <c r="N10" i="12"/>
  <c r="F11" i="12"/>
  <c r="N11" i="12"/>
  <c r="F12" i="12"/>
  <c r="N12" i="12"/>
  <c r="N13" i="12"/>
  <c r="F14" i="12"/>
  <c r="N14" i="12"/>
  <c r="F17" i="12"/>
  <c r="N17" i="12"/>
  <c r="F18" i="12"/>
  <c r="N18" i="12"/>
  <c r="F20" i="12"/>
  <c r="N20" i="12"/>
  <c r="F21" i="12"/>
  <c r="N21" i="12"/>
  <c r="F22" i="12"/>
  <c r="N22" i="12"/>
  <c r="F23" i="12"/>
  <c r="N23" i="12"/>
  <c r="N24" i="12"/>
  <c r="F25" i="12"/>
  <c r="N25" i="12"/>
  <c r="F26" i="12"/>
  <c r="N26" i="12"/>
  <c r="F28" i="12"/>
  <c r="N28" i="12"/>
  <c r="F30" i="12"/>
  <c r="N30" i="12"/>
  <c r="F31" i="12"/>
  <c r="N31" i="12"/>
  <c r="F32" i="12"/>
  <c r="F33" i="12"/>
  <c r="N33" i="12"/>
  <c r="U4" i="8"/>
  <c r="U5" i="12"/>
  <c r="W6" i="12"/>
  <c r="S8" i="12"/>
  <c r="U9" i="12"/>
  <c r="W10" i="12"/>
  <c r="S12" i="12"/>
  <c r="U13" i="12"/>
  <c r="W14" i="12"/>
  <c r="R18" i="12"/>
  <c r="S19" i="8"/>
  <c r="S19" i="12" s="1"/>
  <c r="S20" i="12"/>
  <c r="U21" i="12"/>
  <c r="W22" i="12"/>
  <c r="S24" i="12"/>
  <c r="U25" i="12"/>
  <c r="W26" i="12"/>
  <c r="R31" i="12"/>
  <c r="T32" i="12"/>
  <c r="V33" i="12"/>
  <c r="G5" i="13"/>
  <c r="O5" i="13"/>
  <c r="G6" i="13"/>
  <c r="O6" i="13"/>
  <c r="G7" i="13"/>
  <c r="O7" i="13"/>
  <c r="G8" i="13"/>
  <c r="O8" i="13"/>
  <c r="G9" i="13"/>
  <c r="O9" i="13"/>
  <c r="G10" i="13"/>
  <c r="O10" i="13"/>
  <c r="G11" i="13"/>
  <c r="O11" i="13"/>
  <c r="G12" i="13"/>
  <c r="O12" i="13"/>
  <c r="G13" i="13"/>
  <c r="O13" i="13"/>
  <c r="G14" i="13"/>
  <c r="O14" i="13"/>
  <c r="G17" i="13"/>
  <c r="O17" i="13"/>
  <c r="G18" i="13"/>
  <c r="O18" i="13"/>
  <c r="G20" i="13"/>
  <c r="O20" i="13"/>
  <c r="G21" i="13"/>
  <c r="O21" i="13"/>
  <c r="G22" i="13"/>
  <c r="O22" i="13"/>
  <c r="G23" i="13"/>
  <c r="O23" i="13"/>
  <c r="G24" i="13"/>
  <c r="O24" i="13"/>
  <c r="G25" i="13"/>
  <c r="O25" i="13"/>
  <c r="G26" i="13"/>
  <c r="O26" i="13"/>
  <c r="G28" i="13"/>
  <c r="O28" i="13"/>
  <c r="G30" i="13"/>
  <c r="O30" i="13"/>
  <c r="G31" i="13"/>
  <c r="O31" i="13"/>
  <c r="G32" i="13"/>
  <c r="O32" i="13"/>
  <c r="G33" i="13"/>
  <c r="O33" i="13"/>
  <c r="V5" i="13"/>
  <c r="R7" i="13"/>
  <c r="T8" i="13"/>
  <c r="V9" i="13"/>
  <c r="R11" i="13"/>
  <c r="T12" i="13"/>
  <c r="V13" i="13"/>
  <c r="S17" i="13"/>
  <c r="U18" i="13"/>
  <c r="U20" i="13"/>
  <c r="W21" i="13"/>
  <c r="S23" i="13"/>
  <c r="U24" i="13"/>
  <c r="W25" i="13"/>
  <c r="S27" i="13"/>
  <c r="S28" i="13"/>
  <c r="U31" i="13"/>
  <c r="W32" i="13"/>
  <c r="U20" i="10"/>
  <c r="W21" i="10"/>
  <c r="S23" i="10"/>
  <c r="U24" i="10"/>
  <c r="W25" i="10"/>
  <c r="S27" i="10"/>
  <c r="T15" i="7"/>
  <c r="T15" i="13" s="1"/>
  <c r="V4" i="7"/>
  <c r="V3" i="7" s="1"/>
  <c r="R19" i="7"/>
  <c r="R27" i="13" s="1"/>
  <c r="T19" i="7"/>
  <c r="T27" i="12" s="1"/>
  <c r="V19" i="7"/>
  <c r="V27" i="12" s="1"/>
  <c r="G5" i="12"/>
  <c r="O5" i="12"/>
  <c r="G7" i="12"/>
  <c r="O7" i="12"/>
  <c r="G8" i="12"/>
  <c r="O8" i="12"/>
  <c r="G9" i="12"/>
  <c r="O9" i="12"/>
  <c r="G10" i="12"/>
  <c r="O10" i="12"/>
  <c r="G11" i="12"/>
  <c r="O11" i="12"/>
  <c r="G12" i="12"/>
  <c r="O12" i="12"/>
  <c r="G13" i="12"/>
  <c r="O13" i="12"/>
  <c r="G14" i="12"/>
  <c r="O14" i="12"/>
  <c r="G17" i="12"/>
  <c r="G18" i="12"/>
  <c r="O18" i="12"/>
  <c r="G20" i="12"/>
  <c r="O20" i="12"/>
  <c r="G21" i="12"/>
  <c r="O21" i="12"/>
  <c r="G22" i="12"/>
  <c r="O22" i="12"/>
  <c r="G23" i="12"/>
  <c r="O23" i="12"/>
  <c r="G24" i="12"/>
  <c r="O24" i="12"/>
  <c r="G25" i="12"/>
  <c r="O25" i="12"/>
  <c r="G26" i="12"/>
  <c r="O26" i="12"/>
  <c r="G28" i="12"/>
  <c r="O28" i="12"/>
  <c r="G30" i="12"/>
  <c r="O30" i="12"/>
  <c r="G31" i="12"/>
  <c r="O31" i="12"/>
  <c r="G32" i="12"/>
  <c r="O32" i="12"/>
  <c r="G33" i="12"/>
  <c r="O33" i="12"/>
  <c r="V5" i="12"/>
  <c r="R7" i="12"/>
  <c r="T8" i="12"/>
  <c r="V9" i="12"/>
  <c r="R11" i="12"/>
  <c r="T12" i="12"/>
  <c r="V13" i="12"/>
  <c r="S18" i="12"/>
  <c r="T20" i="12"/>
  <c r="V21" i="12"/>
  <c r="R23" i="12"/>
  <c r="T24" i="12"/>
  <c r="V25" i="12"/>
  <c r="R28" i="12"/>
  <c r="S31" i="12"/>
  <c r="U32" i="12"/>
  <c r="W33" i="12"/>
  <c r="H5" i="13"/>
  <c r="P5" i="13"/>
  <c r="H6" i="13"/>
  <c r="P6" i="13"/>
  <c r="H7" i="13"/>
  <c r="P7" i="13"/>
  <c r="H8" i="13"/>
  <c r="P8" i="13"/>
  <c r="H9" i="13"/>
  <c r="P9" i="13"/>
  <c r="H10" i="13"/>
  <c r="P10" i="13"/>
  <c r="H11" i="13"/>
  <c r="P11" i="13"/>
  <c r="H12" i="13"/>
  <c r="H13" i="13"/>
  <c r="P13" i="13"/>
  <c r="H14" i="13"/>
  <c r="P14" i="13"/>
  <c r="H17" i="13"/>
  <c r="P17" i="13"/>
  <c r="H18" i="13"/>
  <c r="P18" i="13"/>
  <c r="H20" i="13"/>
  <c r="P20" i="13"/>
  <c r="H21" i="13"/>
  <c r="P21" i="13"/>
  <c r="H22" i="13"/>
  <c r="P22" i="13"/>
  <c r="H23" i="13"/>
  <c r="P23" i="13"/>
  <c r="H24" i="13"/>
  <c r="P24" i="13"/>
  <c r="H25" i="13"/>
  <c r="P25" i="13"/>
  <c r="H26" i="13"/>
  <c r="P26" i="13"/>
  <c r="H28" i="13"/>
  <c r="P28" i="13"/>
  <c r="H30" i="13"/>
  <c r="P30" i="13"/>
  <c r="H31" i="13"/>
  <c r="P31" i="13"/>
  <c r="H32" i="13"/>
  <c r="P32" i="13"/>
  <c r="H33" i="13"/>
  <c r="P33" i="13"/>
  <c r="W5" i="13"/>
  <c r="S7" i="13"/>
  <c r="U8" i="13"/>
  <c r="W9" i="13"/>
  <c r="S11" i="13"/>
  <c r="U12" i="13"/>
  <c r="W13" i="13"/>
  <c r="S15" i="13"/>
  <c r="T16" i="9"/>
  <c r="T17" i="13"/>
  <c r="V16" i="9"/>
  <c r="V18" i="13"/>
  <c r="V20" i="13"/>
  <c r="R22" i="13"/>
  <c r="T23" i="13"/>
  <c r="V24" i="13"/>
  <c r="R26" i="13"/>
  <c r="T28" i="13"/>
  <c r="T29" i="9"/>
  <c r="T30" i="13"/>
  <c r="V29" i="9"/>
  <c r="V31" i="13"/>
  <c r="R33" i="10"/>
  <c r="R33" i="13"/>
  <c r="V20" i="10"/>
  <c r="R22" i="10"/>
  <c r="T23" i="10"/>
  <c r="V24" i="10"/>
  <c r="R26" i="10"/>
  <c r="T27" i="10"/>
  <c r="T21" i="14"/>
  <c r="U19" i="7"/>
  <c r="U19" i="12" s="1"/>
  <c r="H5" i="12"/>
  <c r="P5" i="12"/>
  <c r="H6" i="12"/>
  <c r="P6" i="12"/>
  <c r="H8" i="12"/>
  <c r="P8" i="12"/>
  <c r="H9" i="12"/>
  <c r="P9" i="12"/>
  <c r="H10" i="12"/>
  <c r="P10" i="12"/>
  <c r="H11" i="12"/>
  <c r="P11" i="12"/>
  <c r="H12" i="12"/>
  <c r="P12" i="12"/>
  <c r="H13" i="12"/>
  <c r="H14" i="12"/>
  <c r="P14" i="12"/>
  <c r="H17" i="12"/>
  <c r="P17" i="12"/>
  <c r="H18" i="12"/>
  <c r="P18" i="12"/>
  <c r="H20" i="12"/>
  <c r="P20" i="12"/>
  <c r="H21" i="12"/>
  <c r="P21" i="12"/>
  <c r="H22" i="12"/>
  <c r="P22" i="12"/>
  <c r="H23" i="12"/>
  <c r="P23" i="12"/>
  <c r="H24" i="12"/>
  <c r="P24" i="12"/>
  <c r="H25" i="12"/>
  <c r="P25" i="12"/>
  <c r="P26" i="12"/>
  <c r="H28" i="12"/>
  <c r="P28" i="12"/>
  <c r="H30" i="12"/>
  <c r="P30" i="12"/>
  <c r="H31" i="12"/>
  <c r="P31" i="12"/>
  <c r="H32" i="12"/>
  <c r="P32" i="12"/>
  <c r="H33" i="12"/>
  <c r="P33" i="12"/>
  <c r="W5" i="12"/>
  <c r="S7" i="12"/>
  <c r="U8" i="12"/>
  <c r="W9" i="12"/>
  <c r="S11" i="12"/>
  <c r="U12" i="12"/>
  <c r="W13" i="12"/>
  <c r="S15" i="12"/>
  <c r="R17" i="12"/>
  <c r="T18" i="12"/>
  <c r="U20" i="12"/>
  <c r="W21" i="12"/>
  <c r="S23" i="12"/>
  <c r="U24" i="12"/>
  <c r="W25" i="12"/>
  <c r="S27" i="12"/>
  <c r="S28" i="12"/>
  <c r="R30" i="12"/>
  <c r="T31" i="12"/>
  <c r="V32" i="12"/>
  <c r="I5" i="13"/>
  <c r="Q5" i="13"/>
  <c r="I6" i="13"/>
  <c r="Q6" i="13"/>
  <c r="I7" i="13"/>
  <c r="Q7" i="13"/>
  <c r="I8" i="13"/>
  <c r="Q8" i="13"/>
  <c r="I9" i="13"/>
  <c r="Q9" i="13"/>
  <c r="I10" i="13"/>
  <c r="Q10" i="13"/>
  <c r="I11" i="13"/>
  <c r="Q11" i="13"/>
  <c r="I12" i="13"/>
  <c r="Q12" i="13"/>
  <c r="I13" i="13"/>
  <c r="Q13" i="13"/>
  <c r="I14" i="13"/>
  <c r="Q14" i="13"/>
  <c r="I17" i="13"/>
  <c r="Q17" i="13"/>
  <c r="I18" i="13"/>
  <c r="Q18" i="13"/>
  <c r="I20" i="13"/>
  <c r="Q20" i="13"/>
  <c r="Q21" i="13"/>
  <c r="I22" i="13"/>
  <c r="Q22" i="13"/>
  <c r="I23" i="13"/>
  <c r="Q23" i="13"/>
  <c r="I24" i="13"/>
  <c r="Q24" i="13"/>
  <c r="I25" i="13"/>
  <c r="Q25" i="13"/>
  <c r="I26" i="13"/>
  <c r="Q26" i="13"/>
  <c r="I28" i="13"/>
  <c r="Q28" i="13"/>
  <c r="I30" i="13"/>
  <c r="Q30" i="13"/>
  <c r="I31" i="13"/>
  <c r="Q31" i="13"/>
  <c r="I32" i="13"/>
  <c r="Q32" i="13"/>
  <c r="I33" i="13"/>
  <c r="Q33" i="13"/>
  <c r="R6" i="13"/>
  <c r="T7" i="13"/>
  <c r="V8" i="13"/>
  <c r="R10" i="13"/>
  <c r="T11" i="13"/>
  <c r="V12" i="13"/>
  <c r="R14" i="13"/>
  <c r="U16" i="9"/>
  <c r="U17" i="13"/>
  <c r="W18" i="13"/>
  <c r="W19" i="9"/>
  <c r="W20" i="13"/>
  <c r="S22" i="13"/>
  <c r="U23" i="13"/>
  <c r="S26" i="13"/>
  <c r="U28" i="13"/>
  <c r="U29" i="9"/>
  <c r="U30" i="13"/>
  <c r="W31" i="13"/>
  <c r="S33" i="13"/>
  <c r="S33" i="10"/>
  <c r="W8" i="10"/>
  <c r="S14" i="10"/>
  <c r="S18" i="10"/>
  <c r="U19" i="10"/>
  <c r="W20" i="10"/>
  <c r="S22" i="10"/>
  <c r="U23" i="10"/>
  <c r="S26" i="10"/>
  <c r="U27" i="10"/>
  <c r="S31" i="10"/>
  <c r="W32" i="10"/>
  <c r="U4" i="11"/>
  <c r="I28" i="12"/>
  <c r="Q28" i="12"/>
  <c r="Q33" i="12"/>
  <c r="R6" i="12"/>
  <c r="T7" i="12"/>
  <c r="V8" i="12"/>
  <c r="R10" i="12"/>
  <c r="T11" i="12"/>
  <c r="V12" i="12"/>
  <c r="R14" i="12"/>
  <c r="S17" i="12"/>
  <c r="U18" i="12"/>
  <c r="V20" i="12"/>
  <c r="R22" i="12"/>
  <c r="T23" i="12"/>
  <c r="V24" i="12"/>
  <c r="R26" i="12"/>
  <c r="T28" i="12"/>
  <c r="S30" i="12"/>
  <c r="U31" i="12"/>
  <c r="W32" i="12"/>
  <c r="B5" i="13"/>
  <c r="J5" i="13"/>
  <c r="B6" i="13"/>
  <c r="B7" i="13"/>
  <c r="J7" i="13"/>
  <c r="B8" i="13"/>
  <c r="J8" i="13"/>
  <c r="B9" i="13"/>
  <c r="J9" i="13"/>
  <c r="B10" i="13"/>
  <c r="J10" i="13"/>
  <c r="B11" i="13"/>
  <c r="J11" i="13"/>
  <c r="B12" i="13"/>
  <c r="J12" i="13"/>
  <c r="B13" i="13"/>
  <c r="J13" i="13"/>
  <c r="B14" i="13"/>
  <c r="J14" i="13"/>
  <c r="B17" i="13"/>
  <c r="J17" i="13"/>
  <c r="B18" i="13"/>
  <c r="J18" i="13"/>
  <c r="B20" i="13"/>
  <c r="J20" i="13"/>
  <c r="B21" i="13"/>
  <c r="J21" i="13"/>
  <c r="J22" i="13"/>
  <c r="B23" i="13"/>
  <c r="J23" i="13"/>
  <c r="B24" i="13"/>
  <c r="J24" i="13"/>
  <c r="B25" i="13"/>
  <c r="J25" i="13"/>
  <c r="B26" i="13"/>
  <c r="J26" i="13"/>
  <c r="B28" i="13"/>
  <c r="J28" i="13"/>
  <c r="B30" i="13"/>
  <c r="J30" i="13"/>
  <c r="B31" i="13"/>
  <c r="J31" i="13"/>
  <c r="B32" i="13"/>
  <c r="J32" i="13"/>
  <c r="B33" i="13"/>
  <c r="J33" i="13"/>
  <c r="S4" i="9"/>
  <c r="S6" i="13"/>
  <c r="U7" i="13"/>
  <c r="S10" i="13"/>
  <c r="U11" i="13"/>
  <c r="W12" i="13"/>
  <c r="U15" i="13"/>
  <c r="V17" i="13"/>
  <c r="R21" i="13"/>
  <c r="T22" i="13"/>
  <c r="V23" i="13"/>
  <c r="R25" i="13"/>
  <c r="T26" i="13"/>
  <c r="V28" i="13"/>
  <c r="V30" i="13"/>
  <c r="R32" i="13"/>
  <c r="T33" i="13"/>
  <c r="R21" i="10"/>
  <c r="T22" i="10"/>
  <c r="V23" i="10"/>
  <c r="R25" i="10"/>
  <c r="T26" i="10"/>
  <c r="V27" i="10"/>
  <c r="T33" i="10"/>
  <c r="R29" i="11"/>
  <c r="R30" i="14"/>
  <c r="T29" i="11"/>
  <c r="T31" i="14"/>
  <c r="V29" i="11"/>
  <c r="V32" i="14"/>
  <c r="F17" i="23"/>
  <c r="N17" i="23"/>
  <c r="G18" i="23"/>
  <c r="O18" i="23"/>
  <c r="H20" i="23"/>
  <c r="P20" i="23"/>
  <c r="I21" i="23"/>
  <c r="Q21" i="23"/>
  <c r="J22" i="23"/>
  <c r="C23" i="23"/>
  <c r="K23" i="23"/>
  <c r="D24" i="23"/>
  <c r="L24" i="23"/>
  <c r="E25" i="23"/>
  <c r="M25" i="23"/>
  <c r="F26" i="23"/>
  <c r="N26" i="23"/>
  <c r="G28" i="23"/>
  <c r="O28" i="23"/>
  <c r="H30" i="23"/>
  <c r="P30" i="23"/>
  <c r="I31" i="23"/>
  <c r="Q31" i="23"/>
  <c r="J32" i="23"/>
  <c r="C33" i="23"/>
  <c r="K33" i="23"/>
  <c r="F17" i="24"/>
  <c r="N17" i="24"/>
  <c r="G18" i="24"/>
  <c r="O18" i="24"/>
  <c r="H20" i="24"/>
  <c r="P20" i="24"/>
  <c r="I21" i="24"/>
  <c r="Q21" i="24"/>
  <c r="J22" i="24"/>
  <c r="C23" i="24"/>
  <c r="K23" i="24"/>
  <c r="D24" i="24"/>
  <c r="L24" i="24"/>
  <c r="E25" i="24"/>
  <c r="M25" i="24"/>
  <c r="F26" i="24"/>
  <c r="N26" i="24"/>
  <c r="G28" i="24"/>
  <c r="O28" i="24"/>
  <c r="H30" i="24"/>
  <c r="P30" i="24"/>
  <c r="I31" i="24"/>
  <c r="Q31" i="24"/>
  <c r="J32" i="24"/>
  <c r="C33" i="24"/>
  <c r="K33" i="24"/>
  <c r="B5" i="12"/>
  <c r="J5" i="12"/>
  <c r="B6" i="12"/>
  <c r="J6" i="12"/>
  <c r="B7" i="12"/>
  <c r="J7" i="12"/>
  <c r="B8" i="12"/>
  <c r="J8" i="12"/>
  <c r="B9" i="12"/>
  <c r="B10" i="12"/>
  <c r="J10" i="12"/>
  <c r="J11" i="12"/>
  <c r="B12" i="12"/>
  <c r="J12" i="12"/>
  <c r="B13" i="12"/>
  <c r="J13" i="12"/>
  <c r="B14" i="12"/>
  <c r="J14" i="12"/>
  <c r="B17" i="12"/>
  <c r="J17" i="12"/>
  <c r="B18" i="12"/>
  <c r="J18" i="12"/>
  <c r="B20" i="12"/>
  <c r="J20" i="12"/>
  <c r="B21" i="12"/>
  <c r="J21" i="12"/>
  <c r="B22" i="12"/>
  <c r="J22" i="12"/>
  <c r="B23" i="12"/>
  <c r="J23" i="12"/>
  <c r="B24" i="12"/>
  <c r="J24" i="12"/>
  <c r="B25" i="12"/>
  <c r="J25" i="12"/>
  <c r="B26" i="12"/>
  <c r="J26" i="12"/>
  <c r="B28" i="12"/>
  <c r="B30" i="12"/>
  <c r="J30" i="12"/>
  <c r="B31" i="12"/>
  <c r="J31" i="12"/>
  <c r="B32" i="12"/>
  <c r="J32" i="12"/>
  <c r="B33" i="12"/>
  <c r="J33" i="12"/>
  <c r="W4" i="12"/>
  <c r="S4" i="8"/>
  <c r="S6" i="12"/>
  <c r="U7" i="12"/>
  <c r="W8" i="12"/>
  <c r="S10" i="12"/>
  <c r="U11" i="12"/>
  <c r="W12" i="12"/>
  <c r="S14" i="12"/>
  <c r="U15" i="12"/>
  <c r="T16" i="8"/>
  <c r="T16" i="12" s="1"/>
  <c r="T17" i="12"/>
  <c r="V16" i="8"/>
  <c r="V16" i="12" s="1"/>
  <c r="V18" i="12"/>
  <c r="W19" i="8"/>
  <c r="W19" i="12" s="1"/>
  <c r="W20" i="12"/>
  <c r="S22" i="12"/>
  <c r="U23" i="12"/>
  <c r="W24" i="12"/>
  <c r="S26" i="12"/>
  <c r="U28" i="12"/>
  <c r="T29" i="8"/>
  <c r="T30" i="12"/>
  <c r="V31" i="12"/>
  <c r="R33" i="12"/>
  <c r="C5" i="13"/>
  <c r="K5" i="13"/>
  <c r="C6" i="13"/>
  <c r="K6" i="13"/>
  <c r="C7" i="13"/>
  <c r="K7" i="13"/>
  <c r="C8" i="13"/>
  <c r="K8" i="13"/>
  <c r="C9" i="13"/>
  <c r="K9" i="13"/>
  <c r="C10" i="13"/>
  <c r="K10" i="13"/>
  <c r="C11" i="13"/>
  <c r="K11" i="13"/>
  <c r="C12" i="13"/>
  <c r="K12" i="13"/>
  <c r="C13" i="13"/>
  <c r="K13" i="13"/>
  <c r="C14" i="13"/>
  <c r="K14" i="13"/>
  <c r="C17" i="13"/>
  <c r="K17" i="13"/>
  <c r="C18" i="13"/>
  <c r="K18" i="13"/>
  <c r="C20" i="13"/>
  <c r="K20" i="13"/>
  <c r="C21" i="13"/>
  <c r="K21" i="13"/>
  <c r="C22" i="13"/>
  <c r="K22" i="13"/>
  <c r="C23" i="13"/>
  <c r="C24" i="13"/>
  <c r="K24" i="13"/>
  <c r="C25" i="13"/>
  <c r="K25" i="13"/>
  <c r="C26" i="13"/>
  <c r="K26" i="13"/>
  <c r="C28" i="13"/>
  <c r="K28" i="13"/>
  <c r="C30" i="13"/>
  <c r="K30" i="13"/>
  <c r="C31" i="13"/>
  <c r="K31" i="13"/>
  <c r="C32" i="13"/>
  <c r="K32" i="13"/>
  <c r="C33" i="13"/>
  <c r="K33" i="13"/>
  <c r="R4" i="9"/>
  <c r="R5" i="13"/>
  <c r="T6" i="13"/>
  <c r="V7" i="13"/>
  <c r="R9" i="13"/>
  <c r="T10" i="13"/>
  <c r="V11" i="13"/>
  <c r="R13" i="13"/>
  <c r="T14" i="13"/>
  <c r="W17" i="13"/>
  <c r="S21" i="13"/>
  <c r="U22" i="13"/>
  <c r="W23" i="13"/>
  <c r="S25" i="13"/>
  <c r="U26" i="13"/>
  <c r="W27" i="13"/>
  <c r="W28" i="13"/>
  <c r="W30" i="13"/>
  <c r="S32" i="13"/>
  <c r="U33" i="13"/>
  <c r="U33" i="10"/>
  <c r="S17" i="10"/>
  <c r="U18" i="10"/>
  <c r="S21" i="10"/>
  <c r="U22" i="10"/>
  <c r="W23" i="10"/>
  <c r="S25" i="10"/>
  <c r="U26" i="10"/>
  <c r="W27" i="10"/>
  <c r="U31" i="10"/>
  <c r="W5" i="14"/>
  <c r="S7" i="14"/>
  <c r="U8" i="14"/>
  <c r="U19" i="11"/>
  <c r="U20" i="14"/>
  <c r="W19" i="11"/>
  <c r="W19" i="14" s="1"/>
  <c r="W21" i="14"/>
  <c r="S23" i="14"/>
  <c r="S19" i="11"/>
  <c r="S19" i="14" s="1"/>
  <c r="U24" i="14"/>
  <c r="S29" i="14"/>
  <c r="T29" i="7"/>
  <c r="V29" i="7"/>
  <c r="C5" i="12"/>
  <c r="K5" i="12"/>
  <c r="C6" i="12"/>
  <c r="K6" i="12"/>
  <c r="C7" i="12"/>
  <c r="K7" i="12"/>
  <c r="C8" i="12"/>
  <c r="K8" i="12"/>
  <c r="C9" i="12"/>
  <c r="K9" i="12"/>
  <c r="C11" i="12"/>
  <c r="K11" i="12"/>
  <c r="C12" i="12"/>
  <c r="K12" i="12"/>
  <c r="C13" i="12"/>
  <c r="K13" i="12"/>
  <c r="C14" i="12"/>
  <c r="K14" i="12"/>
  <c r="C17" i="12"/>
  <c r="K17" i="12"/>
  <c r="C18" i="12"/>
  <c r="K18" i="12"/>
  <c r="C20" i="12"/>
  <c r="K20" i="12"/>
  <c r="C21" i="12"/>
  <c r="K21" i="12"/>
  <c r="C22" i="12"/>
  <c r="K22" i="12"/>
  <c r="C23" i="12"/>
  <c r="K23" i="12"/>
  <c r="C24" i="12"/>
  <c r="K24" i="12"/>
  <c r="C25" i="12"/>
  <c r="K25" i="12"/>
  <c r="C26" i="12"/>
  <c r="K26" i="12"/>
  <c r="C28" i="12"/>
  <c r="K28" i="12"/>
  <c r="C30" i="12"/>
  <c r="K30" i="12"/>
  <c r="C31" i="12"/>
  <c r="K31" i="12"/>
  <c r="C32" i="12"/>
  <c r="K32" i="12"/>
  <c r="C33" i="12"/>
  <c r="K33" i="12"/>
  <c r="R4" i="8"/>
  <c r="R5" i="12"/>
  <c r="T6" i="12"/>
  <c r="V7" i="12"/>
  <c r="R9" i="12"/>
  <c r="T10" i="12"/>
  <c r="V11" i="12"/>
  <c r="R13" i="12"/>
  <c r="T14" i="12"/>
  <c r="U16" i="8"/>
  <c r="U16" i="12" s="1"/>
  <c r="U17" i="12"/>
  <c r="W18" i="12"/>
  <c r="R21" i="12"/>
  <c r="T22" i="12"/>
  <c r="V23" i="12"/>
  <c r="R25" i="12"/>
  <c r="T26" i="12"/>
  <c r="V28" i="12"/>
  <c r="U29" i="8"/>
  <c r="U29" i="12" s="1"/>
  <c r="U30" i="12"/>
  <c r="S33" i="12"/>
  <c r="D5" i="13"/>
  <c r="L5" i="13"/>
  <c r="D6" i="13"/>
  <c r="L6" i="13"/>
  <c r="D7" i="13"/>
  <c r="L7" i="13"/>
  <c r="D8" i="13"/>
  <c r="D9" i="13"/>
  <c r="L9" i="13"/>
  <c r="D10" i="13"/>
  <c r="L10" i="13"/>
  <c r="D11" i="13"/>
  <c r="L11" i="13"/>
  <c r="D12" i="13"/>
  <c r="L12" i="13"/>
  <c r="D13" i="13"/>
  <c r="L13" i="13"/>
  <c r="D14" i="13"/>
  <c r="L14" i="13"/>
  <c r="D17" i="13"/>
  <c r="L17" i="13"/>
  <c r="D18" i="13"/>
  <c r="L18" i="13"/>
  <c r="D20" i="13"/>
  <c r="L20" i="13"/>
  <c r="D21" i="13"/>
  <c r="L21" i="13"/>
  <c r="D22" i="13"/>
  <c r="L22" i="13"/>
  <c r="D23" i="13"/>
  <c r="L23" i="13"/>
  <c r="D24" i="13"/>
  <c r="L24" i="13"/>
  <c r="D25" i="13"/>
  <c r="L25" i="13"/>
  <c r="D26" i="13"/>
  <c r="L26" i="13"/>
  <c r="D28" i="13"/>
  <c r="L28" i="13"/>
  <c r="D30" i="13"/>
  <c r="L30" i="13"/>
  <c r="D31" i="13"/>
  <c r="L31" i="13"/>
  <c r="L32" i="13"/>
  <c r="D33" i="13"/>
  <c r="L33" i="13"/>
  <c r="S5" i="13"/>
  <c r="U6" i="13"/>
  <c r="W7" i="13"/>
  <c r="S9" i="13"/>
  <c r="U10" i="13"/>
  <c r="W11" i="13"/>
  <c r="S13" i="13"/>
  <c r="U14" i="13"/>
  <c r="W15" i="13"/>
  <c r="R18" i="13"/>
  <c r="R19" i="9"/>
  <c r="R20" i="13"/>
  <c r="T19" i="9"/>
  <c r="T21" i="13"/>
  <c r="V22" i="13"/>
  <c r="R24" i="13"/>
  <c r="T25" i="13"/>
  <c r="V26" i="13"/>
  <c r="R31" i="13"/>
  <c r="T32" i="13"/>
  <c r="T32" i="10"/>
  <c r="V33" i="13"/>
  <c r="V33" i="10"/>
  <c r="T5" i="10"/>
  <c r="V6" i="10"/>
  <c r="R8" i="10"/>
  <c r="T9" i="10"/>
  <c r="V10" i="10"/>
  <c r="R12" i="10"/>
  <c r="T13" i="10"/>
  <c r="V14" i="10"/>
  <c r="T17" i="10"/>
  <c r="V18" i="10"/>
  <c r="R20" i="10"/>
  <c r="T21" i="10"/>
  <c r="V22" i="10"/>
  <c r="R24" i="10"/>
  <c r="T25" i="10"/>
  <c r="V26" i="10"/>
  <c r="T30" i="10"/>
  <c r="V31" i="10"/>
  <c r="R6" i="14"/>
  <c r="T7" i="14"/>
  <c r="V8" i="14"/>
  <c r="R10" i="14"/>
  <c r="R17" i="14"/>
  <c r="R16" i="11"/>
  <c r="R16" i="14" s="1"/>
  <c r="U16" i="14"/>
  <c r="T20" i="14"/>
  <c r="V21" i="14"/>
  <c r="R23" i="14"/>
  <c r="T24" i="14"/>
  <c r="S31" i="14"/>
  <c r="U32" i="14"/>
  <c r="J5" i="23"/>
  <c r="C6" i="23"/>
  <c r="K6" i="23"/>
  <c r="D7" i="23"/>
  <c r="L7" i="23"/>
  <c r="E8" i="23"/>
  <c r="M8" i="23"/>
  <c r="F9" i="23"/>
  <c r="N9" i="23"/>
  <c r="G10" i="23"/>
  <c r="O10" i="23"/>
  <c r="H11" i="23"/>
  <c r="P11" i="23"/>
  <c r="I12" i="23"/>
  <c r="Q12" i="23"/>
  <c r="J13" i="23"/>
  <c r="C14" i="23"/>
  <c r="K14" i="23"/>
  <c r="E17" i="23"/>
  <c r="M17" i="23"/>
  <c r="F18" i="23"/>
  <c r="N18" i="23"/>
  <c r="G20" i="23"/>
  <c r="O20" i="23"/>
  <c r="H21" i="23"/>
  <c r="P21" i="23"/>
  <c r="I22" i="23"/>
  <c r="Q22" i="23"/>
  <c r="J23" i="23"/>
  <c r="C24" i="23"/>
  <c r="K24" i="23"/>
  <c r="D25" i="23"/>
  <c r="L25" i="23"/>
  <c r="E26" i="23"/>
  <c r="M26" i="23"/>
  <c r="F28" i="23"/>
  <c r="N28" i="23"/>
  <c r="G30" i="23"/>
  <c r="O30" i="23"/>
  <c r="H31" i="23"/>
  <c r="P31" i="23"/>
  <c r="I32" i="23"/>
  <c r="Q32" i="23"/>
  <c r="J33" i="23"/>
  <c r="J5" i="24"/>
  <c r="C6" i="24"/>
  <c r="K6" i="24"/>
  <c r="D7" i="24"/>
  <c r="L7" i="24"/>
  <c r="E8" i="24"/>
  <c r="M8" i="24"/>
  <c r="F9" i="24"/>
  <c r="N9" i="24"/>
  <c r="G10" i="24"/>
  <c r="O10" i="24"/>
  <c r="H11" i="24"/>
  <c r="P11" i="24"/>
  <c r="I12" i="24"/>
  <c r="Q12" i="24"/>
  <c r="J13" i="24"/>
  <c r="C14" i="24"/>
  <c r="K14" i="24"/>
  <c r="E17" i="24"/>
  <c r="M17" i="24"/>
  <c r="F18" i="24"/>
  <c r="N18" i="24"/>
  <c r="G20" i="24"/>
  <c r="O20" i="24"/>
  <c r="H21" i="24"/>
  <c r="P21" i="24"/>
  <c r="I22" i="24"/>
  <c r="Q22" i="24"/>
  <c r="J23" i="24"/>
  <c r="C24" i="24"/>
  <c r="K24" i="24"/>
  <c r="D25" i="24"/>
  <c r="L25" i="24"/>
  <c r="E26" i="24"/>
  <c r="M26" i="24"/>
  <c r="F28" i="24"/>
  <c r="N28" i="24"/>
  <c r="G30" i="24"/>
  <c r="O30" i="24"/>
  <c r="H31" i="24"/>
  <c r="P31" i="24"/>
  <c r="I32" i="24"/>
  <c r="Q32" i="24"/>
  <c r="J33" i="24"/>
  <c r="R5" i="14"/>
  <c r="T6" i="14"/>
  <c r="V7" i="14"/>
  <c r="R9" i="14"/>
  <c r="T10" i="14"/>
  <c r="S17" i="14"/>
  <c r="V20" i="14"/>
  <c r="R22" i="14"/>
  <c r="T23" i="14"/>
  <c r="V24" i="14"/>
  <c r="S30" i="14"/>
  <c r="U31" i="14"/>
  <c r="W32" i="14"/>
  <c r="D5" i="23"/>
  <c r="L5" i="23"/>
  <c r="E6" i="23"/>
  <c r="M6" i="23"/>
  <c r="F7" i="23"/>
  <c r="N7" i="23"/>
  <c r="G8" i="23"/>
  <c r="O8" i="23"/>
  <c r="H9" i="23"/>
  <c r="P9" i="23"/>
  <c r="I10" i="23"/>
  <c r="Q10" i="23"/>
  <c r="J11" i="23"/>
  <c r="C12" i="23"/>
  <c r="K12" i="23"/>
  <c r="D13" i="23"/>
  <c r="L13" i="23"/>
  <c r="E14" i="23"/>
  <c r="M14" i="23"/>
  <c r="G17" i="23"/>
  <c r="O17" i="23"/>
  <c r="H18" i="23"/>
  <c r="P18" i="23"/>
  <c r="I20" i="23"/>
  <c r="Q20" i="23"/>
  <c r="J21" i="23"/>
  <c r="C22" i="23"/>
  <c r="K22" i="23"/>
  <c r="D23" i="23"/>
  <c r="L23" i="23"/>
  <c r="E24" i="23"/>
  <c r="M24" i="23"/>
  <c r="F25" i="23"/>
  <c r="N25" i="23"/>
  <c r="G26" i="23"/>
  <c r="O26" i="23"/>
  <c r="H28" i="23"/>
  <c r="P28" i="23"/>
  <c r="I30" i="23"/>
  <c r="Q30" i="23"/>
  <c r="J31" i="23"/>
  <c r="C32" i="23"/>
  <c r="K32" i="23"/>
  <c r="D33" i="23"/>
  <c r="L33" i="23"/>
  <c r="D5" i="24"/>
  <c r="L5" i="24"/>
  <c r="E6" i="24"/>
  <c r="M6" i="24"/>
  <c r="F7" i="24"/>
  <c r="N7" i="24"/>
  <c r="G8" i="24"/>
  <c r="O8" i="24"/>
  <c r="H9" i="24"/>
  <c r="P9" i="24"/>
  <c r="I10" i="24"/>
  <c r="Q10" i="24"/>
  <c r="J11" i="24"/>
  <c r="C12" i="24"/>
  <c r="K12" i="24"/>
  <c r="D13" i="24"/>
  <c r="L13" i="24"/>
  <c r="E14" i="24"/>
  <c r="M14" i="24"/>
  <c r="G17" i="24"/>
  <c r="O17" i="24"/>
  <c r="H18" i="24"/>
  <c r="P18" i="24"/>
  <c r="I20" i="24"/>
  <c r="Q20" i="24"/>
  <c r="J21" i="24"/>
  <c r="C22" i="24"/>
  <c r="K22" i="24"/>
  <c r="D23" i="24"/>
  <c r="L23" i="24"/>
  <c r="E24" i="24"/>
  <c r="M24" i="24"/>
  <c r="F25" i="24"/>
  <c r="N25" i="24"/>
  <c r="G26" i="24"/>
  <c r="O26" i="24"/>
  <c r="H28" i="24"/>
  <c r="P28" i="24"/>
  <c r="I30" i="24"/>
  <c r="Q30" i="24"/>
  <c r="J31" i="24"/>
  <c r="C32" i="24"/>
  <c r="K32" i="24"/>
  <c r="D33" i="24"/>
  <c r="L33" i="24"/>
  <c r="S5" i="14"/>
  <c r="U6" i="14"/>
  <c r="W7" i="14"/>
  <c r="S9" i="14"/>
  <c r="U10" i="14"/>
  <c r="T16" i="11"/>
  <c r="T16" i="14" s="1"/>
  <c r="T17" i="14"/>
  <c r="V16" i="11"/>
  <c r="V16" i="14" s="1"/>
  <c r="V18" i="14"/>
  <c r="V18" i="17" s="1"/>
  <c r="W20" i="14"/>
  <c r="S22" i="14"/>
  <c r="U23" i="14"/>
  <c r="W24" i="14"/>
  <c r="T30" i="14"/>
  <c r="V31" i="14"/>
  <c r="E5" i="23"/>
  <c r="M5" i="23"/>
  <c r="F6" i="23"/>
  <c r="G7" i="23"/>
  <c r="O7" i="23"/>
  <c r="H8" i="23"/>
  <c r="P8" i="23"/>
  <c r="I9" i="23"/>
  <c r="Q9" i="23"/>
  <c r="J10" i="23"/>
  <c r="C11" i="23"/>
  <c r="K11" i="23"/>
  <c r="D12" i="23"/>
  <c r="L12" i="23"/>
  <c r="E13" i="23"/>
  <c r="M13" i="23"/>
  <c r="F14" i="23"/>
  <c r="N14" i="23"/>
  <c r="H17" i="23"/>
  <c r="P17" i="23"/>
  <c r="I18" i="23"/>
  <c r="Q18" i="23"/>
  <c r="J20" i="23"/>
  <c r="C21" i="23"/>
  <c r="K21" i="23"/>
  <c r="D22" i="23"/>
  <c r="L22" i="23"/>
  <c r="E23" i="23"/>
  <c r="M23" i="23"/>
  <c r="F24" i="23"/>
  <c r="N24" i="23"/>
  <c r="G25" i="23"/>
  <c r="O25" i="23"/>
  <c r="H26" i="23"/>
  <c r="P26" i="23"/>
  <c r="I28" i="23"/>
  <c r="Q28" i="23"/>
  <c r="J30" i="23"/>
  <c r="C31" i="23"/>
  <c r="K31" i="23"/>
  <c r="D32" i="23"/>
  <c r="L32" i="23"/>
  <c r="E33" i="23"/>
  <c r="M33" i="23"/>
  <c r="E5" i="24"/>
  <c r="M5" i="24"/>
  <c r="F6" i="24"/>
  <c r="G7" i="24"/>
  <c r="O7" i="24"/>
  <c r="H8" i="24"/>
  <c r="P8" i="24"/>
  <c r="I9" i="24"/>
  <c r="Q9" i="24"/>
  <c r="J10" i="24"/>
  <c r="C11" i="24"/>
  <c r="K11" i="24"/>
  <c r="D12" i="24"/>
  <c r="L12" i="24"/>
  <c r="E13" i="24"/>
  <c r="M13" i="24"/>
  <c r="F14" i="24"/>
  <c r="N14" i="24"/>
  <c r="H17" i="24"/>
  <c r="P17" i="24"/>
  <c r="I18" i="24"/>
  <c r="Q18" i="24"/>
  <c r="J20" i="24"/>
  <c r="C21" i="24"/>
  <c r="K21" i="24"/>
  <c r="D22" i="24"/>
  <c r="L22" i="24"/>
  <c r="E23" i="24"/>
  <c r="M23" i="24"/>
  <c r="F24" i="24"/>
  <c r="N24" i="24"/>
  <c r="G25" i="24"/>
  <c r="O25" i="24"/>
  <c r="H26" i="24"/>
  <c r="P26" i="24"/>
  <c r="I28" i="24"/>
  <c r="Q28" i="24"/>
  <c r="J30" i="24"/>
  <c r="C31" i="24"/>
  <c r="K31" i="24"/>
  <c r="D32" i="24"/>
  <c r="L32" i="24"/>
  <c r="E33" i="24"/>
  <c r="M33" i="24"/>
  <c r="R20" i="14"/>
  <c r="T5" i="14"/>
  <c r="V6" i="14"/>
  <c r="R8" i="14"/>
  <c r="T9" i="14"/>
  <c r="V10" i="14"/>
  <c r="U17" i="14"/>
  <c r="R21" i="14"/>
  <c r="T22" i="14"/>
  <c r="V23" i="14"/>
  <c r="U29" i="11"/>
  <c r="U29" i="14" s="1"/>
  <c r="U30" i="14"/>
  <c r="W29" i="11"/>
  <c r="W29" i="14" s="1"/>
  <c r="W31" i="14"/>
  <c r="F5" i="23"/>
  <c r="N5" i="23"/>
  <c r="G6" i="23"/>
  <c r="O6" i="23"/>
  <c r="H7" i="23"/>
  <c r="P7" i="23"/>
  <c r="I8" i="23"/>
  <c r="Q8" i="23"/>
  <c r="J9" i="23"/>
  <c r="C10" i="23"/>
  <c r="K10" i="23"/>
  <c r="D11" i="23"/>
  <c r="L11" i="23"/>
  <c r="E12" i="23"/>
  <c r="M12" i="23"/>
  <c r="F13" i="23"/>
  <c r="N13" i="23"/>
  <c r="G14" i="23"/>
  <c r="O14" i="23"/>
  <c r="I17" i="23"/>
  <c r="Q17" i="23"/>
  <c r="J18" i="23"/>
  <c r="C20" i="23"/>
  <c r="K20" i="23"/>
  <c r="D21" i="23"/>
  <c r="L21" i="23"/>
  <c r="E22" i="23"/>
  <c r="M22" i="23"/>
  <c r="F23" i="23"/>
  <c r="N23" i="23"/>
  <c r="G24" i="23"/>
  <c r="O24" i="23"/>
  <c r="H25" i="23"/>
  <c r="P25" i="23"/>
  <c r="I26" i="23"/>
  <c r="Q26" i="23"/>
  <c r="J28" i="23"/>
  <c r="C30" i="23"/>
  <c r="K30" i="23"/>
  <c r="D31" i="23"/>
  <c r="L31" i="23"/>
  <c r="E32" i="23"/>
  <c r="M32" i="23"/>
  <c r="F33" i="23"/>
  <c r="N33" i="23"/>
  <c r="F5" i="24"/>
  <c r="N5" i="24"/>
  <c r="G6" i="24"/>
  <c r="O6" i="24"/>
  <c r="H7" i="24"/>
  <c r="P7" i="24"/>
  <c r="I8" i="24"/>
  <c r="Q8" i="24"/>
  <c r="J9" i="24"/>
  <c r="C10" i="24"/>
  <c r="K10" i="24"/>
  <c r="D11" i="24"/>
  <c r="L11" i="24"/>
  <c r="E12" i="24"/>
  <c r="M12" i="24"/>
  <c r="F13" i="24"/>
  <c r="N13" i="24"/>
  <c r="G14" i="24"/>
  <c r="O14" i="24"/>
  <c r="I17" i="24"/>
  <c r="Q17" i="24"/>
  <c r="J18" i="24"/>
  <c r="C20" i="24"/>
  <c r="K20" i="24"/>
  <c r="D21" i="24"/>
  <c r="L21" i="24"/>
  <c r="E22" i="24"/>
  <c r="M22" i="24"/>
  <c r="F23" i="24"/>
  <c r="N23" i="24"/>
  <c r="G24" i="24"/>
  <c r="O24" i="24"/>
  <c r="H25" i="24"/>
  <c r="P25" i="24"/>
  <c r="I26" i="24"/>
  <c r="Q26" i="24"/>
  <c r="J28" i="24"/>
  <c r="C30" i="24"/>
  <c r="K30" i="24"/>
  <c r="D31" i="24"/>
  <c r="L31" i="24"/>
  <c r="E32" i="24"/>
  <c r="M32" i="24"/>
  <c r="F33" i="24"/>
  <c r="N33" i="24"/>
  <c r="U5" i="14"/>
  <c r="W6" i="14"/>
  <c r="S8" i="14"/>
  <c r="U9" i="14"/>
  <c r="W10" i="14"/>
  <c r="V17" i="14"/>
  <c r="S21" i="14"/>
  <c r="U22" i="14"/>
  <c r="W23" i="14"/>
  <c r="V30" i="14"/>
  <c r="R32" i="14"/>
  <c r="G5" i="23"/>
  <c r="O5" i="23"/>
  <c r="H6" i="23"/>
  <c r="P6" i="23"/>
  <c r="I7" i="23"/>
  <c r="Q7" i="23"/>
  <c r="J8" i="23"/>
  <c r="C9" i="23"/>
  <c r="K9" i="23"/>
  <c r="D10" i="23"/>
  <c r="L10" i="23"/>
  <c r="E11" i="23"/>
  <c r="M11" i="23"/>
  <c r="F12" i="23"/>
  <c r="N12" i="23"/>
  <c r="G13" i="23"/>
  <c r="O13" i="23"/>
  <c r="H14" i="23"/>
  <c r="P14" i="23"/>
  <c r="J17" i="23"/>
  <c r="C18" i="23"/>
  <c r="K18" i="23"/>
  <c r="D20" i="23"/>
  <c r="L20" i="23"/>
  <c r="E21" i="23"/>
  <c r="M21" i="23"/>
  <c r="F22" i="23"/>
  <c r="N22" i="23"/>
  <c r="G23" i="23"/>
  <c r="O23" i="23"/>
  <c r="H24" i="23"/>
  <c r="P24" i="23"/>
  <c r="I25" i="23"/>
  <c r="Q25" i="23"/>
  <c r="J26" i="23"/>
  <c r="C28" i="23"/>
  <c r="K28" i="23"/>
  <c r="D30" i="23"/>
  <c r="L30" i="23"/>
  <c r="E31" i="23"/>
  <c r="M31" i="23"/>
  <c r="F32" i="23"/>
  <c r="N32" i="23"/>
  <c r="G33" i="23"/>
  <c r="O33" i="23"/>
  <c r="G5" i="24"/>
  <c r="O5" i="24"/>
  <c r="H6" i="24"/>
  <c r="P6" i="24"/>
  <c r="I7" i="24"/>
  <c r="Q7" i="24"/>
  <c r="J8" i="24"/>
  <c r="C9" i="24"/>
  <c r="K9" i="24"/>
  <c r="D10" i="24"/>
  <c r="L10" i="24"/>
  <c r="E11" i="24"/>
  <c r="M11" i="24"/>
  <c r="F12" i="24"/>
  <c r="N12" i="24"/>
  <c r="G13" i="24"/>
  <c r="O13" i="24"/>
  <c r="H14" i="24"/>
  <c r="P14" i="24"/>
  <c r="J17" i="24"/>
  <c r="C18" i="24"/>
  <c r="K18" i="24"/>
  <c r="D20" i="24"/>
  <c r="L20" i="24"/>
  <c r="E21" i="24"/>
  <c r="M21" i="24"/>
  <c r="F22" i="24"/>
  <c r="N22" i="24"/>
  <c r="G23" i="24"/>
  <c r="O23" i="24"/>
  <c r="H24" i="24"/>
  <c r="P24" i="24"/>
  <c r="I25" i="24"/>
  <c r="Q25" i="24"/>
  <c r="J26" i="24"/>
  <c r="C28" i="24"/>
  <c r="K28" i="24"/>
  <c r="D30" i="24"/>
  <c r="L30" i="24"/>
  <c r="E31" i="24"/>
  <c r="M31" i="24"/>
  <c r="F32" i="24"/>
  <c r="N32" i="24"/>
  <c r="G33" i="24"/>
  <c r="O33" i="24"/>
  <c r="V4" i="11"/>
  <c r="V5" i="14"/>
  <c r="R4" i="11"/>
  <c r="R7" i="14"/>
  <c r="T8" i="14"/>
  <c r="V9" i="14"/>
  <c r="W16" i="11"/>
  <c r="W17" i="14"/>
  <c r="T19" i="11"/>
  <c r="V19" i="11"/>
  <c r="V22" i="14"/>
  <c r="R24" i="14"/>
  <c r="W30" i="14"/>
  <c r="S32" i="14"/>
  <c r="H5" i="23"/>
  <c r="P5" i="23"/>
  <c r="I6" i="23"/>
  <c r="Q6" i="23"/>
  <c r="J7" i="23"/>
  <c r="C8" i="23"/>
  <c r="K8" i="23"/>
  <c r="D9" i="23"/>
  <c r="L9" i="23"/>
  <c r="E10" i="23"/>
  <c r="M10" i="23"/>
  <c r="F11" i="23"/>
  <c r="N11" i="23"/>
  <c r="G12" i="23"/>
  <c r="O12" i="23"/>
  <c r="H13" i="23"/>
  <c r="P13" i="23"/>
  <c r="I14" i="23"/>
  <c r="Q14" i="23"/>
  <c r="C17" i="23"/>
  <c r="K17" i="23"/>
  <c r="D18" i="23"/>
  <c r="L18" i="23"/>
  <c r="E20" i="23"/>
  <c r="M20" i="23"/>
  <c r="F21" i="23"/>
  <c r="N21" i="23"/>
  <c r="G22" i="23"/>
  <c r="O22" i="23"/>
  <c r="H23" i="23"/>
  <c r="P23" i="23"/>
  <c r="I24" i="23"/>
  <c r="Q24" i="23"/>
  <c r="J25" i="23"/>
  <c r="C26" i="23"/>
  <c r="K26" i="23"/>
  <c r="D28" i="23"/>
  <c r="L28" i="23"/>
  <c r="E30" i="23"/>
  <c r="M30" i="23"/>
  <c r="F31" i="23"/>
  <c r="N31" i="23"/>
  <c r="G32" i="23"/>
  <c r="O32" i="23"/>
  <c r="H33" i="23"/>
  <c r="P33" i="23"/>
  <c r="H5" i="24"/>
  <c r="P5" i="24"/>
  <c r="I6" i="24"/>
  <c r="Q6" i="24"/>
  <c r="J7" i="24"/>
  <c r="C8" i="24"/>
  <c r="K8" i="24"/>
  <c r="D9" i="24"/>
  <c r="L9" i="24"/>
  <c r="E10" i="24"/>
  <c r="M10" i="24"/>
  <c r="F11" i="24"/>
  <c r="N11" i="24"/>
  <c r="G12" i="24"/>
  <c r="O12" i="24"/>
  <c r="H13" i="24"/>
  <c r="P13" i="24"/>
  <c r="I14" i="24"/>
  <c r="Q14" i="24"/>
  <c r="C17" i="24"/>
  <c r="K17" i="24"/>
  <c r="D18" i="24"/>
  <c r="L18" i="24"/>
  <c r="E20" i="24"/>
  <c r="M20" i="24"/>
  <c r="F21" i="24"/>
  <c r="N21" i="24"/>
  <c r="G22" i="24"/>
  <c r="O22" i="24"/>
  <c r="H23" i="24"/>
  <c r="P23" i="24"/>
  <c r="I24" i="24"/>
  <c r="Q24" i="24"/>
  <c r="J25" i="24"/>
  <c r="C26" i="24"/>
  <c r="K26" i="24"/>
  <c r="D28" i="24"/>
  <c r="L28" i="24"/>
  <c r="E30" i="24"/>
  <c r="M30" i="24"/>
  <c r="F31" i="24"/>
  <c r="N31" i="24"/>
  <c r="G32" i="24"/>
  <c r="O32" i="24"/>
  <c r="H33" i="24"/>
  <c r="P33" i="24"/>
  <c r="T4" i="11"/>
  <c r="S16" i="14"/>
  <c r="S20" i="14"/>
  <c r="U21" i="14"/>
  <c r="W22" i="14"/>
  <c r="S24" i="14"/>
  <c r="R31" i="14"/>
  <c r="T32" i="14"/>
  <c r="I5" i="23"/>
  <c r="Q5" i="23"/>
  <c r="J6" i="23"/>
  <c r="C7" i="23"/>
  <c r="K7" i="23"/>
  <c r="D8" i="23"/>
  <c r="L8" i="23"/>
  <c r="E9" i="23"/>
  <c r="M9" i="23"/>
  <c r="F10" i="23"/>
  <c r="N10" i="23"/>
  <c r="G11" i="23"/>
  <c r="O11" i="23"/>
  <c r="H12" i="23"/>
  <c r="P12" i="23"/>
  <c r="I13" i="23"/>
  <c r="Q13" i="23"/>
  <c r="J14" i="23"/>
  <c r="D17" i="23"/>
  <c r="L17" i="23"/>
  <c r="E18" i="23"/>
  <c r="M18" i="23"/>
  <c r="F20" i="23"/>
  <c r="N20" i="23"/>
  <c r="G21" i="23"/>
  <c r="O21" i="23"/>
  <c r="H22" i="23"/>
  <c r="P22" i="23"/>
  <c r="I23" i="23"/>
  <c r="Q23" i="23"/>
  <c r="J24" i="23"/>
  <c r="C25" i="23"/>
  <c r="K25" i="23"/>
  <c r="D26" i="23"/>
  <c r="L26" i="23"/>
  <c r="E28" i="23"/>
  <c r="M28" i="23"/>
  <c r="F30" i="23"/>
  <c r="N30" i="23"/>
  <c r="G31" i="23"/>
  <c r="O31" i="23"/>
  <c r="H32" i="23"/>
  <c r="P32" i="23"/>
  <c r="I33" i="23"/>
  <c r="Q33" i="23"/>
  <c r="I5" i="24"/>
  <c r="Q5" i="24"/>
  <c r="J6" i="24"/>
  <c r="C7" i="24"/>
  <c r="K7" i="24"/>
  <c r="D8" i="24"/>
  <c r="L8" i="24"/>
  <c r="E9" i="24"/>
  <c r="M9" i="24"/>
  <c r="F10" i="24"/>
  <c r="N10" i="24"/>
  <c r="G11" i="24"/>
  <c r="O11" i="24"/>
  <c r="H12" i="24"/>
  <c r="P12" i="24"/>
  <c r="I13" i="24"/>
  <c r="Q13" i="24"/>
  <c r="J14" i="24"/>
  <c r="D17" i="24"/>
  <c r="L17" i="24"/>
  <c r="E18" i="24"/>
  <c r="M18" i="24"/>
  <c r="F20" i="24"/>
  <c r="N20" i="24"/>
  <c r="G21" i="24"/>
  <c r="O21" i="24"/>
  <c r="H22" i="24"/>
  <c r="P22" i="24"/>
  <c r="I23" i="24"/>
  <c r="Q23" i="24"/>
  <c r="J24" i="24"/>
  <c r="C25" i="24"/>
  <c r="K25" i="24"/>
  <c r="D26" i="24"/>
  <c r="L26" i="24"/>
  <c r="E28" i="24"/>
  <c r="M28" i="24"/>
  <c r="F30" i="24"/>
  <c r="N30" i="24"/>
  <c r="G31" i="24"/>
  <c r="O31" i="24"/>
  <c r="H32" i="24"/>
  <c r="P32" i="24"/>
  <c r="I33" i="24"/>
  <c r="Q33" i="24"/>
  <c r="S21" i="25"/>
  <c r="S19" i="22"/>
  <c r="S19" i="25" s="1"/>
  <c r="V31" i="23"/>
  <c r="V29" i="19"/>
  <c r="T5" i="24"/>
  <c r="T5" i="21"/>
  <c r="V6" i="24"/>
  <c r="V6" i="21"/>
  <c r="R8" i="24"/>
  <c r="R8" i="21"/>
  <c r="T9" i="24"/>
  <c r="T9" i="21"/>
  <c r="V10" i="24"/>
  <c r="V10" i="21"/>
  <c r="R12" i="24"/>
  <c r="R12" i="21"/>
  <c r="T13" i="24"/>
  <c r="T13" i="21"/>
  <c r="V14" i="24"/>
  <c r="V14" i="21"/>
  <c r="W16" i="24"/>
  <c r="S18" i="24"/>
  <c r="S18" i="21"/>
  <c r="T19" i="20"/>
  <c r="T20" i="24"/>
  <c r="T20" i="21"/>
  <c r="V21" i="24"/>
  <c r="V21" i="21"/>
  <c r="R23" i="24"/>
  <c r="R23" i="21"/>
  <c r="T24" i="24"/>
  <c r="T24" i="21"/>
  <c r="V25" i="24"/>
  <c r="V25" i="21"/>
  <c r="R28" i="24"/>
  <c r="R27" i="24"/>
  <c r="R27" i="21"/>
  <c r="T30" i="24"/>
  <c r="T30" i="21"/>
  <c r="V31" i="24"/>
  <c r="V31" i="21"/>
  <c r="R33" i="24"/>
  <c r="R33" i="21"/>
  <c r="R26" i="21"/>
  <c r="S4" i="22"/>
  <c r="U29" i="22"/>
  <c r="U29" i="25" s="1"/>
  <c r="U30" i="25"/>
  <c r="U4" i="22"/>
  <c r="U4" i="25" s="1"/>
  <c r="U5" i="25"/>
  <c r="W6" i="25"/>
  <c r="W4" i="22"/>
  <c r="W16" i="22"/>
  <c r="W16" i="25" s="1"/>
  <c r="W17" i="25"/>
  <c r="V19" i="19"/>
  <c r="V19" i="23" s="1"/>
  <c r="V20" i="23"/>
  <c r="R19" i="19"/>
  <c r="R19" i="23" s="1"/>
  <c r="R22" i="23"/>
  <c r="T23" i="23"/>
  <c r="T19" i="19"/>
  <c r="T19" i="23" s="1"/>
  <c r="T27" i="23"/>
  <c r="T28" i="23"/>
  <c r="S17" i="23"/>
  <c r="S16" i="19"/>
  <c r="S16" i="23" s="1"/>
  <c r="R10" i="21"/>
  <c r="V20" i="21"/>
  <c r="T11" i="21"/>
  <c r="R22" i="21"/>
  <c r="R4" i="19"/>
  <c r="R6" i="23"/>
  <c r="T4" i="19"/>
  <c r="T7" i="23"/>
  <c r="V8" i="23"/>
  <c r="V4" i="19"/>
  <c r="V4" i="23" s="1"/>
  <c r="V12" i="21"/>
  <c r="T23" i="21"/>
  <c r="R14" i="21"/>
  <c r="V24" i="21"/>
  <c r="U15" i="18"/>
  <c r="U15" i="23" s="1"/>
  <c r="W5" i="23"/>
  <c r="S7" i="23"/>
  <c r="U8" i="23"/>
  <c r="W9" i="23"/>
  <c r="S11" i="23"/>
  <c r="U12" i="23"/>
  <c r="W13" i="23"/>
  <c r="U20" i="23"/>
  <c r="W21" i="23"/>
  <c r="S23" i="23"/>
  <c r="U24" i="23"/>
  <c r="W25" i="23"/>
  <c r="S27" i="23"/>
  <c r="S28" i="23"/>
  <c r="S30" i="23"/>
  <c r="U31" i="23"/>
  <c r="W32" i="23"/>
  <c r="S4" i="20"/>
  <c r="S5" i="24"/>
  <c r="U4" i="20"/>
  <c r="U6" i="24"/>
  <c r="W4" i="20"/>
  <c r="W7" i="24"/>
  <c r="S9" i="24"/>
  <c r="W11" i="24"/>
  <c r="S13" i="24"/>
  <c r="U14" i="24"/>
  <c r="R18" i="24"/>
  <c r="S20" i="24"/>
  <c r="S20" i="27" s="1"/>
  <c r="U21" i="24"/>
  <c r="W22" i="24"/>
  <c r="S24" i="24"/>
  <c r="U25" i="24"/>
  <c r="W26" i="24"/>
  <c r="S29" i="20"/>
  <c r="S30" i="24"/>
  <c r="U31" i="24"/>
  <c r="W29" i="20"/>
  <c r="W32" i="24"/>
  <c r="T5" i="25"/>
  <c r="V6" i="25"/>
  <c r="R8" i="25"/>
  <c r="T9" i="25"/>
  <c r="V10" i="25"/>
  <c r="V16" i="22"/>
  <c r="V16" i="25" s="1"/>
  <c r="V17" i="25"/>
  <c r="R21" i="25"/>
  <c r="T22" i="25"/>
  <c r="V23" i="25"/>
  <c r="V31" i="25"/>
  <c r="S15" i="18"/>
  <c r="S15" i="23" s="1"/>
  <c r="S6" i="23"/>
  <c r="U7" i="23"/>
  <c r="W8" i="23"/>
  <c r="S10" i="23"/>
  <c r="U11" i="23"/>
  <c r="W12" i="23"/>
  <c r="S14" i="23"/>
  <c r="T17" i="23"/>
  <c r="V18" i="23"/>
  <c r="W19" i="19"/>
  <c r="W20" i="23"/>
  <c r="S22" i="23"/>
  <c r="U23" i="23"/>
  <c r="W24" i="23"/>
  <c r="S26" i="23"/>
  <c r="U28" i="23"/>
  <c r="U29" i="19"/>
  <c r="U29" i="23" s="1"/>
  <c r="U30" i="23"/>
  <c r="W29" i="19"/>
  <c r="W29" i="23" s="1"/>
  <c r="W31" i="23"/>
  <c r="S33" i="23"/>
  <c r="U5" i="24"/>
  <c r="W6" i="24"/>
  <c r="S8" i="24"/>
  <c r="U9" i="24"/>
  <c r="W10" i="24"/>
  <c r="S12" i="24"/>
  <c r="U13" i="24"/>
  <c r="W14" i="24"/>
  <c r="R16" i="20"/>
  <c r="R17" i="24"/>
  <c r="T16" i="20"/>
  <c r="T18" i="24"/>
  <c r="U20" i="24"/>
  <c r="W21" i="24"/>
  <c r="S23" i="24"/>
  <c r="U24" i="24"/>
  <c r="W25" i="24"/>
  <c r="S28" i="24"/>
  <c r="S27" i="24"/>
  <c r="U29" i="20"/>
  <c r="U30" i="24"/>
  <c r="W31" i="24"/>
  <c r="S33" i="24"/>
  <c r="V4" i="22"/>
  <c r="V4" i="25" s="1"/>
  <c r="V5" i="25"/>
  <c r="R4" i="22"/>
  <c r="R7" i="25"/>
  <c r="T8" i="25"/>
  <c r="V9" i="25"/>
  <c r="R16" i="25"/>
  <c r="R19" i="22"/>
  <c r="R19" i="25" s="1"/>
  <c r="R20" i="25"/>
  <c r="T21" i="25"/>
  <c r="V19" i="22"/>
  <c r="V19" i="25" s="1"/>
  <c r="V22" i="25"/>
  <c r="R24" i="25"/>
  <c r="V30" i="25"/>
  <c r="V13" i="24"/>
  <c r="U19" i="18"/>
  <c r="U27" i="23" s="1"/>
  <c r="U16" i="19"/>
  <c r="U16" i="23" s="1"/>
  <c r="U17" i="23"/>
  <c r="W16" i="19"/>
  <c r="W16" i="23" s="1"/>
  <c r="W18" i="23"/>
  <c r="R21" i="23"/>
  <c r="T22" i="23"/>
  <c r="V23" i="23"/>
  <c r="R25" i="23"/>
  <c r="T26" i="23"/>
  <c r="V27" i="23"/>
  <c r="V28" i="23"/>
  <c r="V30" i="23"/>
  <c r="R32" i="23"/>
  <c r="T33" i="23"/>
  <c r="V4" i="20"/>
  <c r="V5" i="24"/>
  <c r="R7" i="24"/>
  <c r="T8" i="24"/>
  <c r="V9" i="24"/>
  <c r="R11" i="24"/>
  <c r="T12" i="24"/>
  <c r="S16" i="20"/>
  <c r="S17" i="24"/>
  <c r="U16" i="20"/>
  <c r="U18" i="24"/>
  <c r="V20" i="24"/>
  <c r="R22" i="24"/>
  <c r="T23" i="24"/>
  <c r="V24" i="24"/>
  <c r="R26" i="24"/>
  <c r="T27" i="24"/>
  <c r="T28" i="24"/>
  <c r="V29" i="20"/>
  <c r="V30" i="24"/>
  <c r="R32" i="24"/>
  <c r="T33" i="24"/>
  <c r="R17" i="21"/>
  <c r="T18" i="21"/>
  <c r="W5" i="25"/>
  <c r="S7" i="25"/>
  <c r="U8" i="25"/>
  <c r="W9" i="25"/>
  <c r="U16" i="25"/>
  <c r="S20" i="25"/>
  <c r="S20" i="28" s="1"/>
  <c r="U21" i="25"/>
  <c r="W22" i="25"/>
  <c r="S24" i="25"/>
  <c r="W30" i="25"/>
  <c r="S32" i="25"/>
  <c r="S5" i="23"/>
  <c r="U6" i="23"/>
  <c r="W7" i="23"/>
  <c r="S9" i="23"/>
  <c r="U10" i="23"/>
  <c r="W11" i="23"/>
  <c r="S13" i="23"/>
  <c r="U14" i="23"/>
  <c r="V17" i="23"/>
  <c r="S21" i="23"/>
  <c r="U22" i="23"/>
  <c r="W23" i="23"/>
  <c r="S25" i="23"/>
  <c r="U26" i="23"/>
  <c r="W28" i="23"/>
  <c r="W30" i="23"/>
  <c r="S32" i="23"/>
  <c r="U33" i="23"/>
  <c r="W5" i="24"/>
  <c r="S7" i="24"/>
  <c r="U8" i="24"/>
  <c r="W9" i="24"/>
  <c r="S11" i="24"/>
  <c r="U12" i="24"/>
  <c r="W13" i="24"/>
  <c r="T17" i="24"/>
  <c r="V18" i="24"/>
  <c r="W20" i="24"/>
  <c r="S22" i="24"/>
  <c r="U23" i="24"/>
  <c r="W24" i="24"/>
  <c r="S26" i="24"/>
  <c r="U28" i="24"/>
  <c r="W30" i="24"/>
  <c r="S32" i="24"/>
  <c r="U33" i="24"/>
  <c r="S5" i="21"/>
  <c r="U6" i="21"/>
  <c r="W7" i="21"/>
  <c r="S9" i="21"/>
  <c r="W11" i="21"/>
  <c r="S13" i="21"/>
  <c r="U14" i="21"/>
  <c r="W15" i="21"/>
  <c r="S17" i="21"/>
  <c r="U18" i="21"/>
  <c r="S30" i="21"/>
  <c r="U31" i="21"/>
  <c r="W32" i="21"/>
  <c r="R6" i="25"/>
  <c r="T7" i="25"/>
  <c r="V8" i="25"/>
  <c r="R10" i="25"/>
  <c r="R17" i="25"/>
  <c r="T19" i="22"/>
  <c r="T19" i="25" s="1"/>
  <c r="T20" i="25"/>
  <c r="V21" i="25"/>
  <c r="R23" i="25"/>
  <c r="T24" i="25"/>
  <c r="R31" i="25"/>
  <c r="R15" i="18"/>
  <c r="R15" i="23" s="1"/>
  <c r="T4" i="18"/>
  <c r="T3" i="18" s="1"/>
  <c r="V15" i="18"/>
  <c r="V15" i="23" s="1"/>
  <c r="W19" i="18"/>
  <c r="W19" i="25" s="1"/>
  <c r="V29" i="18"/>
  <c r="T5" i="23"/>
  <c r="V6" i="23"/>
  <c r="R8" i="23"/>
  <c r="T9" i="23"/>
  <c r="V10" i="23"/>
  <c r="R12" i="23"/>
  <c r="T13" i="23"/>
  <c r="V14" i="23"/>
  <c r="W17" i="23"/>
  <c r="R20" i="23"/>
  <c r="T21" i="23"/>
  <c r="V22" i="23"/>
  <c r="R24" i="23"/>
  <c r="T25" i="23"/>
  <c r="V26" i="23"/>
  <c r="S29" i="19"/>
  <c r="R29" i="19"/>
  <c r="R29" i="23" s="1"/>
  <c r="R31" i="23"/>
  <c r="T29" i="19"/>
  <c r="T29" i="23" s="1"/>
  <c r="T32" i="23"/>
  <c r="V33" i="23"/>
  <c r="R6" i="24"/>
  <c r="V8" i="24"/>
  <c r="R10" i="24"/>
  <c r="T11" i="24"/>
  <c r="V12" i="24"/>
  <c r="R14" i="24"/>
  <c r="U17" i="24"/>
  <c r="W18" i="24"/>
  <c r="R19" i="20"/>
  <c r="R21" i="24"/>
  <c r="T22" i="24"/>
  <c r="V19" i="20"/>
  <c r="V23" i="24"/>
  <c r="R25" i="24"/>
  <c r="T26" i="24"/>
  <c r="V28" i="24"/>
  <c r="V27" i="24"/>
  <c r="R31" i="24"/>
  <c r="T32" i="24"/>
  <c r="V33" i="24"/>
  <c r="T17" i="21"/>
  <c r="V18" i="21"/>
  <c r="S6" i="25"/>
  <c r="U7" i="25"/>
  <c r="W8" i="25"/>
  <c r="S10" i="25"/>
  <c r="S16" i="22"/>
  <c r="S16" i="25" s="1"/>
  <c r="S17" i="25"/>
  <c r="U19" i="22"/>
  <c r="U20" i="25"/>
  <c r="W21" i="25"/>
  <c r="S23" i="25"/>
  <c r="U24" i="25"/>
  <c r="W29" i="22"/>
  <c r="W29" i="25" s="1"/>
  <c r="S31" i="25"/>
  <c r="S29" i="18"/>
  <c r="S29" i="25" s="1"/>
  <c r="U4" i="19"/>
  <c r="U5" i="23"/>
  <c r="W4" i="19"/>
  <c r="W6" i="23"/>
  <c r="S8" i="23"/>
  <c r="U9" i="23"/>
  <c r="W10" i="23"/>
  <c r="S12" i="23"/>
  <c r="U13" i="23"/>
  <c r="W14" i="23"/>
  <c r="T16" i="23"/>
  <c r="R16" i="19"/>
  <c r="R16" i="23" s="1"/>
  <c r="R18" i="23"/>
  <c r="S19" i="19"/>
  <c r="S19" i="23" s="1"/>
  <c r="S20" i="23"/>
  <c r="S20" i="26" s="1"/>
  <c r="U19" i="19"/>
  <c r="U21" i="23"/>
  <c r="W22" i="23"/>
  <c r="S24" i="23"/>
  <c r="U25" i="23"/>
  <c r="W26" i="23"/>
  <c r="S31" i="23"/>
  <c r="U32" i="23"/>
  <c r="W33" i="23"/>
  <c r="S6" i="24"/>
  <c r="U7" i="24"/>
  <c r="W8" i="24"/>
  <c r="S10" i="24"/>
  <c r="U11" i="24"/>
  <c r="W12" i="24"/>
  <c r="S14" i="24"/>
  <c r="U15" i="24"/>
  <c r="V16" i="20"/>
  <c r="V17" i="24"/>
  <c r="S19" i="20"/>
  <c r="S21" i="24"/>
  <c r="U19" i="20"/>
  <c r="U22" i="24"/>
  <c r="W23" i="24"/>
  <c r="S25" i="24"/>
  <c r="U26" i="24"/>
  <c r="W28" i="24"/>
  <c r="S31" i="24"/>
  <c r="U32" i="24"/>
  <c r="W33" i="24"/>
  <c r="U5" i="21"/>
  <c r="W6" i="21"/>
  <c r="S8" i="21"/>
  <c r="U9" i="21"/>
  <c r="W10" i="21"/>
  <c r="S12" i="21"/>
  <c r="U13" i="21"/>
  <c r="W14" i="21"/>
  <c r="U17" i="21"/>
  <c r="W18" i="21"/>
  <c r="S20" i="21"/>
  <c r="U21" i="21"/>
  <c r="W22" i="21"/>
  <c r="S24" i="21"/>
  <c r="U25" i="21"/>
  <c r="W26" i="21"/>
  <c r="U30" i="21"/>
  <c r="W31" i="21"/>
  <c r="S33" i="21"/>
  <c r="R5" i="25"/>
  <c r="T6" i="25"/>
  <c r="V7" i="25"/>
  <c r="R9" i="25"/>
  <c r="T10" i="25"/>
  <c r="T16" i="22"/>
  <c r="T16" i="25" s="1"/>
  <c r="T17" i="25"/>
  <c r="V20" i="25"/>
  <c r="R22" i="25"/>
  <c r="T23" i="25"/>
  <c r="V24" i="25"/>
  <c r="R29" i="22"/>
  <c r="R29" i="25" s="1"/>
  <c r="R30" i="25"/>
  <c r="T15" i="18"/>
  <c r="T15" i="23" s="1"/>
  <c r="V5" i="23"/>
  <c r="R7" i="23"/>
  <c r="T8" i="23"/>
  <c r="V9" i="23"/>
  <c r="R11" i="23"/>
  <c r="T12" i="23"/>
  <c r="V13" i="23"/>
  <c r="V16" i="19"/>
  <c r="V16" i="23" s="1"/>
  <c r="S18" i="23"/>
  <c r="T20" i="23"/>
  <c r="R23" i="23"/>
  <c r="T24" i="23"/>
  <c r="V25" i="23"/>
  <c r="R27" i="23"/>
  <c r="R28" i="23"/>
  <c r="R30" i="23"/>
  <c r="T31" i="23"/>
  <c r="V32" i="23"/>
  <c r="R4" i="20"/>
  <c r="R5" i="24"/>
  <c r="T4" i="20"/>
  <c r="T6" i="24"/>
  <c r="V7" i="24"/>
  <c r="R9" i="24"/>
  <c r="T10" i="24"/>
  <c r="V11" i="24"/>
  <c r="R13" i="24"/>
  <c r="T14" i="24"/>
  <c r="W17" i="24"/>
  <c r="R20" i="24"/>
  <c r="T21" i="24"/>
  <c r="V22" i="24"/>
  <c r="R24" i="24"/>
  <c r="T25" i="24"/>
  <c r="V26" i="24"/>
  <c r="R29" i="20"/>
  <c r="R30" i="24"/>
  <c r="T29" i="20"/>
  <c r="T31" i="24"/>
  <c r="V32" i="24"/>
  <c r="V5" i="21"/>
  <c r="R7" i="21"/>
  <c r="T8" i="21"/>
  <c r="V9" i="21"/>
  <c r="R11" i="21"/>
  <c r="T12" i="21"/>
  <c r="R15" i="21"/>
  <c r="V17" i="21"/>
  <c r="V30" i="21"/>
  <c r="R32" i="21"/>
  <c r="T33" i="21"/>
  <c r="S5" i="25"/>
  <c r="U6" i="25"/>
  <c r="W7" i="25"/>
  <c r="S9" i="25"/>
  <c r="U10" i="25"/>
  <c r="U17" i="25"/>
  <c r="W20" i="25"/>
  <c r="S22" i="25"/>
  <c r="U23" i="25"/>
  <c r="W24" i="25"/>
  <c r="S30" i="25"/>
  <c r="R32" i="25"/>
  <c r="T32" i="25"/>
  <c r="U32" i="25"/>
  <c r="U32" i="28" s="1"/>
  <c r="T31" i="25"/>
  <c r="V29" i="22"/>
  <c r="V32" i="25"/>
  <c r="V32" i="28" s="1"/>
  <c r="U31" i="25"/>
  <c r="W32" i="25"/>
  <c r="W32" i="28" s="1"/>
  <c r="T29" i="22"/>
  <c r="T29" i="25" s="1"/>
  <c r="T30" i="25"/>
  <c r="W31" i="25"/>
  <c r="B72" i="29"/>
  <c r="B16" i="29"/>
  <c r="B8" i="29" s="1"/>
  <c r="T3" i="31"/>
  <c r="I11" i="29"/>
  <c r="I4" i="29"/>
  <c r="Q11" i="29"/>
  <c r="Q4" i="29"/>
  <c r="E5" i="29"/>
  <c r="E11" i="29"/>
  <c r="M5" i="29"/>
  <c r="M11" i="29"/>
  <c r="U5" i="31"/>
  <c r="U5" i="29"/>
  <c r="U7" i="29"/>
  <c r="U5" i="33"/>
  <c r="U5" i="35"/>
  <c r="U9" i="29"/>
  <c r="U69" i="29"/>
  <c r="U6" i="31" s="1"/>
  <c r="U8" i="31"/>
  <c r="U71" i="29"/>
  <c r="U6" i="33" s="1"/>
  <c r="U8" i="33"/>
  <c r="U73" i="29"/>
  <c r="U6" i="35" s="1"/>
  <c r="U8" i="35"/>
  <c r="V3" i="30"/>
  <c r="O3" i="29"/>
  <c r="F3" i="29"/>
  <c r="W8" i="34"/>
  <c r="S3" i="33"/>
  <c r="S8" i="32"/>
  <c r="W3" i="31"/>
  <c r="W8" i="30"/>
  <c r="N3" i="29"/>
  <c r="W8" i="35"/>
  <c r="S8" i="33"/>
  <c r="U8" i="32"/>
  <c r="W8" i="31"/>
  <c r="B69" i="29"/>
  <c r="T3" i="34"/>
  <c r="R8" i="34"/>
  <c r="T8" i="33"/>
  <c r="V8" i="32"/>
  <c r="R3" i="31"/>
  <c r="R8" i="30"/>
  <c r="P3" i="29"/>
  <c r="U3" i="34"/>
  <c r="S8" i="34"/>
  <c r="W3" i="33"/>
  <c r="W8" i="32"/>
  <c r="S3" i="31"/>
  <c r="S8" i="30"/>
  <c r="G3" i="29"/>
  <c r="P11" i="29"/>
  <c r="R8" i="35"/>
  <c r="V3" i="34"/>
  <c r="T8" i="34"/>
  <c r="V8" i="33"/>
  <c r="T5" i="32"/>
  <c r="R8" i="31"/>
  <c r="T8" i="30"/>
  <c r="C69" i="29"/>
  <c r="H11" i="29"/>
  <c r="S8" i="35"/>
  <c r="W3" i="34"/>
  <c r="U8" i="34"/>
  <c r="W8" i="33"/>
  <c r="S8" i="31"/>
  <c r="W3" i="30"/>
  <c r="U8" i="30"/>
  <c r="B7" i="29"/>
  <c r="T8" i="35"/>
  <c r="V8" i="34"/>
  <c r="R3" i="33"/>
  <c r="T3" i="32"/>
  <c r="R8" i="32"/>
  <c r="T8" i="31"/>
  <c r="V8" i="30"/>
  <c r="H3" i="29"/>
  <c r="D4" i="29"/>
  <c r="L4" i="29"/>
  <c r="T4" i="29"/>
  <c r="C8" i="29"/>
  <c r="C12" i="29"/>
  <c r="W15" i="18"/>
  <c r="W15" i="24" s="1"/>
  <c r="R4" i="18"/>
  <c r="R3" i="18" s="1"/>
  <c r="S4" i="18"/>
  <c r="S3" i="18" s="1"/>
  <c r="V15" i="7"/>
  <c r="V15" i="12" s="1"/>
  <c r="T4" i="7"/>
  <c r="T3" i="7" s="1"/>
  <c r="U4" i="7"/>
  <c r="U3" i="7" s="1"/>
  <c r="S3" i="35" l="1"/>
  <c r="U19" i="23"/>
  <c r="R3" i="35"/>
  <c r="T3" i="35"/>
  <c r="U3" i="32"/>
  <c r="K3" i="29"/>
  <c r="V3" i="32"/>
  <c r="W3" i="32"/>
  <c r="W3" i="35"/>
  <c r="V3" i="31"/>
  <c r="W3" i="8"/>
  <c r="W3" i="29"/>
  <c r="V4" i="14"/>
  <c r="U19" i="25"/>
  <c r="U3" i="30"/>
  <c r="R3" i="8"/>
  <c r="U27" i="24"/>
  <c r="R3" i="29"/>
  <c r="S3" i="30"/>
  <c r="T15" i="12"/>
  <c r="T19" i="14"/>
  <c r="T3" i="11"/>
  <c r="T27" i="13"/>
  <c r="S3" i="32"/>
  <c r="S15" i="24"/>
  <c r="S3" i="29"/>
  <c r="S3" i="34"/>
  <c r="U3" i="22"/>
  <c r="V3" i="19"/>
  <c r="V3" i="23" s="1"/>
  <c r="R19" i="14"/>
  <c r="S3" i="8"/>
  <c r="S3" i="12" s="1"/>
  <c r="V3" i="33"/>
  <c r="V3" i="29"/>
  <c r="W16" i="14"/>
  <c r="W27" i="24"/>
  <c r="W19" i="24"/>
  <c r="W27" i="23"/>
  <c r="U27" i="13"/>
  <c r="R3" i="30"/>
  <c r="R3" i="34"/>
  <c r="J3" i="29"/>
  <c r="T15" i="24"/>
  <c r="V27" i="13"/>
  <c r="U27" i="12"/>
  <c r="U19" i="13"/>
  <c r="R15" i="12"/>
  <c r="V3" i="22"/>
  <c r="V3" i="25" s="1"/>
  <c r="R4" i="12"/>
  <c r="R27" i="12"/>
  <c r="S29" i="23"/>
  <c r="W16" i="21"/>
  <c r="V19" i="14"/>
  <c r="R4" i="14"/>
  <c r="V15" i="24"/>
  <c r="T3" i="29"/>
  <c r="T3" i="30"/>
  <c r="V3" i="20"/>
  <c r="V4" i="24"/>
  <c r="V4" i="21"/>
  <c r="S4" i="13"/>
  <c r="S4" i="10"/>
  <c r="S19" i="13"/>
  <c r="S19" i="10"/>
  <c r="R3" i="12"/>
  <c r="E3" i="29"/>
  <c r="R3" i="20"/>
  <c r="R4" i="24"/>
  <c r="R4" i="21"/>
  <c r="S19" i="24"/>
  <c r="S19" i="21"/>
  <c r="S3" i="19"/>
  <c r="T3" i="19"/>
  <c r="T4" i="23"/>
  <c r="R19" i="13"/>
  <c r="R19" i="10"/>
  <c r="V15" i="13"/>
  <c r="R29" i="14"/>
  <c r="U29" i="13"/>
  <c r="U29" i="10"/>
  <c r="V16" i="13"/>
  <c r="V16" i="10"/>
  <c r="V19" i="12"/>
  <c r="W29" i="10"/>
  <c r="T3" i="8"/>
  <c r="T4" i="12"/>
  <c r="R4" i="13"/>
  <c r="R4" i="10"/>
  <c r="S3" i="9"/>
  <c r="R15" i="24"/>
  <c r="R3" i="19"/>
  <c r="R4" i="23"/>
  <c r="T4" i="14"/>
  <c r="U16" i="13"/>
  <c r="U16" i="10"/>
  <c r="T16" i="13"/>
  <c r="T16" i="10"/>
  <c r="S29" i="13"/>
  <c r="S29" i="10"/>
  <c r="T19" i="12"/>
  <c r="R29" i="13"/>
  <c r="R29" i="10"/>
  <c r="W16" i="12"/>
  <c r="S3" i="20"/>
  <c r="S4" i="24"/>
  <c r="S4" i="21"/>
  <c r="L3" i="29"/>
  <c r="R3" i="9"/>
  <c r="I3" i="29"/>
  <c r="V16" i="24"/>
  <c r="V16" i="21"/>
  <c r="U3" i="19"/>
  <c r="U4" i="23"/>
  <c r="U29" i="24"/>
  <c r="U29" i="21"/>
  <c r="W19" i="23"/>
  <c r="W19" i="21"/>
  <c r="W3" i="22"/>
  <c r="W4" i="25"/>
  <c r="V29" i="23"/>
  <c r="S16" i="13"/>
  <c r="S16" i="10"/>
  <c r="U3" i="9"/>
  <c r="U4" i="13"/>
  <c r="U4" i="10"/>
  <c r="V19" i="13"/>
  <c r="V19" i="10"/>
  <c r="U3" i="33"/>
  <c r="T3" i="22"/>
  <c r="D3" i="29"/>
  <c r="U3" i="29"/>
  <c r="U3" i="31"/>
  <c r="R3" i="22"/>
  <c r="T29" i="24"/>
  <c r="T29" i="21"/>
  <c r="V19" i="24"/>
  <c r="V19" i="21"/>
  <c r="W15" i="23"/>
  <c r="T16" i="24"/>
  <c r="T16" i="21"/>
  <c r="W29" i="24"/>
  <c r="W29" i="21"/>
  <c r="S4" i="12"/>
  <c r="V29" i="14"/>
  <c r="S3" i="11"/>
  <c r="S4" i="14"/>
  <c r="V3" i="9"/>
  <c r="V4" i="13"/>
  <c r="V4" i="10"/>
  <c r="V29" i="12"/>
  <c r="R19" i="12"/>
  <c r="W3" i="19"/>
  <c r="W4" i="23"/>
  <c r="S16" i="24"/>
  <c r="S16" i="21"/>
  <c r="R4" i="25"/>
  <c r="W3" i="20"/>
  <c r="W4" i="24"/>
  <c r="W4" i="21"/>
  <c r="V29" i="13"/>
  <c r="V29" i="10"/>
  <c r="R16" i="13"/>
  <c r="R16" i="10"/>
  <c r="R3" i="11"/>
  <c r="T3" i="20"/>
  <c r="T4" i="24"/>
  <c r="T4" i="21"/>
  <c r="U19" i="24"/>
  <c r="U19" i="21"/>
  <c r="V29" i="24"/>
  <c r="V29" i="21"/>
  <c r="R16" i="24"/>
  <c r="R16" i="21"/>
  <c r="T19" i="24"/>
  <c r="T19" i="21"/>
  <c r="T19" i="13"/>
  <c r="T19" i="10"/>
  <c r="W3" i="12"/>
  <c r="T29" i="14"/>
  <c r="U3" i="8"/>
  <c r="U4" i="12"/>
  <c r="W3" i="11"/>
  <c r="T3" i="9"/>
  <c r="T4" i="13"/>
  <c r="T4" i="10"/>
  <c r="V4" i="12"/>
  <c r="Q3" i="29"/>
  <c r="S3" i="22"/>
  <c r="S4" i="25"/>
  <c r="V3" i="11"/>
  <c r="M3" i="29"/>
  <c r="R29" i="24"/>
  <c r="R29" i="21"/>
  <c r="V3" i="8"/>
  <c r="U3" i="35"/>
  <c r="V29" i="25"/>
  <c r="R19" i="24"/>
  <c r="R19" i="21"/>
  <c r="T4" i="25"/>
  <c r="U16" i="24"/>
  <c r="U16" i="21"/>
  <c r="S29" i="24"/>
  <c r="S29" i="21"/>
  <c r="U3" i="20"/>
  <c r="U4" i="24"/>
  <c r="U4" i="21"/>
  <c r="S4" i="23"/>
  <c r="U3" i="11"/>
  <c r="U19" i="14"/>
  <c r="T29" i="12"/>
  <c r="U4" i="14"/>
  <c r="W19" i="13"/>
  <c r="W19" i="10"/>
  <c r="T29" i="13"/>
  <c r="T29" i="10"/>
  <c r="W3" i="9"/>
  <c r="W4" i="13"/>
  <c r="W4" i="10"/>
  <c r="C11" i="29"/>
  <c r="C4" i="29"/>
  <c r="T3" i="14" l="1"/>
  <c r="U3" i="25"/>
  <c r="W3" i="13"/>
  <c r="W3" i="10"/>
  <c r="U3" i="14"/>
  <c r="U3" i="13"/>
  <c r="U3" i="10"/>
  <c r="S3" i="24"/>
  <c r="S3" i="21"/>
  <c r="R3" i="23"/>
  <c r="R3" i="24"/>
  <c r="R3" i="21"/>
  <c r="V3" i="14"/>
  <c r="S3" i="25"/>
  <c r="R3" i="14"/>
  <c r="V3" i="24"/>
  <c r="V3" i="21"/>
  <c r="V3" i="12"/>
  <c r="U3" i="12"/>
  <c r="R3" i="13"/>
  <c r="R3" i="10"/>
  <c r="W3" i="23"/>
  <c r="R3" i="25"/>
  <c r="T3" i="23"/>
  <c r="U3" i="24"/>
  <c r="U3" i="21"/>
  <c r="U3" i="23"/>
  <c r="S3" i="23"/>
  <c r="V3" i="13"/>
  <c r="V3" i="10"/>
  <c r="T3" i="24"/>
  <c r="T3" i="21"/>
  <c r="T3" i="13"/>
  <c r="T3" i="10"/>
  <c r="W3" i="24"/>
  <c r="W3" i="21"/>
  <c r="W3" i="25"/>
  <c r="C3" i="29"/>
  <c r="W3" i="14"/>
  <c r="S3" i="14"/>
  <c r="T3" i="25"/>
  <c r="S3" i="13"/>
  <c r="S3" i="10"/>
  <c r="T3" i="12"/>
  <c r="W118" i="6"/>
  <c r="V118" i="6"/>
  <c r="U118" i="6"/>
  <c r="T118" i="6"/>
  <c r="S118" i="6"/>
  <c r="R118" i="6"/>
  <c r="Q118" i="6"/>
  <c r="P118" i="6"/>
  <c r="O118" i="6"/>
  <c r="N118" i="6"/>
  <c r="M118" i="6"/>
  <c r="L118" i="6"/>
  <c r="K118" i="6"/>
  <c r="J118" i="6"/>
  <c r="I118" i="6"/>
  <c r="H118" i="6"/>
  <c r="G118" i="6"/>
  <c r="F118" i="6"/>
  <c r="E118" i="6"/>
  <c r="D118" i="6"/>
  <c r="C118" i="6"/>
  <c r="Q104" i="6"/>
  <c r="P104" i="6"/>
  <c r="O104" i="6"/>
  <c r="N104" i="6"/>
  <c r="M104" i="6"/>
  <c r="L104" i="6"/>
  <c r="K104" i="6"/>
  <c r="J104" i="6"/>
  <c r="I104" i="6"/>
  <c r="H104" i="6"/>
  <c r="G104" i="6"/>
  <c r="F104" i="6"/>
  <c r="E104" i="6"/>
  <c r="D104" i="6"/>
  <c r="C104" i="6"/>
  <c r="W117" i="6"/>
  <c r="V117" i="6"/>
  <c r="U117" i="6"/>
  <c r="T117" i="6"/>
  <c r="S117" i="6"/>
  <c r="R117" i="6"/>
  <c r="Q117" i="6"/>
  <c r="P117" i="6"/>
  <c r="O117" i="6"/>
  <c r="N117" i="6"/>
  <c r="M117" i="6"/>
  <c r="L117" i="6"/>
  <c r="K117" i="6"/>
  <c r="J117" i="6"/>
  <c r="I117" i="6"/>
  <c r="H117" i="6"/>
  <c r="G117" i="6"/>
  <c r="F117" i="6"/>
  <c r="E117" i="6"/>
  <c r="D117" i="6"/>
  <c r="C117" i="6"/>
  <c r="Q103" i="6"/>
  <c r="P103" i="6"/>
  <c r="O103" i="6"/>
  <c r="N103" i="6"/>
  <c r="M103" i="6"/>
  <c r="L103" i="6"/>
  <c r="K103" i="6"/>
  <c r="J103" i="6"/>
  <c r="I103" i="6"/>
  <c r="H103" i="6"/>
  <c r="G103" i="6"/>
  <c r="F103" i="6"/>
  <c r="E103" i="6"/>
  <c r="D103" i="6"/>
  <c r="C103" i="6"/>
  <c r="W116" i="6"/>
  <c r="V116" i="6"/>
  <c r="U116" i="6"/>
  <c r="T116" i="6"/>
  <c r="S116" i="6"/>
  <c r="R116" i="6"/>
  <c r="Q116" i="6"/>
  <c r="P116" i="6"/>
  <c r="O116" i="6"/>
  <c r="N116" i="6"/>
  <c r="M116" i="6"/>
  <c r="L116" i="6"/>
  <c r="K116" i="6"/>
  <c r="J116" i="6"/>
  <c r="I116" i="6"/>
  <c r="H116" i="6"/>
  <c r="G116" i="6"/>
  <c r="F116" i="6"/>
  <c r="E116" i="6"/>
  <c r="D116" i="6"/>
  <c r="C116" i="6"/>
  <c r="P124" i="6" l="1"/>
  <c r="F125" i="6"/>
  <c r="N125" i="6"/>
  <c r="V104" i="6"/>
  <c r="J124" i="6"/>
  <c r="R103" i="6"/>
  <c r="H125" i="6"/>
  <c r="P125" i="6"/>
  <c r="C124" i="6"/>
  <c r="I125" i="6"/>
  <c r="Q125" i="6"/>
  <c r="H124" i="6"/>
  <c r="I124" i="6"/>
  <c r="W104" i="6"/>
  <c r="S103" i="6"/>
  <c r="D124" i="6"/>
  <c r="L124" i="6"/>
  <c r="T103" i="6"/>
  <c r="J125" i="6"/>
  <c r="R104" i="6"/>
  <c r="K124" i="6"/>
  <c r="U103" i="6"/>
  <c r="C125" i="6"/>
  <c r="K125" i="6"/>
  <c r="S104" i="6"/>
  <c r="G125" i="6"/>
  <c r="E124" i="6"/>
  <c r="F124" i="6"/>
  <c r="N124" i="6"/>
  <c r="V103" i="6"/>
  <c r="D125" i="6"/>
  <c r="L125" i="6"/>
  <c r="T104" i="6"/>
  <c r="Q124" i="6"/>
  <c r="O125" i="6"/>
  <c r="M124" i="6"/>
  <c r="G124" i="6"/>
  <c r="O124" i="6"/>
  <c r="W103" i="6"/>
  <c r="E125" i="6"/>
  <c r="M125" i="6"/>
  <c r="U104" i="6"/>
  <c r="Q102" i="6"/>
  <c r="P102" i="6"/>
  <c r="O102" i="6"/>
  <c r="N102" i="6"/>
  <c r="M102" i="6"/>
  <c r="L102" i="6"/>
  <c r="K102" i="6"/>
  <c r="J102" i="6"/>
  <c r="I102" i="6"/>
  <c r="H102" i="6"/>
  <c r="G102" i="6"/>
  <c r="F102" i="6"/>
  <c r="E102" i="6"/>
  <c r="D102" i="6"/>
  <c r="C102" i="6"/>
  <c r="W115" i="6"/>
  <c r="V115" i="6"/>
  <c r="U115" i="6"/>
  <c r="T115" i="6"/>
  <c r="R115" i="6"/>
  <c r="Q115" i="6"/>
  <c r="P115" i="6"/>
  <c r="O115" i="6"/>
  <c r="N115" i="6"/>
  <c r="M115" i="6"/>
  <c r="L115" i="6"/>
  <c r="K115" i="6"/>
  <c r="J115" i="6"/>
  <c r="I115" i="6"/>
  <c r="H115" i="6"/>
  <c r="G115" i="6"/>
  <c r="F115" i="6"/>
  <c r="E115" i="6"/>
  <c r="D115" i="6"/>
  <c r="Q101" i="6"/>
  <c r="P101" i="6"/>
  <c r="O101" i="6"/>
  <c r="N101" i="6"/>
  <c r="M101" i="6"/>
  <c r="L101" i="6"/>
  <c r="K101" i="6"/>
  <c r="J101" i="6"/>
  <c r="I101" i="6"/>
  <c r="H101" i="6"/>
  <c r="G101" i="6"/>
  <c r="F101" i="6"/>
  <c r="E101" i="6"/>
  <c r="D101" i="6"/>
  <c r="C101" i="6"/>
  <c r="H122" i="6" l="1"/>
  <c r="P122" i="6"/>
  <c r="C82" i="6"/>
  <c r="C114" i="6" s="1"/>
  <c r="C115" i="6"/>
  <c r="S82" i="6"/>
  <c r="S114" i="6" s="1"/>
  <c r="S115" i="6"/>
  <c r="F123" i="6"/>
  <c r="N123" i="6"/>
  <c r="V102" i="6"/>
  <c r="Q122" i="6"/>
  <c r="J122" i="6"/>
  <c r="R101" i="6"/>
  <c r="H123" i="6"/>
  <c r="P123" i="6"/>
  <c r="U125" i="6"/>
  <c r="O123" i="6"/>
  <c r="S125" i="6"/>
  <c r="C122" i="6"/>
  <c r="K122" i="6"/>
  <c r="S101" i="6"/>
  <c r="I123" i="6"/>
  <c r="Q123" i="6"/>
  <c r="S124" i="6"/>
  <c r="T125" i="6"/>
  <c r="D122" i="6"/>
  <c r="L122" i="6"/>
  <c r="T101" i="6"/>
  <c r="J123" i="6"/>
  <c r="R102" i="6"/>
  <c r="R124" i="6"/>
  <c r="G123" i="6"/>
  <c r="U124" i="6"/>
  <c r="T124" i="6"/>
  <c r="E122" i="6"/>
  <c r="M122" i="6"/>
  <c r="U101" i="6"/>
  <c r="C123" i="6"/>
  <c r="K123" i="6"/>
  <c r="S102" i="6"/>
  <c r="V124" i="6"/>
  <c r="V125" i="6"/>
  <c r="I122" i="6"/>
  <c r="F122" i="6"/>
  <c r="N122" i="6"/>
  <c r="V101" i="6"/>
  <c r="D123" i="6"/>
  <c r="L123" i="6"/>
  <c r="T102" i="6"/>
  <c r="W124" i="6"/>
  <c r="R125" i="6"/>
  <c r="W102" i="6"/>
  <c r="G122" i="6"/>
  <c r="O122" i="6"/>
  <c r="W101" i="6"/>
  <c r="E123" i="6"/>
  <c r="M123" i="6"/>
  <c r="U102" i="6"/>
  <c r="W125" i="6"/>
  <c r="I48" i="6"/>
  <c r="I100" i="6" s="1"/>
  <c r="Q48" i="6"/>
  <c r="Q100" i="6" s="1"/>
  <c r="H82" i="6"/>
  <c r="H114" i="6" s="1"/>
  <c r="P82" i="6"/>
  <c r="P114" i="6" s="1"/>
  <c r="N48" i="6"/>
  <c r="N100" i="6" s="1"/>
  <c r="E82" i="6"/>
  <c r="E114" i="6" s="1"/>
  <c r="B67" i="6"/>
  <c r="B71" i="6"/>
  <c r="J48" i="6"/>
  <c r="J100" i="6" s="1"/>
  <c r="R48" i="6"/>
  <c r="R100" i="6" s="1"/>
  <c r="I82" i="6"/>
  <c r="I114" i="6" s="1"/>
  <c r="E48" i="6"/>
  <c r="E100" i="6" s="1"/>
  <c r="M48" i="6"/>
  <c r="M100" i="6" s="1"/>
  <c r="U48" i="6"/>
  <c r="U100" i="6" s="1"/>
  <c r="V48" i="6"/>
  <c r="V100" i="6" s="1"/>
  <c r="C48" i="6"/>
  <c r="C100" i="6" s="1"/>
  <c r="K48" i="6"/>
  <c r="K100" i="6" s="1"/>
  <c r="S48" i="6"/>
  <c r="S100" i="6" s="1"/>
  <c r="R82" i="6"/>
  <c r="R114" i="6" s="1"/>
  <c r="T48" i="6"/>
  <c r="T100" i="6" s="1"/>
  <c r="U82" i="6"/>
  <c r="U114" i="6" s="1"/>
  <c r="D82" i="6"/>
  <c r="D114" i="6" s="1"/>
  <c r="L82" i="6"/>
  <c r="L114" i="6" s="1"/>
  <c r="T82" i="6"/>
  <c r="T114" i="6" s="1"/>
  <c r="K82" i="6"/>
  <c r="K114" i="6" s="1"/>
  <c r="J82" i="6"/>
  <c r="J114" i="6" s="1"/>
  <c r="L48" i="6"/>
  <c r="L100" i="6" s="1"/>
  <c r="G48" i="6"/>
  <c r="G100" i="6" s="1"/>
  <c r="O48" i="6"/>
  <c r="O100" i="6" s="1"/>
  <c r="W48" i="6"/>
  <c r="W100" i="6" s="1"/>
  <c r="F82" i="6"/>
  <c r="F114" i="6" s="1"/>
  <c r="N82" i="6"/>
  <c r="N114" i="6" s="1"/>
  <c r="V82" i="6"/>
  <c r="V114" i="6" s="1"/>
  <c r="F48" i="6"/>
  <c r="F100" i="6" s="1"/>
  <c r="M82" i="6"/>
  <c r="M114" i="6" s="1"/>
  <c r="H48" i="6"/>
  <c r="H100" i="6" s="1"/>
  <c r="P48" i="6"/>
  <c r="P100" i="6" s="1"/>
  <c r="G82" i="6"/>
  <c r="G114" i="6" s="1"/>
  <c r="O82" i="6"/>
  <c r="O114" i="6" s="1"/>
  <c r="W82" i="6"/>
  <c r="W114" i="6" s="1"/>
  <c r="Q82" i="6"/>
  <c r="Q114" i="6" s="1"/>
  <c r="D48" i="6"/>
  <c r="D100" i="6" s="1"/>
  <c r="C81" i="6" l="1"/>
  <c r="C113" i="6" s="1"/>
  <c r="S81" i="6"/>
  <c r="S113" i="6" s="1"/>
  <c r="C91" i="6"/>
  <c r="S90" i="6"/>
  <c r="H121" i="6"/>
  <c r="P121" i="6"/>
  <c r="W121" i="6"/>
  <c r="J121" i="6"/>
  <c r="N121" i="6"/>
  <c r="R123" i="6"/>
  <c r="O121" i="6"/>
  <c r="S121" i="6"/>
  <c r="S123" i="6"/>
  <c r="G121" i="6"/>
  <c r="D121" i="6"/>
  <c r="V122" i="6"/>
  <c r="T122" i="6"/>
  <c r="F121" i="6"/>
  <c r="C121" i="6"/>
  <c r="M121" i="6"/>
  <c r="I121" i="6"/>
  <c r="R122" i="6"/>
  <c r="U123" i="6"/>
  <c r="V121" i="6"/>
  <c r="K121" i="6"/>
  <c r="E121" i="6"/>
  <c r="W122" i="6"/>
  <c r="W123" i="6"/>
  <c r="S122" i="6"/>
  <c r="U121" i="6"/>
  <c r="L121" i="6"/>
  <c r="U122" i="6"/>
  <c r="V123" i="6"/>
  <c r="Q121" i="6"/>
  <c r="T121" i="6"/>
  <c r="R121" i="6"/>
  <c r="T123" i="6"/>
  <c r="Q47" i="6"/>
  <c r="Q99" i="6" s="1"/>
  <c r="G81" i="6"/>
  <c r="G113" i="6" s="1"/>
  <c r="G90" i="6"/>
  <c r="W47" i="6"/>
  <c r="W99" i="6" s="1"/>
  <c r="L47" i="6"/>
  <c r="L99" i="6" s="1"/>
  <c r="U47" i="6"/>
  <c r="U99" i="6" s="1"/>
  <c r="R47" i="6"/>
  <c r="R99" i="6" s="1"/>
  <c r="F47" i="6"/>
  <c r="F99" i="6" s="1"/>
  <c r="J81" i="6"/>
  <c r="J113" i="6" s="1"/>
  <c r="T81" i="6"/>
  <c r="T113" i="6" s="1"/>
  <c r="T90" i="6"/>
  <c r="J47" i="6"/>
  <c r="J99" i="6" s="1"/>
  <c r="E81" i="6"/>
  <c r="E113" i="6" s="1"/>
  <c r="P81" i="6"/>
  <c r="P113" i="6" s="1"/>
  <c r="I47" i="6"/>
  <c r="I99" i="6" s="1"/>
  <c r="P47" i="6"/>
  <c r="P99" i="6" s="1"/>
  <c r="V81" i="6"/>
  <c r="V113" i="6" s="1"/>
  <c r="V90" i="6"/>
  <c r="O47" i="6"/>
  <c r="O99" i="6" s="1"/>
  <c r="S47" i="6"/>
  <c r="S99" i="6" s="1"/>
  <c r="M47" i="6"/>
  <c r="M99" i="6" s="1"/>
  <c r="Q81" i="6"/>
  <c r="Q113" i="6" s="1"/>
  <c r="N47" i="6"/>
  <c r="N99" i="6" s="1"/>
  <c r="H81" i="6"/>
  <c r="H113" i="6" s="1"/>
  <c r="R81" i="6"/>
  <c r="R113" i="6" s="1"/>
  <c r="R90" i="6"/>
  <c r="W81" i="6"/>
  <c r="W113" i="6" s="1"/>
  <c r="W90" i="6"/>
  <c r="H47" i="6"/>
  <c r="H99" i="6" s="1"/>
  <c r="N81" i="6"/>
  <c r="N113" i="6" s="1"/>
  <c r="G47" i="6"/>
  <c r="G99" i="6" s="1"/>
  <c r="L81" i="6"/>
  <c r="L113" i="6" s="1"/>
  <c r="U81" i="6"/>
  <c r="U113" i="6" s="1"/>
  <c r="K47" i="6"/>
  <c r="K99" i="6" s="1"/>
  <c r="E47" i="6"/>
  <c r="E99" i="6" s="1"/>
  <c r="S89" i="6"/>
  <c r="S93" i="6"/>
  <c r="S94" i="6"/>
  <c r="S92" i="6"/>
  <c r="D81" i="6"/>
  <c r="D113" i="6" s="1"/>
  <c r="V47" i="6"/>
  <c r="V99" i="6" s="1"/>
  <c r="I81" i="6"/>
  <c r="I113" i="6" s="1"/>
  <c r="M81" i="6"/>
  <c r="M113" i="6" s="1"/>
  <c r="D47" i="6"/>
  <c r="D99" i="6" s="1"/>
  <c r="O81" i="6"/>
  <c r="O113" i="6" s="1"/>
  <c r="F81" i="6"/>
  <c r="F113" i="6" s="1"/>
  <c r="K81" i="6"/>
  <c r="K113" i="6" s="1"/>
  <c r="T47" i="6"/>
  <c r="T99" i="6" s="1"/>
  <c r="C47" i="6"/>
  <c r="C99" i="6" s="1"/>
  <c r="C89" i="6"/>
  <c r="C92" i="6"/>
  <c r="C93" i="6"/>
  <c r="C94" i="6"/>
  <c r="T56" i="6" l="1"/>
  <c r="L90" i="6"/>
  <c r="S91" i="6"/>
  <c r="O56" i="6"/>
  <c r="C90" i="6"/>
  <c r="O90" i="6"/>
  <c r="C56" i="6"/>
  <c r="H56" i="6"/>
  <c r="Q90" i="6"/>
  <c r="I56" i="6"/>
  <c r="U56" i="6"/>
  <c r="U90" i="6"/>
  <c r="F90" i="6"/>
  <c r="S56" i="6"/>
  <c r="D56" i="6"/>
  <c r="W56" i="6"/>
  <c r="V56" i="6"/>
  <c r="N56" i="6"/>
  <c r="J56" i="6"/>
  <c r="M90" i="6"/>
  <c r="K56" i="6"/>
  <c r="N90" i="6"/>
  <c r="H90" i="6"/>
  <c r="E90" i="6"/>
  <c r="F56" i="6"/>
  <c r="R56" i="6"/>
  <c r="D90" i="6"/>
  <c r="E56" i="6"/>
  <c r="G56" i="6"/>
  <c r="P90" i="6"/>
  <c r="J90" i="6"/>
  <c r="Q56" i="6"/>
  <c r="K90" i="6"/>
  <c r="M56" i="6"/>
  <c r="P56" i="6"/>
  <c r="L55" i="6"/>
  <c r="L61" i="6"/>
  <c r="L60" i="6"/>
  <c r="L59" i="6"/>
  <c r="L58" i="6"/>
  <c r="L57" i="6"/>
  <c r="F89" i="6"/>
  <c r="F94" i="6"/>
  <c r="F93" i="6"/>
  <c r="F92" i="6"/>
  <c r="F91" i="6"/>
  <c r="D89" i="6"/>
  <c r="D94" i="6"/>
  <c r="D93" i="6"/>
  <c r="D92" i="6"/>
  <c r="D91" i="6"/>
  <c r="K55" i="6"/>
  <c r="K61" i="6"/>
  <c r="K59" i="6"/>
  <c r="K60" i="6"/>
  <c r="K57" i="6"/>
  <c r="K58" i="6"/>
  <c r="N89" i="6"/>
  <c r="N94" i="6"/>
  <c r="N93" i="6"/>
  <c r="N92" i="6"/>
  <c r="N91" i="6"/>
  <c r="S61" i="6"/>
  <c r="S55" i="6"/>
  <c r="S59" i="6"/>
  <c r="S60" i="6"/>
  <c r="S57" i="6"/>
  <c r="S58" i="6"/>
  <c r="I61" i="6"/>
  <c r="I55" i="6"/>
  <c r="I60" i="6"/>
  <c r="I59" i="6"/>
  <c r="I58" i="6"/>
  <c r="I57" i="6"/>
  <c r="T89" i="6"/>
  <c r="T93" i="6"/>
  <c r="T92" i="6"/>
  <c r="T94" i="6"/>
  <c r="T91" i="6"/>
  <c r="C55" i="6"/>
  <c r="C61" i="6"/>
  <c r="C59" i="6"/>
  <c r="C60" i="6"/>
  <c r="C58" i="6"/>
  <c r="C57" i="6"/>
  <c r="M89" i="6"/>
  <c r="M93" i="6"/>
  <c r="M94" i="6"/>
  <c r="M92" i="6"/>
  <c r="M91" i="6"/>
  <c r="W55" i="6"/>
  <c r="W61" i="6"/>
  <c r="W59" i="6"/>
  <c r="W60" i="6"/>
  <c r="W58" i="6"/>
  <c r="W57" i="6"/>
  <c r="O89" i="6"/>
  <c r="O94" i="6"/>
  <c r="O92" i="6"/>
  <c r="O93" i="6"/>
  <c r="O91" i="6"/>
  <c r="I89" i="6"/>
  <c r="I93" i="6"/>
  <c r="I92" i="6"/>
  <c r="I94" i="6"/>
  <c r="I91" i="6"/>
  <c r="U89" i="6"/>
  <c r="U92" i="6"/>
  <c r="U93" i="6"/>
  <c r="U94" i="6"/>
  <c r="U91" i="6"/>
  <c r="H61" i="6"/>
  <c r="H55" i="6"/>
  <c r="H60" i="6"/>
  <c r="H59" i="6"/>
  <c r="H57" i="6"/>
  <c r="H58" i="6"/>
  <c r="R89" i="6"/>
  <c r="R94" i="6"/>
  <c r="R92" i="6"/>
  <c r="R93" i="6"/>
  <c r="R91" i="6"/>
  <c r="O55" i="6"/>
  <c r="O61" i="6"/>
  <c r="O59" i="6"/>
  <c r="O60" i="6"/>
  <c r="O58" i="6"/>
  <c r="O57" i="6"/>
  <c r="P89" i="6"/>
  <c r="P94" i="6"/>
  <c r="P92" i="6"/>
  <c r="P93" i="6"/>
  <c r="P91" i="6"/>
  <c r="J89" i="6"/>
  <c r="J94" i="6"/>
  <c r="J92" i="6"/>
  <c r="J93" i="6"/>
  <c r="J91" i="6"/>
  <c r="I90" i="6"/>
  <c r="R61" i="6"/>
  <c r="R55" i="6"/>
  <c r="R59" i="6"/>
  <c r="R60" i="6"/>
  <c r="R57" i="6"/>
  <c r="R58" i="6"/>
  <c r="G89" i="6"/>
  <c r="G94" i="6"/>
  <c r="G92" i="6"/>
  <c r="G93" i="6"/>
  <c r="G91" i="6"/>
  <c r="Q61" i="6"/>
  <c r="Q55" i="6"/>
  <c r="Q59" i="6"/>
  <c r="Q60" i="6"/>
  <c r="Q57" i="6"/>
  <c r="Q58" i="6"/>
  <c r="T61" i="6"/>
  <c r="T55" i="6"/>
  <c r="T60" i="6"/>
  <c r="T59" i="6"/>
  <c r="T58" i="6"/>
  <c r="T57" i="6"/>
  <c r="D55" i="6"/>
  <c r="D61" i="6"/>
  <c r="D59" i="6"/>
  <c r="D60" i="6"/>
  <c r="D58" i="6"/>
  <c r="D57" i="6"/>
  <c r="L89" i="6"/>
  <c r="L92" i="6"/>
  <c r="L94" i="6"/>
  <c r="L93" i="6"/>
  <c r="L91" i="6"/>
  <c r="W89" i="6"/>
  <c r="W93" i="6"/>
  <c r="W94" i="6"/>
  <c r="W92" i="6"/>
  <c r="W91" i="6"/>
  <c r="H89" i="6"/>
  <c r="H92" i="6"/>
  <c r="H93" i="6"/>
  <c r="H94" i="6"/>
  <c r="H91" i="6"/>
  <c r="Q89" i="6"/>
  <c r="Q93" i="6"/>
  <c r="Q94" i="6"/>
  <c r="Q92" i="6"/>
  <c r="Q91" i="6"/>
  <c r="V89" i="6"/>
  <c r="V94" i="6"/>
  <c r="V93" i="6"/>
  <c r="V92" i="6"/>
  <c r="V91" i="6"/>
  <c r="E89" i="6"/>
  <c r="E93" i="6"/>
  <c r="E94" i="6"/>
  <c r="E92" i="6"/>
  <c r="E91" i="6"/>
  <c r="F55" i="6"/>
  <c r="F61" i="6"/>
  <c r="F60" i="6"/>
  <c r="F59" i="6"/>
  <c r="F58" i="6"/>
  <c r="F57" i="6"/>
  <c r="V55" i="6"/>
  <c r="V61" i="6"/>
  <c r="V60" i="6"/>
  <c r="V59" i="6"/>
  <c r="V58" i="6"/>
  <c r="V57" i="6"/>
  <c r="U55" i="6"/>
  <c r="U61" i="6"/>
  <c r="U60" i="6"/>
  <c r="U59" i="6"/>
  <c r="U58" i="6"/>
  <c r="U57" i="6"/>
  <c r="K89" i="6"/>
  <c r="K94" i="6"/>
  <c r="K92" i="6"/>
  <c r="K93" i="6"/>
  <c r="K91" i="6"/>
  <c r="E61" i="6"/>
  <c r="E55" i="6"/>
  <c r="E60" i="6"/>
  <c r="E59" i="6"/>
  <c r="E58" i="6"/>
  <c r="E57" i="6"/>
  <c r="G55" i="6"/>
  <c r="G61" i="6"/>
  <c r="G59" i="6"/>
  <c r="G60" i="6"/>
  <c r="G58" i="6"/>
  <c r="G57" i="6"/>
  <c r="N55" i="6"/>
  <c r="N61" i="6"/>
  <c r="N60" i="6"/>
  <c r="N59" i="6"/>
  <c r="N58" i="6"/>
  <c r="N57" i="6"/>
  <c r="M61" i="6"/>
  <c r="M55" i="6"/>
  <c r="M59" i="6"/>
  <c r="M60" i="6"/>
  <c r="M58" i="6"/>
  <c r="M57" i="6"/>
  <c r="P61" i="6"/>
  <c r="P55" i="6"/>
  <c r="P60" i="6"/>
  <c r="P59" i="6"/>
  <c r="P58" i="6"/>
  <c r="P57" i="6"/>
  <c r="J55" i="6"/>
  <c r="J61" i="6"/>
  <c r="J59" i="6"/>
  <c r="J60" i="6"/>
  <c r="J57" i="6"/>
  <c r="J58" i="6"/>
  <c r="L56" i="6"/>
  <c r="W27" i="6" l="1"/>
  <c r="V27" i="6"/>
  <c r="U27" i="6"/>
  <c r="T27" i="6"/>
  <c r="S27" i="6"/>
  <c r="R27" i="6"/>
  <c r="Q27" i="6"/>
  <c r="P27" i="6"/>
  <c r="O27" i="6"/>
  <c r="N27" i="6"/>
  <c r="M27" i="6"/>
  <c r="L27" i="6"/>
  <c r="K27" i="6"/>
  <c r="J27" i="6"/>
  <c r="I27" i="6"/>
  <c r="H27" i="6"/>
  <c r="G27" i="6"/>
  <c r="F27" i="6"/>
  <c r="E27" i="6"/>
  <c r="D27" i="6"/>
  <c r="W26" i="6"/>
  <c r="V26" i="6"/>
  <c r="U26" i="6"/>
  <c r="T26" i="6"/>
  <c r="S26" i="6"/>
  <c r="R26" i="6"/>
  <c r="Q26" i="6"/>
  <c r="P26" i="6"/>
  <c r="O26" i="6"/>
  <c r="N26" i="6"/>
  <c r="M26" i="6"/>
  <c r="L26" i="6"/>
  <c r="K26" i="6"/>
  <c r="J26" i="6"/>
  <c r="I26" i="6"/>
  <c r="H26" i="6"/>
  <c r="G26" i="6"/>
  <c r="F26" i="6"/>
  <c r="E26" i="6"/>
  <c r="D26" i="6"/>
  <c r="W25" i="6"/>
  <c r="V25" i="6"/>
  <c r="U25" i="6"/>
  <c r="T25" i="6"/>
  <c r="S25" i="6"/>
  <c r="R25" i="6"/>
  <c r="Q25" i="6"/>
  <c r="P25" i="6"/>
  <c r="O25" i="6"/>
  <c r="N25" i="6"/>
  <c r="M25" i="6"/>
  <c r="L25" i="6"/>
  <c r="K25" i="6"/>
  <c r="J25" i="6"/>
  <c r="I25" i="6"/>
  <c r="H25" i="6"/>
  <c r="G25" i="6"/>
  <c r="F25" i="6"/>
  <c r="E25" i="6"/>
  <c r="D25" i="6"/>
  <c r="W24" i="6"/>
  <c r="V24" i="6"/>
  <c r="U24" i="6"/>
  <c r="T24" i="6"/>
  <c r="S24" i="6"/>
  <c r="R24" i="6"/>
  <c r="Q24" i="6"/>
  <c r="P24" i="6"/>
  <c r="O24" i="6"/>
  <c r="N24" i="6"/>
  <c r="M24" i="6"/>
  <c r="L24" i="6"/>
  <c r="K24" i="6"/>
  <c r="J24" i="6"/>
  <c r="I24" i="6"/>
  <c r="H24" i="6"/>
  <c r="G24" i="6"/>
  <c r="F24" i="6"/>
  <c r="E24" i="6"/>
  <c r="D24" i="6"/>
  <c r="W23" i="6"/>
  <c r="V23" i="6"/>
  <c r="U23" i="6"/>
  <c r="T23" i="6"/>
  <c r="S23" i="6"/>
  <c r="R23" i="6"/>
  <c r="Q23" i="6"/>
  <c r="P23" i="6"/>
  <c r="O23" i="6"/>
  <c r="N23" i="6"/>
  <c r="M23" i="6"/>
  <c r="L23" i="6"/>
  <c r="K23" i="6"/>
  <c r="J23" i="6"/>
  <c r="I23" i="6"/>
  <c r="H23" i="6"/>
  <c r="G23" i="6"/>
  <c r="F23" i="6"/>
  <c r="E23" i="6"/>
  <c r="D23" i="6"/>
  <c r="W21" i="6"/>
  <c r="V21" i="6"/>
  <c r="U21" i="6"/>
  <c r="T21" i="6"/>
  <c r="S21" i="6"/>
  <c r="R21" i="6"/>
  <c r="Q21" i="6"/>
  <c r="P21" i="6"/>
  <c r="O21" i="6"/>
  <c r="N21" i="6"/>
  <c r="M21" i="6"/>
  <c r="L21" i="6"/>
  <c r="K21" i="6"/>
  <c r="J21" i="6"/>
  <c r="I21" i="6"/>
  <c r="H21" i="6"/>
  <c r="G21" i="6"/>
  <c r="F21" i="6"/>
  <c r="E21" i="6"/>
  <c r="D21" i="6"/>
  <c r="W20" i="6"/>
  <c r="V20" i="6"/>
  <c r="U20" i="6"/>
  <c r="T20" i="6"/>
  <c r="S20" i="6"/>
  <c r="R20" i="6"/>
  <c r="Q20" i="6"/>
  <c r="P20" i="6"/>
  <c r="O20" i="6"/>
  <c r="N20" i="6"/>
  <c r="M20" i="6"/>
  <c r="L20" i="6"/>
  <c r="K20" i="6"/>
  <c r="J20" i="6"/>
  <c r="I20" i="6"/>
  <c r="H20" i="6"/>
  <c r="G20" i="6"/>
  <c r="F20" i="6"/>
  <c r="E20" i="6"/>
  <c r="D20" i="6"/>
  <c r="W19" i="6"/>
  <c r="V19" i="6"/>
  <c r="U19" i="6"/>
  <c r="T19" i="6"/>
  <c r="S19" i="6"/>
  <c r="R19" i="6"/>
  <c r="Q19" i="6"/>
  <c r="P19" i="6"/>
  <c r="O19" i="6"/>
  <c r="N19" i="6"/>
  <c r="M19" i="6"/>
  <c r="L19" i="6"/>
  <c r="K19" i="6"/>
  <c r="J19" i="6"/>
  <c r="I19" i="6"/>
  <c r="H19" i="6"/>
  <c r="G19" i="6"/>
  <c r="F19" i="6"/>
  <c r="E19" i="6"/>
  <c r="D19" i="6"/>
  <c r="W14" i="6"/>
  <c r="W15" i="6" s="1"/>
  <c r="V14" i="6"/>
  <c r="V15" i="6" s="1"/>
  <c r="U14" i="6"/>
  <c r="U15" i="6" s="1"/>
  <c r="T14" i="6"/>
  <c r="T15" i="6" s="1"/>
  <c r="S14" i="6"/>
  <c r="S15" i="6" s="1"/>
  <c r="R14" i="6"/>
  <c r="R15" i="6" s="1"/>
  <c r="Q14" i="6"/>
  <c r="Q15" i="6" s="1"/>
  <c r="P14" i="6"/>
  <c r="P15" i="6" s="1"/>
  <c r="O14" i="6"/>
  <c r="O15" i="6" s="1"/>
  <c r="N14" i="6"/>
  <c r="N15" i="6" s="1"/>
  <c r="M14" i="6"/>
  <c r="M15" i="6" s="1"/>
  <c r="L14" i="6"/>
  <c r="L15" i="6" s="1"/>
  <c r="K14" i="6"/>
  <c r="K15" i="6" s="1"/>
  <c r="J14" i="6"/>
  <c r="J15" i="6" s="1"/>
  <c r="I14" i="6"/>
  <c r="I15" i="6" s="1"/>
  <c r="H14" i="6"/>
  <c r="H15" i="6" s="1"/>
  <c r="G14" i="6"/>
  <c r="G15" i="6" s="1"/>
  <c r="F14" i="6"/>
  <c r="F15" i="6" s="1"/>
  <c r="E14" i="6"/>
  <c r="E15" i="6" s="1"/>
  <c r="D14" i="6"/>
  <c r="D15" i="6" s="1"/>
  <c r="C14" i="6"/>
  <c r="C15" i="6" s="1"/>
  <c r="B14" i="6"/>
  <c r="B15" i="6" s="1"/>
  <c r="B104" i="6"/>
  <c r="B103" i="6"/>
  <c r="B102" i="6"/>
  <c r="B101" i="6"/>
  <c r="H165" i="6" l="1"/>
  <c r="H164" i="6"/>
  <c r="H162" i="6"/>
  <c r="H163" i="6"/>
  <c r="H159" i="6"/>
  <c r="H161" i="6"/>
  <c r="H157" i="6"/>
  <c r="H170" i="6"/>
  <c r="H158" i="6"/>
  <c r="H171" i="6"/>
  <c r="H172" i="6"/>
  <c r="H156" i="6"/>
  <c r="H169" i="6"/>
  <c r="H155" i="6"/>
  <c r="H154" i="6"/>
  <c r="H168" i="6"/>
  <c r="H153" i="6"/>
  <c r="H167" i="6"/>
  <c r="P165" i="6"/>
  <c r="P164" i="6"/>
  <c r="P159" i="6"/>
  <c r="P163" i="6"/>
  <c r="P162" i="6"/>
  <c r="P161" i="6"/>
  <c r="P172" i="6"/>
  <c r="P170" i="6"/>
  <c r="P171" i="6"/>
  <c r="P158" i="6"/>
  <c r="P157" i="6"/>
  <c r="P155" i="6"/>
  <c r="P156" i="6"/>
  <c r="P169" i="6"/>
  <c r="P154" i="6"/>
  <c r="P168" i="6"/>
  <c r="P167" i="6"/>
  <c r="P153" i="6"/>
  <c r="D140" i="6"/>
  <c r="D138" i="6"/>
  <c r="D139" i="6"/>
  <c r="D141" i="6"/>
  <c r="D135" i="6"/>
  <c r="D137" i="6"/>
  <c r="D134" i="6"/>
  <c r="D148" i="6"/>
  <c r="D147" i="6"/>
  <c r="D146" i="6"/>
  <c r="D133" i="6"/>
  <c r="D131" i="6"/>
  <c r="D132" i="6"/>
  <c r="D145" i="6"/>
  <c r="D130" i="6"/>
  <c r="D144" i="6"/>
  <c r="D129" i="6"/>
  <c r="D143" i="6"/>
  <c r="L140" i="6"/>
  <c r="L141" i="6"/>
  <c r="L135" i="6"/>
  <c r="L139" i="6"/>
  <c r="L138" i="6"/>
  <c r="L137" i="6"/>
  <c r="L133" i="6"/>
  <c r="L134" i="6"/>
  <c r="L148" i="6"/>
  <c r="L146" i="6"/>
  <c r="L147" i="6"/>
  <c r="L145" i="6"/>
  <c r="L131" i="6"/>
  <c r="L132" i="6"/>
  <c r="L144" i="6"/>
  <c r="L130" i="6"/>
  <c r="L129" i="6"/>
  <c r="L143" i="6"/>
  <c r="T140" i="6"/>
  <c r="T13" i="15"/>
  <c r="T9" i="15"/>
  <c r="T25" i="15"/>
  <c r="T138" i="6"/>
  <c r="T141" i="6"/>
  <c r="T139" i="6"/>
  <c r="T32" i="15"/>
  <c r="T23" i="15"/>
  <c r="T24" i="15"/>
  <c r="T6" i="17"/>
  <c r="T30" i="16"/>
  <c r="T11" i="15"/>
  <c r="T21" i="16"/>
  <c r="T30" i="17"/>
  <c r="T22" i="15"/>
  <c r="T31" i="15"/>
  <c r="T6" i="16"/>
  <c r="T12" i="16"/>
  <c r="T5" i="17"/>
  <c r="T26" i="15"/>
  <c r="T22" i="16"/>
  <c r="T16" i="15"/>
  <c r="T14" i="15"/>
  <c r="T27" i="16"/>
  <c r="T5" i="15"/>
  <c r="T33" i="16"/>
  <c r="T17" i="17"/>
  <c r="T17" i="16"/>
  <c r="T5" i="16"/>
  <c r="T8" i="16"/>
  <c r="T135" i="6"/>
  <c r="T8" i="17"/>
  <c r="T33" i="15"/>
  <c r="T32" i="16"/>
  <c r="T10" i="17"/>
  <c r="T27" i="15"/>
  <c r="T23" i="16"/>
  <c r="T26" i="16"/>
  <c r="T6" i="15"/>
  <c r="T15" i="15"/>
  <c r="T137" i="6"/>
  <c r="T17" i="15"/>
  <c r="T32" i="17"/>
  <c r="T13" i="16"/>
  <c r="T19" i="17"/>
  <c r="T7" i="17"/>
  <c r="T30" i="15"/>
  <c r="T15" i="16"/>
  <c r="T10" i="16"/>
  <c r="T31" i="16"/>
  <c r="T20" i="16"/>
  <c r="T20" i="17"/>
  <c r="T31" i="17"/>
  <c r="T22" i="17"/>
  <c r="T14" i="16"/>
  <c r="T7" i="16"/>
  <c r="T7" i="15"/>
  <c r="T20" i="15"/>
  <c r="T21" i="15"/>
  <c r="T25" i="16"/>
  <c r="T8" i="15"/>
  <c r="T10" i="15"/>
  <c r="T21" i="17"/>
  <c r="T18" i="16"/>
  <c r="T18" i="15"/>
  <c r="T12" i="15"/>
  <c r="T24" i="16"/>
  <c r="T11" i="16"/>
  <c r="T23" i="17"/>
  <c r="T28" i="16"/>
  <c r="T24" i="17"/>
  <c r="T16" i="17"/>
  <c r="T28" i="15"/>
  <c r="T9" i="17"/>
  <c r="T9" i="16"/>
  <c r="T19" i="15"/>
  <c r="T29" i="15"/>
  <c r="T19" i="16"/>
  <c r="T4" i="15"/>
  <c r="T29" i="16"/>
  <c r="T4" i="17"/>
  <c r="T16" i="16"/>
  <c r="T4" i="16"/>
  <c r="T3" i="17"/>
  <c r="T29" i="17"/>
  <c r="T3" i="16"/>
  <c r="T146" i="6"/>
  <c r="T147" i="6"/>
  <c r="T3" i="15"/>
  <c r="T148" i="6"/>
  <c r="T145" i="6"/>
  <c r="T133" i="6"/>
  <c r="T134" i="6"/>
  <c r="T131" i="6"/>
  <c r="T130" i="6"/>
  <c r="T132" i="6"/>
  <c r="T144" i="6"/>
  <c r="T143" i="6"/>
  <c r="T129" i="6"/>
  <c r="Q164" i="6"/>
  <c r="Q162" i="6"/>
  <c r="Q159" i="6"/>
  <c r="Q165" i="6"/>
  <c r="Q163" i="6"/>
  <c r="Q161" i="6"/>
  <c r="Q158" i="6"/>
  <c r="Q172" i="6"/>
  <c r="Q170" i="6"/>
  <c r="Q171" i="6"/>
  <c r="Q157" i="6"/>
  <c r="Q155" i="6"/>
  <c r="Q156" i="6"/>
  <c r="Q169" i="6"/>
  <c r="Q154" i="6"/>
  <c r="Q168" i="6"/>
  <c r="Q153" i="6"/>
  <c r="Q167" i="6"/>
  <c r="E139" i="6"/>
  <c r="E138" i="6"/>
  <c r="E140" i="6"/>
  <c r="E141" i="6"/>
  <c r="E135" i="6"/>
  <c r="E137" i="6"/>
  <c r="E133" i="6"/>
  <c r="E148" i="6"/>
  <c r="E147" i="6"/>
  <c r="E146" i="6"/>
  <c r="E134" i="6"/>
  <c r="E131" i="6"/>
  <c r="E145" i="6"/>
  <c r="E132" i="6"/>
  <c r="E144" i="6"/>
  <c r="E130" i="6"/>
  <c r="E143" i="6"/>
  <c r="E129" i="6"/>
  <c r="M138" i="6"/>
  <c r="M135" i="6"/>
  <c r="M139" i="6"/>
  <c r="M140" i="6"/>
  <c r="M141" i="6"/>
  <c r="M137" i="6"/>
  <c r="M146" i="6"/>
  <c r="M134" i="6"/>
  <c r="M148" i="6"/>
  <c r="M147" i="6"/>
  <c r="M133" i="6"/>
  <c r="M131" i="6"/>
  <c r="M132" i="6"/>
  <c r="M145" i="6"/>
  <c r="M144" i="6"/>
  <c r="M130" i="6"/>
  <c r="M129" i="6"/>
  <c r="M143" i="6"/>
  <c r="U139" i="6"/>
  <c r="U138" i="6"/>
  <c r="U10" i="15"/>
  <c r="U33" i="15"/>
  <c r="U140" i="6"/>
  <c r="U141" i="6"/>
  <c r="U26" i="15"/>
  <c r="U135" i="6"/>
  <c r="U21" i="17"/>
  <c r="U23" i="15"/>
  <c r="U6" i="15"/>
  <c r="U33" i="16"/>
  <c r="U15" i="15"/>
  <c r="U24" i="16"/>
  <c r="U10" i="16"/>
  <c r="U27" i="16"/>
  <c r="U22" i="17"/>
  <c r="U28" i="16"/>
  <c r="U11" i="15"/>
  <c r="U16" i="17"/>
  <c r="U22" i="16"/>
  <c r="U30" i="16"/>
  <c r="U9" i="17"/>
  <c r="U29" i="17"/>
  <c r="U12" i="15"/>
  <c r="U30" i="17"/>
  <c r="U14" i="16"/>
  <c r="U5" i="16"/>
  <c r="U22" i="15"/>
  <c r="U29" i="15"/>
  <c r="U16" i="15"/>
  <c r="U7" i="17"/>
  <c r="U21" i="15"/>
  <c r="U23" i="17"/>
  <c r="U30" i="15"/>
  <c r="U17" i="15"/>
  <c r="U31" i="15"/>
  <c r="U19" i="15"/>
  <c r="U26" i="16"/>
  <c r="U32" i="15"/>
  <c r="U9" i="15"/>
  <c r="U20" i="17"/>
  <c r="U5" i="15"/>
  <c r="U11" i="16"/>
  <c r="U32" i="17"/>
  <c r="U24" i="15"/>
  <c r="U9" i="16"/>
  <c r="U8" i="17"/>
  <c r="U20" i="16"/>
  <c r="U23" i="16"/>
  <c r="U21" i="16"/>
  <c r="U137" i="6"/>
  <c r="U7" i="15"/>
  <c r="U8" i="16"/>
  <c r="U5" i="17"/>
  <c r="U17" i="16"/>
  <c r="U25" i="15"/>
  <c r="U24" i="17"/>
  <c r="U18" i="15"/>
  <c r="U20" i="15"/>
  <c r="U14" i="15"/>
  <c r="U12" i="16"/>
  <c r="U7" i="16"/>
  <c r="U13" i="15"/>
  <c r="U8" i="15"/>
  <c r="U6" i="16"/>
  <c r="U31" i="16"/>
  <c r="U32" i="16"/>
  <c r="U6" i="17"/>
  <c r="U17" i="17"/>
  <c r="U15" i="16"/>
  <c r="U10" i="17"/>
  <c r="U18" i="16"/>
  <c r="U28" i="15"/>
  <c r="U25" i="16"/>
  <c r="U13" i="16"/>
  <c r="U31" i="17"/>
  <c r="U19" i="16"/>
  <c r="U16" i="16"/>
  <c r="U29" i="16"/>
  <c r="U4" i="16"/>
  <c r="U4" i="17"/>
  <c r="U4" i="15"/>
  <c r="U19" i="17"/>
  <c r="U27" i="15"/>
  <c r="U3" i="16"/>
  <c r="U147" i="6"/>
  <c r="U146" i="6"/>
  <c r="U3" i="15"/>
  <c r="U3" i="17"/>
  <c r="U148" i="6"/>
  <c r="U134" i="6"/>
  <c r="U145" i="6"/>
  <c r="U133" i="6"/>
  <c r="U131" i="6"/>
  <c r="U130" i="6"/>
  <c r="U132" i="6"/>
  <c r="U144" i="6"/>
  <c r="U143" i="6"/>
  <c r="U129" i="6"/>
  <c r="F139" i="6"/>
  <c r="F141" i="6"/>
  <c r="F138" i="6"/>
  <c r="F140" i="6"/>
  <c r="F135" i="6"/>
  <c r="F137" i="6"/>
  <c r="F148" i="6"/>
  <c r="F146" i="6"/>
  <c r="F134" i="6"/>
  <c r="F133" i="6"/>
  <c r="F147" i="6"/>
  <c r="F131" i="6"/>
  <c r="F145" i="6"/>
  <c r="F132" i="6"/>
  <c r="F130" i="6"/>
  <c r="F144" i="6"/>
  <c r="F129" i="6"/>
  <c r="F143" i="6"/>
  <c r="N141" i="6"/>
  <c r="N135" i="6"/>
  <c r="N139" i="6"/>
  <c r="N138" i="6"/>
  <c r="N140" i="6"/>
  <c r="N137" i="6"/>
  <c r="N146" i="6"/>
  <c r="N147" i="6"/>
  <c r="N148" i="6"/>
  <c r="N134" i="6"/>
  <c r="N133" i="6"/>
  <c r="N131" i="6"/>
  <c r="N145" i="6"/>
  <c r="N132" i="6"/>
  <c r="N130" i="6"/>
  <c r="N144" i="6"/>
  <c r="N143" i="6"/>
  <c r="N129" i="6"/>
  <c r="V139" i="6"/>
  <c r="V141" i="6"/>
  <c r="V140" i="6"/>
  <c r="V138" i="6"/>
  <c r="V26" i="15"/>
  <c r="V135" i="6"/>
  <c r="V14" i="15"/>
  <c r="V10" i="15"/>
  <c r="V15" i="15"/>
  <c r="V24" i="17"/>
  <c r="V9" i="17"/>
  <c r="V30" i="17"/>
  <c r="V33" i="16"/>
  <c r="V27" i="15"/>
  <c r="V9" i="15"/>
  <c r="V6" i="16"/>
  <c r="V8" i="16"/>
  <c r="V21" i="15"/>
  <c r="V14" i="16"/>
  <c r="V31" i="15"/>
  <c r="V24" i="15"/>
  <c r="V20" i="16"/>
  <c r="V22" i="16"/>
  <c r="V23" i="17"/>
  <c r="V7" i="16"/>
  <c r="V12" i="15"/>
  <c r="V6" i="15"/>
  <c r="V21" i="16"/>
  <c r="V25" i="15"/>
  <c r="V6" i="17"/>
  <c r="V28" i="15"/>
  <c r="V9" i="16"/>
  <c r="V11" i="15"/>
  <c r="V5" i="15"/>
  <c r="V8" i="17"/>
  <c r="V31" i="16"/>
  <c r="V32" i="16"/>
  <c r="V4" i="17"/>
  <c r="V21" i="17"/>
  <c r="V33" i="15"/>
  <c r="V20" i="15"/>
  <c r="V22" i="15"/>
  <c r="V17" i="16"/>
  <c r="V11" i="16"/>
  <c r="V17" i="17"/>
  <c r="V7" i="15"/>
  <c r="V13" i="16"/>
  <c r="V22" i="17"/>
  <c r="V8" i="15"/>
  <c r="V23" i="15"/>
  <c r="V30" i="15"/>
  <c r="V26" i="16"/>
  <c r="V7" i="17"/>
  <c r="V23" i="16"/>
  <c r="V5" i="17"/>
  <c r="V10" i="17"/>
  <c r="V18" i="15"/>
  <c r="V13" i="15"/>
  <c r="V10" i="16"/>
  <c r="V137" i="6"/>
  <c r="V31" i="17"/>
  <c r="V17" i="15"/>
  <c r="V30" i="16"/>
  <c r="V16" i="17"/>
  <c r="V32" i="17"/>
  <c r="V18" i="16"/>
  <c r="V20" i="17"/>
  <c r="V32" i="15"/>
  <c r="V24" i="16"/>
  <c r="V28" i="16"/>
  <c r="V5" i="16"/>
  <c r="V25" i="16"/>
  <c r="V16" i="15"/>
  <c r="V12" i="16"/>
  <c r="V29" i="15"/>
  <c r="V29" i="16"/>
  <c r="V19" i="16"/>
  <c r="V4" i="16"/>
  <c r="V16" i="16"/>
  <c r="V15" i="16"/>
  <c r="V27" i="16"/>
  <c r="V19" i="17"/>
  <c r="V29" i="17"/>
  <c r="V19" i="15"/>
  <c r="V4" i="15"/>
  <c r="V3" i="16"/>
  <c r="V3" i="15"/>
  <c r="V147" i="6"/>
  <c r="V148" i="6"/>
  <c r="V146" i="6"/>
  <c r="V3" i="17"/>
  <c r="V134" i="6"/>
  <c r="V145" i="6"/>
  <c r="V133" i="6"/>
  <c r="V130" i="6"/>
  <c r="V131" i="6"/>
  <c r="V144" i="6"/>
  <c r="V132" i="6"/>
  <c r="V143" i="6"/>
  <c r="V129" i="6"/>
  <c r="R14" i="26"/>
  <c r="R26" i="26"/>
  <c r="R9" i="26"/>
  <c r="R17" i="26"/>
  <c r="R13" i="26"/>
  <c r="R10" i="26"/>
  <c r="R33" i="26"/>
  <c r="R5" i="26"/>
  <c r="R5" i="28"/>
  <c r="R20" i="26"/>
  <c r="R30" i="26"/>
  <c r="R23" i="28"/>
  <c r="R32" i="28"/>
  <c r="R9" i="28"/>
  <c r="R31" i="27"/>
  <c r="R21" i="26"/>
  <c r="R7" i="26"/>
  <c r="R7" i="27"/>
  <c r="R6" i="28"/>
  <c r="R21" i="27"/>
  <c r="R24" i="28"/>
  <c r="R24" i="26"/>
  <c r="R17" i="27"/>
  <c r="R25" i="27"/>
  <c r="R24" i="27"/>
  <c r="R10" i="27"/>
  <c r="R6" i="27"/>
  <c r="R7" i="28"/>
  <c r="R18" i="27"/>
  <c r="R5" i="27"/>
  <c r="R16" i="26"/>
  <c r="R32" i="27"/>
  <c r="R14" i="27"/>
  <c r="R26" i="27"/>
  <c r="R20" i="27"/>
  <c r="R30" i="27"/>
  <c r="R19" i="26"/>
  <c r="R17" i="28"/>
  <c r="R22" i="27"/>
  <c r="R13" i="27"/>
  <c r="R20" i="28"/>
  <c r="R8" i="28"/>
  <c r="R12" i="26"/>
  <c r="R23" i="26"/>
  <c r="R15" i="26"/>
  <c r="R25" i="26"/>
  <c r="R29" i="26"/>
  <c r="R16" i="28"/>
  <c r="R28" i="26"/>
  <c r="R27" i="26"/>
  <c r="R18" i="26"/>
  <c r="R8" i="27"/>
  <c r="R22" i="28"/>
  <c r="R31" i="28"/>
  <c r="R31" i="26"/>
  <c r="R9" i="27"/>
  <c r="R30" i="28"/>
  <c r="R29" i="28"/>
  <c r="R21" i="28"/>
  <c r="R11" i="27"/>
  <c r="R22" i="26"/>
  <c r="R12" i="27"/>
  <c r="R11" i="26"/>
  <c r="R8" i="26"/>
  <c r="R19" i="28"/>
  <c r="R6" i="26"/>
  <c r="R33" i="27"/>
  <c r="R27" i="27"/>
  <c r="R28" i="27"/>
  <c r="R10" i="28"/>
  <c r="R32" i="26"/>
  <c r="R23" i="27"/>
  <c r="R16" i="27"/>
  <c r="R29" i="27"/>
  <c r="R4" i="26"/>
  <c r="R4" i="28"/>
  <c r="R15" i="27"/>
  <c r="R4" i="27"/>
  <c r="R19" i="27"/>
  <c r="R3" i="28"/>
  <c r="R3" i="26"/>
  <c r="R3" i="27"/>
  <c r="R163" i="6"/>
  <c r="R164" i="6"/>
  <c r="R162" i="6"/>
  <c r="R159" i="6"/>
  <c r="R165" i="6"/>
  <c r="R161" i="6"/>
  <c r="R172" i="6"/>
  <c r="R170" i="6"/>
  <c r="R171" i="6"/>
  <c r="R157" i="6"/>
  <c r="R158" i="6"/>
  <c r="R169" i="6"/>
  <c r="R155" i="6"/>
  <c r="R168" i="6"/>
  <c r="R156" i="6"/>
  <c r="R154" i="6"/>
  <c r="R153" i="6"/>
  <c r="R167" i="6"/>
  <c r="K162" i="6"/>
  <c r="K165" i="6"/>
  <c r="K164" i="6"/>
  <c r="K159" i="6"/>
  <c r="K163" i="6"/>
  <c r="K161" i="6"/>
  <c r="K157" i="6"/>
  <c r="K170" i="6"/>
  <c r="K172" i="6"/>
  <c r="K158" i="6"/>
  <c r="K171" i="6"/>
  <c r="K156" i="6"/>
  <c r="K155" i="6"/>
  <c r="K169" i="6"/>
  <c r="K154" i="6"/>
  <c r="K168" i="6"/>
  <c r="K153" i="6"/>
  <c r="K167" i="6"/>
  <c r="S162" i="6"/>
  <c r="S165" i="6"/>
  <c r="S164" i="6"/>
  <c r="S159" i="6"/>
  <c r="S163" i="6"/>
  <c r="S161" i="6"/>
  <c r="S171" i="6"/>
  <c r="S170" i="6"/>
  <c r="S172" i="6"/>
  <c r="S158" i="6"/>
  <c r="S157" i="6"/>
  <c r="S155" i="6"/>
  <c r="S168" i="6"/>
  <c r="S167" i="6"/>
  <c r="S154" i="6"/>
  <c r="S156" i="6"/>
  <c r="S169" i="6"/>
  <c r="S153" i="6"/>
  <c r="G141" i="6"/>
  <c r="G138" i="6"/>
  <c r="G140" i="6"/>
  <c r="G135" i="6"/>
  <c r="G139" i="6"/>
  <c r="G137" i="6"/>
  <c r="G147" i="6"/>
  <c r="G148" i="6"/>
  <c r="G146" i="6"/>
  <c r="G133" i="6"/>
  <c r="G134" i="6"/>
  <c r="G131" i="6"/>
  <c r="G145" i="6"/>
  <c r="G132" i="6"/>
  <c r="G144" i="6"/>
  <c r="G130" i="6"/>
  <c r="G143" i="6"/>
  <c r="G129" i="6"/>
  <c r="O141" i="6"/>
  <c r="O135" i="6"/>
  <c r="O140" i="6"/>
  <c r="O138" i="6"/>
  <c r="O139" i="6"/>
  <c r="O137" i="6"/>
  <c r="O147" i="6"/>
  <c r="O148" i="6"/>
  <c r="O134" i="6"/>
  <c r="O146" i="6"/>
  <c r="O133" i="6"/>
  <c r="O145" i="6"/>
  <c r="O131" i="6"/>
  <c r="O132" i="6"/>
  <c r="O130" i="6"/>
  <c r="O144" i="6"/>
  <c r="O143" i="6"/>
  <c r="O129" i="6"/>
  <c r="W141" i="6"/>
  <c r="W139" i="6"/>
  <c r="W9" i="17"/>
  <c r="W138" i="6"/>
  <c r="W31" i="15"/>
  <c r="W8" i="16"/>
  <c r="W15" i="15"/>
  <c r="W140" i="6"/>
  <c r="W7" i="17"/>
  <c r="W19" i="17"/>
  <c r="W30" i="15"/>
  <c r="W18" i="16"/>
  <c r="W10" i="16"/>
  <c r="W6" i="17"/>
  <c r="W14" i="16"/>
  <c r="W23" i="17"/>
  <c r="W5" i="16"/>
  <c r="W32" i="16"/>
  <c r="W16" i="17"/>
  <c r="W6" i="15"/>
  <c r="W25" i="16"/>
  <c r="W11" i="16"/>
  <c r="W24" i="15"/>
  <c r="W7" i="15"/>
  <c r="W26" i="15"/>
  <c r="W31" i="16"/>
  <c r="W25" i="15"/>
  <c r="W14" i="15"/>
  <c r="W21" i="15"/>
  <c r="W9" i="16"/>
  <c r="W32" i="15"/>
  <c r="W20" i="15"/>
  <c r="W9" i="15"/>
  <c r="W32" i="17"/>
  <c r="W5" i="17"/>
  <c r="W33" i="16"/>
  <c r="W17" i="15"/>
  <c r="W12" i="16"/>
  <c r="W29" i="16"/>
  <c r="W8" i="15"/>
  <c r="W27" i="15"/>
  <c r="W26" i="16"/>
  <c r="W12" i="15"/>
  <c r="W22" i="16"/>
  <c r="W18" i="15"/>
  <c r="W11" i="15"/>
  <c r="W135" i="6"/>
  <c r="W23" i="15"/>
  <c r="W13" i="16"/>
  <c r="W16" i="16"/>
  <c r="W5" i="15"/>
  <c r="W8" i="17"/>
  <c r="W31" i="17"/>
  <c r="W22" i="17"/>
  <c r="W21" i="17"/>
  <c r="W29" i="15"/>
  <c r="W30" i="17"/>
  <c r="W28" i="16"/>
  <c r="W33" i="15"/>
  <c r="W19" i="15"/>
  <c r="W17" i="17"/>
  <c r="W23" i="16"/>
  <c r="W24" i="16"/>
  <c r="W28" i="15"/>
  <c r="W20" i="17"/>
  <c r="W30" i="16"/>
  <c r="W7" i="16"/>
  <c r="W22" i="15"/>
  <c r="W24" i="17"/>
  <c r="W10" i="17"/>
  <c r="W6" i="16"/>
  <c r="W20" i="16"/>
  <c r="W13" i="15"/>
  <c r="W17" i="16"/>
  <c r="W27" i="16"/>
  <c r="W10" i="15"/>
  <c r="W29" i="17"/>
  <c r="W15" i="16"/>
  <c r="W4" i="15"/>
  <c r="W21" i="16"/>
  <c r="W4" i="17"/>
  <c r="W137" i="6"/>
  <c r="W3" i="15"/>
  <c r="W16" i="15"/>
  <c r="W4" i="16"/>
  <c r="W19" i="16"/>
  <c r="W3" i="17"/>
  <c r="W3" i="16"/>
  <c r="W147" i="6"/>
  <c r="W148" i="6"/>
  <c r="W146" i="6"/>
  <c r="W145" i="6"/>
  <c r="W133" i="6"/>
  <c r="W134" i="6"/>
  <c r="W144" i="6"/>
  <c r="W132" i="6"/>
  <c r="W130" i="6"/>
  <c r="W131" i="6"/>
  <c r="W143" i="6"/>
  <c r="W129" i="6"/>
  <c r="S8" i="28"/>
  <c r="S30" i="27"/>
  <c r="S11" i="27"/>
  <c r="S33" i="26"/>
  <c r="S25" i="27"/>
  <c r="S23" i="27"/>
  <c r="S12" i="26"/>
  <c r="S12" i="27"/>
  <c r="S15" i="27"/>
  <c r="S19" i="28"/>
  <c r="S5" i="28"/>
  <c r="S10" i="27"/>
  <c r="S5" i="26"/>
  <c r="S28" i="27"/>
  <c r="S6" i="27"/>
  <c r="S29" i="28"/>
  <c r="S9" i="28"/>
  <c r="S9" i="26"/>
  <c r="S30" i="28"/>
  <c r="S31" i="27"/>
  <c r="S32" i="26"/>
  <c r="S7" i="26"/>
  <c r="S22" i="28"/>
  <c r="S5" i="27"/>
  <c r="S22" i="27"/>
  <c r="S14" i="26"/>
  <c r="S7" i="28"/>
  <c r="S17" i="28"/>
  <c r="S17" i="27"/>
  <c r="S22" i="26"/>
  <c r="S21" i="27"/>
  <c r="S21" i="26"/>
  <c r="S16" i="26"/>
  <c r="S14" i="27"/>
  <c r="S31" i="26"/>
  <c r="S27" i="27"/>
  <c r="S24" i="26"/>
  <c r="S32" i="27"/>
  <c r="S7" i="27"/>
  <c r="S19" i="26"/>
  <c r="S8" i="27"/>
  <c r="S23" i="28"/>
  <c r="S26" i="26"/>
  <c r="S13" i="26"/>
  <c r="S18" i="26"/>
  <c r="S25" i="26"/>
  <c r="S10" i="26"/>
  <c r="S6" i="28"/>
  <c r="S15" i="26"/>
  <c r="S33" i="27"/>
  <c r="S24" i="28"/>
  <c r="S16" i="28"/>
  <c r="S21" i="28"/>
  <c r="S18" i="27"/>
  <c r="S30" i="26"/>
  <c r="S28" i="26"/>
  <c r="S24" i="27"/>
  <c r="S10" i="28"/>
  <c r="S27" i="26"/>
  <c r="S6" i="26"/>
  <c r="S8" i="26"/>
  <c r="S11" i="26"/>
  <c r="S32" i="28"/>
  <c r="S31" i="28"/>
  <c r="S13" i="27"/>
  <c r="S9" i="27"/>
  <c r="S23" i="26"/>
  <c r="S26" i="27"/>
  <c r="S17" i="26"/>
  <c r="S4" i="26"/>
  <c r="S29" i="27"/>
  <c r="S19" i="27"/>
  <c r="S29" i="26"/>
  <c r="S4" i="27"/>
  <c r="S16" i="27"/>
  <c r="S4" i="28"/>
  <c r="S3" i="28"/>
  <c r="S3" i="26"/>
  <c r="S3" i="27"/>
  <c r="I164" i="6"/>
  <c r="I163" i="6"/>
  <c r="I159" i="6"/>
  <c r="I162" i="6"/>
  <c r="I165" i="6"/>
  <c r="I161" i="6"/>
  <c r="I157" i="6"/>
  <c r="I172" i="6"/>
  <c r="I171" i="6"/>
  <c r="I170" i="6"/>
  <c r="I158" i="6"/>
  <c r="I155" i="6"/>
  <c r="I156" i="6"/>
  <c r="I169" i="6"/>
  <c r="I154" i="6"/>
  <c r="I168" i="6"/>
  <c r="I153" i="6"/>
  <c r="I167" i="6"/>
  <c r="D165" i="6"/>
  <c r="D162" i="6"/>
  <c r="D164" i="6"/>
  <c r="D159" i="6"/>
  <c r="D163" i="6"/>
  <c r="D161" i="6"/>
  <c r="D157" i="6"/>
  <c r="D171" i="6"/>
  <c r="D172" i="6"/>
  <c r="D170" i="6"/>
  <c r="D158" i="6"/>
  <c r="D156" i="6"/>
  <c r="D169" i="6"/>
  <c r="D155" i="6"/>
  <c r="D168" i="6"/>
  <c r="D154" i="6"/>
  <c r="D153" i="6"/>
  <c r="D167" i="6"/>
  <c r="L162" i="6"/>
  <c r="L165" i="6"/>
  <c r="L159" i="6"/>
  <c r="L163" i="6"/>
  <c r="L164" i="6"/>
  <c r="L161" i="6"/>
  <c r="L158" i="6"/>
  <c r="L157" i="6"/>
  <c r="L171" i="6"/>
  <c r="L172" i="6"/>
  <c r="L170" i="6"/>
  <c r="L169" i="6"/>
  <c r="L155" i="6"/>
  <c r="L156" i="6"/>
  <c r="L154" i="6"/>
  <c r="L168" i="6"/>
  <c r="L153" i="6"/>
  <c r="L167" i="6"/>
  <c r="T162" i="6"/>
  <c r="T165" i="6"/>
  <c r="T164" i="6"/>
  <c r="T163" i="6"/>
  <c r="T161" i="6"/>
  <c r="T159" i="6"/>
  <c r="T172" i="6"/>
  <c r="T170" i="6"/>
  <c r="T171" i="6"/>
  <c r="T157" i="6"/>
  <c r="T158" i="6"/>
  <c r="T169" i="6"/>
  <c r="T155" i="6"/>
  <c r="T156" i="6"/>
  <c r="T154" i="6"/>
  <c r="T168" i="6"/>
  <c r="T153" i="6"/>
  <c r="T167" i="6"/>
  <c r="H139" i="6"/>
  <c r="H138" i="6"/>
  <c r="H140" i="6"/>
  <c r="H141" i="6"/>
  <c r="H135" i="6"/>
  <c r="H137" i="6"/>
  <c r="H134" i="6"/>
  <c r="H146" i="6"/>
  <c r="H147" i="6"/>
  <c r="H133" i="6"/>
  <c r="H148" i="6"/>
  <c r="H145" i="6"/>
  <c r="H132" i="6"/>
  <c r="H131" i="6"/>
  <c r="H144" i="6"/>
  <c r="H130" i="6"/>
  <c r="H143" i="6"/>
  <c r="H129" i="6"/>
  <c r="P139" i="6"/>
  <c r="P140" i="6"/>
  <c r="P135" i="6"/>
  <c r="P138" i="6"/>
  <c r="P141" i="6"/>
  <c r="P137" i="6"/>
  <c r="P148" i="6"/>
  <c r="P133" i="6"/>
  <c r="P146" i="6"/>
  <c r="P147" i="6"/>
  <c r="P134" i="6"/>
  <c r="P145" i="6"/>
  <c r="P131" i="6"/>
  <c r="P132" i="6"/>
  <c r="P144" i="6"/>
  <c r="P130" i="6"/>
  <c r="P129" i="6"/>
  <c r="P143" i="6"/>
  <c r="T6" i="26"/>
  <c r="T7" i="27"/>
  <c r="T11" i="26"/>
  <c r="T18" i="26"/>
  <c r="T10" i="26"/>
  <c r="T14" i="26"/>
  <c r="T30" i="26"/>
  <c r="T26" i="27"/>
  <c r="T9" i="28"/>
  <c r="T20" i="26"/>
  <c r="T10" i="28"/>
  <c r="T32" i="27"/>
  <c r="T21" i="28"/>
  <c r="T27" i="27"/>
  <c r="T22" i="27"/>
  <c r="T7" i="26"/>
  <c r="T14" i="27"/>
  <c r="T32" i="26"/>
  <c r="T26" i="26"/>
  <c r="T24" i="28"/>
  <c r="T30" i="28"/>
  <c r="T15" i="26"/>
  <c r="T31" i="27"/>
  <c r="T8" i="28"/>
  <c r="T31" i="28"/>
  <c r="T10" i="27"/>
  <c r="T7" i="28"/>
  <c r="T28" i="27"/>
  <c r="T32" i="28"/>
  <c r="T16" i="28"/>
  <c r="T21" i="27"/>
  <c r="T18" i="27"/>
  <c r="T25" i="26"/>
  <c r="T20" i="27"/>
  <c r="T24" i="26"/>
  <c r="T9" i="26"/>
  <c r="T29" i="26"/>
  <c r="T31" i="26"/>
  <c r="T11" i="27"/>
  <c r="T22" i="28"/>
  <c r="T33" i="26"/>
  <c r="T6" i="27"/>
  <c r="T13" i="26"/>
  <c r="T33" i="27"/>
  <c r="T13" i="27"/>
  <c r="T17" i="26"/>
  <c r="T16" i="26"/>
  <c r="T25" i="27"/>
  <c r="T21" i="26"/>
  <c r="T5" i="28"/>
  <c r="T22" i="26"/>
  <c r="T23" i="27"/>
  <c r="T23" i="26"/>
  <c r="T24" i="27"/>
  <c r="T6" i="28"/>
  <c r="T17" i="28"/>
  <c r="T5" i="26"/>
  <c r="T29" i="28"/>
  <c r="T23" i="28"/>
  <c r="T8" i="27"/>
  <c r="T12" i="26"/>
  <c r="T30" i="27"/>
  <c r="T5" i="27"/>
  <c r="T9" i="27"/>
  <c r="T20" i="28"/>
  <c r="T27" i="26"/>
  <c r="T8" i="26"/>
  <c r="T28" i="26"/>
  <c r="T19" i="26"/>
  <c r="T17" i="27"/>
  <c r="T12" i="27"/>
  <c r="T19" i="28"/>
  <c r="T4" i="27"/>
  <c r="T29" i="27"/>
  <c r="T16" i="27"/>
  <c r="T4" i="28"/>
  <c r="T4" i="26"/>
  <c r="T15" i="27"/>
  <c r="T19" i="27"/>
  <c r="T3" i="28"/>
  <c r="T3" i="26"/>
  <c r="T3" i="27"/>
  <c r="J162" i="6"/>
  <c r="J163" i="6"/>
  <c r="J164" i="6"/>
  <c r="J165" i="6"/>
  <c r="J159" i="6"/>
  <c r="J161" i="6"/>
  <c r="J157" i="6"/>
  <c r="J171" i="6"/>
  <c r="J172" i="6"/>
  <c r="J170" i="6"/>
  <c r="J158" i="6"/>
  <c r="J155" i="6"/>
  <c r="J169" i="6"/>
  <c r="J156" i="6"/>
  <c r="J168" i="6"/>
  <c r="J154" i="6"/>
  <c r="J167" i="6"/>
  <c r="J153" i="6"/>
  <c r="E165" i="6"/>
  <c r="E163" i="6"/>
  <c r="E164" i="6"/>
  <c r="E162" i="6"/>
  <c r="E159" i="6"/>
  <c r="E161" i="6"/>
  <c r="E157" i="6"/>
  <c r="E172" i="6"/>
  <c r="E170" i="6"/>
  <c r="E171" i="6"/>
  <c r="E158" i="6"/>
  <c r="E156" i="6"/>
  <c r="E155" i="6"/>
  <c r="E169" i="6"/>
  <c r="E154" i="6"/>
  <c r="E168" i="6"/>
  <c r="E167" i="6"/>
  <c r="E153" i="6"/>
  <c r="M165" i="6"/>
  <c r="M163" i="6"/>
  <c r="M164" i="6"/>
  <c r="M159" i="6"/>
  <c r="M162" i="6"/>
  <c r="M161" i="6"/>
  <c r="M157" i="6"/>
  <c r="M170" i="6"/>
  <c r="M158" i="6"/>
  <c r="M171" i="6"/>
  <c r="M172" i="6"/>
  <c r="M156" i="6"/>
  <c r="M155" i="6"/>
  <c r="M169" i="6"/>
  <c r="M154" i="6"/>
  <c r="M168" i="6"/>
  <c r="M153" i="6"/>
  <c r="M167" i="6"/>
  <c r="U163" i="6"/>
  <c r="U164" i="6"/>
  <c r="U165" i="6"/>
  <c r="U159" i="6"/>
  <c r="U162" i="6"/>
  <c r="U161" i="6"/>
  <c r="U171" i="6"/>
  <c r="U170" i="6"/>
  <c r="U172" i="6"/>
  <c r="U169" i="6"/>
  <c r="U158" i="6"/>
  <c r="U157" i="6"/>
  <c r="U155" i="6"/>
  <c r="U154" i="6"/>
  <c r="U156" i="6"/>
  <c r="U168" i="6"/>
  <c r="U167" i="6"/>
  <c r="U153" i="6"/>
  <c r="I139" i="6"/>
  <c r="I135" i="6"/>
  <c r="I141" i="6"/>
  <c r="I138" i="6"/>
  <c r="I140" i="6"/>
  <c r="I137" i="6"/>
  <c r="I147" i="6"/>
  <c r="I146" i="6"/>
  <c r="I148" i="6"/>
  <c r="I133" i="6"/>
  <c r="I134" i="6"/>
  <c r="I132" i="6"/>
  <c r="I131" i="6"/>
  <c r="I145" i="6"/>
  <c r="I130" i="6"/>
  <c r="I144" i="6"/>
  <c r="I129" i="6"/>
  <c r="I143" i="6"/>
  <c r="Q139" i="6"/>
  <c r="Q140" i="6"/>
  <c r="Q141" i="6"/>
  <c r="Q138" i="6"/>
  <c r="Q135" i="6"/>
  <c r="Q137" i="6"/>
  <c r="Q133" i="6"/>
  <c r="Q146" i="6"/>
  <c r="Q134" i="6"/>
  <c r="Q147" i="6"/>
  <c r="Q148" i="6"/>
  <c r="Q145" i="6"/>
  <c r="Q132" i="6"/>
  <c r="Q131" i="6"/>
  <c r="Q144" i="6"/>
  <c r="Q130" i="6"/>
  <c r="Q143" i="6"/>
  <c r="Q129" i="6"/>
  <c r="U18" i="26"/>
  <c r="U22" i="28"/>
  <c r="U10" i="27"/>
  <c r="U9" i="28"/>
  <c r="U23" i="28"/>
  <c r="U17" i="26"/>
  <c r="U5" i="26"/>
  <c r="U18" i="27"/>
  <c r="U30" i="27"/>
  <c r="U31" i="28"/>
  <c r="U17" i="27"/>
  <c r="U14" i="27"/>
  <c r="U20" i="28"/>
  <c r="U33" i="27"/>
  <c r="U17" i="28"/>
  <c r="U13" i="27"/>
  <c r="U20" i="27"/>
  <c r="U32" i="27"/>
  <c r="U33" i="26"/>
  <c r="U31" i="27"/>
  <c r="U5" i="28"/>
  <c r="U25" i="26"/>
  <c r="U16" i="28"/>
  <c r="U14" i="26"/>
  <c r="U21" i="26"/>
  <c r="U22" i="27"/>
  <c r="U22" i="26"/>
  <c r="U6" i="28"/>
  <c r="U31" i="26"/>
  <c r="U26" i="27"/>
  <c r="U16" i="26"/>
  <c r="U13" i="26"/>
  <c r="U23" i="26"/>
  <c r="U11" i="26"/>
  <c r="U30" i="26"/>
  <c r="U11" i="27"/>
  <c r="U6" i="26"/>
  <c r="U27" i="26"/>
  <c r="U5" i="27"/>
  <c r="U19" i="28"/>
  <c r="U10" i="28"/>
  <c r="U32" i="26"/>
  <c r="U21" i="28"/>
  <c r="U9" i="27"/>
  <c r="U4" i="28"/>
  <c r="U7" i="27"/>
  <c r="U15" i="27"/>
  <c r="U28" i="27"/>
  <c r="U9" i="26"/>
  <c r="U29" i="26"/>
  <c r="U28" i="26"/>
  <c r="U24" i="26"/>
  <c r="U23" i="27"/>
  <c r="U8" i="28"/>
  <c r="U26" i="26"/>
  <c r="U25" i="27"/>
  <c r="U19" i="26"/>
  <c r="U30" i="28"/>
  <c r="U29" i="28"/>
  <c r="U7" i="28"/>
  <c r="U15" i="26"/>
  <c r="U10" i="26"/>
  <c r="U21" i="27"/>
  <c r="U12" i="27"/>
  <c r="U6" i="27"/>
  <c r="U8" i="27"/>
  <c r="U7" i="26"/>
  <c r="U12" i="26"/>
  <c r="U27" i="27"/>
  <c r="U24" i="28"/>
  <c r="U24" i="27"/>
  <c r="U20" i="26"/>
  <c r="U8" i="26"/>
  <c r="U4" i="27"/>
  <c r="U4" i="26"/>
  <c r="U16" i="27"/>
  <c r="U29" i="27"/>
  <c r="U19" i="27"/>
  <c r="U3" i="28"/>
  <c r="U3" i="27"/>
  <c r="U3" i="26"/>
  <c r="F163" i="6"/>
  <c r="F162" i="6"/>
  <c r="F164" i="6"/>
  <c r="F165" i="6"/>
  <c r="F159" i="6"/>
  <c r="F161" i="6"/>
  <c r="F170" i="6"/>
  <c r="F158" i="6"/>
  <c r="F157" i="6"/>
  <c r="F171" i="6"/>
  <c r="F172" i="6"/>
  <c r="F156" i="6"/>
  <c r="F169" i="6"/>
  <c r="F155" i="6"/>
  <c r="F154" i="6"/>
  <c r="F168" i="6"/>
  <c r="F153" i="6"/>
  <c r="F167" i="6"/>
  <c r="N163" i="6"/>
  <c r="N162" i="6"/>
  <c r="N159" i="6"/>
  <c r="N165" i="6"/>
  <c r="N164" i="6"/>
  <c r="N161" i="6"/>
  <c r="N171" i="6"/>
  <c r="N170" i="6"/>
  <c r="N172" i="6"/>
  <c r="N157" i="6"/>
  <c r="N158" i="6"/>
  <c r="N155" i="6"/>
  <c r="N156" i="6"/>
  <c r="N169" i="6"/>
  <c r="N154" i="6"/>
  <c r="N168" i="6"/>
  <c r="N167" i="6"/>
  <c r="N153" i="6"/>
  <c r="V163" i="6"/>
  <c r="V159" i="6"/>
  <c r="V164" i="6"/>
  <c r="V162" i="6"/>
  <c r="V165" i="6"/>
  <c r="V161" i="6"/>
  <c r="V171" i="6"/>
  <c r="V172" i="6"/>
  <c r="V170" i="6"/>
  <c r="V169" i="6"/>
  <c r="V158" i="6"/>
  <c r="V157" i="6"/>
  <c r="V168" i="6"/>
  <c r="V156" i="6"/>
  <c r="V155" i="6"/>
  <c r="V154" i="6"/>
  <c r="V167" i="6"/>
  <c r="V153" i="6"/>
  <c r="J138" i="6"/>
  <c r="J140" i="6"/>
  <c r="J141" i="6"/>
  <c r="J135" i="6"/>
  <c r="J139" i="6"/>
  <c r="J137" i="6"/>
  <c r="J147" i="6"/>
  <c r="J146" i="6"/>
  <c r="J134" i="6"/>
  <c r="J148" i="6"/>
  <c r="J133" i="6"/>
  <c r="J145" i="6"/>
  <c r="J132" i="6"/>
  <c r="J131" i="6"/>
  <c r="J130" i="6"/>
  <c r="J144" i="6"/>
  <c r="J143" i="6"/>
  <c r="J129" i="6"/>
  <c r="R135" i="6"/>
  <c r="R141" i="6"/>
  <c r="R12" i="15"/>
  <c r="R8" i="15"/>
  <c r="R138" i="6"/>
  <c r="R140" i="6"/>
  <c r="R139" i="6"/>
  <c r="R24" i="15"/>
  <c r="R25" i="16"/>
  <c r="R5" i="17"/>
  <c r="R7" i="17"/>
  <c r="R10" i="17"/>
  <c r="R33" i="15"/>
  <c r="R32" i="17"/>
  <c r="R16" i="17"/>
  <c r="R20" i="16"/>
  <c r="R30" i="16"/>
  <c r="R23" i="16"/>
  <c r="R30" i="17"/>
  <c r="R24" i="16"/>
  <c r="R10" i="16"/>
  <c r="R31" i="15"/>
  <c r="R20" i="17"/>
  <c r="R32" i="16"/>
  <c r="R24" i="17"/>
  <c r="R21" i="16"/>
  <c r="R19" i="17"/>
  <c r="R9" i="17"/>
  <c r="R9" i="15"/>
  <c r="R137" i="6"/>
  <c r="R11" i="15"/>
  <c r="R5" i="15"/>
  <c r="R18" i="15"/>
  <c r="R22" i="15"/>
  <c r="R25" i="15"/>
  <c r="R6" i="15"/>
  <c r="R17" i="15"/>
  <c r="R22" i="17"/>
  <c r="R10" i="15"/>
  <c r="R13" i="15"/>
  <c r="R7" i="15"/>
  <c r="R33" i="16"/>
  <c r="R31" i="17"/>
  <c r="R23" i="17"/>
  <c r="R12" i="16"/>
  <c r="R6" i="17"/>
  <c r="R20" i="15"/>
  <c r="R26" i="16"/>
  <c r="R26" i="15"/>
  <c r="R22" i="16"/>
  <c r="R8" i="16"/>
  <c r="R17" i="17"/>
  <c r="R15" i="16"/>
  <c r="R21" i="17"/>
  <c r="R32" i="15"/>
  <c r="R31" i="16"/>
  <c r="R7" i="16"/>
  <c r="R18" i="16"/>
  <c r="R14" i="16"/>
  <c r="R14" i="15"/>
  <c r="R17" i="16"/>
  <c r="R23" i="15"/>
  <c r="R30" i="15"/>
  <c r="R9" i="16"/>
  <c r="R28" i="15"/>
  <c r="R8" i="17"/>
  <c r="R6" i="16"/>
  <c r="R27" i="16"/>
  <c r="R29" i="15"/>
  <c r="R5" i="16"/>
  <c r="R11" i="16"/>
  <c r="R13" i="16"/>
  <c r="R28" i="16"/>
  <c r="R21" i="15"/>
  <c r="R16" i="15"/>
  <c r="R19" i="16"/>
  <c r="R29" i="16"/>
  <c r="R4" i="17"/>
  <c r="R29" i="17"/>
  <c r="R16" i="16"/>
  <c r="R19" i="15"/>
  <c r="R4" i="15"/>
  <c r="R27" i="15"/>
  <c r="R3" i="15"/>
  <c r="R4" i="16"/>
  <c r="R15" i="15"/>
  <c r="R3" i="17"/>
  <c r="R148" i="6"/>
  <c r="R3" i="16"/>
  <c r="R146" i="6"/>
  <c r="R147" i="6"/>
  <c r="R133" i="6"/>
  <c r="R145" i="6"/>
  <c r="R134" i="6"/>
  <c r="R131" i="6"/>
  <c r="R130" i="6"/>
  <c r="R132" i="6"/>
  <c r="R144" i="6"/>
  <c r="R143" i="6"/>
  <c r="R129" i="6"/>
  <c r="V12" i="26"/>
  <c r="V21" i="26"/>
  <c r="V7" i="26"/>
  <c r="V11" i="26"/>
  <c r="V24" i="26"/>
  <c r="V17" i="26"/>
  <c r="V19" i="28"/>
  <c r="V8" i="28"/>
  <c r="V7" i="28"/>
  <c r="V16" i="28"/>
  <c r="V33" i="26"/>
  <c r="V6" i="26"/>
  <c r="V16" i="26"/>
  <c r="V27" i="27"/>
  <c r="V22" i="28"/>
  <c r="V5" i="28"/>
  <c r="V20" i="28"/>
  <c r="V8" i="27"/>
  <c r="V25" i="27"/>
  <c r="V8" i="26"/>
  <c r="V10" i="26"/>
  <c r="V26" i="27"/>
  <c r="V22" i="26"/>
  <c r="V31" i="28"/>
  <c r="V33" i="27"/>
  <c r="V18" i="27"/>
  <c r="V23" i="26"/>
  <c r="V14" i="26"/>
  <c r="V26" i="26"/>
  <c r="V30" i="27"/>
  <c r="V17" i="27"/>
  <c r="V5" i="27"/>
  <c r="V13" i="27"/>
  <c r="V7" i="27"/>
  <c r="V21" i="28"/>
  <c r="V9" i="26"/>
  <c r="V9" i="27"/>
  <c r="V20" i="27"/>
  <c r="V4" i="28"/>
  <c r="V23" i="27"/>
  <c r="V23" i="28"/>
  <c r="V32" i="27"/>
  <c r="V24" i="27"/>
  <c r="V25" i="26"/>
  <c r="V15" i="26"/>
  <c r="V31" i="27"/>
  <c r="V19" i="26"/>
  <c r="V28" i="27"/>
  <c r="V10" i="28"/>
  <c r="V27" i="26"/>
  <c r="V32" i="26"/>
  <c r="V9" i="28"/>
  <c r="V4" i="26"/>
  <c r="V10" i="27"/>
  <c r="V14" i="27"/>
  <c r="V5" i="26"/>
  <c r="V17" i="28"/>
  <c r="V30" i="26"/>
  <c r="V11" i="27"/>
  <c r="V12" i="27"/>
  <c r="V18" i="26"/>
  <c r="V6" i="27"/>
  <c r="V31" i="26"/>
  <c r="V28" i="26"/>
  <c r="V24" i="28"/>
  <c r="V13" i="26"/>
  <c r="V6" i="28"/>
  <c r="V22" i="27"/>
  <c r="V30" i="28"/>
  <c r="V20" i="26"/>
  <c r="V21" i="27"/>
  <c r="V4" i="27"/>
  <c r="V16" i="27"/>
  <c r="V15" i="27"/>
  <c r="V19" i="27"/>
  <c r="V3" i="28"/>
  <c r="V29" i="26"/>
  <c r="V29" i="27"/>
  <c r="V29" i="28"/>
  <c r="V3" i="26"/>
  <c r="V3" i="27"/>
  <c r="G163" i="6"/>
  <c r="G165" i="6"/>
  <c r="G162" i="6"/>
  <c r="G164" i="6"/>
  <c r="G159" i="6"/>
  <c r="G161" i="6"/>
  <c r="G157" i="6"/>
  <c r="G158" i="6"/>
  <c r="G171" i="6"/>
  <c r="G172" i="6"/>
  <c r="G170" i="6"/>
  <c r="G155" i="6"/>
  <c r="G169" i="6"/>
  <c r="G156" i="6"/>
  <c r="G154" i="6"/>
  <c r="G168" i="6"/>
  <c r="G167" i="6"/>
  <c r="G153" i="6"/>
  <c r="O163" i="6"/>
  <c r="O159" i="6"/>
  <c r="O162" i="6"/>
  <c r="O164" i="6"/>
  <c r="O165" i="6"/>
  <c r="O161" i="6"/>
  <c r="O171" i="6"/>
  <c r="O172" i="6"/>
  <c r="O157" i="6"/>
  <c r="O158" i="6"/>
  <c r="O170" i="6"/>
  <c r="O156" i="6"/>
  <c r="O169" i="6"/>
  <c r="O155" i="6"/>
  <c r="O154" i="6"/>
  <c r="O168" i="6"/>
  <c r="O167" i="6"/>
  <c r="O153" i="6"/>
  <c r="W163" i="6"/>
  <c r="W164" i="6"/>
  <c r="W165" i="6"/>
  <c r="W162" i="6"/>
  <c r="W159" i="6"/>
  <c r="W161" i="6"/>
  <c r="W171" i="6"/>
  <c r="W172" i="6"/>
  <c r="W170" i="6"/>
  <c r="W158" i="6"/>
  <c r="W169" i="6"/>
  <c r="W157" i="6"/>
  <c r="W154" i="6"/>
  <c r="W155" i="6"/>
  <c r="W156" i="6"/>
  <c r="W168" i="6"/>
  <c r="W167" i="6"/>
  <c r="W153" i="6"/>
  <c r="K141" i="6"/>
  <c r="K140" i="6"/>
  <c r="K138" i="6"/>
  <c r="K135" i="6"/>
  <c r="K139" i="6"/>
  <c r="K137" i="6"/>
  <c r="K147" i="6"/>
  <c r="K133" i="6"/>
  <c r="K134" i="6"/>
  <c r="K148" i="6"/>
  <c r="K146" i="6"/>
  <c r="K132" i="6"/>
  <c r="K145" i="6"/>
  <c r="K131" i="6"/>
  <c r="K144" i="6"/>
  <c r="K130" i="6"/>
  <c r="K129" i="6"/>
  <c r="K143" i="6"/>
  <c r="S140" i="6"/>
  <c r="S32" i="15"/>
  <c r="S138" i="6"/>
  <c r="S21" i="15"/>
  <c r="S30" i="16"/>
  <c r="S5" i="15"/>
  <c r="S135" i="6"/>
  <c r="S139" i="6"/>
  <c r="S14" i="16"/>
  <c r="S141" i="6"/>
  <c r="S15" i="15"/>
  <c r="S32" i="16"/>
  <c r="S18" i="16"/>
  <c r="S32" i="17"/>
  <c r="S10" i="16"/>
  <c r="S19" i="15"/>
  <c r="S21" i="16"/>
  <c r="S22" i="15"/>
  <c r="S12" i="15"/>
  <c r="S8" i="17"/>
  <c r="S25" i="15"/>
  <c r="S11" i="16"/>
  <c r="S10" i="17"/>
  <c r="S13" i="16"/>
  <c r="S26" i="15"/>
  <c r="S31" i="16"/>
  <c r="S5" i="17"/>
  <c r="S6" i="16"/>
  <c r="S29" i="17"/>
  <c r="S23" i="15"/>
  <c r="S27" i="15"/>
  <c r="S31" i="17"/>
  <c r="S8" i="16"/>
  <c r="S17" i="15"/>
  <c r="S15" i="16"/>
  <c r="S28" i="15"/>
  <c r="S17" i="16"/>
  <c r="S7" i="16"/>
  <c r="S24" i="15"/>
  <c r="S23" i="17"/>
  <c r="S29" i="15"/>
  <c r="S9" i="17"/>
  <c r="S27" i="16"/>
  <c r="S9" i="16"/>
  <c r="S24" i="16"/>
  <c r="S26" i="16"/>
  <c r="S18" i="15"/>
  <c r="S25" i="16"/>
  <c r="S30" i="17"/>
  <c r="S20" i="15"/>
  <c r="S20" i="17"/>
  <c r="S6" i="15"/>
  <c r="S23" i="16"/>
  <c r="S16" i="15"/>
  <c r="S30" i="15"/>
  <c r="S31" i="15"/>
  <c r="S8" i="15"/>
  <c r="S137" i="6"/>
  <c r="S7" i="17"/>
  <c r="S21" i="17"/>
  <c r="S10" i="15"/>
  <c r="S13" i="15"/>
  <c r="S33" i="16"/>
  <c r="S9" i="15"/>
  <c r="S14" i="15"/>
  <c r="S11" i="15"/>
  <c r="S6" i="17"/>
  <c r="S17" i="17"/>
  <c r="S33" i="15"/>
  <c r="S12" i="16"/>
  <c r="S22" i="16"/>
  <c r="S20" i="16"/>
  <c r="S22" i="17"/>
  <c r="S16" i="17"/>
  <c r="S19" i="17"/>
  <c r="S24" i="17"/>
  <c r="S7" i="15"/>
  <c r="S5" i="16"/>
  <c r="S28" i="16"/>
  <c r="S4" i="17"/>
  <c r="S29" i="16"/>
  <c r="S19" i="16"/>
  <c r="S3" i="15"/>
  <c r="S4" i="16"/>
  <c r="S4" i="15"/>
  <c r="S16" i="16"/>
  <c r="S147" i="6"/>
  <c r="S3" i="17"/>
  <c r="S146" i="6"/>
  <c r="S3" i="16"/>
  <c r="S148" i="6"/>
  <c r="S134" i="6"/>
  <c r="S133" i="6"/>
  <c r="S132" i="6"/>
  <c r="S144" i="6"/>
  <c r="S145" i="6"/>
  <c r="S143" i="6"/>
  <c r="S130" i="6"/>
  <c r="S131" i="6"/>
  <c r="S129" i="6"/>
  <c r="W23" i="28"/>
  <c r="W10" i="28"/>
  <c r="W28" i="27"/>
  <c r="W18" i="27"/>
  <c r="W31" i="28"/>
  <c r="W11" i="26"/>
  <c r="W11" i="27"/>
  <c r="W5" i="28"/>
  <c r="W23" i="26"/>
  <c r="W22" i="27"/>
  <c r="W8" i="28"/>
  <c r="W13" i="27"/>
  <c r="W18" i="26"/>
  <c r="W27" i="27"/>
  <c r="W28" i="26"/>
  <c r="W24" i="26"/>
  <c r="W30" i="28"/>
  <c r="W32" i="26"/>
  <c r="W29" i="26"/>
  <c r="W33" i="27"/>
  <c r="W24" i="28"/>
  <c r="W19" i="27"/>
  <c r="W31" i="26"/>
  <c r="W30" i="27"/>
  <c r="W22" i="28"/>
  <c r="W10" i="27"/>
  <c r="W7" i="28"/>
  <c r="W12" i="27"/>
  <c r="W16" i="27"/>
  <c r="W6" i="27"/>
  <c r="W8" i="27"/>
  <c r="W9" i="28"/>
  <c r="W25" i="27"/>
  <c r="W9" i="27"/>
  <c r="W7" i="26"/>
  <c r="W25" i="26"/>
  <c r="W6" i="26"/>
  <c r="W20" i="28"/>
  <c r="W27" i="26"/>
  <c r="W12" i="26"/>
  <c r="W23" i="27"/>
  <c r="W20" i="26"/>
  <c r="W17" i="27"/>
  <c r="W26" i="26"/>
  <c r="W9" i="26"/>
  <c r="W24" i="27"/>
  <c r="W26" i="27"/>
  <c r="W20" i="27"/>
  <c r="W10" i="26"/>
  <c r="W19" i="28"/>
  <c r="W30" i="26"/>
  <c r="W16" i="26"/>
  <c r="W14" i="26"/>
  <c r="W14" i="27"/>
  <c r="W21" i="27"/>
  <c r="W5" i="27"/>
  <c r="W32" i="27"/>
  <c r="W17" i="26"/>
  <c r="W8" i="26"/>
  <c r="W7" i="27"/>
  <c r="W31" i="27"/>
  <c r="W29" i="28"/>
  <c r="W22" i="26"/>
  <c r="W13" i="26"/>
  <c r="W6" i="28"/>
  <c r="W21" i="26"/>
  <c r="W16" i="28"/>
  <c r="W21" i="28"/>
  <c r="W5" i="26"/>
  <c r="W17" i="28"/>
  <c r="W15" i="27"/>
  <c r="W33" i="26"/>
  <c r="W29" i="27"/>
  <c r="W15" i="26"/>
  <c r="W4" i="26"/>
  <c r="W19" i="26"/>
  <c r="W4" i="28"/>
  <c r="W4" i="27"/>
  <c r="W3" i="26"/>
  <c r="W3" i="28"/>
  <c r="W3" i="27"/>
  <c r="B37" i="6" l="1"/>
  <c r="B33" i="6"/>
  <c r="C32" i="39" l="1"/>
  <c r="D32" i="39"/>
  <c r="E32" i="39"/>
  <c r="L45" i="39"/>
  <c r="M45" i="39"/>
  <c r="D33" i="39"/>
  <c r="E33" i="39"/>
  <c r="G33" i="39"/>
  <c r="L46" i="39"/>
  <c r="M46" i="39"/>
  <c r="D34" i="39"/>
  <c r="E34" i="39"/>
  <c r="L47" i="39"/>
  <c r="M47" i="39"/>
  <c r="D35" i="39"/>
  <c r="E35" i="39"/>
  <c r="L35" i="39"/>
  <c r="M35" i="39"/>
  <c r="D36" i="39"/>
  <c r="E36" i="39"/>
  <c r="L36" i="39"/>
  <c r="M36" i="39"/>
  <c r="D37" i="39"/>
  <c r="E37" i="39"/>
  <c r="L37" i="39"/>
  <c r="M37" i="39"/>
  <c r="C38" i="39"/>
  <c r="D38" i="39"/>
  <c r="E38" i="39"/>
  <c r="F38" i="39"/>
  <c r="I38" i="39"/>
  <c r="L38" i="39"/>
  <c r="M38" i="39"/>
  <c r="Q38" i="39"/>
  <c r="D39" i="39"/>
  <c r="E39" i="39"/>
  <c r="I52" i="39"/>
  <c r="L39" i="39"/>
  <c r="M39" i="39"/>
  <c r="Q52" i="39"/>
  <c r="C40" i="39"/>
  <c r="D40" i="39"/>
  <c r="E40" i="39"/>
  <c r="I40" i="39"/>
  <c r="L40" i="39"/>
  <c r="M53" i="39"/>
  <c r="Q40" i="39"/>
  <c r="H32" i="39"/>
  <c r="I32" i="39"/>
  <c r="P32" i="39"/>
  <c r="Q32" i="39"/>
  <c r="H33" i="39"/>
  <c r="I33" i="39"/>
  <c r="P33" i="39"/>
  <c r="Q33" i="39"/>
  <c r="H34" i="39"/>
  <c r="I34" i="39"/>
  <c r="P34" i="39"/>
  <c r="Q34" i="39"/>
  <c r="H35" i="39"/>
  <c r="I35" i="39"/>
  <c r="P35" i="39"/>
  <c r="Q35" i="39"/>
  <c r="H36" i="39"/>
  <c r="I36" i="39"/>
  <c r="P36" i="39"/>
  <c r="Q36" i="39"/>
  <c r="H37" i="39"/>
  <c r="I37" i="39"/>
  <c r="P37" i="39"/>
  <c r="Q37" i="39"/>
  <c r="H38" i="39"/>
  <c r="P38" i="39"/>
  <c r="H39" i="39"/>
  <c r="I39" i="39"/>
  <c r="P39" i="39"/>
  <c r="Q39" i="39"/>
  <c r="H40" i="39"/>
  <c r="P40" i="39"/>
  <c r="H45" i="39"/>
  <c r="I45" i="39"/>
  <c r="P45" i="39"/>
  <c r="Q45" i="39"/>
  <c r="H46" i="39"/>
  <c r="I46" i="39"/>
  <c r="P46" i="39"/>
  <c r="Q46" i="39"/>
  <c r="H47" i="39"/>
  <c r="I47" i="39"/>
  <c r="P47" i="39"/>
  <c r="Q47" i="39"/>
  <c r="H52" i="39"/>
  <c r="P52" i="39"/>
  <c r="D53" i="39"/>
  <c r="E53" i="39"/>
  <c r="H53" i="39"/>
  <c r="P53" i="39"/>
  <c r="B32" i="38"/>
  <c r="C32" i="38"/>
  <c r="D32" i="38"/>
  <c r="E32" i="38"/>
  <c r="F32" i="38"/>
  <c r="G32" i="38"/>
  <c r="H32" i="38"/>
  <c r="I32" i="38"/>
  <c r="J32" i="38"/>
  <c r="K32" i="38"/>
  <c r="L32" i="38"/>
  <c r="M32" i="38"/>
  <c r="N32" i="38"/>
  <c r="O32" i="38"/>
  <c r="P32" i="38"/>
  <c r="Q32" i="38"/>
  <c r="B33" i="38"/>
  <c r="C33" i="38"/>
  <c r="D33" i="38"/>
  <c r="E33" i="38"/>
  <c r="F33" i="38"/>
  <c r="G33" i="38"/>
  <c r="H33" i="38"/>
  <c r="I33" i="38"/>
  <c r="J33" i="38"/>
  <c r="K33" i="38"/>
  <c r="L33" i="38"/>
  <c r="M33" i="38"/>
  <c r="N33" i="38"/>
  <c r="O33" i="38"/>
  <c r="P33" i="38"/>
  <c r="Q33" i="38"/>
  <c r="B34" i="38"/>
  <c r="C34" i="38"/>
  <c r="D34" i="38"/>
  <c r="E34" i="38"/>
  <c r="F34" i="38"/>
  <c r="G34" i="38"/>
  <c r="H34" i="38"/>
  <c r="I34" i="38"/>
  <c r="J34" i="38"/>
  <c r="K34" i="38"/>
  <c r="L34" i="38"/>
  <c r="M34" i="38"/>
  <c r="N34" i="38"/>
  <c r="O34" i="38"/>
  <c r="P34" i="38"/>
  <c r="Q34" i="38"/>
  <c r="B35" i="38"/>
  <c r="C35" i="38"/>
  <c r="D35" i="38"/>
  <c r="E35" i="38"/>
  <c r="F35" i="38"/>
  <c r="G35" i="38"/>
  <c r="H35" i="38"/>
  <c r="I35" i="38"/>
  <c r="J35" i="38"/>
  <c r="K35" i="38"/>
  <c r="L35" i="38"/>
  <c r="M35" i="38"/>
  <c r="N35" i="38"/>
  <c r="O35" i="38"/>
  <c r="P35" i="38"/>
  <c r="Q35" i="38"/>
  <c r="B36" i="38"/>
  <c r="C36" i="38"/>
  <c r="D36" i="38"/>
  <c r="E36" i="38"/>
  <c r="F36" i="38"/>
  <c r="G36" i="38"/>
  <c r="H36" i="38"/>
  <c r="I36" i="38"/>
  <c r="J36" i="38"/>
  <c r="K36" i="38"/>
  <c r="L36" i="38"/>
  <c r="M36" i="38"/>
  <c r="N36" i="38"/>
  <c r="O36" i="38"/>
  <c r="P36" i="38"/>
  <c r="Q36" i="38"/>
  <c r="B37" i="38"/>
  <c r="C37" i="38"/>
  <c r="D37" i="38"/>
  <c r="E37" i="38"/>
  <c r="F37" i="38"/>
  <c r="G37" i="38"/>
  <c r="H37" i="38"/>
  <c r="I37" i="38"/>
  <c r="J37" i="38"/>
  <c r="K37" i="38"/>
  <c r="L37" i="38"/>
  <c r="M37" i="38"/>
  <c r="N37" i="38"/>
  <c r="O37" i="38"/>
  <c r="P37" i="38"/>
  <c r="Q37" i="38"/>
  <c r="B38" i="38"/>
  <c r="C38" i="38"/>
  <c r="D38" i="38"/>
  <c r="E38" i="38"/>
  <c r="F38" i="38"/>
  <c r="G38" i="38"/>
  <c r="H38" i="38"/>
  <c r="I38" i="38"/>
  <c r="J38" i="38"/>
  <c r="K38" i="38"/>
  <c r="L38" i="38"/>
  <c r="M38" i="38"/>
  <c r="N38" i="38"/>
  <c r="O38" i="38"/>
  <c r="P38" i="38"/>
  <c r="Q38" i="38"/>
  <c r="B39" i="38"/>
  <c r="C39" i="38"/>
  <c r="D39" i="38"/>
  <c r="E39" i="38"/>
  <c r="F39" i="38"/>
  <c r="G39" i="38"/>
  <c r="H39" i="38"/>
  <c r="I39" i="38"/>
  <c r="J39" i="38"/>
  <c r="K39" i="38"/>
  <c r="L39" i="38"/>
  <c r="M39" i="38"/>
  <c r="N39" i="38"/>
  <c r="O39" i="38"/>
  <c r="P39" i="38"/>
  <c r="Q39" i="38"/>
  <c r="B40" i="38"/>
  <c r="C40" i="38"/>
  <c r="D40" i="38"/>
  <c r="E40" i="38"/>
  <c r="F40" i="38"/>
  <c r="G40" i="38"/>
  <c r="H40" i="38"/>
  <c r="I40" i="38"/>
  <c r="J40" i="38"/>
  <c r="K40" i="38"/>
  <c r="L40" i="38"/>
  <c r="M40" i="38"/>
  <c r="N40" i="38"/>
  <c r="O40" i="38"/>
  <c r="P40" i="38"/>
  <c r="Q40" i="38"/>
  <c r="E32" i="37"/>
  <c r="F32" i="37"/>
  <c r="I32" i="37"/>
  <c r="J32" i="37"/>
  <c r="M32" i="37"/>
  <c r="N32" i="37"/>
  <c r="E33" i="37"/>
  <c r="I33" i="37"/>
  <c r="J33" i="37"/>
  <c r="M33" i="37"/>
  <c r="Q33" i="37"/>
  <c r="E34" i="37"/>
  <c r="I34" i="37"/>
  <c r="J34" i="37"/>
  <c r="M34" i="37"/>
  <c r="N34" i="37"/>
  <c r="F35" i="37"/>
  <c r="N35" i="37"/>
  <c r="F36" i="37"/>
  <c r="J36" i="37"/>
  <c r="Q36" i="37"/>
  <c r="B37" i="37"/>
  <c r="F37" i="37"/>
  <c r="N37" i="37"/>
  <c r="C38" i="37"/>
  <c r="J38" i="37"/>
  <c r="Q51" i="39"/>
  <c r="E39" i="37"/>
  <c r="F39" i="37"/>
  <c r="I39" i="37"/>
  <c r="M39" i="37"/>
  <c r="N39" i="37"/>
  <c r="Q39" i="37"/>
  <c r="C40" i="37"/>
  <c r="E40" i="37"/>
  <c r="I40" i="37"/>
  <c r="J40" i="37"/>
  <c r="M40" i="37"/>
  <c r="B32" i="37"/>
  <c r="C32" i="37"/>
  <c r="O32" i="37"/>
  <c r="F33" i="37"/>
  <c r="N33" i="37"/>
  <c r="O33" i="37"/>
  <c r="C34" i="37"/>
  <c r="O34" i="37"/>
  <c r="O35" i="37"/>
  <c r="C36" i="37"/>
  <c r="O36" i="37"/>
  <c r="M37" i="37"/>
  <c r="F38" i="37"/>
  <c r="Q38" i="37"/>
  <c r="O39" i="37"/>
  <c r="O40" i="37"/>
  <c r="F48" i="37"/>
  <c r="N48" i="37"/>
  <c r="A6" i="35"/>
  <c r="A8" i="35"/>
  <c r="A9" i="35"/>
  <c r="A10" i="35"/>
  <c r="A14" i="35"/>
  <c r="A15" i="35"/>
  <c r="A6" i="34"/>
  <c r="A8" i="34"/>
  <c r="A9" i="34"/>
  <c r="A10" i="34"/>
  <c r="A14" i="34"/>
  <c r="A15" i="34"/>
  <c r="A6" i="33"/>
  <c r="A8" i="33"/>
  <c r="A9" i="33"/>
  <c r="A10" i="33"/>
  <c r="A14" i="33"/>
  <c r="A15" i="33"/>
  <c r="A6" i="32"/>
  <c r="A8" i="32"/>
  <c r="A9" i="32"/>
  <c r="A10" i="32"/>
  <c r="A14" i="32"/>
  <c r="A15" i="32"/>
  <c r="A6" i="31"/>
  <c r="A8" i="31"/>
  <c r="A9" i="31"/>
  <c r="A10" i="31"/>
  <c r="A14" i="31"/>
  <c r="A15" i="31"/>
  <c r="A6" i="30"/>
  <c r="A8" i="30"/>
  <c r="A9" i="30"/>
  <c r="A10" i="30"/>
  <c r="A14" i="30"/>
  <c r="A15" i="30"/>
  <c r="B3" i="30"/>
  <c r="D3" i="30"/>
  <c r="F3" i="30"/>
  <c r="H3" i="30"/>
  <c r="J3" i="30"/>
  <c r="L3" i="30"/>
  <c r="O3" i="30"/>
  <c r="Q3" i="30"/>
  <c r="B3" i="31"/>
  <c r="C3" i="31"/>
  <c r="D3" i="31"/>
  <c r="E3" i="31"/>
  <c r="F3" i="31"/>
  <c r="G3" i="31"/>
  <c r="I3" i="31"/>
  <c r="J3" i="31"/>
  <c r="K3" i="31"/>
  <c r="L3" i="31"/>
  <c r="M3" i="31"/>
  <c r="N3" i="31"/>
  <c r="O3" i="31"/>
  <c r="P3" i="31"/>
  <c r="Q3" i="31"/>
  <c r="B3" i="32"/>
  <c r="C3" i="32"/>
  <c r="D3" i="32"/>
  <c r="E3" i="32"/>
  <c r="F3" i="32"/>
  <c r="G3" i="32"/>
  <c r="H3" i="32"/>
  <c r="I3" i="32"/>
  <c r="J3" i="32"/>
  <c r="K3" i="32"/>
  <c r="L3" i="32"/>
  <c r="M3" i="32"/>
  <c r="N3" i="32"/>
  <c r="O3" i="32"/>
  <c r="P3" i="32"/>
  <c r="Q3" i="32"/>
  <c r="B3" i="33"/>
  <c r="C3" i="33"/>
  <c r="D3" i="33"/>
  <c r="E3" i="33"/>
  <c r="F3" i="33"/>
  <c r="G3" i="33"/>
  <c r="H3" i="33"/>
  <c r="I3" i="33"/>
  <c r="J3" i="33"/>
  <c r="K3" i="33"/>
  <c r="L3" i="33"/>
  <c r="M3" i="33"/>
  <c r="N3" i="33"/>
  <c r="O3" i="33"/>
  <c r="P3" i="33"/>
  <c r="Q3" i="33"/>
  <c r="B3" i="34"/>
  <c r="C3" i="34"/>
  <c r="E3" i="34"/>
  <c r="F3" i="34"/>
  <c r="G3" i="34"/>
  <c r="H3" i="34"/>
  <c r="I3" i="34"/>
  <c r="J3" i="34"/>
  <c r="K3" i="34"/>
  <c r="L3" i="34"/>
  <c r="M3" i="34"/>
  <c r="N3" i="34"/>
  <c r="O3" i="34"/>
  <c r="P3" i="34"/>
  <c r="Q3" i="34"/>
  <c r="B3" i="35"/>
  <c r="C3" i="35"/>
  <c r="D3" i="35"/>
  <c r="E3" i="35"/>
  <c r="F3" i="35"/>
  <c r="G3" i="35"/>
  <c r="H3" i="35"/>
  <c r="I3" i="35"/>
  <c r="J3" i="35"/>
  <c r="K3" i="35"/>
  <c r="L3" i="35"/>
  <c r="M3" i="35"/>
  <c r="N3" i="35"/>
  <c r="O3" i="35"/>
  <c r="P3" i="35"/>
  <c r="Q3" i="35"/>
  <c r="G5" i="30"/>
  <c r="J5" i="30"/>
  <c r="K5" i="30"/>
  <c r="L5" i="30"/>
  <c r="N5" i="30"/>
  <c r="Q5" i="30"/>
  <c r="B5" i="31"/>
  <c r="C5" i="31"/>
  <c r="D5" i="31"/>
  <c r="E5" i="31"/>
  <c r="F5" i="31"/>
  <c r="G5" i="31"/>
  <c r="H5" i="31"/>
  <c r="I5" i="31"/>
  <c r="J5" i="31"/>
  <c r="K5" i="31"/>
  <c r="L5" i="31"/>
  <c r="M5" i="31"/>
  <c r="N5" i="31"/>
  <c r="O5" i="31"/>
  <c r="P5" i="31"/>
  <c r="Q5" i="31"/>
  <c r="B5" i="32"/>
  <c r="C5" i="32"/>
  <c r="D5" i="32"/>
  <c r="E5" i="32"/>
  <c r="F5" i="32"/>
  <c r="G5" i="32"/>
  <c r="H5" i="32"/>
  <c r="I5" i="32"/>
  <c r="J5" i="32"/>
  <c r="K5" i="32"/>
  <c r="L5" i="32"/>
  <c r="M5" i="32"/>
  <c r="N5" i="32"/>
  <c r="O5" i="32"/>
  <c r="P5" i="32"/>
  <c r="Q5" i="32"/>
  <c r="B5" i="33"/>
  <c r="C5" i="33"/>
  <c r="D5" i="33"/>
  <c r="E5" i="33"/>
  <c r="F5" i="33"/>
  <c r="G5" i="33"/>
  <c r="H5" i="33"/>
  <c r="I5" i="33"/>
  <c r="J5" i="33"/>
  <c r="K5" i="33"/>
  <c r="L5" i="33"/>
  <c r="M5" i="33"/>
  <c r="N5" i="33"/>
  <c r="O5" i="33"/>
  <c r="P5" i="33"/>
  <c r="Q5" i="33"/>
  <c r="B5" i="34"/>
  <c r="C5" i="34"/>
  <c r="D5" i="34"/>
  <c r="E5" i="34"/>
  <c r="F5" i="34"/>
  <c r="G5" i="34"/>
  <c r="H5" i="34"/>
  <c r="I5" i="34"/>
  <c r="J5" i="34"/>
  <c r="K5" i="34"/>
  <c r="L5" i="34"/>
  <c r="M5" i="34"/>
  <c r="N5" i="34"/>
  <c r="O5" i="34"/>
  <c r="P5" i="34"/>
  <c r="Q5" i="34"/>
  <c r="B5" i="35"/>
  <c r="C5" i="35"/>
  <c r="D5" i="35"/>
  <c r="E5" i="35"/>
  <c r="F5" i="35"/>
  <c r="G5" i="35"/>
  <c r="H5" i="35"/>
  <c r="I5" i="35"/>
  <c r="J5" i="35"/>
  <c r="K5" i="35"/>
  <c r="L5" i="35"/>
  <c r="M5" i="35"/>
  <c r="N5" i="35"/>
  <c r="O5" i="35"/>
  <c r="P5" i="35"/>
  <c r="Q5" i="35"/>
  <c r="D8" i="30"/>
  <c r="G8" i="30"/>
  <c r="I8" i="30"/>
  <c r="K8" i="30"/>
  <c r="M8" i="30"/>
  <c r="Q8" i="30"/>
  <c r="B8" i="31"/>
  <c r="E8" i="31"/>
  <c r="I8" i="31"/>
  <c r="M8" i="31"/>
  <c r="P8" i="31"/>
  <c r="Q8" i="31"/>
  <c r="B8" i="32"/>
  <c r="C8" i="32"/>
  <c r="D8" i="32"/>
  <c r="E8" i="32"/>
  <c r="F8" i="32"/>
  <c r="G8" i="32"/>
  <c r="H8" i="32"/>
  <c r="I8" i="32"/>
  <c r="L8" i="32"/>
  <c r="M8" i="32"/>
  <c r="O8" i="32"/>
  <c r="P8" i="32"/>
  <c r="Q8" i="32"/>
  <c r="C8" i="33"/>
  <c r="I8" i="33"/>
  <c r="K8" i="33"/>
  <c r="N8" i="33"/>
  <c r="O8" i="33"/>
  <c r="Q8" i="33"/>
  <c r="G8" i="34"/>
  <c r="I8" i="34"/>
  <c r="K8" i="34"/>
  <c r="M8" i="34"/>
  <c r="O8" i="34"/>
  <c r="Q8" i="34"/>
  <c r="B8" i="35"/>
  <c r="D8" i="35"/>
  <c r="E8" i="35"/>
  <c r="I8" i="35"/>
  <c r="M8" i="35"/>
  <c r="Q8" i="35"/>
  <c r="C9" i="30"/>
  <c r="D9" i="30"/>
  <c r="E9" i="30"/>
  <c r="F9" i="30"/>
  <c r="G9" i="30"/>
  <c r="H9" i="30"/>
  <c r="I9" i="30"/>
  <c r="J9" i="30"/>
  <c r="K9" i="30"/>
  <c r="L9" i="30"/>
  <c r="M9" i="30"/>
  <c r="N9" i="30"/>
  <c r="O9" i="30"/>
  <c r="P9" i="30"/>
  <c r="Q9" i="30"/>
  <c r="D9" i="31"/>
  <c r="E9" i="31"/>
  <c r="F9" i="31"/>
  <c r="G9" i="31"/>
  <c r="H9" i="31"/>
  <c r="I9" i="31"/>
  <c r="J9" i="31"/>
  <c r="K9" i="31"/>
  <c r="L9" i="31"/>
  <c r="M9" i="31"/>
  <c r="N9" i="31"/>
  <c r="O9" i="31"/>
  <c r="P9" i="31"/>
  <c r="C9" i="32"/>
  <c r="F9" i="32"/>
  <c r="G9" i="32"/>
  <c r="J9" i="32"/>
  <c r="K9" i="32"/>
  <c r="L9" i="32"/>
  <c r="N9" i="32"/>
  <c r="O9" i="32"/>
  <c r="P9" i="32"/>
  <c r="C9" i="33"/>
  <c r="E9" i="33"/>
  <c r="F9" i="33"/>
  <c r="G9" i="33"/>
  <c r="H9" i="33"/>
  <c r="I9" i="33"/>
  <c r="J9" i="33"/>
  <c r="K9" i="33"/>
  <c r="M9" i="33"/>
  <c r="N9" i="33"/>
  <c r="Q9" i="33"/>
  <c r="C9" i="34"/>
  <c r="D9" i="34"/>
  <c r="E9" i="34"/>
  <c r="F9" i="34"/>
  <c r="G9" i="34"/>
  <c r="H9" i="34"/>
  <c r="I9" i="34"/>
  <c r="J9" i="34"/>
  <c r="K9" i="34"/>
  <c r="L9" i="34"/>
  <c r="M9" i="34"/>
  <c r="N9" i="34"/>
  <c r="O9" i="34"/>
  <c r="P9" i="34"/>
  <c r="Q9" i="34"/>
  <c r="C9" i="35"/>
  <c r="D9" i="35"/>
  <c r="F9" i="35"/>
  <c r="G9" i="35"/>
  <c r="H9" i="35"/>
  <c r="I9" i="35"/>
  <c r="J9" i="35"/>
  <c r="K9" i="35"/>
  <c r="L9" i="35"/>
  <c r="M9" i="35"/>
  <c r="N9" i="35"/>
  <c r="O9" i="35"/>
  <c r="P9" i="35"/>
  <c r="Q9" i="35"/>
  <c r="E10" i="30"/>
  <c r="B12" i="30"/>
  <c r="C12" i="30"/>
  <c r="D12" i="30"/>
  <c r="E12" i="30"/>
  <c r="F12" i="30"/>
  <c r="G12" i="30"/>
  <c r="H12" i="30"/>
  <c r="I12" i="30"/>
  <c r="J12" i="30"/>
  <c r="K12" i="30"/>
  <c r="L12" i="30"/>
  <c r="M12" i="30"/>
  <c r="N12" i="30"/>
  <c r="O12" i="30"/>
  <c r="P12" i="30"/>
  <c r="Q12" i="30"/>
  <c r="B12" i="31"/>
  <c r="C12" i="31"/>
  <c r="D12" i="31"/>
  <c r="E12" i="31"/>
  <c r="F12" i="31"/>
  <c r="G12" i="31"/>
  <c r="H12" i="31"/>
  <c r="I12" i="31"/>
  <c r="J12" i="31"/>
  <c r="K12" i="31"/>
  <c r="L12" i="31"/>
  <c r="M12" i="31"/>
  <c r="N12" i="31"/>
  <c r="O12" i="31"/>
  <c r="P12" i="31"/>
  <c r="Q12" i="31"/>
  <c r="B12" i="32"/>
  <c r="C12" i="32"/>
  <c r="D12" i="32"/>
  <c r="E12" i="32"/>
  <c r="F12" i="32"/>
  <c r="G12" i="32"/>
  <c r="H12" i="32"/>
  <c r="I12" i="32"/>
  <c r="J12" i="32"/>
  <c r="K12" i="32"/>
  <c r="L12" i="32"/>
  <c r="M12" i="32"/>
  <c r="N12" i="32"/>
  <c r="O12" i="32"/>
  <c r="P12" i="32"/>
  <c r="Q12" i="32"/>
  <c r="B12" i="33"/>
  <c r="C12" i="33"/>
  <c r="D12" i="33"/>
  <c r="E12" i="33"/>
  <c r="F12" i="33"/>
  <c r="G12" i="33"/>
  <c r="H12" i="33"/>
  <c r="I12" i="33"/>
  <c r="J12" i="33"/>
  <c r="K12" i="33"/>
  <c r="L12" i="33"/>
  <c r="M12" i="33"/>
  <c r="N12" i="33"/>
  <c r="O12" i="33"/>
  <c r="P12" i="33"/>
  <c r="Q12" i="33"/>
  <c r="B12" i="34"/>
  <c r="C12" i="34"/>
  <c r="D12" i="34"/>
  <c r="E12" i="34"/>
  <c r="F12" i="34"/>
  <c r="G12" i="34"/>
  <c r="H12" i="34"/>
  <c r="I12" i="34"/>
  <c r="J12" i="34"/>
  <c r="K12" i="34"/>
  <c r="L12" i="34"/>
  <c r="M12" i="34"/>
  <c r="N12" i="34"/>
  <c r="O12" i="34"/>
  <c r="P12" i="34"/>
  <c r="Q12" i="34"/>
  <c r="B12" i="35"/>
  <c r="C12" i="35"/>
  <c r="D12" i="35"/>
  <c r="E12" i="35"/>
  <c r="F12" i="35"/>
  <c r="G12" i="35"/>
  <c r="H12" i="35"/>
  <c r="I12" i="35"/>
  <c r="J12" i="35"/>
  <c r="K12" i="35"/>
  <c r="L12" i="35"/>
  <c r="M12" i="35"/>
  <c r="N12" i="35"/>
  <c r="O12" i="35"/>
  <c r="P12" i="35"/>
  <c r="Q12" i="35"/>
  <c r="B14" i="30"/>
  <c r="C14" i="30"/>
  <c r="D14" i="30"/>
  <c r="E14" i="30"/>
  <c r="F14" i="30"/>
  <c r="G14" i="30"/>
  <c r="H14" i="30"/>
  <c r="I14" i="30"/>
  <c r="J14" i="30"/>
  <c r="K14" i="30"/>
  <c r="L14" i="30"/>
  <c r="M14" i="30"/>
  <c r="N14" i="30"/>
  <c r="O14" i="30"/>
  <c r="P14" i="30"/>
  <c r="Q14" i="30"/>
  <c r="B14" i="31"/>
  <c r="C14" i="31"/>
  <c r="D14" i="31"/>
  <c r="E14" i="31"/>
  <c r="F14" i="31"/>
  <c r="G14" i="31"/>
  <c r="H14" i="31"/>
  <c r="I14" i="31"/>
  <c r="J14" i="31"/>
  <c r="K14" i="31"/>
  <c r="L14" i="31"/>
  <c r="M14" i="31"/>
  <c r="N14" i="31"/>
  <c r="O14" i="31"/>
  <c r="P14" i="31"/>
  <c r="Q14" i="31"/>
  <c r="B14" i="32"/>
  <c r="C14" i="32"/>
  <c r="D14" i="32"/>
  <c r="E14" i="32"/>
  <c r="F14" i="32"/>
  <c r="G14" i="32"/>
  <c r="H14" i="32"/>
  <c r="I14" i="32"/>
  <c r="J14" i="32"/>
  <c r="K14" i="32"/>
  <c r="L14" i="32"/>
  <c r="M14" i="32"/>
  <c r="N14" i="32"/>
  <c r="O14" i="32"/>
  <c r="P14" i="32"/>
  <c r="Q14" i="32"/>
  <c r="B14" i="33"/>
  <c r="C14" i="33"/>
  <c r="D14" i="33"/>
  <c r="E14" i="33"/>
  <c r="F14" i="33"/>
  <c r="G14" i="33"/>
  <c r="H14" i="33"/>
  <c r="I14" i="33"/>
  <c r="J14" i="33"/>
  <c r="K14" i="33"/>
  <c r="L14" i="33"/>
  <c r="M14" i="33"/>
  <c r="N14" i="33"/>
  <c r="O14" i="33"/>
  <c r="P14" i="33"/>
  <c r="Q14" i="33"/>
  <c r="B14" i="34"/>
  <c r="C14" i="34"/>
  <c r="D14" i="34"/>
  <c r="E14" i="34"/>
  <c r="F14" i="34"/>
  <c r="G14" i="34"/>
  <c r="H14" i="34"/>
  <c r="I14" i="34"/>
  <c r="J14" i="34"/>
  <c r="K14" i="34"/>
  <c r="L14" i="34"/>
  <c r="M14" i="34"/>
  <c r="N14" i="34"/>
  <c r="O14" i="34"/>
  <c r="P14" i="34"/>
  <c r="Q14" i="34"/>
  <c r="B14" i="35"/>
  <c r="C14" i="35"/>
  <c r="D14" i="35"/>
  <c r="E14" i="35"/>
  <c r="F14" i="35"/>
  <c r="G14" i="35"/>
  <c r="H14" i="35"/>
  <c r="I14" i="35"/>
  <c r="J14" i="35"/>
  <c r="K14" i="35"/>
  <c r="L14" i="35"/>
  <c r="M14" i="35"/>
  <c r="N14" i="35"/>
  <c r="O14" i="35"/>
  <c r="P14" i="35"/>
  <c r="Q14" i="35"/>
  <c r="C15" i="30"/>
  <c r="D15" i="30"/>
  <c r="E15" i="30"/>
  <c r="F15" i="30"/>
  <c r="G15" i="30"/>
  <c r="H15" i="30"/>
  <c r="I15" i="30"/>
  <c r="J15" i="30"/>
  <c r="K15" i="30"/>
  <c r="L15" i="30"/>
  <c r="M15" i="30"/>
  <c r="N15" i="30"/>
  <c r="O15" i="30"/>
  <c r="P15" i="30"/>
  <c r="Q15" i="30"/>
  <c r="C15" i="31"/>
  <c r="D15" i="31"/>
  <c r="E15" i="31"/>
  <c r="F15" i="31"/>
  <c r="G15" i="31"/>
  <c r="H15" i="31"/>
  <c r="I15" i="31"/>
  <c r="J15" i="31"/>
  <c r="K15" i="31"/>
  <c r="L15" i="31"/>
  <c r="M15" i="31"/>
  <c r="N15" i="31"/>
  <c r="O15" i="31"/>
  <c r="P15" i="31"/>
  <c r="Q15" i="31"/>
  <c r="C15" i="32"/>
  <c r="D15" i="32"/>
  <c r="E15" i="32"/>
  <c r="F15" i="32"/>
  <c r="G15" i="32"/>
  <c r="H15" i="32"/>
  <c r="I15" i="32"/>
  <c r="J15" i="32"/>
  <c r="K15" i="32"/>
  <c r="L15" i="32"/>
  <c r="M15" i="32"/>
  <c r="N15" i="32"/>
  <c r="O15" i="32"/>
  <c r="P15" i="32"/>
  <c r="Q15" i="32"/>
  <c r="C15" i="33"/>
  <c r="D15" i="33"/>
  <c r="E15" i="33"/>
  <c r="F15" i="33"/>
  <c r="G15" i="33"/>
  <c r="H15" i="33"/>
  <c r="I15" i="33"/>
  <c r="J15" i="33"/>
  <c r="K15" i="33"/>
  <c r="L15" i="33"/>
  <c r="M15" i="33"/>
  <c r="N15" i="33"/>
  <c r="O15" i="33"/>
  <c r="P15" i="33"/>
  <c r="Q15" i="33"/>
  <c r="C15" i="34"/>
  <c r="D15" i="34"/>
  <c r="E15" i="34"/>
  <c r="F15" i="34"/>
  <c r="G15" i="34"/>
  <c r="H15" i="34"/>
  <c r="I15" i="34"/>
  <c r="J15" i="34"/>
  <c r="K15" i="34"/>
  <c r="L15" i="34"/>
  <c r="M15" i="34"/>
  <c r="N15" i="34"/>
  <c r="O15" i="34"/>
  <c r="P15" i="34"/>
  <c r="Q15" i="34"/>
  <c r="C15" i="35"/>
  <c r="D15" i="35"/>
  <c r="E15" i="35"/>
  <c r="F15" i="35"/>
  <c r="G15" i="35"/>
  <c r="H15" i="35"/>
  <c r="I15" i="35"/>
  <c r="J15" i="35"/>
  <c r="K15" i="35"/>
  <c r="L15" i="35"/>
  <c r="M15" i="35"/>
  <c r="N15" i="35"/>
  <c r="O15" i="35"/>
  <c r="P15" i="35"/>
  <c r="Q15" i="35"/>
  <c r="B6" i="30"/>
  <c r="C6" i="30"/>
  <c r="D6" i="30"/>
  <c r="E6" i="30"/>
  <c r="F6" i="30"/>
  <c r="G6" i="30"/>
  <c r="H6" i="30"/>
  <c r="I6" i="30"/>
  <c r="J6" i="30"/>
  <c r="K6" i="30"/>
  <c r="L6" i="30"/>
  <c r="M6" i="30"/>
  <c r="N6" i="30"/>
  <c r="O6" i="30"/>
  <c r="P6" i="30"/>
  <c r="Q6" i="30"/>
  <c r="B6" i="31"/>
  <c r="C6" i="31"/>
  <c r="D6" i="31"/>
  <c r="E6" i="31"/>
  <c r="F6" i="31"/>
  <c r="G6" i="31"/>
  <c r="H6" i="31"/>
  <c r="I6" i="31"/>
  <c r="J6" i="31"/>
  <c r="K6" i="31"/>
  <c r="L6" i="31"/>
  <c r="M6" i="31"/>
  <c r="N6" i="31"/>
  <c r="O6" i="31"/>
  <c r="P6" i="31"/>
  <c r="Q6" i="31"/>
  <c r="B6" i="32"/>
  <c r="C6" i="32"/>
  <c r="D6" i="32"/>
  <c r="E6" i="32"/>
  <c r="F6" i="32"/>
  <c r="G6" i="32"/>
  <c r="H6" i="32"/>
  <c r="I6" i="32"/>
  <c r="J6" i="32"/>
  <c r="K6" i="32"/>
  <c r="L6" i="32"/>
  <c r="M6" i="32"/>
  <c r="N6" i="32"/>
  <c r="O6" i="32"/>
  <c r="P6" i="32"/>
  <c r="Q6" i="32"/>
  <c r="B6" i="33"/>
  <c r="C6" i="33"/>
  <c r="D6" i="33"/>
  <c r="E6" i="33"/>
  <c r="F6" i="33"/>
  <c r="G6" i="33"/>
  <c r="H6" i="33"/>
  <c r="I6" i="33"/>
  <c r="J6" i="33"/>
  <c r="K6" i="33"/>
  <c r="L6" i="33"/>
  <c r="M6" i="33"/>
  <c r="N6" i="33"/>
  <c r="O6" i="33"/>
  <c r="P6" i="33"/>
  <c r="Q6" i="33"/>
  <c r="B6" i="34"/>
  <c r="C6" i="34"/>
  <c r="D6" i="34"/>
  <c r="E6" i="34"/>
  <c r="F6" i="34"/>
  <c r="G6" i="34"/>
  <c r="H6" i="34"/>
  <c r="I6" i="34"/>
  <c r="J6" i="34"/>
  <c r="K6" i="34"/>
  <c r="L6" i="34"/>
  <c r="M6" i="34"/>
  <c r="N6" i="34"/>
  <c r="O6" i="34"/>
  <c r="P6" i="34"/>
  <c r="Q6" i="34"/>
  <c r="B6" i="35"/>
  <c r="C6" i="35"/>
  <c r="D6" i="35"/>
  <c r="E6" i="35"/>
  <c r="F6" i="35"/>
  <c r="G6" i="35"/>
  <c r="H6" i="35"/>
  <c r="I6" i="35"/>
  <c r="J6" i="35"/>
  <c r="K6" i="35"/>
  <c r="L6" i="35"/>
  <c r="M6" i="35"/>
  <c r="N6" i="35"/>
  <c r="O6" i="35"/>
  <c r="P6" i="35"/>
  <c r="Q6" i="35"/>
  <c r="C15" i="25"/>
  <c r="C15" i="28" s="1"/>
  <c r="D15" i="25"/>
  <c r="D15" i="28" s="1"/>
  <c r="E15" i="25"/>
  <c r="E15" i="28" s="1"/>
  <c r="F15" i="25"/>
  <c r="F15" i="28" s="1"/>
  <c r="G15" i="25"/>
  <c r="G15" i="28" s="1"/>
  <c r="H15" i="25"/>
  <c r="H15" i="28" s="1"/>
  <c r="I15" i="25"/>
  <c r="I15" i="28" s="1"/>
  <c r="J15" i="25"/>
  <c r="J15" i="28" s="1"/>
  <c r="K15" i="25"/>
  <c r="K15" i="28" s="1"/>
  <c r="L15" i="25"/>
  <c r="L15" i="28" s="1"/>
  <c r="M15" i="25"/>
  <c r="M15" i="28" s="1"/>
  <c r="N15" i="25"/>
  <c r="N15" i="28" s="1"/>
  <c r="O15" i="25"/>
  <c r="O15" i="28" s="1"/>
  <c r="P15" i="25"/>
  <c r="P15" i="28" s="1"/>
  <c r="Q15" i="25"/>
  <c r="Q15" i="28" s="1"/>
  <c r="C27" i="25"/>
  <c r="C27" i="28" s="1"/>
  <c r="D27" i="25"/>
  <c r="D27" i="28" s="1"/>
  <c r="E27" i="25"/>
  <c r="E27" i="28" s="1"/>
  <c r="F27" i="25"/>
  <c r="F27" i="28" s="1"/>
  <c r="G27" i="25"/>
  <c r="G27" i="28" s="1"/>
  <c r="H27" i="25"/>
  <c r="H27" i="28" s="1"/>
  <c r="I27" i="25"/>
  <c r="I27" i="28" s="1"/>
  <c r="J27" i="25"/>
  <c r="J27" i="28" s="1"/>
  <c r="K27" i="25"/>
  <c r="K27" i="28" s="1"/>
  <c r="L27" i="25"/>
  <c r="L27" i="28" s="1"/>
  <c r="M27" i="25"/>
  <c r="M27" i="28" s="1"/>
  <c r="N27" i="25"/>
  <c r="N27" i="28" s="1"/>
  <c r="O27" i="25"/>
  <c r="O27" i="28" s="1"/>
  <c r="P27" i="25"/>
  <c r="P27" i="28" s="1"/>
  <c r="Q27" i="25"/>
  <c r="Q27" i="28" s="1"/>
  <c r="C28" i="25"/>
  <c r="C28" i="28" s="1"/>
  <c r="D28" i="25"/>
  <c r="D28" i="28" s="1"/>
  <c r="E28" i="25"/>
  <c r="E28" i="28" s="1"/>
  <c r="F28" i="25"/>
  <c r="F28" i="28" s="1"/>
  <c r="G28" i="25"/>
  <c r="G28" i="28" s="1"/>
  <c r="H28" i="25"/>
  <c r="H28" i="28" s="1"/>
  <c r="I28" i="25"/>
  <c r="I28" i="28" s="1"/>
  <c r="J28" i="25"/>
  <c r="J28" i="28" s="1"/>
  <c r="K28" i="25"/>
  <c r="K28" i="28" s="1"/>
  <c r="L28" i="25"/>
  <c r="L28" i="28" s="1"/>
  <c r="M28" i="25"/>
  <c r="M28" i="28" s="1"/>
  <c r="N28" i="25"/>
  <c r="N28" i="28" s="1"/>
  <c r="O28" i="25"/>
  <c r="O28" i="28" s="1"/>
  <c r="P28" i="25"/>
  <c r="P28" i="28" s="1"/>
  <c r="Q28" i="25"/>
  <c r="Q28" i="28" s="1"/>
  <c r="N6" i="25"/>
  <c r="N6" i="28" s="1"/>
  <c r="Q6" i="25"/>
  <c r="Q6" i="28" s="1"/>
  <c r="C11" i="25"/>
  <c r="C11" i="28" s="1"/>
  <c r="D11" i="25"/>
  <c r="D11" i="28" s="1"/>
  <c r="E11" i="25"/>
  <c r="E11" i="28" s="1"/>
  <c r="F11" i="25"/>
  <c r="F11" i="28" s="1"/>
  <c r="G11" i="25"/>
  <c r="G11" i="28" s="1"/>
  <c r="H11" i="25"/>
  <c r="H11" i="28" s="1"/>
  <c r="I11" i="25"/>
  <c r="I11" i="28" s="1"/>
  <c r="J11" i="25"/>
  <c r="J11" i="28" s="1"/>
  <c r="K11" i="25"/>
  <c r="K11" i="28" s="1"/>
  <c r="L11" i="25"/>
  <c r="L11" i="28" s="1"/>
  <c r="M11" i="25"/>
  <c r="M11" i="28" s="1"/>
  <c r="N11" i="25"/>
  <c r="N11" i="28" s="1"/>
  <c r="O11" i="25"/>
  <c r="O11" i="28" s="1"/>
  <c r="P11" i="25"/>
  <c r="P11" i="28" s="1"/>
  <c r="Q11" i="25"/>
  <c r="Q11" i="28" s="1"/>
  <c r="C12" i="25"/>
  <c r="C12" i="28" s="1"/>
  <c r="D12" i="25"/>
  <c r="D12" i="28" s="1"/>
  <c r="E12" i="25"/>
  <c r="E12" i="28" s="1"/>
  <c r="F12" i="25"/>
  <c r="F12" i="28" s="1"/>
  <c r="G12" i="25"/>
  <c r="G12" i="28" s="1"/>
  <c r="H12" i="25"/>
  <c r="H12" i="28" s="1"/>
  <c r="I12" i="25"/>
  <c r="I12" i="28" s="1"/>
  <c r="J12" i="25"/>
  <c r="J12" i="28" s="1"/>
  <c r="K12" i="25"/>
  <c r="K12" i="28" s="1"/>
  <c r="L12" i="25"/>
  <c r="L12" i="28" s="1"/>
  <c r="M12" i="25"/>
  <c r="M12" i="28" s="1"/>
  <c r="N12" i="25"/>
  <c r="N12" i="28" s="1"/>
  <c r="O12" i="25"/>
  <c r="O12" i="28" s="1"/>
  <c r="P12" i="25"/>
  <c r="P12" i="28" s="1"/>
  <c r="Q12" i="25"/>
  <c r="Q12" i="28" s="1"/>
  <c r="C13" i="25"/>
  <c r="C13" i="28" s="1"/>
  <c r="D13" i="25"/>
  <c r="D13" i="28" s="1"/>
  <c r="E13" i="25"/>
  <c r="E13" i="28" s="1"/>
  <c r="F13" i="25"/>
  <c r="F13" i="28" s="1"/>
  <c r="G13" i="25"/>
  <c r="G13" i="28" s="1"/>
  <c r="H13" i="25"/>
  <c r="H13" i="28" s="1"/>
  <c r="I13" i="25"/>
  <c r="I13" i="28" s="1"/>
  <c r="J13" i="25"/>
  <c r="J13" i="28" s="1"/>
  <c r="K13" i="25"/>
  <c r="K13" i="28" s="1"/>
  <c r="L13" i="25"/>
  <c r="L13" i="28" s="1"/>
  <c r="M13" i="25"/>
  <c r="M13" i="28" s="1"/>
  <c r="N13" i="25"/>
  <c r="N13" i="28" s="1"/>
  <c r="O13" i="25"/>
  <c r="O13" i="28" s="1"/>
  <c r="P13" i="25"/>
  <c r="P13" i="28" s="1"/>
  <c r="Q13" i="25"/>
  <c r="Q13" i="28" s="1"/>
  <c r="C14" i="25"/>
  <c r="C14" i="28" s="1"/>
  <c r="D14" i="25"/>
  <c r="D14" i="28" s="1"/>
  <c r="E14" i="25"/>
  <c r="E14" i="28" s="1"/>
  <c r="F14" i="25"/>
  <c r="F14" i="28" s="1"/>
  <c r="G14" i="25"/>
  <c r="G14" i="28" s="1"/>
  <c r="H14" i="25"/>
  <c r="H14" i="28" s="1"/>
  <c r="I14" i="25"/>
  <c r="I14" i="28" s="1"/>
  <c r="J14" i="25"/>
  <c r="J14" i="28" s="1"/>
  <c r="K14" i="25"/>
  <c r="K14" i="28" s="1"/>
  <c r="L14" i="25"/>
  <c r="L14" i="28" s="1"/>
  <c r="M14" i="25"/>
  <c r="M14" i="28" s="1"/>
  <c r="N14" i="25"/>
  <c r="N14" i="28" s="1"/>
  <c r="O14" i="25"/>
  <c r="O14" i="28" s="1"/>
  <c r="P14" i="25"/>
  <c r="P14" i="28" s="1"/>
  <c r="Q14" i="25"/>
  <c r="Q14" i="28" s="1"/>
  <c r="C18" i="25"/>
  <c r="C18" i="28" s="1"/>
  <c r="D18" i="25"/>
  <c r="D18" i="28" s="1"/>
  <c r="E18" i="25"/>
  <c r="E18" i="28" s="1"/>
  <c r="G18" i="25"/>
  <c r="G18" i="28" s="1"/>
  <c r="H18" i="25"/>
  <c r="H18" i="28" s="1"/>
  <c r="I18" i="25"/>
  <c r="I18" i="28" s="1"/>
  <c r="J18" i="25"/>
  <c r="J18" i="28" s="1"/>
  <c r="K18" i="25"/>
  <c r="K18" i="28" s="1"/>
  <c r="L18" i="25"/>
  <c r="L18" i="28" s="1"/>
  <c r="M18" i="25"/>
  <c r="M18" i="28" s="1"/>
  <c r="O18" i="25"/>
  <c r="O18" i="28" s="1"/>
  <c r="P18" i="25"/>
  <c r="P18" i="28" s="1"/>
  <c r="Q18" i="25"/>
  <c r="Q18" i="28" s="1"/>
  <c r="C25" i="25"/>
  <c r="C25" i="28" s="1"/>
  <c r="D25" i="25"/>
  <c r="D25" i="28" s="1"/>
  <c r="E25" i="25"/>
  <c r="E25" i="28" s="1"/>
  <c r="F25" i="25"/>
  <c r="F25" i="28" s="1"/>
  <c r="G25" i="25"/>
  <c r="G25" i="28" s="1"/>
  <c r="H25" i="25"/>
  <c r="H25" i="28" s="1"/>
  <c r="I25" i="25"/>
  <c r="I25" i="28" s="1"/>
  <c r="J25" i="25"/>
  <c r="J25" i="28" s="1"/>
  <c r="K25" i="25"/>
  <c r="K25" i="28" s="1"/>
  <c r="L25" i="25"/>
  <c r="L25" i="28" s="1"/>
  <c r="M25" i="25"/>
  <c r="M25" i="28" s="1"/>
  <c r="N25" i="25"/>
  <c r="N25" i="28" s="1"/>
  <c r="O25" i="25"/>
  <c r="O25" i="28" s="1"/>
  <c r="P25" i="25"/>
  <c r="P25" i="28" s="1"/>
  <c r="Q25" i="25"/>
  <c r="Q25" i="28" s="1"/>
  <c r="C26" i="25"/>
  <c r="C26" i="28" s="1"/>
  <c r="D26" i="25"/>
  <c r="D26" i="28" s="1"/>
  <c r="E26" i="25"/>
  <c r="E26" i="28" s="1"/>
  <c r="F26" i="25"/>
  <c r="F26" i="28" s="1"/>
  <c r="G26" i="25"/>
  <c r="G26" i="28" s="1"/>
  <c r="H26" i="25"/>
  <c r="H26" i="28" s="1"/>
  <c r="I26" i="25"/>
  <c r="I26" i="28" s="1"/>
  <c r="J26" i="25"/>
  <c r="J26" i="28" s="1"/>
  <c r="K26" i="25"/>
  <c r="K26" i="28" s="1"/>
  <c r="L26" i="25"/>
  <c r="L26" i="28" s="1"/>
  <c r="M26" i="25"/>
  <c r="M26" i="28" s="1"/>
  <c r="N26" i="25"/>
  <c r="N26" i="28" s="1"/>
  <c r="O26" i="25"/>
  <c r="O26" i="28" s="1"/>
  <c r="P26" i="25"/>
  <c r="P26" i="28" s="1"/>
  <c r="Q26" i="25"/>
  <c r="Q26" i="28" s="1"/>
  <c r="G32" i="25"/>
  <c r="G32" i="28" s="1"/>
  <c r="K32" i="25"/>
  <c r="K32" i="28" s="1"/>
  <c r="M32" i="25"/>
  <c r="M32" i="28" s="1"/>
  <c r="C33" i="25"/>
  <c r="C33" i="28" s="1"/>
  <c r="D33" i="25"/>
  <c r="D33" i="28" s="1"/>
  <c r="F33" i="25"/>
  <c r="F33" i="28" s="1"/>
  <c r="G33" i="25"/>
  <c r="G33" i="28" s="1"/>
  <c r="H33" i="25"/>
  <c r="H33" i="28" s="1"/>
  <c r="I33" i="25"/>
  <c r="I33" i="28" s="1"/>
  <c r="J33" i="25"/>
  <c r="J33" i="28" s="1"/>
  <c r="K33" i="25"/>
  <c r="K33" i="28" s="1"/>
  <c r="L33" i="25"/>
  <c r="L33" i="28" s="1"/>
  <c r="M33" i="25"/>
  <c r="M33" i="28" s="1"/>
  <c r="N33" i="25"/>
  <c r="N33" i="28" s="1"/>
  <c r="O33" i="25"/>
  <c r="O33" i="28" s="1"/>
  <c r="P33" i="25"/>
  <c r="P33" i="28" s="1"/>
  <c r="Q33" i="25"/>
  <c r="Q33" i="28" s="1"/>
  <c r="N6" i="27"/>
  <c r="I5" i="21"/>
  <c r="C6" i="21"/>
  <c r="F6" i="21"/>
  <c r="N6" i="26"/>
  <c r="Q6" i="26"/>
  <c r="G7" i="21"/>
  <c r="L8" i="21"/>
  <c r="P8" i="21"/>
  <c r="E9" i="21"/>
  <c r="I9" i="21"/>
  <c r="P12" i="21"/>
  <c r="E13" i="21"/>
  <c r="I13" i="21"/>
  <c r="M13" i="21"/>
  <c r="E15" i="21"/>
  <c r="O15" i="21"/>
  <c r="J30" i="21"/>
  <c r="O31" i="21"/>
  <c r="B15" i="14"/>
  <c r="B15" i="17" s="1"/>
  <c r="C15" i="14"/>
  <c r="C15" i="17" s="1"/>
  <c r="D15" i="14"/>
  <c r="D15" i="17" s="1"/>
  <c r="E15" i="14"/>
  <c r="E15" i="17" s="1"/>
  <c r="F15" i="14"/>
  <c r="F15" i="17" s="1"/>
  <c r="G15" i="14"/>
  <c r="G15" i="17" s="1"/>
  <c r="H15" i="14"/>
  <c r="H15" i="17" s="1"/>
  <c r="I15" i="14"/>
  <c r="I15" i="17" s="1"/>
  <c r="J15" i="14"/>
  <c r="J15" i="17" s="1"/>
  <c r="K15" i="14"/>
  <c r="K15" i="17" s="1"/>
  <c r="L15" i="14"/>
  <c r="L15" i="17" s="1"/>
  <c r="M15" i="14"/>
  <c r="M15" i="17" s="1"/>
  <c r="N15" i="14"/>
  <c r="N15" i="17" s="1"/>
  <c r="O15" i="14"/>
  <c r="O15" i="17" s="1"/>
  <c r="P15" i="14"/>
  <c r="P15" i="17" s="1"/>
  <c r="Q15" i="14"/>
  <c r="Q15" i="17" s="1"/>
  <c r="B27" i="14"/>
  <c r="B27" i="17" s="1"/>
  <c r="C27" i="14"/>
  <c r="C27" i="17" s="1"/>
  <c r="D27" i="14"/>
  <c r="D27" i="17" s="1"/>
  <c r="E27" i="14"/>
  <c r="E27" i="17" s="1"/>
  <c r="F27" i="14"/>
  <c r="F27" i="17" s="1"/>
  <c r="G27" i="14"/>
  <c r="G27" i="17" s="1"/>
  <c r="H27" i="14"/>
  <c r="H27" i="17" s="1"/>
  <c r="I27" i="14"/>
  <c r="I27" i="17" s="1"/>
  <c r="J27" i="14"/>
  <c r="J27" i="17" s="1"/>
  <c r="K27" i="14"/>
  <c r="K27" i="17" s="1"/>
  <c r="L27" i="14"/>
  <c r="L27" i="17" s="1"/>
  <c r="M27" i="14"/>
  <c r="M27" i="17" s="1"/>
  <c r="N27" i="14"/>
  <c r="N27" i="17" s="1"/>
  <c r="O27" i="14"/>
  <c r="O27" i="17" s="1"/>
  <c r="P27" i="14"/>
  <c r="P27" i="17" s="1"/>
  <c r="Q27" i="14"/>
  <c r="Q27" i="17" s="1"/>
  <c r="B28" i="14"/>
  <c r="B28" i="17" s="1"/>
  <c r="C28" i="14"/>
  <c r="C28" i="17" s="1"/>
  <c r="D28" i="14"/>
  <c r="D28" i="17" s="1"/>
  <c r="E28" i="14"/>
  <c r="E28" i="17" s="1"/>
  <c r="F28" i="14"/>
  <c r="F28" i="17" s="1"/>
  <c r="G28" i="14"/>
  <c r="G28" i="17" s="1"/>
  <c r="H28" i="14"/>
  <c r="H28" i="17" s="1"/>
  <c r="I28" i="14"/>
  <c r="I28" i="17" s="1"/>
  <c r="J28" i="14"/>
  <c r="J28" i="17" s="1"/>
  <c r="K28" i="14"/>
  <c r="K28" i="17" s="1"/>
  <c r="L28" i="14"/>
  <c r="L28" i="17" s="1"/>
  <c r="M28" i="14"/>
  <c r="M28" i="17" s="1"/>
  <c r="N28" i="14"/>
  <c r="N28" i="17" s="1"/>
  <c r="O28" i="14"/>
  <c r="O28" i="17" s="1"/>
  <c r="P28" i="14"/>
  <c r="P28" i="17" s="1"/>
  <c r="Q28" i="14"/>
  <c r="Q28" i="17" s="1"/>
  <c r="B11" i="14"/>
  <c r="B11" i="17" s="1"/>
  <c r="C11" i="14"/>
  <c r="C11" i="17" s="1"/>
  <c r="D11" i="14"/>
  <c r="D11" i="17" s="1"/>
  <c r="E11" i="14"/>
  <c r="E11" i="17" s="1"/>
  <c r="F11" i="14"/>
  <c r="F11" i="17" s="1"/>
  <c r="G11" i="14"/>
  <c r="G11" i="17" s="1"/>
  <c r="H11" i="14"/>
  <c r="H11" i="17" s="1"/>
  <c r="I11" i="14"/>
  <c r="I11" i="17" s="1"/>
  <c r="J11" i="14"/>
  <c r="J11" i="17" s="1"/>
  <c r="K11" i="14"/>
  <c r="K11" i="17" s="1"/>
  <c r="L11" i="14"/>
  <c r="L11" i="17" s="1"/>
  <c r="M11" i="14"/>
  <c r="M11" i="17" s="1"/>
  <c r="N11" i="14"/>
  <c r="N11" i="17" s="1"/>
  <c r="O11" i="14"/>
  <c r="O11" i="17" s="1"/>
  <c r="P11" i="14"/>
  <c r="P11" i="17" s="1"/>
  <c r="Q11" i="14"/>
  <c r="Q11" i="17" s="1"/>
  <c r="B12" i="14"/>
  <c r="B12" i="17" s="1"/>
  <c r="C12" i="14"/>
  <c r="C12" i="17" s="1"/>
  <c r="D12" i="14"/>
  <c r="D12" i="17" s="1"/>
  <c r="E12" i="14"/>
  <c r="E12" i="17" s="1"/>
  <c r="F12" i="14"/>
  <c r="F12" i="17" s="1"/>
  <c r="G12" i="14"/>
  <c r="G12" i="17" s="1"/>
  <c r="H12" i="14"/>
  <c r="H12" i="17" s="1"/>
  <c r="I12" i="14"/>
  <c r="I12" i="17" s="1"/>
  <c r="J12" i="14"/>
  <c r="J12" i="17" s="1"/>
  <c r="K12" i="14"/>
  <c r="K12" i="17" s="1"/>
  <c r="L12" i="14"/>
  <c r="L12" i="17" s="1"/>
  <c r="M12" i="14"/>
  <c r="M12" i="17" s="1"/>
  <c r="N12" i="14"/>
  <c r="N12" i="17" s="1"/>
  <c r="O12" i="14"/>
  <c r="O12" i="17" s="1"/>
  <c r="P12" i="14"/>
  <c r="P12" i="17" s="1"/>
  <c r="Q12" i="14"/>
  <c r="Q12" i="17" s="1"/>
  <c r="B13" i="14"/>
  <c r="B13" i="17" s="1"/>
  <c r="C13" i="14"/>
  <c r="C13" i="17" s="1"/>
  <c r="D13" i="14"/>
  <c r="D13" i="17" s="1"/>
  <c r="E13" i="14"/>
  <c r="E13" i="17" s="1"/>
  <c r="F13" i="14"/>
  <c r="F13" i="17" s="1"/>
  <c r="G13" i="14"/>
  <c r="G13" i="17" s="1"/>
  <c r="H13" i="14"/>
  <c r="H13" i="17" s="1"/>
  <c r="I13" i="14"/>
  <c r="I13" i="17" s="1"/>
  <c r="J13" i="14"/>
  <c r="J13" i="17" s="1"/>
  <c r="K13" i="14"/>
  <c r="K13" i="17" s="1"/>
  <c r="L13" i="14"/>
  <c r="L13" i="17" s="1"/>
  <c r="M13" i="14"/>
  <c r="M13" i="17" s="1"/>
  <c r="N13" i="14"/>
  <c r="N13" i="17" s="1"/>
  <c r="O13" i="14"/>
  <c r="O13" i="17" s="1"/>
  <c r="P13" i="14"/>
  <c r="P13" i="17" s="1"/>
  <c r="Q13" i="14"/>
  <c r="Q13" i="17" s="1"/>
  <c r="B14" i="14"/>
  <c r="B14" i="17" s="1"/>
  <c r="C14" i="14"/>
  <c r="C14" i="17" s="1"/>
  <c r="D14" i="14"/>
  <c r="D14" i="17" s="1"/>
  <c r="E14" i="14"/>
  <c r="E14" i="17" s="1"/>
  <c r="F14" i="14"/>
  <c r="F14" i="17" s="1"/>
  <c r="G14" i="14"/>
  <c r="G14" i="17" s="1"/>
  <c r="H14" i="14"/>
  <c r="H14" i="17" s="1"/>
  <c r="I14" i="14"/>
  <c r="I14" i="17" s="1"/>
  <c r="J14" i="14"/>
  <c r="J14" i="17" s="1"/>
  <c r="K14" i="14"/>
  <c r="K14" i="17" s="1"/>
  <c r="L14" i="14"/>
  <c r="L14" i="17" s="1"/>
  <c r="M14" i="14"/>
  <c r="M14" i="17" s="1"/>
  <c r="N14" i="14"/>
  <c r="N14" i="17" s="1"/>
  <c r="O14" i="14"/>
  <c r="O14" i="17" s="1"/>
  <c r="P14" i="14"/>
  <c r="P14" i="17" s="1"/>
  <c r="Q14" i="14"/>
  <c r="Q14" i="17" s="1"/>
  <c r="B18" i="14"/>
  <c r="B18" i="17" s="1"/>
  <c r="C18" i="14"/>
  <c r="C18" i="17" s="1"/>
  <c r="D18" i="14"/>
  <c r="D18" i="17" s="1"/>
  <c r="E18" i="14"/>
  <c r="E18" i="17" s="1"/>
  <c r="F18" i="14"/>
  <c r="F18" i="17" s="1"/>
  <c r="G18" i="14"/>
  <c r="G18" i="17" s="1"/>
  <c r="H18" i="14"/>
  <c r="H18" i="17" s="1"/>
  <c r="I18" i="14"/>
  <c r="I18" i="17" s="1"/>
  <c r="J18" i="14"/>
  <c r="J18" i="17" s="1"/>
  <c r="K18" i="14"/>
  <c r="K18" i="17" s="1"/>
  <c r="L18" i="14"/>
  <c r="L18" i="17" s="1"/>
  <c r="M18" i="14"/>
  <c r="M18" i="17" s="1"/>
  <c r="N18" i="14"/>
  <c r="N18" i="17" s="1"/>
  <c r="O18" i="14"/>
  <c r="O18" i="17" s="1"/>
  <c r="P18" i="14"/>
  <c r="P18" i="17" s="1"/>
  <c r="Q18" i="14"/>
  <c r="Q18" i="17" s="1"/>
  <c r="B25" i="14"/>
  <c r="B25" i="17" s="1"/>
  <c r="C25" i="14"/>
  <c r="C25" i="17" s="1"/>
  <c r="D25" i="14"/>
  <c r="D25" i="17" s="1"/>
  <c r="E25" i="14"/>
  <c r="E25" i="17" s="1"/>
  <c r="F25" i="14"/>
  <c r="F25" i="17" s="1"/>
  <c r="G25" i="14"/>
  <c r="G25" i="17" s="1"/>
  <c r="H25" i="14"/>
  <c r="H25" i="17" s="1"/>
  <c r="I25" i="14"/>
  <c r="I25" i="17" s="1"/>
  <c r="J25" i="14"/>
  <c r="J25" i="17" s="1"/>
  <c r="K25" i="14"/>
  <c r="K25" i="17" s="1"/>
  <c r="L25" i="14"/>
  <c r="L25" i="17" s="1"/>
  <c r="M25" i="14"/>
  <c r="M25" i="17" s="1"/>
  <c r="N25" i="14"/>
  <c r="N25" i="17" s="1"/>
  <c r="O25" i="14"/>
  <c r="O25" i="17" s="1"/>
  <c r="P25" i="14"/>
  <c r="P25" i="17" s="1"/>
  <c r="Q25" i="14"/>
  <c r="Q25" i="17" s="1"/>
  <c r="B26" i="14"/>
  <c r="B26" i="17" s="1"/>
  <c r="C26" i="14"/>
  <c r="C26" i="17" s="1"/>
  <c r="D26" i="14"/>
  <c r="D26" i="17" s="1"/>
  <c r="E26" i="14"/>
  <c r="E26" i="17" s="1"/>
  <c r="F26" i="14"/>
  <c r="F26" i="17" s="1"/>
  <c r="G26" i="14"/>
  <c r="G26" i="17" s="1"/>
  <c r="H26" i="14"/>
  <c r="H26" i="17" s="1"/>
  <c r="I26" i="14"/>
  <c r="I26" i="17" s="1"/>
  <c r="J26" i="14"/>
  <c r="J26" i="17" s="1"/>
  <c r="K26" i="14"/>
  <c r="K26" i="17" s="1"/>
  <c r="L26" i="14"/>
  <c r="L26" i="17" s="1"/>
  <c r="M26" i="14"/>
  <c r="M26" i="17" s="1"/>
  <c r="N26" i="14"/>
  <c r="N26" i="17" s="1"/>
  <c r="O26" i="14"/>
  <c r="O26" i="17" s="1"/>
  <c r="P26" i="14"/>
  <c r="P26" i="17" s="1"/>
  <c r="Q26" i="14"/>
  <c r="Q26" i="17" s="1"/>
  <c r="B33" i="14"/>
  <c r="B33" i="17" s="1"/>
  <c r="C33" i="14"/>
  <c r="C33" i="17" s="1"/>
  <c r="D33" i="14"/>
  <c r="D33" i="17" s="1"/>
  <c r="E33" i="14"/>
  <c r="E33" i="17" s="1"/>
  <c r="F33" i="14"/>
  <c r="F33" i="17" s="1"/>
  <c r="G33" i="14"/>
  <c r="G33" i="17" s="1"/>
  <c r="H33" i="14"/>
  <c r="H33" i="17" s="1"/>
  <c r="I33" i="14"/>
  <c r="I33" i="17" s="1"/>
  <c r="J33" i="14"/>
  <c r="J33" i="17" s="1"/>
  <c r="K33" i="14"/>
  <c r="K33" i="17" s="1"/>
  <c r="L33" i="14"/>
  <c r="L33" i="17" s="1"/>
  <c r="M33" i="14"/>
  <c r="M33" i="17" s="1"/>
  <c r="N33" i="14"/>
  <c r="N33" i="17" s="1"/>
  <c r="O33" i="14"/>
  <c r="O33" i="17" s="1"/>
  <c r="P33" i="14"/>
  <c r="P33" i="17" s="1"/>
  <c r="Q33" i="14"/>
  <c r="Q33" i="17" s="1"/>
  <c r="M5" i="14"/>
  <c r="M7" i="14"/>
  <c r="M8" i="14"/>
  <c r="M9" i="14"/>
  <c r="B15" i="7"/>
  <c r="C15" i="7"/>
  <c r="D15" i="7"/>
  <c r="E15" i="7"/>
  <c r="F15" i="7"/>
  <c r="G15" i="7"/>
  <c r="H15" i="7"/>
  <c r="I15" i="7"/>
  <c r="J15" i="7"/>
  <c r="K15" i="7"/>
  <c r="L15" i="7"/>
  <c r="M15" i="7"/>
  <c r="N15" i="7"/>
  <c r="O15" i="7"/>
  <c r="P15" i="7"/>
  <c r="Q15" i="7"/>
  <c r="M30" i="14"/>
  <c r="M31" i="14"/>
  <c r="B19" i="6"/>
  <c r="C19" i="6"/>
  <c r="B27" i="6"/>
  <c r="B95" i="6"/>
  <c r="O15" i="12" l="1"/>
  <c r="O15" i="13"/>
  <c r="N15" i="13"/>
  <c r="N15" i="12"/>
  <c r="F15" i="13"/>
  <c r="F15" i="12"/>
  <c r="L15" i="12"/>
  <c r="L15" i="15" s="1"/>
  <c r="L15" i="13"/>
  <c r="D15" i="12"/>
  <c r="D15" i="13"/>
  <c r="D15" i="16" s="1"/>
  <c r="K15" i="13"/>
  <c r="K15" i="12"/>
  <c r="C15" i="12"/>
  <c r="C15" i="13"/>
  <c r="J15" i="13"/>
  <c r="J15" i="12"/>
  <c r="B15" i="12"/>
  <c r="B15" i="13"/>
  <c r="E15" i="12"/>
  <c r="E15" i="13"/>
  <c r="Q15" i="12"/>
  <c r="Q15" i="13"/>
  <c r="I15" i="12"/>
  <c r="I15" i="13"/>
  <c r="I15" i="16" s="1"/>
  <c r="P15" i="12"/>
  <c r="P15" i="13"/>
  <c r="H15" i="13"/>
  <c r="H15" i="12"/>
  <c r="M15" i="12"/>
  <c r="M15" i="13"/>
  <c r="G15" i="12"/>
  <c r="G15" i="13"/>
  <c r="N47" i="37"/>
  <c r="L53" i="39"/>
  <c r="E52" i="39"/>
  <c r="E47" i="39"/>
  <c r="E46" i="39"/>
  <c r="E45" i="39"/>
  <c r="M34" i="39"/>
  <c r="M33" i="39"/>
  <c r="M32" i="39"/>
  <c r="O26" i="10"/>
  <c r="O18" i="10"/>
  <c r="G17" i="10"/>
  <c r="G15" i="10"/>
  <c r="O14" i="10"/>
  <c r="G13" i="10"/>
  <c r="O12" i="10"/>
  <c r="G11" i="10"/>
  <c r="O10" i="10"/>
  <c r="G9" i="10"/>
  <c r="O8" i="10"/>
  <c r="G7" i="10"/>
  <c r="O6" i="10"/>
  <c r="G5" i="10"/>
  <c r="D52" i="39"/>
  <c r="D47" i="39"/>
  <c r="D46" i="39"/>
  <c r="D45" i="39"/>
  <c r="L34" i="39"/>
  <c r="L33" i="39"/>
  <c r="L32" i="39"/>
  <c r="M40" i="39"/>
  <c r="J44" i="38"/>
  <c r="M52" i="39"/>
  <c r="Q31" i="14"/>
  <c r="Q7" i="14"/>
  <c r="I6" i="14"/>
  <c r="J47" i="37"/>
  <c r="L52" i="39"/>
  <c r="M50" i="39"/>
  <c r="E49" i="39"/>
  <c r="I8" i="21"/>
  <c r="J53" i="38"/>
  <c r="J52" i="38"/>
  <c r="J51" i="38"/>
  <c r="J50" i="38"/>
  <c r="J49" i="38"/>
  <c r="J47" i="38"/>
  <c r="L16" i="8"/>
  <c r="N16" i="19"/>
  <c r="F16" i="19"/>
  <c r="Q16" i="22"/>
  <c r="I16" i="22"/>
  <c r="E16" i="22"/>
  <c r="J14" i="21"/>
  <c r="B16" i="7"/>
  <c r="E29" i="9"/>
  <c r="O19" i="11"/>
  <c r="O16" i="11"/>
  <c r="G16" i="11"/>
  <c r="E32" i="25"/>
  <c r="K16" i="19"/>
  <c r="C16" i="19"/>
  <c r="H48" i="37"/>
  <c r="D46" i="37"/>
  <c r="E36" i="37"/>
  <c r="H15" i="18"/>
  <c r="D3" i="34"/>
  <c r="H3" i="31"/>
  <c r="M48" i="39"/>
  <c r="M35" i="37"/>
  <c r="Q44" i="39"/>
  <c r="M44" i="39"/>
  <c r="I44" i="39"/>
  <c r="E44" i="39"/>
  <c r="C21" i="14"/>
  <c r="G10" i="14"/>
  <c r="J10" i="25"/>
  <c r="Q9" i="25"/>
  <c r="M9" i="25"/>
  <c r="L8" i="25"/>
  <c r="O7" i="25"/>
  <c r="K7" i="25"/>
  <c r="G7" i="25"/>
  <c r="F6" i="25"/>
  <c r="F44" i="39"/>
  <c r="Q53" i="39"/>
  <c r="I53" i="39"/>
  <c r="O48" i="39"/>
  <c r="O44" i="39"/>
  <c r="K44" i="39"/>
  <c r="G44" i="39"/>
  <c r="C44" i="39"/>
  <c r="M12" i="21"/>
  <c r="H11" i="21"/>
  <c r="C10" i="21"/>
  <c r="H7" i="21"/>
  <c r="N5" i="21"/>
  <c r="G29" i="22"/>
  <c r="F16" i="22"/>
  <c r="O53" i="38"/>
  <c r="C53" i="38"/>
  <c r="O52" i="38"/>
  <c r="O51" i="38"/>
  <c r="C51" i="38"/>
  <c r="O50" i="38"/>
  <c r="O49" i="38"/>
  <c r="C49" i="38"/>
  <c r="O48" i="38"/>
  <c r="O47" i="38"/>
  <c r="C47" i="38"/>
  <c r="O46" i="38"/>
  <c r="O45" i="38"/>
  <c r="C45" i="38"/>
  <c r="O44" i="38"/>
  <c r="K44" i="38"/>
  <c r="G44" i="38"/>
  <c r="C44" i="38"/>
  <c r="C27" i="6"/>
  <c r="C8" i="26" s="1"/>
  <c r="B29" i="7"/>
  <c r="I28" i="15"/>
  <c r="M10" i="14"/>
  <c r="I33" i="21"/>
  <c r="Q53" i="38"/>
  <c r="Q40" i="37"/>
  <c r="M51" i="39"/>
  <c r="M38" i="37"/>
  <c r="I51" i="39"/>
  <c r="I38" i="37"/>
  <c r="E51" i="39"/>
  <c r="E38" i="37"/>
  <c r="Q50" i="39"/>
  <c r="Q37" i="37"/>
  <c r="I50" i="39"/>
  <c r="I37" i="37"/>
  <c r="E50" i="39"/>
  <c r="E37" i="37"/>
  <c r="Q49" i="39"/>
  <c r="Q49" i="38"/>
  <c r="M49" i="39"/>
  <c r="M36" i="37"/>
  <c r="I49" i="39"/>
  <c r="I36" i="37"/>
  <c r="Q48" i="39"/>
  <c r="Q35" i="37"/>
  <c r="I48" i="39"/>
  <c r="I35" i="37"/>
  <c r="E48" i="39"/>
  <c r="E35" i="37"/>
  <c r="Q47" i="38"/>
  <c r="Q34" i="37"/>
  <c r="Q45" i="38"/>
  <c r="Q32" i="37"/>
  <c r="L29" i="8"/>
  <c r="I24" i="14"/>
  <c r="E19" i="9"/>
  <c r="I10" i="34"/>
  <c r="G4" i="7"/>
  <c r="F20" i="10"/>
  <c r="P17" i="25"/>
  <c r="P16" i="18"/>
  <c r="B48" i="37"/>
  <c r="B51" i="37"/>
  <c r="B53" i="37"/>
  <c r="P15" i="21"/>
  <c r="H15" i="21"/>
  <c r="K14" i="21"/>
  <c r="G14" i="21"/>
  <c r="N13" i="21"/>
  <c r="J13" i="21"/>
  <c r="E12" i="21"/>
  <c r="L11" i="21"/>
  <c r="D11" i="21"/>
  <c r="K10" i="21"/>
  <c r="G10" i="21"/>
  <c r="F9" i="21"/>
  <c r="Q8" i="21"/>
  <c r="E8" i="21"/>
  <c r="O6" i="21"/>
  <c r="G6" i="21"/>
  <c r="O32" i="25"/>
  <c r="O32" i="28" s="1"/>
  <c r="C32" i="25"/>
  <c r="N31" i="25"/>
  <c r="J31" i="25"/>
  <c r="J31" i="28" s="1"/>
  <c r="F31" i="25"/>
  <c r="Q30" i="25"/>
  <c r="E30" i="25"/>
  <c r="B34" i="36"/>
  <c r="O38" i="37"/>
  <c r="Q25" i="21"/>
  <c r="M25" i="21"/>
  <c r="O23" i="21"/>
  <c r="K23" i="21"/>
  <c r="M21" i="21"/>
  <c r="I21" i="21"/>
  <c r="M33" i="21"/>
  <c r="P32" i="21"/>
  <c r="L32" i="21"/>
  <c r="K31" i="21"/>
  <c r="N30" i="21"/>
  <c r="F30" i="21"/>
  <c r="K21" i="21"/>
  <c r="H12" i="21"/>
  <c r="M9" i="21"/>
  <c r="D8" i="21"/>
  <c r="K7" i="21"/>
  <c r="M5" i="21"/>
  <c r="J21" i="25"/>
  <c r="J21" i="28" s="1"/>
  <c r="C29" i="18"/>
  <c r="Q29" i="18"/>
  <c r="M29" i="18"/>
  <c r="I29" i="18"/>
  <c r="P29" i="18"/>
  <c r="L29" i="18"/>
  <c r="H29" i="18"/>
  <c r="D29" i="18"/>
  <c r="O16" i="18"/>
  <c r="G16" i="18"/>
  <c r="E29" i="20"/>
  <c r="H27" i="21"/>
  <c r="I24" i="21"/>
  <c r="G22" i="21"/>
  <c r="L18" i="21"/>
  <c r="G17" i="21"/>
  <c r="N51" i="37"/>
  <c r="F51" i="37"/>
  <c r="J50" i="37"/>
  <c r="B45" i="38"/>
  <c r="B44" i="38"/>
  <c r="D19" i="8"/>
  <c r="G19" i="8"/>
  <c r="O19" i="7"/>
  <c r="O16" i="7"/>
  <c r="O16" i="14" s="1"/>
  <c r="G16" i="7"/>
  <c r="G16" i="14" s="1"/>
  <c r="J15" i="10"/>
  <c r="J14" i="10"/>
  <c r="F14" i="10"/>
  <c r="J13" i="10"/>
  <c r="J12" i="10"/>
  <c r="F12" i="10"/>
  <c r="J11" i="10"/>
  <c r="J10" i="10"/>
  <c r="F10" i="10"/>
  <c r="J9" i="10"/>
  <c r="F8" i="10"/>
  <c r="J7" i="10"/>
  <c r="B7" i="10"/>
  <c r="F6" i="10"/>
  <c r="G29" i="7"/>
  <c r="D29" i="8"/>
  <c r="Q25" i="15"/>
  <c r="I23" i="10"/>
  <c r="I21" i="10"/>
  <c r="P33" i="10"/>
  <c r="H32" i="10"/>
  <c r="D32" i="10"/>
  <c r="P31" i="10"/>
  <c r="H30" i="10"/>
  <c r="N26" i="10"/>
  <c r="J26" i="10"/>
  <c r="B25" i="10"/>
  <c r="J24" i="10"/>
  <c r="B23" i="10"/>
  <c r="N22" i="10"/>
  <c r="J22" i="10"/>
  <c r="J20" i="10"/>
  <c r="G29" i="11"/>
  <c r="O30" i="25"/>
  <c r="G30" i="25"/>
  <c r="O53" i="39"/>
  <c r="O40" i="39"/>
  <c r="O52" i="39"/>
  <c r="O39" i="39"/>
  <c r="G39" i="39"/>
  <c r="G52" i="39"/>
  <c r="C52" i="39"/>
  <c r="C39" i="39"/>
  <c r="O38" i="39"/>
  <c r="O51" i="39"/>
  <c r="O50" i="39"/>
  <c r="O37" i="39"/>
  <c r="C37" i="39"/>
  <c r="C50" i="39"/>
  <c r="O36" i="39"/>
  <c r="O49" i="39"/>
  <c r="C36" i="39"/>
  <c r="C49" i="39"/>
  <c r="C48" i="39"/>
  <c r="C35" i="39"/>
  <c r="O47" i="39"/>
  <c r="O34" i="39"/>
  <c r="C34" i="39"/>
  <c r="C47" i="39"/>
  <c r="O46" i="39"/>
  <c r="O33" i="39"/>
  <c r="C46" i="39"/>
  <c r="C33" i="39"/>
  <c r="O45" i="39"/>
  <c r="O32" i="39"/>
  <c r="D16" i="8"/>
  <c r="I18" i="16"/>
  <c r="Q17" i="16"/>
  <c r="I17" i="16"/>
  <c r="I13" i="16"/>
  <c r="I12" i="16"/>
  <c r="I11" i="16"/>
  <c r="Q10" i="16"/>
  <c r="I10" i="16"/>
  <c r="Q9" i="16"/>
  <c r="Q8" i="16"/>
  <c r="Q7" i="16"/>
  <c r="Q6" i="16"/>
  <c r="M32" i="14"/>
  <c r="M24" i="14"/>
  <c r="Q22" i="14"/>
  <c r="Q22" i="17" s="1"/>
  <c r="M22" i="14"/>
  <c r="M20" i="14"/>
  <c r="F4" i="22"/>
  <c r="M13" i="26"/>
  <c r="D33" i="15"/>
  <c r="D32" i="15"/>
  <c r="D31" i="15"/>
  <c r="D30" i="15"/>
  <c r="I32" i="15"/>
  <c r="I30" i="15"/>
  <c r="D4" i="8"/>
  <c r="H29" i="9"/>
  <c r="H16" i="9"/>
  <c r="G4" i="11"/>
  <c r="K24" i="25"/>
  <c r="J23" i="25"/>
  <c r="J23" i="28" s="1"/>
  <c r="F23" i="25"/>
  <c r="Q22" i="25"/>
  <c r="I22" i="25"/>
  <c r="H21" i="25"/>
  <c r="D21" i="25"/>
  <c r="Q5" i="16"/>
  <c r="Q32" i="14"/>
  <c r="Q32" i="17" s="1"/>
  <c r="Q10" i="14"/>
  <c r="Q8" i="14"/>
  <c r="Q8" i="17" s="1"/>
  <c r="I7" i="14"/>
  <c r="I7" i="17" s="1"/>
  <c r="D32" i="26"/>
  <c r="E28" i="26"/>
  <c r="H16" i="18"/>
  <c r="D16" i="18"/>
  <c r="M10" i="25"/>
  <c r="E10" i="25"/>
  <c r="L9" i="25"/>
  <c r="H9" i="25"/>
  <c r="D9" i="25"/>
  <c r="D9" i="28" s="1"/>
  <c r="G8" i="25"/>
  <c r="J7" i="25"/>
  <c r="F7" i="25"/>
  <c r="I6" i="25"/>
  <c r="D5" i="25"/>
  <c r="K32" i="21"/>
  <c r="C32" i="21"/>
  <c r="M24" i="26"/>
  <c r="E24" i="26"/>
  <c r="P23" i="26"/>
  <c r="D23" i="26"/>
  <c r="Q20" i="26"/>
  <c r="P14" i="26"/>
  <c r="D14" i="26"/>
  <c r="E11" i="26"/>
  <c r="N8" i="26"/>
  <c r="J8" i="26"/>
  <c r="M7" i="26"/>
  <c r="E7" i="26"/>
  <c r="P6" i="26"/>
  <c r="M29" i="20"/>
  <c r="N26" i="21"/>
  <c r="C18" i="21"/>
  <c r="F17" i="21"/>
  <c r="P16" i="22"/>
  <c r="L16" i="22"/>
  <c r="P10" i="25"/>
  <c r="L10" i="25"/>
  <c r="H10" i="25"/>
  <c r="D10" i="25"/>
  <c r="O9" i="25"/>
  <c r="K9" i="25"/>
  <c r="G9" i="25"/>
  <c r="C9" i="25"/>
  <c r="N8" i="25"/>
  <c r="J8" i="25"/>
  <c r="J8" i="28" s="1"/>
  <c r="F8" i="25"/>
  <c r="Q7" i="25"/>
  <c r="M7" i="25"/>
  <c r="M7" i="28" s="1"/>
  <c r="I7" i="25"/>
  <c r="E7" i="25"/>
  <c r="E7" i="28" s="1"/>
  <c r="P6" i="25"/>
  <c r="L6" i="25"/>
  <c r="H6" i="25"/>
  <c r="D6" i="25"/>
  <c r="D6" i="28" s="1"/>
  <c r="O5" i="25"/>
  <c r="K5" i="25"/>
  <c r="G5" i="25"/>
  <c r="N53" i="37"/>
  <c r="N40" i="37"/>
  <c r="F53" i="37"/>
  <c r="F40" i="37"/>
  <c r="B53" i="38"/>
  <c r="J39" i="37"/>
  <c r="J52" i="37"/>
  <c r="B52" i="38"/>
  <c r="B39" i="37"/>
  <c r="B51" i="38"/>
  <c r="B38" i="37"/>
  <c r="B50" i="38"/>
  <c r="N36" i="37"/>
  <c r="N49" i="37"/>
  <c r="B49" i="38"/>
  <c r="B36" i="37"/>
  <c r="B49" i="37"/>
  <c r="J35" i="37"/>
  <c r="J48" i="37"/>
  <c r="B48" i="38"/>
  <c r="B35" i="37"/>
  <c r="F34" i="37"/>
  <c r="F47" i="37"/>
  <c r="B47" i="38"/>
  <c r="B34" i="37"/>
  <c r="B46" i="38"/>
  <c r="B33" i="37"/>
  <c r="P33" i="27"/>
  <c r="E30" i="27"/>
  <c r="M32" i="27"/>
  <c r="N18" i="21"/>
  <c r="J18" i="21"/>
  <c r="F18" i="21"/>
  <c r="I16" i="20"/>
  <c r="E16" i="20"/>
  <c r="L15" i="21"/>
  <c r="O14" i="21"/>
  <c r="F13" i="21"/>
  <c r="I12" i="21"/>
  <c r="J9" i="21"/>
  <c r="P7" i="21"/>
  <c r="D7" i="21"/>
  <c r="F5" i="21"/>
  <c r="M32" i="21"/>
  <c r="D31" i="21"/>
  <c r="Q32" i="25"/>
  <c r="H31" i="25"/>
  <c r="C30" i="25"/>
  <c r="Q24" i="25"/>
  <c r="Q24" i="28" s="1"/>
  <c r="M24" i="25"/>
  <c r="M24" i="28" s="1"/>
  <c r="E24" i="25"/>
  <c r="P23" i="25"/>
  <c r="P23" i="28" s="1"/>
  <c r="L23" i="25"/>
  <c r="D23" i="25"/>
  <c r="D23" i="28" s="1"/>
  <c r="O22" i="25"/>
  <c r="K22" i="25"/>
  <c r="K22" i="28" s="1"/>
  <c r="C22" i="25"/>
  <c r="N21" i="25"/>
  <c r="Q20" i="25"/>
  <c r="I20" i="25"/>
  <c r="O9" i="33"/>
  <c r="O10" i="33"/>
  <c r="C8" i="30"/>
  <c r="D10" i="30"/>
  <c r="O5" i="30"/>
  <c r="C5" i="30"/>
  <c r="F49" i="37"/>
  <c r="B40" i="37"/>
  <c r="N38" i="37"/>
  <c r="J37" i="37"/>
  <c r="D15" i="18"/>
  <c r="G4" i="18"/>
  <c r="G3" i="18" s="1"/>
  <c r="M32" i="26"/>
  <c r="P31" i="26"/>
  <c r="Q33" i="21"/>
  <c r="H32" i="21"/>
  <c r="G31" i="21"/>
  <c r="Q27" i="21"/>
  <c r="C25" i="21"/>
  <c r="Q13" i="21"/>
  <c r="D12" i="21"/>
  <c r="Q9" i="21"/>
  <c r="O7" i="21"/>
  <c r="O18" i="21"/>
  <c r="P24" i="25"/>
  <c r="P24" i="28" s="1"/>
  <c r="L24" i="25"/>
  <c r="H24" i="25"/>
  <c r="D24" i="25"/>
  <c r="O23" i="25"/>
  <c r="K23" i="25"/>
  <c r="C23" i="25"/>
  <c r="N22" i="25"/>
  <c r="J22" i="25"/>
  <c r="F22" i="25"/>
  <c r="Q21" i="25"/>
  <c r="M21" i="25"/>
  <c r="I21" i="25"/>
  <c r="E21" i="25"/>
  <c r="D20" i="25"/>
  <c r="J48" i="38"/>
  <c r="J46" i="38"/>
  <c r="J45" i="38"/>
  <c r="O37" i="37"/>
  <c r="Q51" i="38"/>
  <c r="M53" i="38"/>
  <c r="I53" i="38"/>
  <c r="E53" i="38"/>
  <c r="Q52" i="38"/>
  <c r="M52" i="38"/>
  <c r="I52" i="38"/>
  <c r="E52" i="38"/>
  <c r="M51" i="38"/>
  <c r="I51" i="38"/>
  <c r="E51" i="38"/>
  <c r="Q50" i="38"/>
  <c r="M50" i="38"/>
  <c r="I50" i="38"/>
  <c r="E50" i="38"/>
  <c r="M49" i="38"/>
  <c r="I49" i="38"/>
  <c r="E49" i="38"/>
  <c r="Q48" i="38"/>
  <c r="M48" i="38"/>
  <c r="I48" i="38"/>
  <c r="E48" i="38"/>
  <c r="M47" i="38"/>
  <c r="I47" i="38"/>
  <c r="E47" i="38"/>
  <c r="Q46" i="38"/>
  <c r="M46" i="38"/>
  <c r="I46" i="38"/>
  <c r="E46" i="38"/>
  <c r="M45" i="38"/>
  <c r="I45" i="38"/>
  <c r="E45" i="38"/>
  <c r="D31" i="39"/>
  <c r="N44" i="39"/>
  <c r="J44" i="39"/>
  <c r="B44" i="39"/>
  <c r="H50" i="37"/>
  <c r="P53" i="37"/>
  <c r="H53" i="37"/>
  <c r="P52" i="37"/>
  <c r="H52" i="37"/>
  <c r="P51" i="37"/>
  <c r="H51" i="37"/>
  <c r="P50" i="37"/>
  <c r="P49" i="37"/>
  <c r="H49" i="37"/>
  <c r="P48" i="37"/>
  <c r="P47" i="37"/>
  <c r="H47" i="37"/>
  <c r="D45" i="37"/>
  <c r="L10" i="34"/>
  <c r="B19" i="7"/>
  <c r="C16" i="7"/>
  <c r="B4" i="7"/>
  <c r="B3" i="7" s="1"/>
  <c r="O16" i="8"/>
  <c r="L4" i="8"/>
  <c r="B19" i="11"/>
  <c r="O15" i="18"/>
  <c r="O4" i="18"/>
  <c r="O3" i="18" s="1"/>
  <c r="M19" i="19"/>
  <c r="E19" i="19"/>
  <c r="G26" i="21"/>
  <c r="J25" i="21"/>
  <c r="F25" i="21"/>
  <c r="M24" i="21"/>
  <c r="E24" i="21"/>
  <c r="O22" i="21"/>
  <c r="F21" i="21"/>
  <c r="E20" i="21"/>
  <c r="N16" i="20"/>
  <c r="Q24" i="21"/>
  <c r="C29" i="7"/>
  <c r="Q19" i="7"/>
  <c r="E19" i="7"/>
  <c r="G32" i="10"/>
  <c r="O31" i="10"/>
  <c r="H19" i="8"/>
  <c r="H32" i="14"/>
  <c r="Q23" i="14"/>
  <c r="Q23" i="17" s="1"/>
  <c r="I23" i="14"/>
  <c r="E22" i="14"/>
  <c r="I21" i="14"/>
  <c r="Q19" i="11"/>
  <c r="Q20" i="14"/>
  <c r="E20" i="14"/>
  <c r="K27" i="21"/>
  <c r="E21" i="21"/>
  <c r="F4" i="19"/>
  <c r="H20" i="21"/>
  <c r="G23" i="25"/>
  <c r="G19" i="22"/>
  <c r="J29" i="7"/>
  <c r="Q16" i="7"/>
  <c r="M16" i="7"/>
  <c r="I16" i="7"/>
  <c r="I17" i="14"/>
  <c r="E16" i="7"/>
  <c r="D14" i="15"/>
  <c r="H12" i="15"/>
  <c r="D10" i="15"/>
  <c r="D8" i="15"/>
  <c r="L6" i="15"/>
  <c r="D6" i="15"/>
  <c r="L4" i="7"/>
  <c r="L3" i="7" s="1"/>
  <c r="D4" i="7"/>
  <c r="E16" i="9"/>
  <c r="B4" i="9"/>
  <c r="O32" i="14"/>
  <c r="G31" i="14"/>
  <c r="C31" i="14"/>
  <c r="O29" i="11"/>
  <c r="D23" i="21"/>
  <c r="M30" i="25"/>
  <c r="M29" i="22"/>
  <c r="J19" i="7"/>
  <c r="K16" i="7"/>
  <c r="J4" i="7"/>
  <c r="J3" i="7" s="1"/>
  <c r="D11" i="26"/>
  <c r="L27" i="21"/>
  <c r="D27" i="21"/>
  <c r="K26" i="21"/>
  <c r="C26" i="21"/>
  <c r="N25" i="21"/>
  <c r="P23" i="21"/>
  <c r="L23" i="21"/>
  <c r="H23" i="21"/>
  <c r="C22" i="21"/>
  <c r="N21" i="21"/>
  <c r="J21" i="21"/>
  <c r="J21" i="27"/>
  <c r="Q20" i="21"/>
  <c r="M19" i="20"/>
  <c r="I20" i="21"/>
  <c r="F19" i="20"/>
  <c r="C6" i="25"/>
  <c r="O29" i="7"/>
  <c r="K29" i="7"/>
  <c r="M19" i="7"/>
  <c r="I19" i="7"/>
  <c r="O33" i="10"/>
  <c r="G33" i="10"/>
  <c r="O32" i="10"/>
  <c r="G31" i="10"/>
  <c r="O30" i="10"/>
  <c r="G30" i="10"/>
  <c r="C30" i="10"/>
  <c r="L19" i="8"/>
  <c r="M16" i="9"/>
  <c r="L32" i="14"/>
  <c r="L30" i="14"/>
  <c r="L30" i="17" s="1"/>
  <c r="Q24" i="14"/>
  <c r="Q24" i="17" s="1"/>
  <c r="E24" i="14"/>
  <c r="M23" i="14"/>
  <c r="E23" i="14"/>
  <c r="I22" i="14"/>
  <c r="Q21" i="14"/>
  <c r="M21" i="14"/>
  <c r="E21" i="14"/>
  <c r="M19" i="11"/>
  <c r="I19" i="11"/>
  <c r="I20" i="14"/>
  <c r="I9" i="25"/>
  <c r="E4" i="18"/>
  <c r="E3" i="18" s="1"/>
  <c r="O27" i="21"/>
  <c r="I25" i="21"/>
  <c r="N4" i="19"/>
  <c r="O33" i="21"/>
  <c r="I31" i="21"/>
  <c r="L24" i="21"/>
  <c r="J22" i="21"/>
  <c r="M20" i="21"/>
  <c r="J6" i="25"/>
  <c r="J6" i="28" s="1"/>
  <c r="G10" i="25"/>
  <c r="B107" i="6"/>
  <c r="B82" i="6"/>
  <c r="B81" i="6" s="1"/>
  <c r="B48" i="6"/>
  <c r="K19" i="7"/>
  <c r="G19" i="7"/>
  <c r="C19" i="7"/>
  <c r="L16" i="7"/>
  <c r="D16" i="7"/>
  <c r="O4" i="7"/>
  <c r="O3" i="7" s="1"/>
  <c r="C4" i="7"/>
  <c r="C3" i="7" s="1"/>
  <c r="G4" i="8"/>
  <c r="B19" i="9"/>
  <c r="C23" i="14"/>
  <c r="B4" i="11"/>
  <c r="O30" i="14"/>
  <c r="G6" i="14"/>
  <c r="K16" i="18"/>
  <c r="C16" i="18"/>
  <c r="I19" i="20"/>
  <c r="K18" i="21"/>
  <c r="J17" i="21"/>
  <c r="J16" i="20"/>
  <c r="O16" i="20"/>
  <c r="N17" i="21"/>
  <c r="L6" i="21"/>
  <c r="G25" i="10"/>
  <c r="O24" i="10"/>
  <c r="G23" i="10"/>
  <c r="O22" i="10"/>
  <c r="G21" i="10"/>
  <c r="O20" i="10"/>
  <c r="I17" i="15"/>
  <c r="M4" i="9"/>
  <c r="J16" i="11"/>
  <c r="B16" i="11"/>
  <c r="D9" i="14"/>
  <c r="D9" i="17" s="1"/>
  <c r="D4" i="11"/>
  <c r="Q4" i="18"/>
  <c r="Q3" i="18" s="1"/>
  <c r="L15" i="18"/>
  <c r="K29" i="19"/>
  <c r="G29" i="19"/>
  <c r="G30" i="26"/>
  <c r="P14" i="21"/>
  <c r="H14" i="21"/>
  <c r="N12" i="21"/>
  <c r="J12" i="21"/>
  <c r="P10" i="21"/>
  <c r="L10" i="21"/>
  <c r="D10" i="21"/>
  <c r="N8" i="21"/>
  <c r="J8" i="21"/>
  <c r="F8" i="21"/>
  <c r="H6" i="21"/>
  <c r="D6" i="21"/>
  <c r="G4" i="20"/>
  <c r="C13" i="21"/>
  <c r="P10" i="32"/>
  <c r="Q29" i="7"/>
  <c r="M29" i="7"/>
  <c r="I29" i="7"/>
  <c r="E29" i="7"/>
  <c r="D28" i="15"/>
  <c r="D26" i="15"/>
  <c r="H22" i="15"/>
  <c r="D22" i="15"/>
  <c r="D20" i="15"/>
  <c r="J16" i="7"/>
  <c r="Q4" i="7"/>
  <c r="M4" i="7"/>
  <c r="M3" i="7" s="1"/>
  <c r="I4" i="7"/>
  <c r="I3" i="7" s="1"/>
  <c r="E4" i="7"/>
  <c r="E3" i="7" s="1"/>
  <c r="I15" i="10"/>
  <c r="I13" i="10"/>
  <c r="I11" i="10"/>
  <c r="I7" i="10"/>
  <c r="I5" i="10"/>
  <c r="I29" i="9"/>
  <c r="M29" i="9"/>
  <c r="D28" i="16"/>
  <c r="H26" i="10"/>
  <c r="D26" i="10"/>
  <c r="P25" i="10"/>
  <c r="H24" i="10"/>
  <c r="D24" i="10"/>
  <c r="P23" i="10"/>
  <c r="H22" i="10"/>
  <c r="D22" i="10"/>
  <c r="P21" i="10"/>
  <c r="P20" i="10"/>
  <c r="H19" i="9"/>
  <c r="J18" i="10"/>
  <c r="N17" i="10"/>
  <c r="J17" i="10"/>
  <c r="F17" i="10"/>
  <c r="B16" i="9"/>
  <c r="P15" i="10"/>
  <c r="P14" i="10"/>
  <c r="P13" i="10"/>
  <c r="P12" i="10"/>
  <c r="P11" i="10"/>
  <c r="P10" i="10"/>
  <c r="P9" i="10"/>
  <c r="P7" i="10"/>
  <c r="D6" i="10"/>
  <c r="P4" i="9"/>
  <c r="H4" i="9"/>
  <c r="E4" i="9"/>
  <c r="I32" i="14"/>
  <c r="I32" i="17" s="1"/>
  <c r="E32" i="14"/>
  <c r="I31" i="14"/>
  <c r="E31" i="14"/>
  <c r="Q29" i="11"/>
  <c r="M29" i="11"/>
  <c r="I29" i="11"/>
  <c r="I30" i="14"/>
  <c r="I30" i="17" s="1"/>
  <c r="E30" i="14"/>
  <c r="O24" i="14"/>
  <c r="G23" i="14"/>
  <c r="O22" i="14"/>
  <c r="G21" i="14"/>
  <c r="O20" i="14"/>
  <c r="G19" i="11"/>
  <c r="Q16" i="11"/>
  <c r="Q17" i="14"/>
  <c r="M16" i="11"/>
  <c r="M17" i="14"/>
  <c r="I16" i="11"/>
  <c r="E17" i="14"/>
  <c r="C10" i="14"/>
  <c r="O9" i="14"/>
  <c r="O9" i="17" s="1"/>
  <c r="G8" i="14"/>
  <c r="C8" i="14"/>
  <c r="O7" i="14"/>
  <c r="C6" i="14"/>
  <c r="O5" i="14"/>
  <c r="O4" i="11"/>
  <c r="Q30" i="14"/>
  <c r="P16" i="19"/>
  <c r="P17" i="26"/>
  <c r="L16" i="19"/>
  <c r="E27" i="21"/>
  <c r="K25" i="21"/>
  <c r="M23" i="21"/>
  <c r="I23" i="21"/>
  <c r="P22" i="21"/>
  <c r="P22" i="27"/>
  <c r="G21" i="21"/>
  <c r="P18" i="27"/>
  <c r="P18" i="21"/>
  <c r="C17" i="21"/>
  <c r="N4" i="20"/>
  <c r="J4" i="20"/>
  <c r="O25" i="21"/>
  <c r="E29" i="22"/>
  <c r="E33" i="25"/>
  <c r="E33" i="28" s="1"/>
  <c r="P29" i="22"/>
  <c r="C29" i="22"/>
  <c r="N29" i="22"/>
  <c r="D17" i="25"/>
  <c r="H9" i="32"/>
  <c r="H10" i="32"/>
  <c r="D9" i="32"/>
  <c r="D10" i="32"/>
  <c r="C9" i="31"/>
  <c r="C10" i="31"/>
  <c r="E8" i="34"/>
  <c r="F10" i="34"/>
  <c r="E8" i="30"/>
  <c r="F10" i="30"/>
  <c r="M5" i="30"/>
  <c r="I5" i="30"/>
  <c r="E5" i="30"/>
  <c r="M19" i="22"/>
  <c r="D16" i="22"/>
  <c r="N10" i="25"/>
  <c r="P8" i="25"/>
  <c r="P8" i="28" s="1"/>
  <c r="H8" i="25"/>
  <c r="M4" i="22"/>
  <c r="B33" i="10"/>
  <c r="J32" i="10"/>
  <c r="F32" i="10"/>
  <c r="B31" i="10"/>
  <c r="N30" i="10"/>
  <c r="J30" i="10"/>
  <c r="F30" i="10"/>
  <c r="B29" i="9"/>
  <c r="Q22" i="16"/>
  <c r="Q21" i="16"/>
  <c r="I20" i="16"/>
  <c r="M19" i="9"/>
  <c r="P18" i="10"/>
  <c r="P17" i="10"/>
  <c r="O4" i="9"/>
  <c r="K4" i="9"/>
  <c r="G4" i="9"/>
  <c r="J29" i="11"/>
  <c r="B29" i="11"/>
  <c r="L24" i="14"/>
  <c r="H24" i="14"/>
  <c r="L22" i="14"/>
  <c r="H22" i="14"/>
  <c r="L20" i="14"/>
  <c r="H20" i="14"/>
  <c r="D19" i="11"/>
  <c r="G17" i="14"/>
  <c r="C16" i="11"/>
  <c r="I10" i="14"/>
  <c r="E10" i="14"/>
  <c r="Q9" i="14"/>
  <c r="Q9" i="17" s="1"/>
  <c r="I9" i="14"/>
  <c r="I9" i="17" s="1"/>
  <c r="E9" i="14"/>
  <c r="I8" i="14"/>
  <c r="E8" i="14"/>
  <c r="E7" i="14"/>
  <c r="Q6" i="14"/>
  <c r="Q6" i="17" s="1"/>
  <c r="M6" i="14"/>
  <c r="E6" i="14"/>
  <c r="Q4" i="11"/>
  <c r="Q5" i="14"/>
  <c r="M4" i="11"/>
  <c r="I4" i="11"/>
  <c r="I5" i="14"/>
  <c r="I5" i="17" s="1"/>
  <c r="E5" i="14"/>
  <c r="C17" i="14"/>
  <c r="N14" i="21"/>
  <c r="L12" i="21"/>
  <c r="K11" i="21"/>
  <c r="J10" i="21"/>
  <c r="H8" i="21"/>
  <c r="K4" i="19"/>
  <c r="Q5" i="26"/>
  <c r="F33" i="21"/>
  <c r="Q32" i="21"/>
  <c r="I32" i="21"/>
  <c r="E32" i="21"/>
  <c r="O30" i="21"/>
  <c r="K30" i="21"/>
  <c r="G30" i="21"/>
  <c r="C29" i="20"/>
  <c r="M20" i="25"/>
  <c r="P9" i="33"/>
  <c r="P10" i="33"/>
  <c r="L9" i="33"/>
  <c r="L10" i="33"/>
  <c r="D9" i="33"/>
  <c r="D10" i="33"/>
  <c r="P8" i="35"/>
  <c r="Q10" i="35"/>
  <c r="L8" i="35"/>
  <c r="M10" i="35"/>
  <c r="H8" i="35"/>
  <c r="I10" i="35"/>
  <c r="P8" i="34"/>
  <c r="P10" i="34"/>
  <c r="Q10" i="34"/>
  <c r="L8" i="34"/>
  <c r="M10" i="34"/>
  <c r="H8" i="34"/>
  <c r="H10" i="34"/>
  <c r="D8" i="34"/>
  <c r="E10" i="34"/>
  <c r="P8" i="33"/>
  <c r="Q10" i="33"/>
  <c r="L8" i="33"/>
  <c r="M10" i="33"/>
  <c r="H8" i="33"/>
  <c r="I10" i="33"/>
  <c r="E10" i="33"/>
  <c r="D8" i="33"/>
  <c r="L8" i="31"/>
  <c r="M10" i="31"/>
  <c r="I10" i="31"/>
  <c r="H8" i="31"/>
  <c r="D8" i="31"/>
  <c r="E10" i="31"/>
  <c r="P8" i="30"/>
  <c r="Q10" i="30"/>
  <c r="L8" i="30"/>
  <c r="L10" i="30"/>
  <c r="M10" i="30"/>
  <c r="H8" i="30"/>
  <c r="H10" i="30"/>
  <c r="I10" i="30"/>
  <c r="P5" i="30"/>
  <c r="H5" i="30"/>
  <c r="D5" i="30"/>
  <c r="C8" i="36"/>
  <c r="N19" i="18"/>
  <c r="C19" i="18"/>
  <c r="Q16" i="18"/>
  <c r="M16" i="18"/>
  <c r="I16" i="18"/>
  <c r="E16" i="18"/>
  <c r="P26" i="26"/>
  <c r="G25" i="26"/>
  <c r="E23" i="26"/>
  <c r="G18" i="26"/>
  <c r="J16" i="19"/>
  <c r="O16" i="19"/>
  <c r="P4" i="19"/>
  <c r="C4" i="19"/>
  <c r="F14" i="21"/>
  <c r="O11" i="21"/>
  <c r="F10" i="21"/>
  <c r="Q5" i="21"/>
  <c r="N6" i="21"/>
  <c r="I32" i="25"/>
  <c r="P31" i="25"/>
  <c r="L31" i="25"/>
  <c r="D31" i="25"/>
  <c r="D31" i="28" s="1"/>
  <c r="K30" i="25"/>
  <c r="N24" i="25"/>
  <c r="J24" i="25"/>
  <c r="J24" i="28" s="1"/>
  <c r="F24" i="25"/>
  <c r="Q23" i="25"/>
  <c r="M23" i="25"/>
  <c r="M23" i="28" s="1"/>
  <c r="I23" i="25"/>
  <c r="E23" i="25"/>
  <c r="E23" i="28" s="1"/>
  <c r="P22" i="25"/>
  <c r="P22" i="28" s="1"/>
  <c r="L22" i="25"/>
  <c r="H22" i="25"/>
  <c r="D22" i="25"/>
  <c r="D22" i="28" s="1"/>
  <c r="G21" i="25"/>
  <c r="C21" i="25"/>
  <c r="N17" i="25"/>
  <c r="J16" i="22"/>
  <c r="J17" i="25"/>
  <c r="F17" i="25"/>
  <c r="Q31" i="38"/>
  <c r="Q44" i="38"/>
  <c r="M44" i="38"/>
  <c r="E44" i="38"/>
  <c r="Q10" i="32"/>
  <c r="Q9" i="32"/>
  <c r="I10" i="32"/>
  <c r="K10" i="32"/>
  <c r="C19" i="19"/>
  <c r="P18" i="26"/>
  <c r="D15" i="21"/>
  <c r="Q12" i="21"/>
  <c r="P11" i="21"/>
  <c r="O10" i="21"/>
  <c r="M8" i="21"/>
  <c r="L7" i="21"/>
  <c r="K6" i="21"/>
  <c r="N9" i="25"/>
  <c r="P7" i="25"/>
  <c r="P7" i="28" s="1"/>
  <c r="J5" i="25"/>
  <c r="C10" i="35"/>
  <c r="C10" i="32"/>
  <c r="I9" i="32"/>
  <c r="H31" i="39"/>
  <c r="K40" i="39"/>
  <c r="K53" i="39"/>
  <c r="G40" i="39"/>
  <c r="G53" i="39"/>
  <c r="K39" i="39"/>
  <c r="K52" i="39"/>
  <c r="K38" i="39"/>
  <c r="K51" i="39"/>
  <c r="G51" i="39"/>
  <c r="G38" i="39"/>
  <c r="K37" i="39"/>
  <c r="K50" i="39"/>
  <c r="G50" i="39"/>
  <c r="G37" i="39"/>
  <c r="K36" i="39"/>
  <c r="K49" i="39"/>
  <c r="G49" i="39"/>
  <c r="G36" i="39"/>
  <c r="K35" i="39"/>
  <c r="K48" i="39"/>
  <c r="G48" i="39"/>
  <c r="G35" i="39"/>
  <c r="K34" i="39"/>
  <c r="K47" i="39"/>
  <c r="G34" i="39"/>
  <c r="G47" i="39"/>
  <c r="K33" i="39"/>
  <c r="K46" i="39"/>
  <c r="K32" i="39"/>
  <c r="K45" i="39"/>
  <c r="G32" i="39"/>
  <c r="G45" i="39"/>
  <c r="P3" i="30"/>
  <c r="K53" i="38"/>
  <c r="K40" i="37"/>
  <c r="G53" i="38"/>
  <c r="G40" i="37"/>
  <c r="K52" i="38"/>
  <c r="K39" i="37"/>
  <c r="G52" i="38"/>
  <c r="G39" i="37"/>
  <c r="C52" i="38"/>
  <c r="C39" i="37"/>
  <c r="K51" i="38"/>
  <c r="K38" i="37"/>
  <c r="G51" i="38"/>
  <c r="G38" i="37"/>
  <c r="K50" i="38"/>
  <c r="K37" i="37"/>
  <c r="G50" i="38"/>
  <c r="G37" i="37"/>
  <c r="C50" i="38"/>
  <c r="C37" i="37"/>
  <c r="K49" i="38"/>
  <c r="K36" i="37"/>
  <c r="G49" i="38"/>
  <c r="G36" i="37"/>
  <c r="K48" i="38"/>
  <c r="K35" i="37"/>
  <c r="G48" i="38"/>
  <c r="G35" i="37"/>
  <c r="C48" i="38"/>
  <c r="C35" i="37"/>
  <c r="K47" i="38"/>
  <c r="K34" i="37"/>
  <c r="G47" i="38"/>
  <c r="G34" i="37"/>
  <c r="K46" i="38"/>
  <c r="K33" i="37"/>
  <c r="G46" i="38"/>
  <c r="G33" i="37"/>
  <c r="C46" i="38"/>
  <c r="C33" i="37"/>
  <c r="K45" i="38"/>
  <c r="K32" i="37"/>
  <c r="G45" i="38"/>
  <c r="G32" i="37"/>
  <c r="P31" i="38"/>
  <c r="L31" i="38"/>
  <c r="H31" i="38"/>
  <c r="D31" i="38"/>
  <c r="C53" i="39"/>
  <c r="C51" i="39"/>
  <c r="G46" i="39"/>
  <c r="C45" i="39"/>
  <c r="O35" i="39"/>
  <c r="I31" i="39"/>
  <c r="J53" i="37"/>
  <c r="F52" i="37"/>
  <c r="J51" i="37"/>
  <c r="F50" i="37"/>
  <c r="J49" i="37"/>
  <c r="O31" i="38"/>
  <c r="K31" i="38"/>
  <c r="G31" i="38"/>
  <c r="C31" i="38"/>
  <c r="Q31" i="39"/>
  <c r="N52" i="37"/>
  <c r="B52" i="37"/>
  <c r="N50" i="37"/>
  <c r="B50" i="37"/>
  <c r="N31" i="38"/>
  <c r="J31" i="38"/>
  <c r="F31" i="38"/>
  <c r="B31" i="38"/>
  <c r="N53" i="38"/>
  <c r="F53" i="38"/>
  <c r="N52" i="38"/>
  <c r="F52" i="38"/>
  <c r="N51" i="38"/>
  <c r="F51" i="38"/>
  <c r="N50" i="38"/>
  <c r="F50" i="38"/>
  <c r="N49" i="38"/>
  <c r="F49" i="38"/>
  <c r="N48" i="38"/>
  <c r="F48" i="38"/>
  <c r="N47" i="38"/>
  <c r="F47" i="38"/>
  <c r="N46" i="38"/>
  <c r="F46" i="38"/>
  <c r="N45" i="38"/>
  <c r="F45" i="38"/>
  <c r="N44" i="38"/>
  <c r="F44" i="38"/>
  <c r="P31" i="39"/>
  <c r="E31" i="39"/>
  <c r="N29" i="7"/>
  <c r="F29" i="7"/>
  <c r="P19" i="7"/>
  <c r="H19" i="7"/>
  <c r="L19" i="7"/>
  <c r="N16" i="7"/>
  <c r="F16" i="7"/>
  <c r="P4" i="7"/>
  <c r="P3" i="7" s="1"/>
  <c r="H4" i="7"/>
  <c r="H3" i="7" s="1"/>
  <c r="M29" i="8"/>
  <c r="E29" i="8"/>
  <c r="Q29" i="8"/>
  <c r="G29" i="8"/>
  <c r="O27" i="10"/>
  <c r="G27" i="10"/>
  <c r="G26" i="10"/>
  <c r="O25" i="10"/>
  <c r="G24" i="10"/>
  <c r="O23" i="10"/>
  <c r="G22" i="10"/>
  <c r="O21" i="10"/>
  <c r="K19" i="8"/>
  <c r="G20" i="10"/>
  <c r="C19" i="8"/>
  <c r="M16" i="8"/>
  <c r="E16" i="8"/>
  <c r="Q16" i="8"/>
  <c r="G16" i="8"/>
  <c r="O15" i="10"/>
  <c r="G14" i="10"/>
  <c r="O13" i="10"/>
  <c r="G12" i="10"/>
  <c r="O11" i="10"/>
  <c r="G10" i="10"/>
  <c r="O9" i="10"/>
  <c r="G8" i="10"/>
  <c r="O7" i="10"/>
  <c r="G6" i="10"/>
  <c r="O5" i="10"/>
  <c r="K4" i="8"/>
  <c r="C4" i="8"/>
  <c r="L33" i="10"/>
  <c r="H33" i="10"/>
  <c r="H33" i="16"/>
  <c r="D33" i="10"/>
  <c r="P32" i="10"/>
  <c r="L32" i="10"/>
  <c r="L31" i="10"/>
  <c r="H31" i="10"/>
  <c r="D31" i="10"/>
  <c r="D31" i="16"/>
  <c r="P30" i="10"/>
  <c r="L30" i="10"/>
  <c r="L29" i="9"/>
  <c r="D30" i="10"/>
  <c r="D29" i="9"/>
  <c r="J27" i="10"/>
  <c r="B27" i="10"/>
  <c r="B26" i="10"/>
  <c r="J25" i="10"/>
  <c r="B24" i="10"/>
  <c r="J23" i="10"/>
  <c r="B22" i="10"/>
  <c r="J21" i="10"/>
  <c r="B21" i="10"/>
  <c r="N19" i="9"/>
  <c r="F19" i="9"/>
  <c r="B20" i="10"/>
  <c r="L18" i="10"/>
  <c r="H18" i="10"/>
  <c r="H18" i="16"/>
  <c r="D18" i="10"/>
  <c r="L17" i="10"/>
  <c r="L17" i="16"/>
  <c r="L16" i="9"/>
  <c r="H17" i="10"/>
  <c r="H17" i="16"/>
  <c r="D17" i="10"/>
  <c r="D17" i="16"/>
  <c r="D16" i="9"/>
  <c r="B15" i="10"/>
  <c r="B14" i="10"/>
  <c r="B13" i="10"/>
  <c r="B12" i="10"/>
  <c r="B11" i="10"/>
  <c r="B10" i="10"/>
  <c r="B9" i="10"/>
  <c r="J8" i="10"/>
  <c r="B8" i="10"/>
  <c r="J6" i="10"/>
  <c r="B6" i="10"/>
  <c r="N4" i="9"/>
  <c r="J5" i="10"/>
  <c r="F4" i="9"/>
  <c r="B5" i="10"/>
  <c r="K33" i="10"/>
  <c r="Q32" i="10"/>
  <c r="K31" i="10"/>
  <c r="Q30" i="10"/>
  <c r="Q27" i="10"/>
  <c r="F27" i="10"/>
  <c r="K26" i="10"/>
  <c r="Q25" i="10"/>
  <c r="F25" i="10"/>
  <c r="K24" i="10"/>
  <c r="Q23" i="10"/>
  <c r="F23" i="10"/>
  <c r="K22" i="10"/>
  <c r="Q21" i="10"/>
  <c r="F21" i="10"/>
  <c r="K20" i="10"/>
  <c r="K18" i="10"/>
  <c r="Q17" i="10"/>
  <c r="Q15" i="10"/>
  <c r="F15" i="10"/>
  <c r="K14" i="10"/>
  <c r="Q13" i="10"/>
  <c r="F13" i="10"/>
  <c r="K12" i="10"/>
  <c r="Q11" i="10"/>
  <c r="F11" i="10"/>
  <c r="K10" i="10"/>
  <c r="Q9" i="10"/>
  <c r="F9" i="10"/>
  <c r="K8" i="10"/>
  <c r="Q7" i="10"/>
  <c r="F7" i="10"/>
  <c r="K6" i="10"/>
  <c r="Q5" i="10"/>
  <c r="F5" i="10"/>
  <c r="P32" i="14"/>
  <c r="D32" i="14"/>
  <c r="D32" i="17" s="1"/>
  <c r="P31" i="14"/>
  <c r="L31" i="14"/>
  <c r="H31" i="14"/>
  <c r="H31" i="17" s="1"/>
  <c r="D31" i="14"/>
  <c r="D31" i="17" s="1"/>
  <c r="P30" i="14"/>
  <c r="P29" i="11"/>
  <c r="H29" i="11"/>
  <c r="D30" i="14"/>
  <c r="D30" i="17" s="1"/>
  <c r="L29" i="11"/>
  <c r="N24" i="14"/>
  <c r="J24" i="14"/>
  <c r="F24" i="14"/>
  <c r="B24" i="14"/>
  <c r="N23" i="14"/>
  <c r="J23" i="14"/>
  <c r="F23" i="14"/>
  <c r="B23" i="14"/>
  <c r="N22" i="14"/>
  <c r="J22" i="14"/>
  <c r="F22" i="14"/>
  <c r="B22" i="14"/>
  <c r="N21" i="14"/>
  <c r="J21" i="14"/>
  <c r="F21" i="14"/>
  <c r="B21" i="14"/>
  <c r="N20" i="14"/>
  <c r="N19" i="11"/>
  <c r="J20" i="14"/>
  <c r="F20" i="14"/>
  <c r="F19" i="11"/>
  <c r="B20" i="14"/>
  <c r="P17" i="14"/>
  <c r="P16" i="11"/>
  <c r="L17" i="14"/>
  <c r="L17" i="17" s="1"/>
  <c r="H17" i="14"/>
  <c r="H17" i="17" s="1"/>
  <c r="H16" i="11"/>
  <c r="D17" i="14"/>
  <c r="L16" i="11"/>
  <c r="N10" i="14"/>
  <c r="J10" i="14"/>
  <c r="F10" i="14"/>
  <c r="B10" i="14"/>
  <c r="N9" i="14"/>
  <c r="J9" i="14"/>
  <c r="F9" i="14"/>
  <c r="B9" i="14"/>
  <c r="N8" i="14"/>
  <c r="J8" i="14"/>
  <c r="F8" i="14"/>
  <c r="B8" i="14"/>
  <c r="N7" i="14"/>
  <c r="J7" i="14"/>
  <c r="F7" i="14"/>
  <c r="B7" i="14"/>
  <c r="N6" i="14"/>
  <c r="J6" i="14"/>
  <c r="F6" i="14"/>
  <c r="B6" i="14"/>
  <c r="N5" i="14"/>
  <c r="N4" i="11"/>
  <c r="J5" i="14"/>
  <c r="F5" i="14"/>
  <c r="F4" i="11"/>
  <c r="B5" i="14"/>
  <c r="D7" i="14"/>
  <c r="D5" i="14"/>
  <c r="D5" i="17" s="1"/>
  <c r="P32" i="25"/>
  <c r="O29" i="18"/>
  <c r="K29" i="18"/>
  <c r="G29" i="18"/>
  <c r="C31" i="25"/>
  <c r="N29" i="18"/>
  <c r="J29" i="18"/>
  <c r="J30" i="26"/>
  <c r="F29" i="18"/>
  <c r="J19" i="18"/>
  <c r="J10" i="28"/>
  <c r="D29" i="7"/>
  <c r="O29" i="8"/>
  <c r="I19" i="8"/>
  <c r="I19" i="12" s="1"/>
  <c r="I4" i="8"/>
  <c r="J29" i="9"/>
  <c r="E27" i="10"/>
  <c r="M25" i="10"/>
  <c r="E25" i="10"/>
  <c r="E24" i="10"/>
  <c r="M23" i="10"/>
  <c r="E23" i="10"/>
  <c r="M21" i="10"/>
  <c r="E21" i="10"/>
  <c r="E20" i="10"/>
  <c r="P19" i="9"/>
  <c r="J16" i="9"/>
  <c r="J16" i="13" s="1"/>
  <c r="E15" i="10"/>
  <c r="E14" i="10"/>
  <c r="E13" i="10"/>
  <c r="E12" i="10"/>
  <c r="E11" i="10"/>
  <c r="E10" i="10"/>
  <c r="E9" i="10"/>
  <c r="I33" i="10"/>
  <c r="N32" i="10"/>
  <c r="C32" i="10"/>
  <c r="I31" i="10"/>
  <c r="N27" i="10"/>
  <c r="C27" i="10"/>
  <c r="I26" i="10"/>
  <c r="N25" i="10"/>
  <c r="C25" i="10"/>
  <c r="I24" i="10"/>
  <c r="N23" i="10"/>
  <c r="C23" i="10"/>
  <c r="I22" i="10"/>
  <c r="N21" i="10"/>
  <c r="C21" i="10"/>
  <c r="I20" i="10"/>
  <c r="I18" i="10"/>
  <c r="C17" i="10"/>
  <c r="N15" i="10"/>
  <c r="C15" i="10"/>
  <c r="I14" i="10"/>
  <c r="N13" i="10"/>
  <c r="C13" i="10"/>
  <c r="I12" i="10"/>
  <c r="N11" i="10"/>
  <c r="C11" i="10"/>
  <c r="I10" i="10"/>
  <c r="N9" i="10"/>
  <c r="C9" i="10"/>
  <c r="I8" i="10"/>
  <c r="N7" i="10"/>
  <c r="C7" i="10"/>
  <c r="I6" i="10"/>
  <c r="N5" i="10"/>
  <c r="C5" i="10"/>
  <c r="D26" i="16"/>
  <c r="P33" i="21"/>
  <c r="L33" i="21"/>
  <c r="H33" i="21"/>
  <c r="H29" i="19"/>
  <c r="D33" i="21"/>
  <c r="O32" i="21"/>
  <c r="O29" i="19"/>
  <c r="G32" i="21"/>
  <c r="C29" i="19"/>
  <c r="N31" i="21"/>
  <c r="N29" i="19"/>
  <c r="J31" i="21"/>
  <c r="J29" i="19"/>
  <c r="F31" i="21"/>
  <c r="F29" i="19"/>
  <c r="F29" i="23" s="1"/>
  <c r="Q29" i="19"/>
  <c r="Q30" i="21"/>
  <c r="M29" i="19"/>
  <c r="M29" i="23" s="1"/>
  <c r="M30" i="21"/>
  <c r="I29" i="19"/>
  <c r="I30" i="21"/>
  <c r="E29" i="19"/>
  <c r="E30" i="21"/>
  <c r="D29" i="19"/>
  <c r="D33" i="27"/>
  <c r="C24" i="6"/>
  <c r="C25" i="6"/>
  <c r="C26" i="6"/>
  <c r="C8" i="16" s="1"/>
  <c r="C23" i="6"/>
  <c r="C20" i="6"/>
  <c r="C21" i="6"/>
  <c r="P29" i="7"/>
  <c r="H29" i="7"/>
  <c r="L29" i="7"/>
  <c r="N19" i="7"/>
  <c r="F19" i="7"/>
  <c r="P16" i="7"/>
  <c r="H16" i="7"/>
  <c r="N4" i="7"/>
  <c r="N3" i="7" s="1"/>
  <c r="F4" i="7"/>
  <c r="F3" i="7" s="1"/>
  <c r="K29" i="8"/>
  <c r="C29" i="8"/>
  <c r="M19" i="8"/>
  <c r="E19" i="8"/>
  <c r="Q19" i="8"/>
  <c r="G18" i="10"/>
  <c r="O17" i="10"/>
  <c r="K16" i="8"/>
  <c r="C16" i="8"/>
  <c r="C16" i="12" s="1"/>
  <c r="M4" i="8"/>
  <c r="E4" i="8"/>
  <c r="Q4" i="8"/>
  <c r="J33" i="10"/>
  <c r="B32" i="10"/>
  <c r="J31" i="10"/>
  <c r="N29" i="9"/>
  <c r="F29" i="9"/>
  <c r="B30" i="10"/>
  <c r="P27" i="10"/>
  <c r="L27" i="10"/>
  <c r="H27" i="10"/>
  <c r="D27" i="10"/>
  <c r="P26" i="10"/>
  <c r="L26" i="10"/>
  <c r="L25" i="10"/>
  <c r="H25" i="10"/>
  <c r="H25" i="16"/>
  <c r="D25" i="10"/>
  <c r="D25" i="16"/>
  <c r="P24" i="10"/>
  <c r="L24" i="10"/>
  <c r="L23" i="10"/>
  <c r="L23" i="16"/>
  <c r="H23" i="10"/>
  <c r="D23" i="10"/>
  <c r="D23" i="16"/>
  <c r="P22" i="10"/>
  <c r="L22" i="10"/>
  <c r="L22" i="16"/>
  <c r="L21" i="10"/>
  <c r="H21" i="10"/>
  <c r="H21" i="16"/>
  <c r="D21" i="10"/>
  <c r="D21" i="16"/>
  <c r="L20" i="10"/>
  <c r="L20" i="16"/>
  <c r="L19" i="9"/>
  <c r="H20" i="10"/>
  <c r="D20" i="10"/>
  <c r="D20" i="16"/>
  <c r="D19" i="9"/>
  <c r="B18" i="10"/>
  <c r="N16" i="9"/>
  <c r="N16" i="13" s="1"/>
  <c r="F16" i="9"/>
  <c r="F16" i="13" s="1"/>
  <c r="B17" i="10"/>
  <c r="L15" i="10"/>
  <c r="H15" i="10"/>
  <c r="H15" i="16"/>
  <c r="D15" i="10"/>
  <c r="L14" i="10"/>
  <c r="L14" i="16"/>
  <c r="H14" i="10"/>
  <c r="D14" i="10"/>
  <c r="D14" i="16"/>
  <c r="L13" i="10"/>
  <c r="H13" i="10"/>
  <c r="H13" i="16"/>
  <c r="D13" i="10"/>
  <c r="D13" i="16"/>
  <c r="L12" i="10"/>
  <c r="H12" i="10"/>
  <c r="D12" i="10"/>
  <c r="D12" i="16"/>
  <c r="L11" i="10"/>
  <c r="H11" i="10"/>
  <c r="H11" i="16"/>
  <c r="D11" i="10"/>
  <c r="D11" i="16"/>
  <c r="L10" i="10"/>
  <c r="L10" i="16"/>
  <c r="H10" i="10"/>
  <c r="D10" i="10"/>
  <c r="D10" i="16"/>
  <c r="L9" i="10"/>
  <c r="H9" i="10"/>
  <c r="H9" i="16"/>
  <c r="D9" i="10"/>
  <c r="D9" i="16"/>
  <c r="P8" i="10"/>
  <c r="L8" i="10"/>
  <c r="H8" i="10"/>
  <c r="D8" i="10"/>
  <c r="D8" i="16"/>
  <c r="L7" i="10"/>
  <c r="H7" i="10"/>
  <c r="D7" i="10"/>
  <c r="D7" i="16"/>
  <c r="P6" i="10"/>
  <c r="L6" i="10"/>
  <c r="H6" i="10"/>
  <c r="P5" i="10"/>
  <c r="L5" i="10"/>
  <c r="L4" i="9"/>
  <c r="H5" i="10"/>
  <c r="D5" i="10"/>
  <c r="D5" i="16"/>
  <c r="D4" i="9"/>
  <c r="Q33" i="10"/>
  <c r="F33" i="10"/>
  <c r="K32" i="10"/>
  <c r="Q31" i="10"/>
  <c r="F31" i="10"/>
  <c r="K30" i="10"/>
  <c r="K27" i="10"/>
  <c r="Q26" i="10"/>
  <c r="F26" i="10"/>
  <c r="K25" i="10"/>
  <c r="Q24" i="10"/>
  <c r="F24" i="10"/>
  <c r="K23" i="10"/>
  <c r="Q22" i="10"/>
  <c r="F22" i="10"/>
  <c r="K21" i="10"/>
  <c r="Q20" i="10"/>
  <c r="Q18" i="10"/>
  <c r="F18" i="10"/>
  <c r="K17" i="10"/>
  <c r="K15" i="10"/>
  <c r="Q14" i="10"/>
  <c r="K13" i="10"/>
  <c r="Q12" i="10"/>
  <c r="K11" i="10"/>
  <c r="Q10" i="10"/>
  <c r="K9" i="10"/>
  <c r="Q8" i="10"/>
  <c r="K7" i="10"/>
  <c r="Q6" i="10"/>
  <c r="K5" i="10"/>
  <c r="N32" i="14"/>
  <c r="J32" i="14"/>
  <c r="F32" i="14"/>
  <c r="B32" i="14"/>
  <c r="N31" i="14"/>
  <c r="J31" i="14"/>
  <c r="F31" i="14"/>
  <c r="B31" i="14"/>
  <c r="N30" i="14"/>
  <c r="N29" i="11"/>
  <c r="J30" i="14"/>
  <c r="F30" i="14"/>
  <c r="F29" i="11"/>
  <c r="B30" i="14"/>
  <c r="P24" i="14"/>
  <c r="D24" i="14"/>
  <c r="D24" i="17" s="1"/>
  <c r="P23" i="14"/>
  <c r="L23" i="14"/>
  <c r="L23" i="17" s="1"/>
  <c r="H23" i="14"/>
  <c r="D23" i="14"/>
  <c r="D23" i="17" s="1"/>
  <c r="P22" i="14"/>
  <c r="D22" i="14"/>
  <c r="D22" i="17" s="1"/>
  <c r="P21" i="14"/>
  <c r="L21" i="14"/>
  <c r="H21" i="14"/>
  <c r="D21" i="14"/>
  <c r="D21" i="17" s="1"/>
  <c r="P20" i="14"/>
  <c r="P19" i="11"/>
  <c r="H19" i="11"/>
  <c r="D20" i="14"/>
  <c r="D20" i="17" s="1"/>
  <c r="L19" i="11"/>
  <c r="N17" i="14"/>
  <c r="N16" i="11"/>
  <c r="J17" i="14"/>
  <c r="F17" i="14"/>
  <c r="F16" i="11"/>
  <c r="B17" i="14"/>
  <c r="P10" i="14"/>
  <c r="L10" i="14"/>
  <c r="H10" i="14"/>
  <c r="D10" i="14"/>
  <c r="D10" i="17" s="1"/>
  <c r="P9" i="14"/>
  <c r="L9" i="14"/>
  <c r="H9" i="14"/>
  <c r="P8" i="14"/>
  <c r="L8" i="14"/>
  <c r="H8" i="14"/>
  <c r="D8" i="14"/>
  <c r="D8" i="17" s="1"/>
  <c r="P7" i="14"/>
  <c r="L7" i="14"/>
  <c r="L7" i="17" s="1"/>
  <c r="H7" i="14"/>
  <c r="P6" i="14"/>
  <c r="L6" i="14"/>
  <c r="H6" i="14"/>
  <c r="H6" i="17" s="1"/>
  <c r="D6" i="14"/>
  <c r="D6" i="17" s="1"/>
  <c r="P5" i="14"/>
  <c r="P4" i="11"/>
  <c r="L5" i="14"/>
  <c r="L5" i="17" s="1"/>
  <c r="H5" i="14"/>
  <c r="H4" i="11"/>
  <c r="L4" i="11"/>
  <c r="H20" i="15"/>
  <c r="D32" i="16"/>
  <c r="D24" i="16"/>
  <c r="D6" i="16"/>
  <c r="H30" i="14"/>
  <c r="G24" i="25"/>
  <c r="C24" i="25"/>
  <c r="E22" i="25"/>
  <c r="E22" i="26"/>
  <c r="P21" i="25"/>
  <c r="P21" i="28" s="1"/>
  <c r="P21" i="26"/>
  <c r="O19" i="18"/>
  <c r="O20" i="25"/>
  <c r="G20" i="25"/>
  <c r="G19" i="18"/>
  <c r="C20" i="25"/>
  <c r="D19" i="7"/>
  <c r="I29" i="8"/>
  <c r="D25" i="15"/>
  <c r="L23" i="15"/>
  <c r="D23" i="15"/>
  <c r="D21" i="15"/>
  <c r="O19" i="8"/>
  <c r="I16" i="8"/>
  <c r="D15" i="15"/>
  <c r="D13" i="15"/>
  <c r="D11" i="15"/>
  <c r="L9" i="15"/>
  <c r="D9" i="15"/>
  <c r="D7" i="15"/>
  <c r="D5" i="15"/>
  <c r="O4" i="8"/>
  <c r="M33" i="10"/>
  <c r="E33" i="10"/>
  <c r="E32" i="10"/>
  <c r="M31" i="10"/>
  <c r="E31" i="10"/>
  <c r="P29" i="9"/>
  <c r="J19" i="9"/>
  <c r="J19" i="13" s="1"/>
  <c r="E18" i="10"/>
  <c r="E17" i="10"/>
  <c r="P16" i="9"/>
  <c r="J4" i="9"/>
  <c r="J4" i="13" s="1"/>
  <c r="N33" i="10"/>
  <c r="C33" i="10"/>
  <c r="I32" i="10"/>
  <c r="N31" i="10"/>
  <c r="C31" i="10"/>
  <c r="I30" i="10"/>
  <c r="I27" i="10"/>
  <c r="C26" i="10"/>
  <c r="I25" i="10"/>
  <c r="N24" i="10"/>
  <c r="C24" i="10"/>
  <c r="C22" i="10"/>
  <c r="N20" i="10"/>
  <c r="C20" i="10"/>
  <c r="N18" i="10"/>
  <c r="C18" i="10"/>
  <c r="I17" i="10"/>
  <c r="N14" i="10"/>
  <c r="C14" i="10"/>
  <c r="N12" i="10"/>
  <c r="C12" i="10"/>
  <c r="N10" i="10"/>
  <c r="C10" i="10"/>
  <c r="I9" i="10"/>
  <c r="N8" i="10"/>
  <c r="C8" i="10"/>
  <c r="N6" i="10"/>
  <c r="C6" i="10"/>
  <c r="D29" i="11"/>
  <c r="J19" i="11"/>
  <c r="D16" i="11"/>
  <c r="J4" i="11"/>
  <c r="D30" i="16"/>
  <c r="H28" i="16"/>
  <c r="D22" i="16"/>
  <c r="K19" i="18"/>
  <c r="N30" i="25"/>
  <c r="D11" i="27"/>
  <c r="B24" i="6"/>
  <c r="B25" i="6"/>
  <c r="B26" i="6"/>
  <c r="B115" i="6"/>
  <c r="B116" i="6"/>
  <c r="B117" i="6"/>
  <c r="B118" i="6"/>
  <c r="B119" i="6"/>
  <c r="B23" i="6"/>
  <c r="B161" i="6" s="1"/>
  <c r="B20" i="6"/>
  <c r="B21" i="6"/>
  <c r="P29" i="8"/>
  <c r="P19" i="8"/>
  <c r="P16" i="8"/>
  <c r="P4" i="8"/>
  <c r="Q29" i="9"/>
  <c r="Q19" i="9"/>
  <c r="Q16" i="9"/>
  <c r="I14" i="16"/>
  <c r="Q13" i="16"/>
  <c r="I8" i="16"/>
  <c r="Q4" i="9"/>
  <c r="M32" i="10"/>
  <c r="M30" i="10"/>
  <c r="M27" i="10"/>
  <c r="M26" i="10"/>
  <c r="M24" i="10"/>
  <c r="M22" i="10"/>
  <c r="M20" i="10"/>
  <c r="M18" i="10"/>
  <c r="M17" i="10"/>
  <c r="M15" i="10"/>
  <c r="M14" i="10"/>
  <c r="M13" i="10"/>
  <c r="M12" i="10"/>
  <c r="M11" i="10"/>
  <c r="M10" i="10"/>
  <c r="M9" i="10"/>
  <c r="M8" i="10"/>
  <c r="M7" i="10"/>
  <c r="M6" i="10"/>
  <c r="M5" i="10"/>
  <c r="K32" i="14"/>
  <c r="G32" i="14"/>
  <c r="C32" i="14"/>
  <c r="O31" i="14"/>
  <c r="K31" i="14"/>
  <c r="K31" i="17" s="1"/>
  <c r="K30" i="14"/>
  <c r="G30" i="14"/>
  <c r="C30" i="14"/>
  <c r="C29" i="11"/>
  <c r="K24" i="14"/>
  <c r="G24" i="14"/>
  <c r="C24" i="14"/>
  <c r="O23" i="14"/>
  <c r="K23" i="14"/>
  <c r="K22" i="14"/>
  <c r="G22" i="14"/>
  <c r="C22" i="14"/>
  <c r="O21" i="14"/>
  <c r="K21" i="14"/>
  <c r="K20" i="14"/>
  <c r="G20" i="14"/>
  <c r="C20" i="14"/>
  <c r="C19" i="11"/>
  <c r="O17" i="14"/>
  <c r="K17" i="14"/>
  <c r="O10" i="14"/>
  <c r="K10" i="14"/>
  <c r="K9" i="14"/>
  <c r="G9" i="14"/>
  <c r="C9" i="14"/>
  <c r="O8" i="14"/>
  <c r="K8" i="14"/>
  <c r="K7" i="14"/>
  <c r="G7" i="14"/>
  <c r="C7" i="14"/>
  <c r="O6" i="14"/>
  <c r="K6" i="14"/>
  <c r="K6" i="17" s="1"/>
  <c r="K5" i="14"/>
  <c r="G5" i="14"/>
  <c r="C5" i="14"/>
  <c r="C4" i="11"/>
  <c r="F19" i="18"/>
  <c r="P19" i="18"/>
  <c r="L19" i="18"/>
  <c r="H19" i="18"/>
  <c r="F13" i="27"/>
  <c r="P11" i="27"/>
  <c r="E8" i="27"/>
  <c r="K15" i="18"/>
  <c r="G6" i="26"/>
  <c r="G15" i="18"/>
  <c r="C4" i="18"/>
  <c r="C3" i="18" s="1"/>
  <c r="C15" i="18"/>
  <c r="N4" i="18"/>
  <c r="N3" i="18" s="1"/>
  <c r="N15" i="18"/>
  <c r="J4" i="18"/>
  <c r="J3" i="18" s="1"/>
  <c r="J15" i="18"/>
  <c r="F4" i="18"/>
  <c r="F3" i="18" s="1"/>
  <c r="F15" i="18"/>
  <c r="D4" i="18"/>
  <c r="D3" i="18" s="1"/>
  <c r="P29" i="19"/>
  <c r="P29" i="23" s="1"/>
  <c r="J26" i="21"/>
  <c r="J26" i="26"/>
  <c r="F26" i="21"/>
  <c r="P24" i="26"/>
  <c r="H24" i="21"/>
  <c r="D24" i="21"/>
  <c r="G23" i="21"/>
  <c r="G19" i="19"/>
  <c r="N19" i="19"/>
  <c r="J19" i="19"/>
  <c r="F22" i="21"/>
  <c r="Q19" i="19"/>
  <c r="Q21" i="21"/>
  <c r="P19" i="19"/>
  <c r="L19" i="19"/>
  <c r="H19" i="19"/>
  <c r="D19" i="19"/>
  <c r="D20" i="21"/>
  <c r="D20" i="26"/>
  <c r="I19" i="19"/>
  <c r="K33" i="21"/>
  <c r="G33" i="21"/>
  <c r="G29" i="20"/>
  <c r="C33" i="21"/>
  <c r="N32" i="21"/>
  <c r="N29" i="20"/>
  <c r="J32" i="21"/>
  <c r="J29" i="20"/>
  <c r="F32" i="21"/>
  <c r="Q31" i="21"/>
  <c r="Q29" i="20"/>
  <c r="M31" i="21"/>
  <c r="E31" i="21"/>
  <c r="P30" i="21"/>
  <c r="P29" i="20"/>
  <c r="P29" i="24" s="1"/>
  <c r="P30" i="27"/>
  <c r="L30" i="21"/>
  <c r="L29" i="20"/>
  <c r="H30" i="21"/>
  <c r="H29" i="20"/>
  <c r="D30" i="21"/>
  <c r="D29" i="20"/>
  <c r="I29" i="20"/>
  <c r="M27" i="21"/>
  <c r="G27" i="21"/>
  <c r="E25" i="21"/>
  <c r="C23" i="21"/>
  <c r="P20" i="21"/>
  <c r="L32" i="25"/>
  <c r="L29" i="22"/>
  <c r="H32" i="25"/>
  <c r="H29" i="22"/>
  <c r="D32" i="25"/>
  <c r="D32" i="28" s="1"/>
  <c r="O31" i="25"/>
  <c r="O29" i="22"/>
  <c r="K31" i="25"/>
  <c r="G31" i="25"/>
  <c r="J29" i="22"/>
  <c r="J30" i="25"/>
  <c r="F30" i="25"/>
  <c r="F29" i="22"/>
  <c r="Q29" i="22"/>
  <c r="P20" i="25"/>
  <c r="P20" i="28" s="1"/>
  <c r="P19" i="22"/>
  <c r="L19" i="22"/>
  <c r="H20" i="25"/>
  <c r="H19" i="22"/>
  <c r="D19" i="22"/>
  <c r="I19" i="22"/>
  <c r="O10" i="25"/>
  <c r="K10" i="25"/>
  <c r="C10" i="25"/>
  <c r="J9" i="25"/>
  <c r="F9" i="25"/>
  <c r="Q8" i="25"/>
  <c r="M8" i="25"/>
  <c r="M8" i="28" s="1"/>
  <c r="I8" i="25"/>
  <c r="E8" i="25"/>
  <c r="L7" i="25"/>
  <c r="H7" i="25"/>
  <c r="D7" i="25"/>
  <c r="O6" i="25"/>
  <c r="K6" i="25"/>
  <c r="G6" i="25"/>
  <c r="N4" i="22"/>
  <c r="N5" i="25"/>
  <c r="F5" i="25"/>
  <c r="Q4" i="22"/>
  <c r="F18" i="25"/>
  <c r="F18" i="28" s="1"/>
  <c r="K3" i="30"/>
  <c r="G3" i="30"/>
  <c r="C3" i="30"/>
  <c r="N40" i="39"/>
  <c r="N53" i="39"/>
  <c r="J40" i="39"/>
  <c r="J53" i="39"/>
  <c r="F40" i="39"/>
  <c r="F53" i="39"/>
  <c r="B40" i="39"/>
  <c r="B53" i="39"/>
  <c r="N39" i="39"/>
  <c r="N52" i="39"/>
  <c r="J39" i="39"/>
  <c r="J52" i="39"/>
  <c r="F39" i="39"/>
  <c r="F52" i="39"/>
  <c r="B39" i="39"/>
  <c r="B52" i="39"/>
  <c r="N38" i="39"/>
  <c r="N51" i="39"/>
  <c r="J38" i="39"/>
  <c r="J51" i="39"/>
  <c r="B38" i="39"/>
  <c r="B51" i="39"/>
  <c r="N37" i="39"/>
  <c r="N50" i="39"/>
  <c r="J37" i="39"/>
  <c r="J50" i="39"/>
  <c r="F37" i="39"/>
  <c r="F50" i="39"/>
  <c r="B37" i="39"/>
  <c r="B50" i="39"/>
  <c r="N36" i="39"/>
  <c r="N49" i="39"/>
  <c r="J36" i="39"/>
  <c r="J49" i="39"/>
  <c r="F36" i="39"/>
  <c r="F49" i="39"/>
  <c r="B36" i="39"/>
  <c r="B49" i="39"/>
  <c r="N35" i="39"/>
  <c r="N48" i="39"/>
  <c r="J35" i="39"/>
  <c r="J48" i="39"/>
  <c r="F35" i="39"/>
  <c r="F48" i="39"/>
  <c r="B35" i="39"/>
  <c r="B48" i="39"/>
  <c r="N34" i="39"/>
  <c r="N47" i="39"/>
  <c r="J34" i="39"/>
  <c r="J47" i="39"/>
  <c r="F34" i="39"/>
  <c r="F47" i="39"/>
  <c r="B34" i="39"/>
  <c r="B47" i="39"/>
  <c r="N33" i="39"/>
  <c r="N46" i="39"/>
  <c r="J33" i="39"/>
  <c r="J46" i="39"/>
  <c r="F33" i="39"/>
  <c r="F46" i="39"/>
  <c r="B33" i="39"/>
  <c r="B46" i="39"/>
  <c r="N32" i="39"/>
  <c r="N45" i="39"/>
  <c r="J32" i="39"/>
  <c r="J45" i="39"/>
  <c r="F32" i="39"/>
  <c r="F45" i="39"/>
  <c r="B32" i="39"/>
  <c r="B45" i="39"/>
  <c r="K4" i="7"/>
  <c r="K3" i="7" s="1"/>
  <c r="H29" i="8"/>
  <c r="H16" i="8"/>
  <c r="H4" i="8"/>
  <c r="G33" i="16"/>
  <c r="K32" i="16"/>
  <c r="G32" i="16"/>
  <c r="G31" i="16"/>
  <c r="K30" i="16"/>
  <c r="G30" i="16"/>
  <c r="I19" i="9"/>
  <c r="I19" i="13" s="1"/>
  <c r="I16" i="9"/>
  <c r="K14" i="16"/>
  <c r="K12" i="16"/>
  <c r="K10" i="16"/>
  <c r="I4" i="9"/>
  <c r="I4" i="13" s="1"/>
  <c r="E30" i="10"/>
  <c r="E26" i="10"/>
  <c r="E22" i="10"/>
  <c r="E8" i="10"/>
  <c r="E7" i="10"/>
  <c r="E6" i="10"/>
  <c r="E5" i="10"/>
  <c r="K29" i="11"/>
  <c r="K19" i="11"/>
  <c r="K16" i="11"/>
  <c r="K4" i="11"/>
  <c r="P5" i="25"/>
  <c r="P5" i="28" s="1"/>
  <c r="P15" i="18"/>
  <c r="P4" i="18"/>
  <c r="P3" i="18" s="1"/>
  <c r="L4" i="18"/>
  <c r="L3" i="18" s="1"/>
  <c r="H4" i="18"/>
  <c r="H3" i="18" s="1"/>
  <c r="H5" i="25"/>
  <c r="K4" i="18"/>
  <c r="K3" i="18" s="1"/>
  <c r="O19" i="19"/>
  <c r="H16" i="19"/>
  <c r="H16" i="23" s="1"/>
  <c r="D16" i="19"/>
  <c r="D16" i="23" s="1"/>
  <c r="E14" i="26"/>
  <c r="P13" i="26"/>
  <c r="J11" i="26"/>
  <c r="M10" i="26"/>
  <c r="P9" i="26"/>
  <c r="J7" i="26"/>
  <c r="M6" i="26"/>
  <c r="E6" i="26"/>
  <c r="P5" i="26"/>
  <c r="L4" i="19"/>
  <c r="H4" i="19"/>
  <c r="D4" i="19"/>
  <c r="J4" i="19"/>
  <c r="O29" i="20"/>
  <c r="P26" i="27"/>
  <c r="P26" i="21"/>
  <c r="L26" i="21"/>
  <c r="H26" i="21"/>
  <c r="D26" i="21"/>
  <c r="N24" i="21"/>
  <c r="J24" i="27"/>
  <c r="J24" i="21"/>
  <c r="F24" i="21"/>
  <c r="Q23" i="21"/>
  <c r="L22" i="21"/>
  <c r="H22" i="21"/>
  <c r="H19" i="20"/>
  <c r="D22" i="21"/>
  <c r="O21" i="21"/>
  <c r="N20" i="21"/>
  <c r="N19" i="20"/>
  <c r="J20" i="27"/>
  <c r="J19" i="20"/>
  <c r="J19" i="24" s="1"/>
  <c r="J20" i="21"/>
  <c r="F20" i="21"/>
  <c r="Q19" i="20"/>
  <c r="Q18" i="21"/>
  <c r="Q16" i="20"/>
  <c r="Q16" i="24" s="1"/>
  <c r="M18" i="27"/>
  <c r="M18" i="21"/>
  <c r="I18" i="21"/>
  <c r="E18" i="21"/>
  <c r="P17" i="21"/>
  <c r="P16" i="20"/>
  <c r="P17" i="27"/>
  <c r="L17" i="21"/>
  <c r="L16" i="20"/>
  <c r="H17" i="21"/>
  <c r="H16" i="20"/>
  <c r="H16" i="24" s="1"/>
  <c r="D17" i="21"/>
  <c r="D16" i="20"/>
  <c r="D16" i="24" s="1"/>
  <c r="D17" i="27"/>
  <c r="M16" i="20"/>
  <c r="Q15" i="21"/>
  <c r="M15" i="21"/>
  <c r="I15" i="21"/>
  <c r="D14" i="27"/>
  <c r="D14" i="21"/>
  <c r="O13" i="21"/>
  <c r="K13" i="27"/>
  <c r="K13" i="21"/>
  <c r="G13" i="27"/>
  <c r="G13" i="21"/>
  <c r="F12" i="21"/>
  <c r="Q11" i="21"/>
  <c r="M11" i="21"/>
  <c r="I11" i="21"/>
  <c r="E11" i="27"/>
  <c r="E11" i="21"/>
  <c r="P10" i="27"/>
  <c r="O9" i="21"/>
  <c r="K9" i="27"/>
  <c r="K9" i="21"/>
  <c r="G9" i="21"/>
  <c r="C9" i="21"/>
  <c r="Q7" i="21"/>
  <c r="M7" i="27"/>
  <c r="M7" i="21"/>
  <c r="I7" i="21"/>
  <c r="E7" i="27"/>
  <c r="E7" i="21"/>
  <c r="P6" i="27"/>
  <c r="P6" i="21"/>
  <c r="O5" i="21"/>
  <c r="O4" i="20"/>
  <c r="K4" i="20"/>
  <c r="K5" i="21"/>
  <c r="G5" i="21"/>
  <c r="C5" i="21"/>
  <c r="C4" i="20"/>
  <c r="I27" i="21"/>
  <c r="C27" i="21"/>
  <c r="G25" i="21"/>
  <c r="P24" i="21"/>
  <c r="E23" i="21"/>
  <c r="N22" i="21"/>
  <c r="C21" i="21"/>
  <c r="L20" i="21"/>
  <c r="L14" i="21"/>
  <c r="H10" i="21"/>
  <c r="K29" i="22"/>
  <c r="O21" i="25"/>
  <c r="O21" i="28" s="1"/>
  <c r="O19" i="22"/>
  <c r="K21" i="25"/>
  <c r="K19" i="22"/>
  <c r="N20" i="25"/>
  <c r="N19" i="22"/>
  <c r="J20" i="25"/>
  <c r="J20" i="28" s="1"/>
  <c r="J19" i="22"/>
  <c r="F20" i="25"/>
  <c r="F19" i="22"/>
  <c r="Q19" i="22"/>
  <c r="C19" i="22"/>
  <c r="N18" i="25"/>
  <c r="N18" i="28" s="1"/>
  <c r="N16" i="22"/>
  <c r="M17" i="25"/>
  <c r="M16" i="22"/>
  <c r="I17" i="25"/>
  <c r="E17" i="25"/>
  <c r="I10" i="25"/>
  <c r="K8" i="25"/>
  <c r="C8" i="25"/>
  <c r="I4" i="22"/>
  <c r="E6" i="25"/>
  <c r="E6" i="28" s="1"/>
  <c r="J4" i="22"/>
  <c r="P11" i="26"/>
  <c r="J13" i="27"/>
  <c r="L20" i="25"/>
  <c r="Q17" i="25"/>
  <c r="F51" i="39"/>
  <c r="L17" i="25"/>
  <c r="L16" i="18"/>
  <c r="L16" i="25" s="1"/>
  <c r="J28" i="26"/>
  <c r="P25" i="26"/>
  <c r="O24" i="26"/>
  <c r="K19" i="19"/>
  <c r="Q16" i="19"/>
  <c r="Q16" i="23" s="1"/>
  <c r="Q17" i="21"/>
  <c r="M16" i="19"/>
  <c r="I16" i="19"/>
  <c r="E16" i="19"/>
  <c r="E16" i="23" s="1"/>
  <c r="K17" i="21"/>
  <c r="K16" i="20"/>
  <c r="C16" i="20"/>
  <c r="N15" i="21"/>
  <c r="J15" i="21"/>
  <c r="F15" i="21"/>
  <c r="Q14" i="21"/>
  <c r="M14" i="21"/>
  <c r="M14" i="27"/>
  <c r="I14" i="21"/>
  <c r="E14" i="21"/>
  <c r="P13" i="21"/>
  <c r="L13" i="21"/>
  <c r="H13" i="21"/>
  <c r="D13" i="21"/>
  <c r="O12" i="21"/>
  <c r="K12" i="21"/>
  <c r="G12" i="21"/>
  <c r="C12" i="21"/>
  <c r="N11" i="21"/>
  <c r="J11" i="21"/>
  <c r="F11" i="21"/>
  <c r="Q10" i="21"/>
  <c r="M10" i="21"/>
  <c r="M10" i="27"/>
  <c r="I10" i="21"/>
  <c r="E10" i="27"/>
  <c r="E10" i="21"/>
  <c r="P9" i="21"/>
  <c r="L9" i="21"/>
  <c r="H9" i="21"/>
  <c r="D9" i="27"/>
  <c r="D9" i="21"/>
  <c r="O8" i="21"/>
  <c r="K8" i="21"/>
  <c r="G8" i="21"/>
  <c r="C8" i="21"/>
  <c r="N7" i="21"/>
  <c r="J7" i="21"/>
  <c r="F7" i="21"/>
  <c r="Q6" i="27"/>
  <c r="Q6" i="21"/>
  <c r="Q4" i="20"/>
  <c r="M6" i="21"/>
  <c r="I6" i="21"/>
  <c r="E6" i="21"/>
  <c r="E6" i="27"/>
  <c r="P5" i="27"/>
  <c r="P5" i="21"/>
  <c r="P4" i="20"/>
  <c r="L5" i="21"/>
  <c r="L4" i="20"/>
  <c r="H5" i="21"/>
  <c r="H4" i="20"/>
  <c r="D5" i="21"/>
  <c r="D4" i="20"/>
  <c r="M4" i="20"/>
  <c r="E4" i="20"/>
  <c r="N33" i="21"/>
  <c r="P31" i="21"/>
  <c r="C30" i="21"/>
  <c r="D18" i="21"/>
  <c r="M17" i="21"/>
  <c r="E17" i="21"/>
  <c r="G15" i="21"/>
  <c r="C11" i="21"/>
  <c r="H17" i="25"/>
  <c r="P10" i="28"/>
  <c r="C5" i="25"/>
  <c r="C4" i="22"/>
  <c r="K4" i="22"/>
  <c r="E4" i="22"/>
  <c r="G26" i="26"/>
  <c r="E13" i="26"/>
  <c r="P8" i="26"/>
  <c r="L18" i="27"/>
  <c r="E14" i="27"/>
  <c r="L5" i="27"/>
  <c r="M9" i="32"/>
  <c r="M10" i="32"/>
  <c r="E10" i="32"/>
  <c r="E9" i="32"/>
  <c r="N8" i="35"/>
  <c r="O10" i="35"/>
  <c r="N10" i="35"/>
  <c r="J8" i="35"/>
  <c r="J10" i="35"/>
  <c r="K10" i="35"/>
  <c r="F8" i="35"/>
  <c r="G10" i="35"/>
  <c r="F10" i="35"/>
  <c r="N8" i="34"/>
  <c r="O10" i="34"/>
  <c r="N10" i="34"/>
  <c r="K10" i="34"/>
  <c r="J8" i="34"/>
  <c r="J10" i="34"/>
  <c r="F8" i="34"/>
  <c r="G10" i="34"/>
  <c r="B8" i="34"/>
  <c r="C10" i="34"/>
  <c r="J8" i="33"/>
  <c r="K10" i="33"/>
  <c r="F8" i="33"/>
  <c r="G10" i="33"/>
  <c r="B8" i="33"/>
  <c r="C10" i="33"/>
  <c r="N10" i="32"/>
  <c r="N8" i="32"/>
  <c r="O10" i="32"/>
  <c r="J8" i="32"/>
  <c r="J10" i="32"/>
  <c r="G10" i="32"/>
  <c r="F10" i="32"/>
  <c r="N8" i="31"/>
  <c r="N10" i="31"/>
  <c r="O10" i="31"/>
  <c r="K10" i="31"/>
  <c r="J8" i="31"/>
  <c r="J10" i="31"/>
  <c r="F8" i="31"/>
  <c r="F10" i="31"/>
  <c r="G10" i="31"/>
  <c r="O10" i="30"/>
  <c r="N8" i="30"/>
  <c r="N10" i="30"/>
  <c r="J8" i="30"/>
  <c r="K10" i="30"/>
  <c r="J10" i="30"/>
  <c r="G10" i="30"/>
  <c r="F8" i="30"/>
  <c r="C10" i="30"/>
  <c r="F5" i="30"/>
  <c r="B5" i="30"/>
  <c r="B11" i="29"/>
  <c r="B8" i="30"/>
  <c r="D19" i="18"/>
  <c r="Q15" i="18"/>
  <c r="M15" i="18"/>
  <c r="M5" i="25"/>
  <c r="M5" i="28" s="1"/>
  <c r="M4" i="18"/>
  <c r="M3" i="18" s="1"/>
  <c r="I15" i="18"/>
  <c r="I5" i="25"/>
  <c r="E15" i="18"/>
  <c r="E5" i="25"/>
  <c r="E5" i="28" s="1"/>
  <c r="I4" i="18"/>
  <c r="I3" i="18" s="1"/>
  <c r="E31" i="26"/>
  <c r="P30" i="26"/>
  <c r="L29" i="19"/>
  <c r="J14" i="26"/>
  <c r="P12" i="26"/>
  <c r="F10" i="26"/>
  <c r="M9" i="26"/>
  <c r="E9" i="26"/>
  <c r="D8" i="26"/>
  <c r="Q4" i="19"/>
  <c r="M4" i="19"/>
  <c r="I4" i="19"/>
  <c r="E4" i="19"/>
  <c r="E5" i="21"/>
  <c r="O4" i="19"/>
  <c r="J33" i="27"/>
  <c r="J33" i="21"/>
  <c r="H31" i="21"/>
  <c r="D31" i="27"/>
  <c r="K29" i="20"/>
  <c r="K29" i="24" s="1"/>
  <c r="N27" i="21"/>
  <c r="J27" i="21"/>
  <c r="J28" i="27"/>
  <c r="F27" i="21"/>
  <c r="Q26" i="21"/>
  <c r="M26" i="21"/>
  <c r="I26" i="21"/>
  <c r="E26" i="27"/>
  <c r="E26" i="21"/>
  <c r="P25" i="21"/>
  <c r="P25" i="27"/>
  <c r="L25" i="21"/>
  <c r="H25" i="21"/>
  <c r="D25" i="21"/>
  <c r="O24" i="21"/>
  <c r="K24" i="21"/>
  <c r="G24" i="21"/>
  <c r="C24" i="21"/>
  <c r="N23" i="21"/>
  <c r="J23" i="21"/>
  <c r="J23" i="27"/>
  <c r="F23" i="21"/>
  <c r="Q22" i="21"/>
  <c r="M22" i="21"/>
  <c r="I22" i="21"/>
  <c r="E22" i="21"/>
  <c r="P21" i="27"/>
  <c r="P21" i="21"/>
  <c r="P19" i="20"/>
  <c r="L21" i="21"/>
  <c r="L21" i="27"/>
  <c r="H21" i="21"/>
  <c r="D21" i="21"/>
  <c r="D21" i="27"/>
  <c r="O20" i="21"/>
  <c r="O19" i="20"/>
  <c r="K20" i="21"/>
  <c r="K19" i="20"/>
  <c r="G20" i="21"/>
  <c r="G19" i="20"/>
  <c r="C20" i="21"/>
  <c r="C19" i="20"/>
  <c r="L19" i="20"/>
  <c r="D19" i="20"/>
  <c r="G16" i="20"/>
  <c r="E12" i="27"/>
  <c r="P7" i="27"/>
  <c r="J5" i="27"/>
  <c r="I4" i="20"/>
  <c r="L31" i="21"/>
  <c r="H18" i="21"/>
  <c r="O17" i="21"/>
  <c r="I17" i="21"/>
  <c r="K15" i="21"/>
  <c r="C15" i="21"/>
  <c r="G11" i="21"/>
  <c r="N10" i="21"/>
  <c r="C7" i="21"/>
  <c r="J6" i="21"/>
  <c r="I30" i="25"/>
  <c r="I29" i="22"/>
  <c r="I29" i="25" s="1"/>
  <c r="O24" i="25"/>
  <c r="N23" i="25"/>
  <c r="M22" i="25"/>
  <c r="M22" i="28" s="1"/>
  <c r="L21" i="25"/>
  <c r="K20" i="25"/>
  <c r="F10" i="25"/>
  <c r="E9" i="25"/>
  <c r="D8" i="25"/>
  <c r="C7" i="25"/>
  <c r="Q5" i="25"/>
  <c r="O4" i="22"/>
  <c r="G4" i="22"/>
  <c r="P28" i="26"/>
  <c r="O24" i="27"/>
  <c r="E24" i="27"/>
  <c r="P9" i="27"/>
  <c r="N29" i="8"/>
  <c r="N29" i="12" s="1"/>
  <c r="J29" i="8"/>
  <c r="J29" i="12" s="1"/>
  <c r="F29" i="8"/>
  <c r="B29" i="8"/>
  <c r="N19" i="8"/>
  <c r="J19" i="8"/>
  <c r="J19" i="12" s="1"/>
  <c r="F19" i="8"/>
  <c r="B19" i="8"/>
  <c r="N16" i="8"/>
  <c r="J16" i="8"/>
  <c r="J16" i="12" s="1"/>
  <c r="F16" i="8"/>
  <c r="F16" i="12" s="1"/>
  <c r="B16" i="8"/>
  <c r="N4" i="8"/>
  <c r="J4" i="8"/>
  <c r="F4" i="8"/>
  <c r="B4" i="8"/>
  <c r="O29" i="9"/>
  <c r="K29" i="9"/>
  <c r="G29" i="9"/>
  <c r="C29" i="9"/>
  <c r="O19" i="9"/>
  <c r="K19" i="9"/>
  <c r="K19" i="13" s="1"/>
  <c r="G19" i="9"/>
  <c r="C19" i="9"/>
  <c r="O16" i="9"/>
  <c r="K16" i="9"/>
  <c r="K16" i="13" s="1"/>
  <c r="G16" i="9"/>
  <c r="C16" i="9"/>
  <c r="C4" i="9"/>
  <c r="E29" i="11"/>
  <c r="E19" i="11"/>
  <c r="E16" i="11"/>
  <c r="E4" i="11"/>
  <c r="E29" i="18"/>
  <c r="Q19" i="18"/>
  <c r="M19" i="18"/>
  <c r="I19" i="18"/>
  <c r="E19" i="18"/>
  <c r="N16" i="18"/>
  <c r="J16" i="18"/>
  <c r="F16" i="18"/>
  <c r="F19" i="19"/>
  <c r="G16" i="19"/>
  <c r="J12" i="26"/>
  <c r="G4" i="19"/>
  <c r="E33" i="27"/>
  <c r="P32" i="27"/>
  <c r="D32" i="27"/>
  <c r="K31" i="27"/>
  <c r="J30" i="27"/>
  <c r="F29" i="20"/>
  <c r="F29" i="24" s="1"/>
  <c r="P28" i="27"/>
  <c r="D28" i="27"/>
  <c r="K26" i="27"/>
  <c r="J25" i="27"/>
  <c r="G22" i="27"/>
  <c r="E20" i="27"/>
  <c r="E19" i="20"/>
  <c r="F16" i="20"/>
  <c r="J9" i="27"/>
  <c r="F4" i="20"/>
  <c r="E33" i="21"/>
  <c r="D32" i="21"/>
  <c r="C31" i="21"/>
  <c r="P27" i="21"/>
  <c r="O26" i="21"/>
  <c r="K22" i="21"/>
  <c r="G18" i="21"/>
  <c r="C14" i="21"/>
  <c r="N9" i="21"/>
  <c r="J5" i="21"/>
  <c r="N32" i="25"/>
  <c r="J32" i="25"/>
  <c r="J32" i="28" s="1"/>
  <c r="F32" i="25"/>
  <c r="Q31" i="25"/>
  <c r="M31" i="25"/>
  <c r="M31" i="28" s="1"/>
  <c r="I31" i="25"/>
  <c r="E31" i="25"/>
  <c r="E31" i="28" s="1"/>
  <c r="P30" i="25"/>
  <c r="P30" i="28" s="1"/>
  <c r="L30" i="25"/>
  <c r="H30" i="25"/>
  <c r="D30" i="25"/>
  <c r="D29" i="22"/>
  <c r="I24" i="25"/>
  <c r="H23" i="25"/>
  <c r="G22" i="25"/>
  <c r="F21" i="25"/>
  <c r="E20" i="25"/>
  <c r="E20" i="28" s="1"/>
  <c r="E19" i="22"/>
  <c r="O17" i="25"/>
  <c r="O16" i="22"/>
  <c r="K17" i="25"/>
  <c r="K17" i="28" s="1"/>
  <c r="K16" i="22"/>
  <c r="G17" i="25"/>
  <c r="G16" i="22"/>
  <c r="C17" i="25"/>
  <c r="C16" i="22"/>
  <c r="H16" i="22"/>
  <c r="Q10" i="25"/>
  <c r="P9" i="25"/>
  <c r="P9" i="28" s="1"/>
  <c r="O8" i="25"/>
  <c r="N7" i="25"/>
  <c r="M6" i="25"/>
  <c r="M6" i="28" s="1"/>
  <c r="P4" i="22"/>
  <c r="L5" i="25"/>
  <c r="L4" i="22"/>
  <c r="H4" i="22"/>
  <c r="D4" i="22"/>
  <c r="E20" i="26"/>
  <c r="B3" i="29"/>
  <c r="N3" i="30"/>
  <c r="J26" i="27"/>
  <c r="E25" i="27"/>
  <c r="P24" i="27"/>
  <c r="D24" i="27"/>
  <c r="K23" i="27"/>
  <c r="J22" i="27"/>
  <c r="E21" i="27"/>
  <c r="P20" i="27"/>
  <c r="L20" i="27"/>
  <c r="D20" i="27"/>
  <c r="J18" i="27"/>
  <c r="M17" i="27"/>
  <c r="E17" i="27"/>
  <c r="J14" i="27"/>
  <c r="E13" i="27"/>
  <c r="P12" i="27"/>
  <c r="D12" i="27"/>
  <c r="K11" i="27"/>
  <c r="J10" i="27"/>
  <c r="E9" i="27"/>
  <c r="P8" i="27"/>
  <c r="D8" i="27"/>
  <c r="O7" i="27"/>
  <c r="G7" i="27"/>
  <c r="J6" i="27"/>
  <c r="M5" i="27"/>
  <c r="I5" i="27"/>
  <c r="E5" i="27"/>
  <c r="G28" i="27"/>
  <c r="E9" i="35"/>
  <c r="E10" i="35"/>
  <c r="Q9" i="31"/>
  <c r="Q10" i="31"/>
  <c r="O8" i="35"/>
  <c r="P10" i="35"/>
  <c r="K8" i="35"/>
  <c r="L10" i="35"/>
  <c r="G8" i="35"/>
  <c r="H10" i="35"/>
  <c r="C8" i="35"/>
  <c r="D10" i="35"/>
  <c r="C8" i="34"/>
  <c r="D10" i="34"/>
  <c r="G8" i="33"/>
  <c r="H10" i="33"/>
  <c r="K8" i="32"/>
  <c r="L10" i="32"/>
  <c r="O8" i="31"/>
  <c r="P10" i="31"/>
  <c r="K8" i="31"/>
  <c r="L10" i="31"/>
  <c r="G8" i="31"/>
  <c r="C8" i="31"/>
  <c r="O8" i="30"/>
  <c r="P53" i="38"/>
  <c r="P40" i="37"/>
  <c r="L53" i="38"/>
  <c r="L40" i="37"/>
  <c r="L53" i="37"/>
  <c r="H53" i="38"/>
  <c r="H40" i="37"/>
  <c r="D53" i="38"/>
  <c r="D40" i="37"/>
  <c r="D53" i="37"/>
  <c r="P52" i="38"/>
  <c r="P39" i="37"/>
  <c r="L52" i="38"/>
  <c r="L39" i="37"/>
  <c r="L52" i="37"/>
  <c r="H52" i="38"/>
  <c r="H39" i="37"/>
  <c r="D52" i="38"/>
  <c r="D39" i="37"/>
  <c r="D52" i="37"/>
  <c r="P51" i="38"/>
  <c r="P51" i="39"/>
  <c r="P38" i="37"/>
  <c r="L51" i="38"/>
  <c r="L51" i="39"/>
  <c r="L38" i="37"/>
  <c r="L51" i="37"/>
  <c r="H51" i="38"/>
  <c r="H51" i="39"/>
  <c r="H38" i="37"/>
  <c r="D51" i="38"/>
  <c r="D51" i="39"/>
  <c r="D38" i="37"/>
  <c r="D51" i="37"/>
  <c r="P50" i="38"/>
  <c r="P50" i="39"/>
  <c r="P37" i="37"/>
  <c r="L50" i="38"/>
  <c r="L50" i="39"/>
  <c r="L37" i="37"/>
  <c r="L50" i="37"/>
  <c r="H50" i="38"/>
  <c r="H50" i="39"/>
  <c r="H37" i="37"/>
  <c r="D50" i="38"/>
  <c r="D50" i="39"/>
  <c r="D37" i="37"/>
  <c r="D50" i="37"/>
  <c r="P49" i="38"/>
  <c r="P49" i="39"/>
  <c r="P36" i="37"/>
  <c r="L49" i="38"/>
  <c r="L49" i="39"/>
  <c r="L36" i="37"/>
  <c r="L49" i="37"/>
  <c r="H49" i="38"/>
  <c r="H49" i="39"/>
  <c r="H36" i="37"/>
  <c r="D49" i="38"/>
  <c r="D49" i="39"/>
  <c r="D36" i="37"/>
  <c r="D49" i="37"/>
  <c r="P48" i="38"/>
  <c r="P48" i="39"/>
  <c r="P35" i="37"/>
  <c r="L48" i="38"/>
  <c r="L48" i="39"/>
  <c r="L35" i="37"/>
  <c r="L48" i="37"/>
  <c r="H48" i="38"/>
  <c r="H48" i="39"/>
  <c r="H35" i="37"/>
  <c r="D48" i="38"/>
  <c r="D48" i="39"/>
  <c r="D35" i="37"/>
  <c r="D48" i="37"/>
  <c r="P47" i="38"/>
  <c r="P34" i="37"/>
  <c r="L47" i="38"/>
  <c r="L34" i="37"/>
  <c r="L47" i="37"/>
  <c r="H47" i="38"/>
  <c r="H34" i="37"/>
  <c r="D47" i="38"/>
  <c r="D34" i="37"/>
  <c r="D47" i="37"/>
  <c r="P46" i="38"/>
  <c r="P46" i="37"/>
  <c r="P33" i="37"/>
  <c r="L46" i="38"/>
  <c r="L46" i="37"/>
  <c r="L33" i="37"/>
  <c r="H46" i="38"/>
  <c r="H46" i="37"/>
  <c r="H33" i="37"/>
  <c r="D46" i="38"/>
  <c r="D33" i="37"/>
  <c r="P45" i="38"/>
  <c r="P45" i="37"/>
  <c r="P32" i="37"/>
  <c r="L45" i="38"/>
  <c r="L45" i="37"/>
  <c r="L32" i="37"/>
  <c r="H45" i="38"/>
  <c r="H45" i="37"/>
  <c r="H32" i="37"/>
  <c r="D45" i="38"/>
  <c r="D32" i="37"/>
  <c r="P44" i="38"/>
  <c r="P44" i="39"/>
  <c r="L44" i="38"/>
  <c r="L44" i="39"/>
  <c r="H44" i="38"/>
  <c r="H44" i="39"/>
  <c r="D44" i="38"/>
  <c r="D44" i="39"/>
  <c r="M31" i="38"/>
  <c r="I31" i="38"/>
  <c r="E31" i="38"/>
  <c r="M8" i="33"/>
  <c r="N10" i="33"/>
  <c r="J10" i="33"/>
  <c r="E8" i="33"/>
  <c r="F10" i="33"/>
  <c r="M3" i="30"/>
  <c r="I3" i="30"/>
  <c r="E3" i="30"/>
  <c r="I44" i="38"/>
  <c r="Q45" i="37"/>
  <c r="Q46" i="37"/>
  <c r="I45" i="37"/>
  <c r="I46" i="37"/>
  <c r="Q53" i="37"/>
  <c r="M53" i="37"/>
  <c r="I53" i="37"/>
  <c r="E53" i="37"/>
  <c r="Q52" i="37"/>
  <c r="M52" i="37"/>
  <c r="I52" i="37"/>
  <c r="E52" i="37"/>
  <c r="Q47" i="37"/>
  <c r="M47" i="37"/>
  <c r="I47" i="37"/>
  <c r="E47" i="37"/>
  <c r="M46" i="37"/>
  <c r="E46" i="37"/>
  <c r="M45" i="37"/>
  <c r="E45" i="37"/>
  <c r="O45" i="37"/>
  <c r="O46" i="37"/>
  <c r="O47" i="37"/>
  <c r="O48" i="37"/>
  <c r="O49" i="37"/>
  <c r="O50" i="37"/>
  <c r="O51" i="37"/>
  <c r="O52" i="37"/>
  <c r="O53" i="37"/>
  <c r="K45" i="37"/>
  <c r="K46" i="37"/>
  <c r="K47" i="37"/>
  <c r="K48" i="37"/>
  <c r="K49" i="37"/>
  <c r="K50" i="37"/>
  <c r="K51" i="37"/>
  <c r="K52" i="37"/>
  <c r="K53" i="37"/>
  <c r="G45" i="37"/>
  <c r="G46" i="37"/>
  <c r="G47" i="37"/>
  <c r="G48" i="37"/>
  <c r="G49" i="37"/>
  <c r="G50" i="37"/>
  <c r="G51" i="37"/>
  <c r="G52" i="37"/>
  <c r="G53" i="37"/>
  <c r="C45" i="37"/>
  <c r="C46" i="37"/>
  <c r="C47" i="37"/>
  <c r="C48" i="37"/>
  <c r="C49" i="37"/>
  <c r="C50" i="37"/>
  <c r="C51" i="37"/>
  <c r="C52" i="37"/>
  <c r="C53" i="37"/>
  <c r="N45" i="37"/>
  <c r="N46" i="37"/>
  <c r="J45" i="37"/>
  <c r="J46" i="37"/>
  <c r="F45" i="37"/>
  <c r="F46" i="37"/>
  <c r="B45" i="37"/>
  <c r="B46" i="37"/>
  <c r="B47" i="37"/>
  <c r="Q51" i="37"/>
  <c r="M51" i="37"/>
  <c r="I51" i="37"/>
  <c r="E51" i="37"/>
  <c r="Q50" i="37"/>
  <c r="M50" i="37"/>
  <c r="I50" i="37"/>
  <c r="E50" i="37"/>
  <c r="Q49" i="37"/>
  <c r="M49" i="37"/>
  <c r="I49" i="37"/>
  <c r="E49" i="37"/>
  <c r="Q48" i="37"/>
  <c r="M48" i="37"/>
  <c r="I48" i="37"/>
  <c r="E48" i="37"/>
  <c r="E19" i="12" l="1"/>
  <c r="C4" i="24"/>
  <c r="I29" i="24"/>
  <c r="J29" i="23"/>
  <c r="P29" i="25"/>
  <c r="P29" i="28" s="1"/>
  <c r="K29" i="12"/>
  <c r="C16" i="24"/>
  <c r="K29" i="13"/>
  <c r="C19" i="24"/>
  <c r="K16" i="24"/>
  <c r="O4" i="24"/>
  <c r="E4" i="24"/>
  <c r="N19" i="24"/>
  <c r="E19" i="14"/>
  <c r="E19" i="17" s="1"/>
  <c r="O4" i="23"/>
  <c r="C16" i="13"/>
  <c r="N19" i="23"/>
  <c r="P19" i="13"/>
  <c r="G16" i="12"/>
  <c r="C4" i="13"/>
  <c r="O4" i="12"/>
  <c r="F4" i="24"/>
  <c r="E4" i="23"/>
  <c r="H4" i="12"/>
  <c r="J29" i="13"/>
  <c r="J29" i="16" s="1"/>
  <c r="C4" i="12"/>
  <c r="G19" i="24"/>
  <c r="G19" i="27" s="1"/>
  <c r="P29" i="12"/>
  <c r="P29" i="15" s="1"/>
  <c r="H29" i="23"/>
  <c r="H29" i="26" s="1"/>
  <c r="O29" i="13"/>
  <c r="O29" i="16" s="1"/>
  <c r="P19" i="24"/>
  <c r="J19" i="23"/>
  <c r="J19" i="26" s="1"/>
  <c r="P29" i="13"/>
  <c r="P29" i="16" s="1"/>
  <c r="H29" i="24"/>
  <c r="G19" i="23"/>
  <c r="G19" i="26" s="1"/>
  <c r="O29" i="23"/>
  <c r="O29" i="12"/>
  <c r="O29" i="15" s="1"/>
  <c r="C17" i="16"/>
  <c r="E4" i="13"/>
  <c r="P4" i="12"/>
  <c r="O4" i="13"/>
  <c r="O4" i="16" s="1"/>
  <c r="K4" i="24"/>
  <c r="D16" i="13"/>
  <c r="O16" i="24"/>
  <c r="B16" i="13"/>
  <c r="M29" i="24"/>
  <c r="L19" i="24"/>
  <c r="N29" i="13"/>
  <c r="K19" i="12"/>
  <c r="K19" i="15" s="1"/>
  <c r="H29" i="12"/>
  <c r="D16" i="25"/>
  <c r="D16" i="28" s="1"/>
  <c r="O29" i="24"/>
  <c r="J4" i="12"/>
  <c r="J4" i="15" s="1"/>
  <c r="H4" i="23"/>
  <c r="Q16" i="13"/>
  <c r="Q16" i="16" s="1"/>
  <c r="O16" i="12"/>
  <c r="O16" i="15" s="1"/>
  <c r="N4" i="12"/>
  <c r="N4" i="15" s="1"/>
  <c r="L4" i="23"/>
  <c r="L4" i="26" s="1"/>
  <c r="N29" i="24"/>
  <c r="N29" i="27" s="1"/>
  <c r="D16" i="14"/>
  <c r="D16" i="17" s="1"/>
  <c r="K16" i="12"/>
  <c r="K16" i="15" s="1"/>
  <c r="I29" i="23"/>
  <c r="C19" i="23"/>
  <c r="F4" i="12"/>
  <c r="E19" i="24"/>
  <c r="E19" i="27" s="1"/>
  <c r="P16" i="25"/>
  <c r="G29" i="12"/>
  <c r="G29" i="15" s="1"/>
  <c r="G29" i="13"/>
  <c r="G29" i="16" s="1"/>
  <c r="I4" i="23"/>
  <c r="I4" i="26" s="1"/>
  <c r="G16" i="13"/>
  <c r="G16" i="16" s="1"/>
  <c r="N29" i="23"/>
  <c r="C19" i="13"/>
  <c r="K19" i="24"/>
  <c r="K19" i="27" s="1"/>
  <c r="O19" i="23"/>
  <c r="O19" i="26" s="1"/>
  <c r="Q29" i="24"/>
  <c r="G29" i="24"/>
  <c r="G29" i="27" s="1"/>
  <c r="C19" i="12"/>
  <c r="C19" i="15" s="1"/>
  <c r="P16" i="23"/>
  <c r="P16" i="26" s="1"/>
  <c r="M4" i="14"/>
  <c r="O16" i="13"/>
  <c r="O16" i="23"/>
  <c r="O16" i="26" s="1"/>
  <c r="F19" i="12"/>
  <c r="M16" i="24"/>
  <c r="M16" i="27" s="1"/>
  <c r="J4" i="23"/>
  <c r="J4" i="26" s="1"/>
  <c r="P19" i="12"/>
  <c r="P19" i="15" s="1"/>
  <c r="H4" i="24"/>
  <c r="M4" i="12"/>
  <c r="O19" i="24"/>
  <c r="O19" i="27" s="1"/>
  <c r="P16" i="24"/>
  <c r="P16" i="27" s="1"/>
  <c r="L19" i="13"/>
  <c r="G4" i="23"/>
  <c r="P4" i="24"/>
  <c r="P4" i="27" s="1"/>
  <c r="C29" i="24"/>
  <c r="C29" i="27" s="1"/>
  <c r="G4" i="24"/>
  <c r="I4" i="24"/>
  <c r="C9" i="17"/>
  <c r="C20" i="17"/>
  <c r="C28" i="16"/>
  <c r="C5" i="16"/>
  <c r="C18" i="16"/>
  <c r="C6" i="26"/>
  <c r="C24" i="17"/>
  <c r="C13" i="15"/>
  <c r="C6" i="16"/>
  <c r="C20" i="26"/>
  <c r="C7" i="26"/>
  <c r="C23" i="27"/>
  <c r="C5" i="17"/>
  <c r="C30" i="17"/>
  <c r="M29" i="13"/>
  <c r="M29" i="16" s="1"/>
  <c r="D19" i="24"/>
  <c r="D19" i="27" s="1"/>
  <c r="D4" i="24"/>
  <c r="D4" i="27" s="1"/>
  <c r="P19" i="23"/>
  <c r="P19" i="26" s="1"/>
  <c r="N16" i="14"/>
  <c r="N16" i="17" s="1"/>
  <c r="D4" i="13"/>
  <c r="D4" i="16" s="1"/>
  <c r="N16" i="12"/>
  <c r="N16" i="15" s="1"/>
  <c r="E16" i="12"/>
  <c r="E16" i="15" s="1"/>
  <c r="I16" i="14"/>
  <c r="I16" i="17" s="1"/>
  <c r="Q4" i="23"/>
  <c r="J29" i="24"/>
  <c r="J29" i="27" s="1"/>
  <c r="P16" i="13"/>
  <c r="P16" i="16" s="1"/>
  <c r="C29" i="12"/>
  <c r="G16" i="24"/>
  <c r="I4" i="12"/>
  <c r="I4" i="15" s="1"/>
  <c r="L16" i="13"/>
  <c r="L16" i="16" s="1"/>
  <c r="B29" i="13"/>
  <c r="B29" i="16" s="1"/>
  <c r="L4" i="24"/>
  <c r="Q29" i="23"/>
  <c r="Q29" i="26" s="1"/>
  <c r="G16" i="25"/>
  <c r="G16" i="28" s="1"/>
  <c r="Q4" i="24"/>
  <c r="D4" i="23"/>
  <c r="C29" i="13"/>
  <c r="B29" i="12"/>
  <c r="H19" i="24"/>
  <c r="H19" i="27" s="1"/>
  <c r="Q4" i="12"/>
  <c r="B4" i="14"/>
  <c r="B4" i="17" s="1"/>
  <c r="N19" i="12"/>
  <c r="N19" i="15" s="1"/>
  <c r="D29" i="25"/>
  <c r="D29" i="28" s="1"/>
  <c r="F16" i="24"/>
  <c r="F16" i="27" s="1"/>
  <c r="D29" i="24"/>
  <c r="D29" i="27" s="1"/>
  <c r="G19" i="14"/>
  <c r="G19" i="17" s="1"/>
  <c r="D29" i="23"/>
  <c r="D29" i="26" s="1"/>
  <c r="I16" i="13"/>
  <c r="B4" i="13"/>
  <c r="B4" i="16" s="1"/>
  <c r="M4" i="23"/>
  <c r="M4" i="26" s="1"/>
  <c r="B4" i="12"/>
  <c r="I16" i="23"/>
  <c r="Q4" i="13"/>
  <c r="Q4" i="16" s="1"/>
  <c r="L31" i="39"/>
  <c r="Q31" i="37"/>
  <c r="C28" i="26"/>
  <c r="C10" i="26"/>
  <c r="C21" i="26"/>
  <c r="C8" i="28"/>
  <c r="C11" i="26"/>
  <c r="C21" i="27"/>
  <c r="C30" i="28"/>
  <c r="C9" i="28"/>
  <c r="C9" i="27"/>
  <c r="C22" i="26"/>
  <c r="C11" i="27"/>
  <c r="C33" i="26"/>
  <c r="C5" i="27"/>
  <c r="C12" i="26"/>
  <c r="C24" i="26"/>
  <c r="B114" i="6"/>
  <c r="B144" i="6" s="1"/>
  <c r="C23" i="26"/>
  <c r="C22" i="28"/>
  <c r="C20" i="28"/>
  <c r="C25" i="26"/>
  <c r="C7" i="27"/>
  <c r="C5" i="26"/>
  <c r="C7" i="28"/>
  <c r="C6" i="27"/>
  <c r="C24" i="27"/>
  <c r="C5" i="28"/>
  <c r="C25" i="27"/>
  <c r="C24" i="28"/>
  <c r="C18" i="26"/>
  <c r="C26" i="27"/>
  <c r="C9" i="26"/>
  <c r="C12" i="27"/>
  <c r="C13" i="27"/>
  <c r="C18" i="27"/>
  <c r="C20" i="27"/>
  <c r="C8" i="27"/>
  <c r="C10" i="28"/>
  <c r="C33" i="27"/>
  <c r="C32" i="26"/>
  <c r="C21" i="28"/>
  <c r="C17" i="27"/>
  <c r="C23" i="28"/>
  <c r="C32" i="27"/>
  <c r="C31" i="28"/>
  <c r="C28" i="27"/>
  <c r="C22" i="27"/>
  <c r="C13" i="26"/>
  <c r="C30" i="27"/>
  <c r="C17" i="28"/>
  <c r="C31" i="27"/>
  <c r="C32" i="28"/>
  <c r="C14" i="27"/>
  <c r="C10" i="27"/>
  <c r="C14" i="26"/>
  <c r="C31" i="26"/>
  <c r="C26" i="26"/>
  <c r="C165" i="6"/>
  <c r="C162" i="6"/>
  <c r="C159" i="6"/>
  <c r="C163" i="6"/>
  <c r="C164" i="6"/>
  <c r="C161" i="6"/>
  <c r="C172" i="6"/>
  <c r="C158" i="6"/>
  <c r="C170" i="6"/>
  <c r="C171" i="6"/>
  <c r="C157" i="6"/>
  <c r="C155" i="6"/>
  <c r="C156" i="6"/>
  <c r="C154" i="6"/>
  <c r="C169" i="6"/>
  <c r="C168" i="6"/>
  <c r="C167" i="6"/>
  <c r="C153" i="6"/>
  <c r="C140" i="6"/>
  <c r="C135" i="6"/>
  <c r="C138" i="6"/>
  <c r="C139" i="6"/>
  <c r="C141" i="6"/>
  <c r="C137" i="6"/>
  <c r="C148" i="6"/>
  <c r="C146" i="6"/>
  <c r="C147" i="6"/>
  <c r="C133" i="6"/>
  <c r="C134" i="6"/>
  <c r="C131" i="6"/>
  <c r="C132" i="6"/>
  <c r="C145" i="6"/>
  <c r="C143" i="6"/>
  <c r="C144" i="6"/>
  <c r="C130" i="6"/>
  <c r="C129" i="6"/>
  <c r="M19" i="23"/>
  <c r="F4" i="23"/>
  <c r="F4" i="26" s="1"/>
  <c r="N16" i="23"/>
  <c r="N16" i="26" s="1"/>
  <c r="J4" i="24"/>
  <c r="J4" i="27" s="1"/>
  <c r="H4" i="13"/>
  <c r="H19" i="13"/>
  <c r="H19" i="16" s="1"/>
  <c r="I19" i="24"/>
  <c r="I19" i="27" s="1"/>
  <c r="K16" i="23"/>
  <c r="E29" i="13"/>
  <c r="E29" i="16" s="1"/>
  <c r="L16" i="24"/>
  <c r="L16" i="27" s="1"/>
  <c r="M4" i="13"/>
  <c r="M4" i="16" s="1"/>
  <c r="D27" i="13"/>
  <c r="D27" i="12"/>
  <c r="D27" i="15" s="1"/>
  <c r="M27" i="12"/>
  <c r="M27" i="15" s="1"/>
  <c r="M27" i="13"/>
  <c r="G16" i="23"/>
  <c r="G16" i="26" s="1"/>
  <c r="M27" i="23"/>
  <c r="M27" i="26" s="1"/>
  <c r="M27" i="24"/>
  <c r="M27" i="27" s="1"/>
  <c r="O19" i="13"/>
  <c r="O19" i="16" s="1"/>
  <c r="E15" i="24"/>
  <c r="E15" i="27" s="1"/>
  <c r="E15" i="23"/>
  <c r="E15" i="26" s="1"/>
  <c r="Q19" i="13"/>
  <c r="Q19" i="16" s="1"/>
  <c r="I29" i="12"/>
  <c r="I29" i="15" s="1"/>
  <c r="D19" i="13"/>
  <c r="D19" i="16" s="1"/>
  <c r="E4" i="12"/>
  <c r="M19" i="12"/>
  <c r="M19" i="15" s="1"/>
  <c r="N27" i="12"/>
  <c r="N27" i="13"/>
  <c r="E29" i="23"/>
  <c r="E29" i="26" s="1"/>
  <c r="N19" i="13"/>
  <c r="N19" i="16" s="1"/>
  <c r="M16" i="12"/>
  <c r="M16" i="15" s="1"/>
  <c r="E29" i="12"/>
  <c r="E29" i="15" s="1"/>
  <c r="P27" i="13"/>
  <c r="P27" i="16" s="1"/>
  <c r="P27" i="12"/>
  <c r="N27" i="23"/>
  <c r="N27" i="26" s="1"/>
  <c r="N27" i="24"/>
  <c r="N27" i="27" s="1"/>
  <c r="C27" i="12"/>
  <c r="C27" i="15" s="1"/>
  <c r="C27" i="13"/>
  <c r="L19" i="12"/>
  <c r="L19" i="15" s="1"/>
  <c r="I27" i="13"/>
  <c r="I27" i="12"/>
  <c r="I27" i="15" s="1"/>
  <c r="E27" i="12"/>
  <c r="E27" i="15" s="1"/>
  <c r="E27" i="13"/>
  <c r="E27" i="16" s="1"/>
  <c r="E19" i="23"/>
  <c r="E19" i="26" s="1"/>
  <c r="D15" i="23"/>
  <c r="D15" i="26" s="1"/>
  <c r="D15" i="24"/>
  <c r="D15" i="27" s="1"/>
  <c r="E19" i="13"/>
  <c r="E19" i="16" s="1"/>
  <c r="C16" i="23"/>
  <c r="C16" i="26" s="1"/>
  <c r="F16" i="23"/>
  <c r="F16" i="26" s="1"/>
  <c r="F3" i="19"/>
  <c r="F3" i="23" s="1"/>
  <c r="F19" i="23"/>
  <c r="F19" i="26" s="1"/>
  <c r="B16" i="10"/>
  <c r="B16" i="12"/>
  <c r="Q27" i="13"/>
  <c r="Q27" i="16" s="1"/>
  <c r="Q27" i="12"/>
  <c r="Q27" i="15" s="1"/>
  <c r="F29" i="12"/>
  <c r="F29" i="15" s="1"/>
  <c r="L29" i="23"/>
  <c r="L29" i="26" s="1"/>
  <c r="I15" i="24"/>
  <c r="I15" i="27" s="1"/>
  <c r="I15" i="23"/>
  <c r="I15" i="26" s="1"/>
  <c r="M4" i="24"/>
  <c r="I19" i="23"/>
  <c r="I19" i="26" s="1"/>
  <c r="Q19" i="23"/>
  <c r="G15" i="23"/>
  <c r="G15" i="24"/>
  <c r="G15" i="27" s="1"/>
  <c r="H27" i="23"/>
  <c r="H27" i="26" s="1"/>
  <c r="H27" i="24"/>
  <c r="H27" i="27" s="1"/>
  <c r="Q29" i="13"/>
  <c r="Q29" i="16" s="1"/>
  <c r="I16" i="12"/>
  <c r="I16" i="15" s="1"/>
  <c r="F29" i="13"/>
  <c r="F29" i="16" s="1"/>
  <c r="D29" i="13"/>
  <c r="C4" i="23"/>
  <c r="C4" i="26" s="1"/>
  <c r="K4" i="23"/>
  <c r="K4" i="26" s="1"/>
  <c r="M19" i="13"/>
  <c r="M19" i="16" s="1"/>
  <c r="N4" i="21"/>
  <c r="N4" i="24"/>
  <c r="P4" i="13"/>
  <c r="G29" i="23"/>
  <c r="G29" i="26" s="1"/>
  <c r="B19" i="13"/>
  <c r="K27" i="12"/>
  <c r="K27" i="15" s="1"/>
  <c r="K27" i="13"/>
  <c r="K27" i="16" s="1"/>
  <c r="H15" i="23"/>
  <c r="H15" i="26" s="1"/>
  <c r="H15" i="24"/>
  <c r="H15" i="27" s="1"/>
  <c r="L16" i="12"/>
  <c r="L16" i="15" s="1"/>
  <c r="P15" i="23"/>
  <c r="P15" i="26" s="1"/>
  <c r="P15" i="24"/>
  <c r="P15" i="27" s="1"/>
  <c r="M29" i="12"/>
  <c r="M29" i="15" s="1"/>
  <c r="H16" i="12"/>
  <c r="H16" i="15" s="1"/>
  <c r="J15" i="24"/>
  <c r="J15" i="27" s="1"/>
  <c r="J15" i="23"/>
  <c r="J15" i="26" s="1"/>
  <c r="L27" i="23"/>
  <c r="L27" i="26" s="1"/>
  <c r="L27" i="24"/>
  <c r="L27" i="27" s="1"/>
  <c r="O19" i="12"/>
  <c r="G27" i="24"/>
  <c r="G27" i="27" s="1"/>
  <c r="G27" i="23"/>
  <c r="G27" i="26" s="1"/>
  <c r="L4" i="13"/>
  <c r="K4" i="12"/>
  <c r="K4" i="15" s="1"/>
  <c r="P4" i="23"/>
  <c r="P4" i="26" s="1"/>
  <c r="K29" i="23"/>
  <c r="G4" i="12"/>
  <c r="G4" i="15" s="1"/>
  <c r="B47" i="6"/>
  <c r="B58" i="6" s="1"/>
  <c r="B100" i="6"/>
  <c r="B121" i="6" s="1"/>
  <c r="O15" i="23"/>
  <c r="O15" i="26" s="1"/>
  <c r="O15" i="24"/>
  <c r="O15" i="27" s="1"/>
  <c r="E29" i="24"/>
  <c r="E29" i="27" s="1"/>
  <c r="K27" i="23"/>
  <c r="K27" i="26" s="1"/>
  <c r="K27" i="24"/>
  <c r="K27" i="27" s="1"/>
  <c r="B27" i="12"/>
  <c r="B27" i="15" s="1"/>
  <c r="B27" i="13"/>
  <c r="Q19" i="24"/>
  <c r="Q19" i="27" s="1"/>
  <c r="K15" i="23"/>
  <c r="K15" i="24"/>
  <c r="P27" i="23"/>
  <c r="P27" i="26" s="1"/>
  <c r="P27" i="24"/>
  <c r="P27" i="27" s="1"/>
  <c r="P16" i="12"/>
  <c r="F4" i="13"/>
  <c r="F4" i="16" s="1"/>
  <c r="L29" i="13"/>
  <c r="L29" i="16" s="1"/>
  <c r="L15" i="23"/>
  <c r="L15" i="26" s="1"/>
  <c r="L15" i="24"/>
  <c r="J27" i="12"/>
  <c r="J27" i="15" s="1"/>
  <c r="J27" i="13"/>
  <c r="J27" i="16" s="1"/>
  <c r="E16" i="24"/>
  <c r="E16" i="27" s="1"/>
  <c r="D16" i="12"/>
  <c r="M15" i="23"/>
  <c r="M15" i="26" s="1"/>
  <c r="M15" i="24"/>
  <c r="M15" i="27" s="1"/>
  <c r="D19" i="23"/>
  <c r="N15" i="23"/>
  <c r="N15" i="26" s="1"/>
  <c r="N15" i="24"/>
  <c r="N15" i="27" s="1"/>
  <c r="F27" i="23"/>
  <c r="F27" i="26" s="1"/>
  <c r="F27" i="24"/>
  <c r="F27" i="27" s="1"/>
  <c r="C29" i="23"/>
  <c r="C29" i="26" s="1"/>
  <c r="J16" i="23"/>
  <c r="J16" i="26" s="1"/>
  <c r="G4" i="13"/>
  <c r="G4" i="16" s="1"/>
  <c r="N4" i="23"/>
  <c r="N4" i="26" s="1"/>
  <c r="H19" i="12"/>
  <c r="H19" i="15" s="1"/>
  <c r="L4" i="12"/>
  <c r="L4" i="15" s="1"/>
  <c r="I16" i="24"/>
  <c r="I16" i="27" s="1"/>
  <c r="H16" i="13"/>
  <c r="H16" i="16" s="1"/>
  <c r="L29" i="12"/>
  <c r="L29" i="15" s="1"/>
  <c r="M19" i="21"/>
  <c r="M19" i="24"/>
  <c r="M19" i="27" s="1"/>
  <c r="E27" i="23"/>
  <c r="E27" i="26" s="1"/>
  <c r="E27" i="24"/>
  <c r="E27" i="27" s="1"/>
  <c r="G19" i="13"/>
  <c r="G19" i="16" s="1"/>
  <c r="Q15" i="23"/>
  <c r="Q15" i="26" s="1"/>
  <c r="Q15" i="24"/>
  <c r="Q15" i="27" s="1"/>
  <c r="M16" i="23"/>
  <c r="M16" i="26" s="1"/>
  <c r="H19" i="23"/>
  <c r="O27" i="24"/>
  <c r="O27" i="27" s="1"/>
  <c r="O27" i="23"/>
  <c r="O27" i="26" s="1"/>
  <c r="Q19" i="12"/>
  <c r="Q19" i="15" s="1"/>
  <c r="J27" i="24"/>
  <c r="J27" i="27" s="1"/>
  <c r="J27" i="23"/>
  <c r="N4" i="13"/>
  <c r="N4" i="16" s="1"/>
  <c r="Q16" i="12"/>
  <c r="Q16" i="15" s="1"/>
  <c r="L27" i="13"/>
  <c r="L27" i="16" s="1"/>
  <c r="L27" i="12"/>
  <c r="L27" i="15" s="1"/>
  <c r="K4" i="13"/>
  <c r="K4" i="16" s="1"/>
  <c r="I29" i="13"/>
  <c r="I29" i="16" s="1"/>
  <c r="J16" i="24"/>
  <c r="H29" i="13"/>
  <c r="H29" i="16" s="1"/>
  <c r="Q27" i="23"/>
  <c r="Q27" i="26" s="1"/>
  <c r="Q27" i="24"/>
  <c r="Q27" i="27" s="1"/>
  <c r="K19" i="23"/>
  <c r="K19" i="26" s="1"/>
  <c r="F15" i="23"/>
  <c r="F15" i="26" s="1"/>
  <c r="F15" i="24"/>
  <c r="F15" i="27" s="1"/>
  <c r="G27" i="13"/>
  <c r="G27" i="16" s="1"/>
  <c r="G27" i="12"/>
  <c r="G27" i="15" s="1"/>
  <c r="O27" i="13"/>
  <c r="O27" i="16" s="1"/>
  <c r="O27" i="12"/>
  <c r="O27" i="15" s="1"/>
  <c r="B19" i="12"/>
  <c r="I27" i="23"/>
  <c r="I27" i="24"/>
  <c r="I27" i="27" s="1"/>
  <c r="D27" i="23"/>
  <c r="D27" i="26" s="1"/>
  <c r="D27" i="24"/>
  <c r="L29" i="24"/>
  <c r="L29" i="27" s="1"/>
  <c r="L19" i="23"/>
  <c r="L19" i="26" s="1"/>
  <c r="C15" i="24"/>
  <c r="C15" i="27" s="1"/>
  <c r="C15" i="23"/>
  <c r="F27" i="13"/>
  <c r="F27" i="16" s="1"/>
  <c r="F27" i="12"/>
  <c r="F27" i="15" s="1"/>
  <c r="F19" i="13"/>
  <c r="F19" i="16" s="1"/>
  <c r="Q29" i="12"/>
  <c r="Q29" i="15" s="1"/>
  <c r="H27" i="13"/>
  <c r="H27" i="16" s="1"/>
  <c r="H27" i="12"/>
  <c r="H27" i="15" s="1"/>
  <c r="C27" i="24"/>
  <c r="C27" i="27" s="1"/>
  <c r="C27" i="23"/>
  <c r="C27" i="26" s="1"/>
  <c r="L16" i="23"/>
  <c r="L16" i="26" s="1"/>
  <c r="M16" i="13"/>
  <c r="M16" i="16" s="1"/>
  <c r="F19" i="24"/>
  <c r="F19" i="27" s="1"/>
  <c r="E16" i="13"/>
  <c r="E16" i="16" s="1"/>
  <c r="N16" i="21"/>
  <c r="N16" i="24"/>
  <c r="N16" i="27" s="1"/>
  <c r="D4" i="12"/>
  <c r="D4" i="15" s="1"/>
  <c r="D29" i="12"/>
  <c r="D29" i="15" s="1"/>
  <c r="G19" i="12"/>
  <c r="G19" i="15" s="1"/>
  <c r="D19" i="12"/>
  <c r="D19" i="15" s="1"/>
  <c r="M31" i="39"/>
  <c r="M31" i="37"/>
  <c r="N19" i="25"/>
  <c r="C16" i="25"/>
  <c r="C16" i="28" s="1"/>
  <c r="C19" i="14"/>
  <c r="C19" i="17" s="1"/>
  <c r="J6" i="15"/>
  <c r="J8" i="15"/>
  <c r="J10" i="15"/>
  <c r="J12" i="15"/>
  <c r="J14" i="15"/>
  <c r="N9" i="26"/>
  <c r="N21" i="27"/>
  <c r="N33" i="27"/>
  <c r="J5" i="15"/>
  <c r="J7" i="15"/>
  <c r="J9" i="15"/>
  <c r="J11" i="15"/>
  <c r="J13" i="15"/>
  <c r="J15" i="15"/>
  <c r="N23" i="26"/>
  <c r="N10" i="26"/>
  <c r="Q31" i="26"/>
  <c r="N30" i="27"/>
  <c r="Q18" i="27"/>
  <c r="Q5" i="27"/>
  <c r="N14" i="27"/>
  <c r="Q25" i="27"/>
  <c r="O17" i="28"/>
  <c r="O24" i="28"/>
  <c r="O25" i="26"/>
  <c r="O6" i="26"/>
  <c r="O17" i="26"/>
  <c r="F24" i="28"/>
  <c r="I28" i="26"/>
  <c r="O25" i="27"/>
  <c r="I20" i="26"/>
  <c r="O23" i="27"/>
  <c r="I29" i="28"/>
  <c r="F32" i="26"/>
  <c r="O8" i="26"/>
  <c r="F6" i="26"/>
  <c r="O30" i="27"/>
  <c r="O33" i="27"/>
  <c r="O14" i="26"/>
  <c r="I18" i="26"/>
  <c r="O30" i="28"/>
  <c r="F21" i="28"/>
  <c r="F10" i="28"/>
  <c r="O32" i="26"/>
  <c r="O20" i="26"/>
  <c r="O12" i="26"/>
  <c r="O8" i="28"/>
  <c r="O7" i="26"/>
  <c r="I24" i="28"/>
  <c r="O16" i="27"/>
  <c r="O18" i="27"/>
  <c r="O10" i="26"/>
  <c r="F8" i="26"/>
  <c r="Q9" i="27"/>
  <c r="Q17" i="27"/>
  <c r="Q10" i="28"/>
  <c r="Q31" i="28"/>
  <c r="N23" i="27"/>
  <c r="N28" i="27"/>
  <c r="Q13" i="26"/>
  <c r="N28" i="26"/>
  <c r="N20" i="28"/>
  <c r="Q23" i="28"/>
  <c r="N8" i="27"/>
  <c r="N11" i="26"/>
  <c r="N5" i="27"/>
  <c r="Q32" i="28"/>
  <c r="Q5" i="28"/>
  <c r="N23" i="28"/>
  <c r="Q11" i="27"/>
  <c r="Q14" i="26"/>
  <c r="N5" i="28"/>
  <c r="N13" i="26"/>
  <c r="N30" i="28"/>
  <c r="N18" i="27"/>
  <c r="Q21" i="27"/>
  <c r="N32" i="28"/>
  <c r="Q22" i="27"/>
  <c r="H30" i="26"/>
  <c r="Q9" i="28"/>
  <c r="N20" i="27"/>
  <c r="Q30" i="27"/>
  <c r="N22" i="26"/>
  <c r="N24" i="28"/>
  <c r="N14" i="26"/>
  <c r="N12" i="27"/>
  <c r="N17" i="27"/>
  <c r="N10" i="27"/>
  <c r="N11" i="27"/>
  <c r="Q8" i="28"/>
  <c r="N26" i="27"/>
  <c r="N7" i="28"/>
  <c r="Q17" i="26"/>
  <c r="N9" i="27"/>
  <c r="N32" i="26"/>
  <c r="Q10" i="27"/>
  <c r="Q14" i="27"/>
  <c r="N18" i="26"/>
  <c r="Q26" i="26"/>
  <c r="N24" i="27"/>
  <c r="N7" i="26"/>
  <c r="N22" i="27"/>
  <c r="Q33" i="27"/>
  <c r="Q7" i="27"/>
  <c r="Q10" i="26"/>
  <c r="Q25" i="26"/>
  <c r="N32" i="27"/>
  <c r="Q13" i="27"/>
  <c r="N13" i="27"/>
  <c r="Q17" i="28"/>
  <c r="N19" i="28"/>
  <c r="Q23" i="27"/>
  <c r="Q28" i="27"/>
  <c r="N5" i="26"/>
  <c r="Q8" i="26"/>
  <c r="O26" i="26"/>
  <c r="K9" i="17"/>
  <c r="L24" i="16"/>
  <c r="L24" i="15"/>
  <c r="K20" i="16"/>
  <c r="K22" i="16"/>
  <c r="K24" i="16"/>
  <c r="K26" i="16"/>
  <c r="L11" i="15"/>
  <c r="L10" i="17"/>
  <c r="L33" i="15"/>
  <c r="L18" i="15"/>
  <c r="L5" i="16"/>
  <c r="L25" i="15"/>
  <c r="L8" i="17"/>
  <c r="L6" i="16"/>
  <c r="L7" i="16"/>
  <c r="L12" i="16"/>
  <c r="L26" i="16"/>
  <c r="L30" i="16"/>
  <c r="L31" i="16"/>
  <c r="L22" i="17"/>
  <c r="O23" i="17"/>
  <c r="K20" i="17"/>
  <c r="L21" i="17"/>
  <c r="L13" i="16"/>
  <c r="K9" i="16"/>
  <c r="K11" i="16"/>
  <c r="K13" i="16"/>
  <c r="K15" i="16"/>
  <c r="K31" i="16"/>
  <c r="K33" i="16"/>
  <c r="K7" i="17"/>
  <c r="K17" i="17"/>
  <c r="K32" i="17"/>
  <c r="L7" i="15"/>
  <c r="L6" i="17"/>
  <c r="L26" i="15"/>
  <c r="L14" i="15"/>
  <c r="K28" i="16"/>
  <c r="K17" i="16"/>
  <c r="L9" i="16"/>
  <c r="L25" i="16"/>
  <c r="L20" i="17"/>
  <c r="L12" i="15"/>
  <c r="K18" i="16"/>
  <c r="K8" i="17"/>
  <c r="L13" i="15"/>
  <c r="L21" i="15"/>
  <c r="L11" i="16"/>
  <c r="L15" i="16"/>
  <c r="L21" i="16"/>
  <c r="L17" i="15"/>
  <c r="L24" i="17"/>
  <c r="L5" i="15"/>
  <c r="L8" i="16"/>
  <c r="K21" i="16"/>
  <c r="K23" i="16"/>
  <c r="K25" i="16"/>
  <c r="L9" i="17"/>
  <c r="L22" i="15"/>
  <c r="L10" i="15"/>
  <c r="L31" i="15"/>
  <c r="O30" i="16"/>
  <c r="O32" i="16"/>
  <c r="O6" i="17"/>
  <c r="O31" i="17"/>
  <c r="O24" i="15"/>
  <c r="E9" i="15"/>
  <c r="O20" i="16"/>
  <c r="O22" i="16"/>
  <c r="O24" i="16"/>
  <c r="O26" i="16"/>
  <c r="O6" i="15"/>
  <c r="O30" i="15"/>
  <c r="O31" i="16"/>
  <c r="O33" i="16"/>
  <c r="O17" i="17"/>
  <c r="O17" i="15"/>
  <c r="O21" i="16"/>
  <c r="O23" i="16"/>
  <c r="O25" i="16"/>
  <c r="O22" i="15"/>
  <c r="Q9" i="26"/>
  <c r="N12" i="26"/>
  <c r="E31" i="37"/>
  <c r="K7" i="28"/>
  <c r="Q8" i="27"/>
  <c r="Q26" i="27"/>
  <c r="N9" i="28"/>
  <c r="N26" i="26"/>
  <c r="Q30" i="28"/>
  <c r="H26" i="27"/>
  <c r="N22" i="28"/>
  <c r="Q23" i="26"/>
  <c r="N21" i="26"/>
  <c r="N31" i="28"/>
  <c r="E29" i="10"/>
  <c r="H17" i="27"/>
  <c r="Q22" i="26"/>
  <c r="N31" i="26"/>
  <c r="Q20" i="27"/>
  <c r="G17" i="27"/>
  <c r="P23" i="27"/>
  <c r="N31" i="27"/>
  <c r="E18" i="27"/>
  <c r="P17" i="28"/>
  <c r="N10" i="28"/>
  <c r="N25" i="27"/>
  <c r="O30" i="26"/>
  <c r="N8" i="28"/>
  <c r="O5" i="26"/>
  <c r="Q7" i="26"/>
  <c r="Q22" i="28"/>
  <c r="O17" i="27"/>
  <c r="P7" i="26"/>
  <c r="H17" i="26"/>
  <c r="N24" i="26"/>
  <c r="Q32" i="27"/>
  <c r="N25" i="26"/>
  <c r="O16" i="25"/>
  <c r="O16" i="28" s="1"/>
  <c r="K19" i="14"/>
  <c r="K19" i="17" s="1"/>
  <c r="H16" i="25"/>
  <c r="H16" i="28" s="1"/>
  <c r="K29" i="14"/>
  <c r="K29" i="17" s="1"/>
  <c r="L16" i="14"/>
  <c r="L16" i="17" s="1"/>
  <c r="I16" i="25"/>
  <c r="I16" i="28" s="1"/>
  <c r="M29" i="14"/>
  <c r="M29" i="17" s="1"/>
  <c r="O19" i="25"/>
  <c r="O19" i="28" s="1"/>
  <c r="K16" i="25"/>
  <c r="K16" i="28" s="1"/>
  <c r="O3" i="9"/>
  <c r="O3" i="13" s="1"/>
  <c r="D16" i="26"/>
  <c r="H4" i="10"/>
  <c r="P29" i="26"/>
  <c r="L19" i="14"/>
  <c r="L19" i="17" s="1"/>
  <c r="C29" i="25"/>
  <c r="C29" i="28" s="1"/>
  <c r="Q29" i="14"/>
  <c r="Q29" i="17" s="1"/>
  <c r="H14" i="26"/>
  <c r="E20" i="16"/>
  <c r="O32" i="17"/>
  <c r="D6" i="26"/>
  <c r="P13" i="27"/>
  <c r="O26" i="27"/>
  <c r="Q12" i="26"/>
  <c r="E30" i="28"/>
  <c r="E3" i="9"/>
  <c r="E3" i="13" s="1"/>
  <c r="I31" i="37"/>
  <c r="F33" i="26"/>
  <c r="Q16" i="14"/>
  <c r="Q16" i="17" s="1"/>
  <c r="G21" i="28"/>
  <c r="Q19" i="14"/>
  <c r="Q19" i="17" s="1"/>
  <c r="O22" i="27"/>
  <c r="H31" i="28"/>
  <c r="L9" i="28"/>
  <c r="E6" i="16"/>
  <c r="I32" i="26"/>
  <c r="E26" i="15"/>
  <c r="D18" i="27"/>
  <c r="M29" i="27"/>
  <c r="Q16" i="25"/>
  <c r="Q16" i="28" s="1"/>
  <c r="E25" i="16"/>
  <c r="E23" i="17"/>
  <c r="E6" i="17"/>
  <c r="E22" i="16"/>
  <c r="E7" i="17"/>
  <c r="E6" i="15"/>
  <c r="E13" i="15"/>
  <c r="E8" i="16"/>
  <c r="E25" i="15"/>
  <c r="I24" i="16"/>
  <c r="I22" i="16"/>
  <c r="I21" i="17"/>
  <c r="I6" i="17"/>
  <c r="I33" i="16"/>
  <c r="I20" i="15"/>
  <c r="I12" i="15"/>
  <c r="I21" i="16"/>
  <c r="I32" i="16"/>
  <c r="I25" i="27"/>
  <c r="I24" i="27"/>
  <c r="I11" i="26"/>
  <c r="I20" i="17"/>
  <c r="E8" i="17"/>
  <c r="E31" i="17"/>
  <c r="G21" i="16"/>
  <c r="G24" i="16"/>
  <c r="G26" i="16"/>
  <c r="I31" i="17"/>
  <c r="E23" i="16"/>
  <c r="E5" i="15"/>
  <c r="I6" i="16"/>
  <c r="I7" i="16"/>
  <c r="I26" i="15"/>
  <c r="I23" i="16"/>
  <c r="M25" i="27"/>
  <c r="I20" i="27"/>
  <c r="M31" i="26"/>
  <c r="I5" i="28"/>
  <c r="I10" i="27"/>
  <c r="H13" i="27"/>
  <c r="Q16" i="26"/>
  <c r="I32" i="27"/>
  <c r="I10" i="28"/>
  <c r="M17" i="28"/>
  <c r="I18" i="27"/>
  <c r="E9" i="17"/>
  <c r="E20" i="17"/>
  <c r="E28" i="16"/>
  <c r="H11" i="15"/>
  <c r="H30" i="17"/>
  <c r="I11" i="15"/>
  <c r="H21" i="17"/>
  <c r="H5" i="16"/>
  <c r="H8" i="16"/>
  <c r="E20" i="15"/>
  <c r="I19" i="15"/>
  <c r="H31" i="15"/>
  <c r="H33" i="15"/>
  <c r="I30" i="27"/>
  <c r="D18" i="26"/>
  <c r="I23" i="28"/>
  <c r="D9" i="26"/>
  <c r="D22" i="26"/>
  <c r="H26" i="26"/>
  <c r="I22" i="17"/>
  <c r="H10" i="15"/>
  <c r="M24" i="27"/>
  <c r="B27" i="16"/>
  <c r="E7" i="16"/>
  <c r="E10" i="16"/>
  <c r="E31" i="16"/>
  <c r="I13" i="27"/>
  <c r="I33" i="27"/>
  <c r="I30" i="28"/>
  <c r="I6" i="27"/>
  <c r="I28" i="27"/>
  <c r="G20" i="16"/>
  <c r="G22" i="16"/>
  <c r="G23" i="16"/>
  <c r="G25" i="16"/>
  <c r="E24" i="16"/>
  <c r="G22" i="15"/>
  <c r="I23" i="17"/>
  <c r="I5" i="16"/>
  <c r="I31" i="16"/>
  <c r="M10" i="28"/>
  <c r="M23" i="26"/>
  <c r="I9" i="16"/>
  <c r="I25" i="15"/>
  <c r="H18" i="15"/>
  <c r="M9" i="28"/>
  <c r="I9" i="27"/>
  <c r="M13" i="27"/>
  <c r="I21" i="27"/>
  <c r="D30" i="28"/>
  <c r="M33" i="27"/>
  <c r="D5" i="27"/>
  <c r="I26" i="27"/>
  <c r="M30" i="28"/>
  <c r="I24" i="17"/>
  <c r="I20" i="28"/>
  <c r="F6" i="27"/>
  <c r="M9" i="27"/>
  <c r="I17" i="27"/>
  <c r="M21" i="27"/>
  <c r="M28" i="26"/>
  <c r="I31" i="28"/>
  <c r="I8" i="27"/>
  <c r="M12" i="27"/>
  <c r="I22" i="27"/>
  <c r="D8" i="28"/>
  <c r="D25" i="27"/>
  <c r="I5" i="26"/>
  <c r="I13" i="26"/>
  <c r="D30" i="26"/>
  <c r="M6" i="27"/>
  <c r="D13" i="27"/>
  <c r="M17" i="26"/>
  <c r="M22" i="26"/>
  <c r="M25" i="26"/>
  <c r="I7" i="27"/>
  <c r="M11" i="27"/>
  <c r="I10" i="26"/>
  <c r="D13" i="26"/>
  <c r="M14" i="26"/>
  <c r="E22" i="17"/>
  <c r="D7" i="28"/>
  <c r="Q29" i="25"/>
  <c r="Q29" i="28" s="1"/>
  <c r="L29" i="25"/>
  <c r="L29" i="28" s="1"/>
  <c r="D7" i="27"/>
  <c r="I30" i="16"/>
  <c r="H9" i="15"/>
  <c r="H25" i="15"/>
  <c r="L24" i="28"/>
  <c r="I8" i="15"/>
  <c r="H24" i="16"/>
  <c r="I21" i="15"/>
  <c r="I10" i="17"/>
  <c r="H20" i="17"/>
  <c r="H24" i="17"/>
  <c r="I26" i="16"/>
  <c r="I22" i="15"/>
  <c r="M3" i="11"/>
  <c r="M3" i="14" s="1"/>
  <c r="M3" i="17" s="1"/>
  <c r="E32" i="17"/>
  <c r="E30" i="16"/>
  <c r="H24" i="15"/>
  <c r="G4" i="27"/>
  <c r="I18" i="15"/>
  <c r="H7" i="15"/>
  <c r="H15" i="15"/>
  <c r="H23" i="15"/>
  <c r="H30" i="16"/>
  <c r="H9" i="17"/>
  <c r="H10" i="17"/>
  <c r="F16" i="14"/>
  <c r="F16" i="17" s="1"/>
  <c r="H10" i="16"/>
  <c r="H12" i="16"/>
  <c r="H14" i="16"/>
  <c r="H20" i="16"/>
  <c r="E28" i="15"/>
  <c r="H32" i="16"/>
  <c r="I13" i="15"/>
  <c r="H17" i="15"/>
  <c r="H30" i="15"/>
  <c r="H32" i="15"/>
  <c r="H26" i="16"/>
  <c r="I23" i="15"/>
  <c r="H31" i="16"/>
  <c r="E17" i="15"/>
  <c r="H22" i="17"/>
  <c r="B29" i="14"/>
  <c r="B29" i="17" s="1"/>
  <c r="I6" i="15"/>
  <c r="I9" i="15"/>
  <c r="I10" i="15"/>
  <c r="I14" i="15"/>
  <c r="H28" i="15"/>
  <c r="E21" i="17"/>
  <c r="H8" i="15"/>
  <c r="I17" i="17"/>
  <c r="H32" i="17"/>
  <c r="D22" i="27"/>
  <c r="D26" i="27"/>
  <c r="D5" i="26"/>
  <c r="D17" i="26"/>
  <c r="G9" i="16"/>
  <c r="G10" i="16"/>
  <c r="G11" i="16"/>
  <c r="G12" i="16"/>
  <c r="G13" i="16"/>
  <c r="G14" i="16"/>
  <c r="G15" i="16"/>
  <c r="F9" i="28"/>
  <c r="D24" i="26"/>
  <c r="E32" i="16"/>
  <c r="H5" i="15"/>
  <c r="H13" i="15"/>
  <c r="H21" i="15"/>
  <c r="G24" i="26"/>
  <c r="H22" i="16"/>
  <c r="H5" i="17"/>
  <c r="H7" i="17"/>
  <c r="H8" i="17"/>
  <c r="H23" i="17"/>
  <c r="H6" i="16"/>
  <c r="H7" i="16"/>
  <c r="H23" i="16"/>
  <c r="D25" i="26"/>
  <c r="I5" i="15"/>
  <c r="I7" i="15"/>
  <c r="I15" i="15"/>
  <c r="I8" i="17"/>
  <c r="I28" i="16"/>
  <c r="I24" i="15"/>
  <c r="H26" i="15"/>
  <c r="D4" i="14"/>
  <c r="D4" i="17" s="1"/>
  <c r="I25" i="16"/>
  <c r="H6" i="15"/>
  <c r="H14" i="15"/>
  <c r="D24" i="28"/>
  <c r="I31" i="15"/>
  <c r="I33" i="15"/>
  <c r="D18" i="15"/>
  <c r="M4" i="10"/>
  <c r="G6" i="27"/>
  <c r="G30" i="27"/>
  <c r="G11" i="26"/>
  <c r="G8" i="27"/>
  <c r="E16" i="26"/>
  <c r="C19" i="25"/>
  <c r="C19" i="28" s="1"/>
  <c r="G20" i="27"/>
  <c r="I9" i="28"/>
  <c r="J5" i="28"/>
  <c r="J5" i="26"/>
  <c r="J9" i="26"/>
  <c r="J17" i="26"/>
  <c r="J17" i="27"/>
  <c r="J25" i="26"/>
  <c r="J22" i="28"/>
  <c r="J11" i="27"/>
  <c r="J13" i="26"/>
  <c r="E16" i="25"/>
  <c r="E16" i="28" s="1"/>
  <c r="G10" i="28"/>
  <c r="G23" i="26"/>
  <c r="G17" i="28"/>
  <c r="G22" i="28"/>
  <c r="G31" i="27"/>
  <c r="G9" i="26"/>
  <c r="E16" i="14"/>
  <c r="E16" i="17" s="1"/>
  <c r="B4" i="10"/>
  <c r="G33" i="26"/>
  <c r="G12" i="27"/>
  <c r="G30" i="28"/>
  <c r="G5" i="27"/>
  <c r="G9" i="27"/>
  <c r="G8" i="28"/>
  <c r="G23" i="28"/>
  <c r="P3" i="19"/>
  <c r="P3" i="23" s="1"/>
  <c r="P3" i="26" s="1"/>
  <c r="G14" i="27"/>
  <c r="G28" i="26"/>
  <c r="C15" i="26"/>
  <c r="G11" i="27"/>
  <c r="G23" i="27"/>
  <c r="G10" i="27"/>
  <c r="G32" i="27"/>
  <c r="G8" i="26"/>
  <c r="G9" i="28"/>
  <c r="G5" i="26"/>
  <c r="I6" i="26"/>
  <c r="I26" i="26"/>
  <c r="I6" i="28"/>
  <c r="I33" i="26"/>
  <c r="I32" i="28"/>
  <c r="I9" i="26"/>
  <c r="I21" i="28"/>
  <c r="D3" i="8"/>
  <c r="I8" i="28"/>
  <c r="J9" i="28"/>
  <c r="J30" i="28"/>
  <c r="J32" i="27"/>
  <c r="I12" i="26"/>
  <c r="I30" i="26"/>
  <c r="P15" i="16"/>
  <c r="P23" i="16"/>
  <c r="G20" i="28"/>
  <c r="G24" i="27"/>
  <c r="H19" i="14"/>
  <c r="H19" i="17" s="1"/>
  <c r="J31" i="27"/>
  <c r="I23" i="26"/>
  <c r="J24" i="26"/>
  <c r="I23" i="27"/>
  <c r="O4" i="14"/>
  <c r="O4" i="17" s="1"/>
  <c r="O29" i="14"/>
  <c r="O29" i="17" s="1"/>
  <c r="E16" i="10"/>
  <c r="G6" i="28"/>
  <c r="G33" i="27"/>
  <c r="I12" i="27"/>
  <c r="P8" i="15"/>
  <c r="P12" i="15"/>
  <c r="P20" i="15"/>
  <c r="P24" i="15"/>
  <c r="G24" i="28"/>
  <c r="J23" i="26"/>
  <c r="J31" i="26"/>
  <c r="G29" i="25"/>
  <c r="G29" i="28" s="1"/>
  <c r="P21" i="16"/>
  <c r="P17" i="17"/>
  <c r="P30" i="17"/>
  <c r="P31" i="17"/>
  <c r="J17" i="28"/>
  <c r="J20" i="26"/>
  <c r="J8" i="27"/>
  <c r="K16" i="26"/>
  <c r="I25" i="26"/>
  <c r="E11" i="16"/>
  <c r="E29" i="25"/>
  <c r="E29" i="28" s="1"/>
  <c r="K3" i="9"/>
  <c r="K3" i="13" s="1"/>
  <c r="J6" i="26"/>
  <c r="I31" i="26"/>
  <c r="J32" i="26"/>
  <c r="J7" i="27"/>
  <c r="I14" i="27"/>
  <c r="I31" i="27"/>
  <c r="I21" i="26"/>
  <c r="I17" i="28"/>
  <c r="K29" i="25"/>
  <c r="K29" i="28" s="1"/>
  <c r="I11" i="27"/>
  <c r="H29" i="10"/>
  <c r="J12" i="27"/>
  <c r="J22" i="26"/>
  <c r="G14" i="26"/>
  <c r="I17" i="26"/>
  <c r="J18" i="26"/>
  <c r="I29" i="26"/>
  <c r="G31" i="26"/>
  <c r="K31" i="37"/>
  <c r="J10" i="26"/>
  <c r="G4" i="10"/>
  <c r="E18" i="15"/>
  <c r="J33" i="26"/>
  <c r="O18" i="26"/>
  <c r="N31" i="37"/>
  <c r="J21" i="26"/>
  <c r="J7" i="28"/>
  <c r="H3" i="9"/>
  <c r="H3" i="13" s="1"/>
  <c r="E33" i="26"/>
  <c r="E12" i="16"/>
  <c r="E15" i="16"/>
  <c r="E18" i="16"/>
  <c r="F25" i="27"/>
  <c r="F26" i="27"/>
  <c r="H7" i="27"/>
  <c r="F30" i="27"/>
  <c r="L8" i="26"/>
  <c r="H6" i="28"/>
  <c r="F17" i="27"/>
  <c r="L12" i="26"/>
  <c r="H24" i="28"/>
  <c r="F5" i="26"/>
  <c r="F13" i="26"/>
  <c r="P5" i="15"/>
  <c r="P9" i="15"/>
  <c r="P17" i="15"/>
  <c r="P25" i="15"/>
  <c r="F22" i="28"/>
  <c r="P9" i="17"/>
  <c r="P6" i="16"/>
  <c r="P12" i="16"/>
  <c r="F25" i="26"/>
  <c r="F10" i="27"/>
  <c r="H12" i="27"/>
  <c r="F22" i="27"/>
  <c r="H24" i="27"/>
  <c r="L5" i="28"/>
  <c r="H23" i="28"/>
  <c r="H30" i="28"/>
  <c r="F21" i="27"/>
  <c r="L28" i="27"/>
  <c r="L32" i="27"/>
  <c r="F3" i="26"/>
  <c r="F24" i="26"/>
  <c r="F23" i="27"/>
  <c r="F28" i="27"/>
  <c r="L6" i="28"/>
  <c r="H17" i="28"/>
  <c r="L33" i="27"/>
  <c r="L10" i="26"/>
  <c r="F28" i="26"/>
  <c r="L17" i="28"/>
  <c r="L22" i="28"/>
  <c r="L5" i="26"/>
  <c r="F7" i="26"/>
  <c r="H9" i="28"/>
  <c r="H7" i="28"/>
  <c r="H32" i="28"/>
  <c r="P6" i="15"/>
  <c r="P10" i="15"/>
  <c r="P14" i="15"/>
  <c r="P18" i="15"/>
  <c r="P22" i="15"/>
  <c r="P26" i="15"/>
  <c r="P7" i="16"/>
  <c r="P14" i="16"/>
  <c r="P7" i="17"/>
  <c r="P8" i="17"/>
  <c r="P22" i="17"/>
  <c r="P23" i="17"/>
  <c r="P22" i="16"/>
  <c r="P26" i="16"/>
  <c r="P17" i="16"/>
  <c r="F8" i="27"/>
  <c r="G13" i="26"/>
  <c r="G20" i="26"/>
  <c r="G7" i="28"/>
  <c r="G22" i="26"/>
  <c r="P22" i="26"/>
  <c r="P31" i="27"/>
  <c r="P6" i="28"/>
  <c r="P14" i="27"/>
  <c r="P16" i="28"/>
  <c r="Q20" i="28"/>
  <c r="Q28" i="26"/>
  <c r="Q21" i="28"/>
  <c r="F31" i="27"/>
  <c r="F6" i="28"/>
  <c r="F12" i="26"/>
  <c r="F9" i="26"/>
  <c r="F17" i="26"/>
  <c r="F31" i="28"/>
  <c r="F14" i="27"/>
  <c r="F32" i="28"/>
  <c r="L11" i="27"/>
  <c r="H28" i="27"/>
  <c r="H32" i="27"/>
  <c r="L25" i="27"/>
  <c r="F8" i="28"/>
  <c r="L31" i="28"/>
  <c r="F12" i="27"/>
  <c r="F7" i="28"/>
  <c r="F30" i="28"/>
  <c r="F22" i="26"/>
  <c r="P13" i="15"/>
  <c r="P21" i="15"/>
  <c r="F18" i="26"/>
  <c r="P31" i="16"/>
  <c r="P33" i="16"/>
  <c r="P10" i="17"/>
  <c r="H25" i="26"/>
  <c r="H33" i="26"/>
  <c r="P32" i="16"/>
  <c r="H8" i="27"/>
  <c r="L12" i="27"/>
  <c r="F18" i="27"/>
  <c r="L30" i="28"/>
  <c r="F5" i="27"/>
  <c r="F11" i="27"/>
  <c r="H6" i="26"/>
  <c r="L23" i="28"/>
  <c r="F20" i="28"/>
  <c r="H10" i="27"/>
  <c r="F20" i="27"/>
  <c r="L22" i="27"/>
  <c r="F24" i="27"/>
  <c r="F5" i="28"/>
  <c r="H30" i="27"/>
  <c r="P25" i="16"/>
  <c r="P5" i="17"/>
  <c r="P6" i="17"/>
  <c r="P5" i="16"/>
  <c r="P8" i="16"/>
  <c r="H8" i="28"/>
  <c r="O5" i="16"/>
  <c r="Q30" i="26"/>
  <c r="P9" i="16"/>
  <c r="O10" i="15"/>
  <c r="O32" i="15"/>
  <c r="P30" i="15"/>
  <c r="P32" i="15"/>
  <c r="P32" i="28"/>
  <c r="O20" i="15"/>
  <c r="P32" i="17"/>
  <c r="O15" i="15"/>
  <c r="K31" i="15"/>
  <c r="H31" i="26"/>
  <c r="Q7" i="28"/>
  <c r="Q33" i="26"/>
  <c r="F23" i="28"/>
  <c r="N20" i="26"/>
  <c r="N33" i="26"/>
  <c r="N7" i="27"/>
  <c r="G31" i="28"/>
  <c r="Q31" i="27"/>
  <c r="F32" i="27"/>
  <c r="H20" i="26"/>
  <c r="P20" i="26"/>
  <c r="Q21" i="26"/>
  <c r="H24" i="26"/>
  <c r="F26" i="26"/>
  <c r="G15" i="26"/>
  <c r="H11" i="27"/>
  <c r="K5" i="17"/>
  <c r="K23" i="17"/>
  <c r="K24" i="17"/>
  <c r="K30" i="17"/>
  <c r="P7" i="15"/>
  <c r="P11" i="15"/>
  <c r="P15" i="15"/>
  <c r="P23" i="15"/>
  <c r="P28" i="15"/>
  <c r="P11" i="16"/>
  <c r="P10" i="16"/>
  <c r="P18" i="16"/>
  <c r="P20" i="17"/>
  <c r="P21" i="17"/>
  <c r="P24" i="17"/>
  <c r="P24" i="16"/>
  <c r="P28" i="16"/>
  <c r="F30" i="26"/>
  <c r="F31" i="26"/>
  <c r="P33" i="26"/>
  <c r="P32" i="26"/>
  <c r="Q12" i="27"/>
  <c r="G17" i="26"/>
  <c r="H18" i="26"/>
  <c r="F21" i="26"/>
  <c r="F17" i="28"/>
  <c r="P31" i="28"/>
  <c r="F11" i="26"/>
  <c r="F20" i="26"/>
  <c r="G21" i="26"/>
  <c r="H22" i="26"/>
  <c r="G7" i="26"/>
  <c r="E32" i="27"/>
  <c r="H8" i="26"/>
  <c r="Q24" i="16"/>
  <c r="Q23" i="15"/>
  <c r="Q24" i="15"/>
  <c r="F9" i="27"/>
  <c r="G25" i="27"/>
  <c r="E28" i="27"/>
  <c r="E18" i="26"/>
  <c r="Q30" i="17"/>
  <c r="O20" i="17"/>
  <c r="Q32" i="16"/>
  <c r="Q5" i="15"/>
  <c r="Q6" i="15"/>
  <c r="Q7" i="15"/>
  <c r="Q8" i="15"/>
  <c r="Q9" i="15"/>
  <c r="Q10" i="15"/>
  <c r="Q11" i="15"/>
  <c r="Q12" i="15"/>
  <c r="Q13" i="15"/>
  <c r="Q14" i="15"/>
  <c r="Q15" i="15"/>
  <c r="G18" i="27"/>
  <c r="O30" i="17"/>
  <c r="L28" i="16"/>
  <c r="I22" i="26"/>
  <c r="F23" i="26"/>
  <c r="G32" i="26"/>
  <c r="P13" i="16"/>
  <c r="D17" i="15"/>
  <c r="P31" i="15"/>
  <c r="P33" i="15"/>
  <c r="N30" i="26"/>
  <c r="D7" i="17"/>
  <c r="P20" i="16"/>
  <c r="O12" i="15"/>
  <c r="O28" i="15"/>
  <c r="D17" i="17"/>
  <c r="L31" i="17"/>
  <c r="D18" i="16"/>
  <c r="L18" i="16"/>
  <c r="P30" i="16"/>
  <c r="L32" i="16"/>
  <c r="D33" i="16"/>
  <c r="L33" i="16"/>
  <c r="P27" i="15"/>
  <c r="C17" i="26"/>
  <c r="C19" i="26"/>
  <c r="I24" i="26"/>
  <c r="N17" i="28"/>
  <c r="F33" i="27"/>
  <c r="F14" i="26"/>
  <c r="G21" i="27"/>
  <c r="I14" i="26"/>
  <c r="Q18" i="26"/>
  <c r="L20" i="15"/>
  <c r="D24" i="15"/>
  <c r="L28" i="15"/>
  <c r="L32" i="17"/>
  <c r="C6" i="28"/>
  <c r="L8" i="15"/>
  <c r="D12" i="15"/>
  <c r="C30" i="26"/>
  <c r="Q32" i="26"/>
  <c r="N21" i="28"/>
  <c r="I7" i="28"/>
  <c r="P10" i="26"/>
  <c r="Q11" i="26"/>
  <c r="Q24" i="26"/>
  <c r="I22" i="28"/>
  <c r="L30" i="15"/>
  <c r="L32" i="15"/>
  <c r="F7" i="27"/>
  <c r="Q24" i="27"/>
  <c r="I8" i="26"/>
  <c r="G10" i="26"/>
  <c r="N17" i="26"/>
  <c r="Q28" i="15"/>
  <c r="P3" i="9"/>
  <c r="P3" i="13" s="1"/>
  <c r="K18" i="26"/>
  <c r="G3" i="7"/>
  <c r="G10" i="17"/>
  <c r="G7" i="16"/>
  <c r="O31" i="37"/>
  <c r="J31" i="37"/>
  <c r="E32" i="28"/>
  <c r="E21" i="28"/>
  <c r="E24" i="28"/>
  <c r="E21" i="26"/>
  <c r="E26" i="26"/>
  <c r="E32" i="26"/>
  <c r="E10" i="28"/>
  <c r="E12" i="26"/>
  <c r="E25" i="26"/>
  <c r="D16" i="15"/>
  <c r="G16" i="17"/>
  <c r="Q18" i="16"/>
  <c r="Q18" i="15"/>
  <c r="Q20" i="16"/>
  <c r="Q12" i="16"/>
  <c r="Q26" i="15"/>
  <c r="Q22" i="15"/>
  <c r="Q30" i="16"/>
  <c r="Q25" i="16"/>
  <c r="Q15" i="16"/>
  <c r="Q11" i="16"/>
  <c r="Q10" i="17"/>
  <c r="Q7" i="17"/>
  <c r="Q31" i="17"/>
  <c r="Q14" i="16"/>
  <c r="Q23" i="16"/>
  <c r="M29" i="25"/>
  <c r="M29" i="28" s="1"/>
  <c r="K14" i="26"/>
  <c r="K30" i="27"/>
  <c r="K23" i="28"/>
  <c r="K6" i="27"/>
  <c r="G22" i="17"/>
  <c r="E22" i="27"/>
  <c r="G5" i="15"/>
  <c r="G13" i="15"/>
  <c r="B30" i="17"/>
  <c r="N29" i="14"/>
  <c r="N29" i="17" s="1"/>
  <c r="E17" i="26"/>
  <c r="G23" i="15"/>
  <c r="N29" i="25"/>
  <c r="N29" i="28" s="1"/>
  <c r="G30" i="15"/>
  <c r="Q26" i="16"/>
  <c r="Q21" i="15"/>
  <c r="Q17" i="17"/>
  <c r="Q31" i="16"/>
  <c r="Q33" i="16"/>
  <c r="E9" i="28"/>
  <c r="E5" i="26"/>
  <c r="L9" i="27"/>
  <c r="E17" i="28"/>
  <c r="K12" i="26"/>
  <c r="F17" i="15"/>
  <c r="F18" i="15"/>
  <c r="F20" i="15"/>
  <c r="F21" i="15"/>
  <c r="F22" i="15"/>
  <c r="F23" i="15"/>
  <c r="F24" i="15"/>
  <c r="F25" i="15"/>
  <c r="F26" i="15"/>
  <c r="E8" i="28"/>
  <c r="E22" i="28"/>
  <c r="G31" i="15"/>
  <c r="K30" i="15"/>
  <c r="E30" i="26"/>
  <c r="G9" i="15"/>
  <c r="G17" i="15"/>
  <c r="G20" i="15"/>
  <c r="C17" i="17"/>
  <c r="Q20" i="15"/>
  <c r="E10" i="26"/>
  <c r="Q21" i="17"/>
  <c r="C16" i="14"/>
  <c r="C16" i="17" s="1"/>
  <c r="F31" i="37"/>
  <c r="G5" i="28"/>
  <c r="O9" i="26"/>
  <c r="G12" i="26"/>
  <c r="Q30" i="15"/>
  <c r="Q31" i="15"/>
  <c r="Q32" i="15"/>
  <c r="Q33" i="15"/>
  <c r="C31" i="39"/>
  <c r="H29" i="25"/>
  <c r="H29" i="28" s="1"/>
  <c r="E31" i="27"/>
  <c r="E8" i="26"/>
  <c r="G7" i="17"/>
  <c r="G32" i="17"/>
  <c r="Q28" i="16"/>
  <c r="G7" i="15"/>
  <c r="G8" i="15"/>
  <c r="Q5" i="17"/>
  <c r="E23" i="27"/>
  <c r="Q17" i="15"/>
  <c r="Q20" i="17"/>
  <c r="G4" i="14"/>
  <c r="G4" i="17" s="1"/>
  <c r="E19" i="25"/>
  <c r="E19" i="28" s="1"/>
  <c r="J28" i="15"/>
  <c r="K14" i="27"/>
  <c r="K7" i="26"/>
  <c r="K28" i="27"/>
  <c r="K23" i="26"/>
  <c r="K8" i="28"/>
  <c r="L19" i="25"/>
  <c r="L19" i="28" s="1"/>
  <c r="K10" i="26"/>
  <c r="J31" i="17"/>
  <c r="J32" i="17"/>
  <c r="K23" i="15"/>
  <c r="K6" i="16"/>
  <c r="N29" i="26"/>
  <c r="J11" i="16"/>
  <c r="M27" i="16"/>
  <c r="M20" i="26"/>
  <c r="M8" i="26"/>
  <c r="M18" i="15"/>
  <c r="M8" i="17"/>
  <c r="M26" i="16"/>
  <c r="M10" i="16"/>
  <c r="M22" i="15"/>
  <c r="M32" i="16"/>
  <c r="K20" i="28"/>
  <c r="K33" i="26"/>
  <c r="K30" i="26"/>
  <c r="K9" i="28"/>
  <c r="K22" i="27"/>
  <c r="K20" i="26"/>
  <c r="M24" i="17"/>
  <c r="K5" i="27"/>
  <c r="K21" i="27"/>
  <c r="K8" i="26"/>
  <c r="F29" i="25"/>
  <c r="F29" i="28" s="1"/>
  <c r="K33" i="27"/>
  <c r="M7" i="16"/>
  <c r="M8" i="16"/>
  <c r="K17" i="15"/>
  <c r="M21" i="16"/>
  <c r="J26" i="16"/>
  <c r="D19" i="14"/>
  <c r="D19" i="17" s="1"/>
  <c r="J31" i="16"/>
  <c r="K18" i="27"/>
  <c r="K20" i="27"/>
  <c r="K9" i="26"/>
  <c r="K26" i="26"/>
  <c r="K5" i="28"/>
  <c r="K7" i="27"/>
  <c r="K10" i="27"/>
  <c r="H44" i="37"/>
  <c r="K15" i="27"/>
  <c r="K13" i="26"/>
  <c r="K15" i="26"/>
  <c r="K8" i="27"/>
  <c r="K12" i="27"/>
  <c r="K17" i="27"/>
  <c r="K22" i="26"/>
  <c r="K21" i="28"/>
  <c r="K21" i="26"/>
  <c r="M23" i="17"/>
  <c r="J30" i="15"/>
  <c r="J31" i="15"/>
  <c r="J32" i="15"/>
  <c r="J33" i="15"/>
  <c r="K31" i="28"/>
  <c r="K6" i="26"/>
  <c r="P4" i="10"/>
  <c r="K11" i="26"/>
  <c r="B31" i="37"/>
  <c r="K5" i="26"/>
  <c r="K24" i="28"/>
  <c r="D31" i="26"/>
  <c r="D10" i="27"/>
  <c r="D12" i="26"/>
  <c r="D5" i="28"/>
  <c r="D26" i="26"/>
  <c r="D23" i="27"/>
  <c r="D21" i="28"/>
  <c r="D20" i="28"/>
  <c r="D28" i="26"/>
  <c r="D10" i="26"/>
  <c r="D10" i="28"/>
  <c r="M22" i="27"/>
  <c r="M20" i="27"/>
  <c r="M26" i="27"/>
  <c r="M12" i="26"/>
  <c r="M21" i="28"/>
  <c r="M30" i="27"/>
  <c r="M33" i="26"/>
  <c r="M11" i="26"/>
  <c r="M5" i="26"/>
  <c r="M8" i="27"/>
  <c r="M12" i="16"/>
  <c r="M13" i="16"/>
  <c r="M15" i="16"/>
  <c r="M17" i="16"/>
  <c r="G3" i="11"/>
  <c r="G29" i="14"/>
  <c r="O19" i="14"/>
  <c r="O19" i="17" s="1"/>
  <c r="D29" i="14"/>
  <c r="D29" i="17" s="1"/>
  <c r="O4" i="10"/>
  <c r="K32" i="26"/>
  <c r="D21" i="26"/>
  <c r="O29" i="26"/>
  <c r="B5" i="17"/>
  <c r="J5" i="17"/>
  <c r="B6" i="17"/>
  <c r="B8" i="17"/>
  <c r="J9" i="17"/>
  <c r="B20" i="17"/>
  <c r="J21" i="17"/>
  <c r="J22" i="17"/>
  <c r="J23" i="17"/>
  <c r="J24" i="17"/>
  <c r="B6" i="16"/>
  <c r="B8" i="16"/>
  <c r="J21" i="16"/>
  <c r="J23" i="16"/>
  <c r="E33" i="15"/>
  <c r="D6" i="27"/>
  <c r="K24" i="15"/>
  <c r="G6" i="17"/>
  <c r="M19" i="14"/>
  <c r="M19" i="17" s="1"/>
  <c r="I7" i="26"/>
  <c r="J9" i="16"/>
  <c r="F29" i="14"/>
  <c r="F29" i="17" s="1"/>
  <c r="K24" i="26"/>
  <c r="D33" i="26"/>
  <c r="K7" i="15"/>
  <c r="K8" i="15"/>
  <c r="K20" i="15"/>
  <c r="M30" i="15"/>
  <c r="O31" i="39"/>
  <c r="K25" i="26"/>
  <c r="M20" i="28"/>
  <c r="C29" i="21"/>
  <c r="M4" i="17"/>
  <c r="E10" i="17"/>
  <c r="J29" i="14"/>
  <c r="J29" i="17" s="1"/>
  <c r="E26" i="16"/>
  <c r="E22" i="15"/>
  <c r="E23" i="15"/>
  <c r="K25" i="27"/>
  <c r="M28" i="27"/>
  <c r="M18" i="26"/>
  <c r="E17" i="17"/>
  <c r="E30" i="17"/>
  <c r="E7" i="15"/>
  <c r="E10" i="15"/>
  <c r="E11" i="15"/>
  <c r="E14" i="15"/>
  <c r="E15" i="15"/>
  <c r="K18" i="15"/>
  <c r="K28" i="26"/>
  <c r="K33" i="15"/>
  <c r="G26" i="27"/>
  <c r="J17" i="15"/>
  <c r="J18" i="15"/>
  <c r="J20" i="15"/>
  <c r="J21" i="15"/>
  <c r="J22" i="15"/>
  <c r="J23" i="15"/>
  <c r="J24" i="15"/>
  <c r="J25" i="15"/>
  <c r="J26" i="15"/>
  <c r="M21" i="26"/>
  <c r="K6" i="28"/>
  <c r="L7" i="28"/>
  <c r="K10" i="28"/>
  <c r="O29" i="25"/>
  <c r="O29" i="28" s="1"/>
  <c r="D30" i="27"/>
  <c r="M31" i="27"/>
  <c r="D7" i="26"/>
  <c r="K10" i="17"/>
  <c r="K21" i="17"/>
  <c r="K22" i="17"/>
  <c r="K24" i="27"/>
  <c r="C30" i="15"/>
  <c r="M26" i="26"/>
  <c r="M30" i="26"/>
  <c r="F29" i="26"/>
  <c r="K31" i="26"/>
  <c r="G26" i="15"/>
  <c r="E31" i="15"/>
  <c r="C31" i="37"/>
  <c r="K31" i="39"/>
  <c r="K32" i="27"/>
  <c r="K17" i="26"/>
  <c r="K30" i="28"/>
  <c r="C3" i="19"/>
  <c r="E5" i="17"/>
  <c r="E21" i="15"/>
  <c r="D17" i="28"/>
  <c r="M23" i="27"/>
  <c r="E24" i="17"/>
  <c r="K32" i="15"/>
  <c r="J16" i="14"/>
  <c r="J16" i="17" s="1"/>
  <c r="J16" i="21"/>
  <c r="J16" i="27"/>
  <c r="H19" i="10"/>
  <c r="L31" i="37"/>
  <c r="P44" i="37"/>
  <c r="Q3" i="11"/>
  <c r="B30" i="15"/>
  <c r="B31" i="15"/>
  <c r="B32" i="15"/>
  <c r="B33" i="15"/>
  <c r="L17" i="26"/>
  <c r="L11" i="26"/>
  <c r="L7" i="27"/>
  <c r="L24" i="26"/>
  <c r="L6" i="27"/>
  <c r="L28" i="26"/>
  <c r="L14" i="27"/>
  <c r="L14" i="26"/>
  <c r="L10" i="28"/>
  <c r="N27" i="16"/>
  <c r="N27" i="15"/>
  <c r="J27" i="26"/>
  <c r="B20" i="16"/>
  <c r="B22" i="16"/>
  <c r="M31" i="15"/>
  <c r="M14" i="16"/>
  <c r="M11" i="16"/>
  <c r="M9" i="16"/>
  <c r="M10" i="15"/>
  <c r="M18" i="16"/>
  <c r="M17" i="17"/>
  <c r="M7" i="17"/>
  <c r="M22" i="17"/>
  <c r="M5" i="17"/>
  <c r="M33" i="16"/>
  <c r="O8" i="16"/>
  <c r="O22" i="17"/>
  <c r="O6" i="16"/>
  <c r="O5" i="17"/>
  <c r="M24" i="16"/>
  <c r="L23" i="27"/>
  <c r="O7" i="28"/>
  <c r="O13" i="26"/>
  <c r="O23" i="28"/>
  <c r="O6" i="27"/>
  <c r="O22" i="26"/>
  <c r="O10" i="27"/>
  <c r="O22" i="28"/>
  <c r="O5" i="28"/>
  <c r="O21" i="26"/>
  <c r="O28" i="27"/>
  <c r="O28" i="26"/>
  <c r="O32" i="27"/>
  <c r="O9" i="28"/>
  <c r="B19" i="14"/>
  <c r="B19" i="17" s="1"/>
  <c r="D44" i="37"/>
  <c r="C29" i="14"/>
  <c r="C29" i="17" s="1"/>
  <c r="O3" i="11"/>
  <c r="O3" i="14" s="1"/>
  <c r="O3" i="17" s="1"/>
  <c r="L3" i="8"/>
  <c r="E19" i="15"/>
  <c r="J29" i="26"/>
  <c r="I19" i="14"/>
  <c r="I19" i="17" s="1"/>
  <c r="I3" i="11"/>
  <c r="I3" i="14" s="1"/>
  <c r="I3" i="17" s="1"/>
  <c r="D3" i="7"/>
  <c r="M44" i="37"/>
  <c r="B31" i="16"/>
  <c r="M19" i="10"/>
  <c r="L25" i="26"/>
  <c r="E29" i="21"/>
  <c r="M29" i="26"/>
  <c r="M29" i="21"/>
  <c r="E4" i="16"/>
  <c r="K29" i="26"/>
  <c r="L32" i="26"/>
  <c r="M23" i="16"/>
  <c r="O5" i="15"/>
  <c r="O11" i="15"/>
  <c r="O13" i="15"/>
  <c r="O25" i="15"/>
  <c r="M29" i="10"/>
  <c r="M33" i="15"/>
  <c r="I29" i="10"/>
  <c r="O7" i="17"/>
  <c r="M16" i="14"/>
  <c r="M16" i="17" s="1"/>
  <c r="O24" i="17"/>
  <c r="M31" i="16"/>
  <c r="Q3" i="7"/>
  <c r="Q4" i="14"/>
  <c r="Q4" i="17" s="1"/>
  <c r="B16" i="14"/>
  <c r="B16" i="17" s="1"/>
  <c r="B3" i="11"/>
  <c r="B3" i="14" s="1"/>
  <c r="B3" i="17" s="1"/>
  <c r="O16" i="21"/>
  <c r="B3" i="9"/>
  <c r="B3" i="13" s="1"/>
  <c r="B19" i="10"/>
  <c r="I27" i="16"/>
  <c r="H32" i="26"/>
  <c r="H6" i="27"/>
  <c r="H13" i="26"/>
  <c r="H5" i="27"/>
  <c r="H22" i="28"/>
  <c r="H10" i="28"/>
  <c r="H18" i="27"/>
  <c r="H28" i="26"/>
  <c r="H23" i="26"/>
  <c r="H21" i="28"/>
  <c r="H33" i="27"/>
  <c r="H7" i="26"/>
  <c r="H10" i="26"/>
  <c r="L7" i="26"/>
  <c r="H5" i="28"/>
  <c r="O9" i="16"/>
  <c r="O11" i="16"/>
  <c r="O12" i="16"/>
  <c r="O13" i="16"/>
  <c r="O14" i="16"/>
  <c r="O15" i="16"/>
  <c r="B5" i="15"/>
  <c r="B6" i="15"/>
  <c r="B7" i="15"/>
  <c r="B8" i="15"/>
  <c r="B9" i="15"/>
  <c r="B10" i="15"/>
  <c r="B11" i="15"/>
  <c r="B12" i="15"/>
  <c r="B13" i="15"/>
  <c r="B14" i="15"/>
  <c r="B15" i="15"/>
  <c r="N17" i="15"/>
  <c r="N18" i="15"/>
  <c r="N20" i="15"/>
  <c r="N21" i="15"/>
  <c r="N22" i="15"/>
  <c r="N23" i="15"/>
  <c r="N24" i="15"/>
  <c r="N25" i="15"/>
  <c r="N26" i="15"/>
  <c r="O6" i="28"/>
  <c r="O10" i="28"/>
  <c r="H19" i="25"/>
  <c r="H19" i="28" s="1"/>
  <c r="J29" i="25"/>
  <c r="J29" i="28" s="1"/>
  <c r="O31" i="28"/>
  <c r="H11" i="26"/>
  <c r="O8" i="17"/>
  <c r="O31" i="15"/>
  <c r="O16" i="17"/>
  <c r="B30" i="16"/>
  <c r="J33" i="16"/>
  <c r="O26" i="15"/>
  <c r="O31" i="26"/>
  <c r="B7" i="17"/>
  <c r="B9" i="17"/>
  <c r="B10" i="17"/>
  <c r="H16" i="14"/>
  <c r="H16" i="17" s="1"/>
  <c r="B21" i="17"/>
  <c r="B22" i="17"/>
  <c r="B23" i="17"/>
  <c r="B24" i="17"/>
  <c r="L29" i="14"/>
  <c r="L29" i="17" s="1"/>
  <c r="B9" i="16"/>
  <c r="B10" i="16"/>
  <c r="B11" i="16"/>
  <c r="B12" i="16"/>
  <c r="B13" i="16"/>
  <c r="B14" i="16"/>
  <c r="B15" i="16"/>
  <c r="O7" i="15"/>
  <c r="K13" i="15"/>
  <c r="O21" i="15"/>
  <c r="O23" i="15"/>
  <c r="E24" i="15"/>
  <c r="E17" i="16"/>
  <c r="G31" i="39"/>
  <c r="M3" i="9"/>
  <c r="O28" i="16"/>
  <c r="E29" i="14"/>
  <c r="E29" i="17" s="1"/>
  <c r="L13" i="27"/>
  <c r="L21" i="28"/>
  <c r="H21" i="27"/>
  <c r="O11" i="26"/>
  <c r="L30" i="26"/>
  <c r="O33" i="26"/>
  <c r="I16" i="26"/>
  <c r="L21" i="26"/>
  <c r="K19" i="25"/>
  <c r="K19" i="28" s="1"/>
  <c r="L17" i="27"/>
  <c r="O21" i="27"/>
  <c r="H5" i="26"/>
  <c r="H9" i="26"/>
  <c r="L13" i="26"/>
  <c r="O10" i="16"/>
  <c r="L8" i="27"/>
  <c r="O11" i="27"/>
  <c r="H20" i="27"/>
  <c r="L24" i="27"/>
  <c r="O14" i="27"/>
  <c r="H23" i="27"/>
  <c r="O31" i="27"/>
  <c r="B28" i="15"/>
  <c r="O20" i="27"/>
  <c r="H25" i="27"/>
  <c r="H31" i="27"/>
  <c r="H12" i="26"/>
  <c r="H9" i="27"/>
  <c r="O8" i="27"/>
  <c r="O12" i="27"/>
  <c r="L16" i="28"/>
  <c r="L20" i="28"/>
  <c r="O5" i="27"/>
  <c r="M16" i="25"/>
  <c r="M16" i="28" s="1"/>
  <c r="O9" i="27"/>
  <c r="O13" i="27"/>
  <c r="H22" i="27"/>
  <c r="L26" i="27"/>
  <c r="L9" i="26"/>
  <c r="H16" i="26"/>
  <c r="K16" i="14"/>
  <c r="K16" i="17" s="1"/>
  <c r="O17" i="16"/>
  <c r="O18" i="16"/>
  <c r="B17" i="15"/>
  <c r="B18" i="15"/>
  <c r="B20" i="15"/>
  <c r="B21" i="15"/>
  <c r="B22" i="15"/>
  <c r="B23" i="15"/>
  <c r="B24" i="15"/>
  <c r="B25" i="15"/>
  <c r="B26" i="15"/>
  <c r="B31" i="39"/>
  <c r="J31" i="39"/>
  <c r="H14" i="27"/>
  <c r="O23" i="26"/>
  <c r="H20" i="28"/>
  <c r="L32" i="28"/>
  <c r="I16" i="21"/>
  <c r="L30" i="27"/>
  <c r="L20" i="26"/>
  <c r="O10" i="17"/>
  <c r="O21" i="17"/>
  <c r="J7" i="16"/>
  <c r="O14" i="15"/>
  <c r="O33" i="15"/>
  <c r="J19" i="14"/>
  <c r="J19" i="17" s="1"/>
  <c r="G19" i="25"/>
  <c r="G19" i="28" s="1"/>
  <c r="O20" i="28"/>
  <c r="J17" i="16"/>
  <c r="B33" i="16"/>
  <c r="O8" i="15"/>
  <c r="J17" i="17"/>
  <c r="B31" i="17"/>
  <c r="B32" i="17"/>
  <c r="H21" i="26"/>
  <c r="J12" i="16"/>
  <c r="O18" i="15"/>
  <c r="K8" i="16"/>
  <c r="F4" i="25"/>
  <c r="F4" i="28" s="1"/>
  <c r="E14" i="16"/>
  <c r="B21" i="16"/>
  <c r="J25" i="16"/>
  <c r="B26" i="16"/>
  <c r="O9" i="15"/>
  <c r="K14" i="15"/>
  <c r="E30" i="15"/>
  <c r="E32" i="15"/>
  <c r="G31" i="37"/>
  <c r="I4" i="14"/>
  <c r="I4" i="17" s="1"/>
  <c r="I29" i="14"/>
  <c r="I29" i="17" s="1"/>
  <c r="K44" i="37"/>
  <c r="I44" i="37"/>
  <c r="D10" i="31"/>
  <c r="H3" i="22"/>
  <c r="H3" i="25" s="1"/>
  <c r="H3" i="28" s="1"/>
  <c r="H4" i="25"/>
  <c r="H4" i="28" s="1"/>
  <c r="E19" i="21"/>
  <c r="G16" i="10"/>
  <c r="G19" i="10"/>
  <c r="G29" i="10"/>
  <c r="F4" i="15"/>
  <c r="F3" i="8"/>
  <c r="F16" i="15"/>
  <c r="F19" i="15"/>
  <c r="G16" i="21"/>
  <c r="G16" i="27"/>
  <c r="O3" i="19"/>
  <c r="O4" i="26"/>
  <c r="I3" i="19"/>
  <c r="D27" i="27"/>
  <c r="E4" i="25"/>
  <c r="E4" i="28" s="1"/>
  <c r="E3" i="22"/>
  <c r="E3" i="25" s="1"/>
  <c r="E3" i="28" s="1"/>
  <c r="E4" i="27"/>
  <c r="E3" i="20"/>
  <c r="E3" i="24" s="1"/>
  <c r="E4" i="21"/>
  <c r="H4" i="27"/>
  <c r="H4" i="21"/>
  <c r="H3" i="20"/>
  <c r="H3" i="24" s="1"/>
  <c r="P3" i="20"/>
  <c r="P3" i="24" s="1"/>
  <c r="P4" i="21"/>
  <c r="K16" i="27"/>
  <c r="K16" i="21"/>
  <c r="J4" i="25"/>
  <c r="J4" i="28" s="1"/>
  <c r="J3" i="22"/>
  <c r="J3" i="25" s="1"/>
  <c r="J3" i="28" s="1"/>
  <c r="F16" i="25"/>
  <c r="F16" i="28" s="1"/>
  <c r="Q19" i="25"/>
  <c r="Q19" i="28" s="1"/>
  <c r="L16" i="21"/>
  <c r="P16" i="21"/>
  <c r="N19" i="27"/>
  <c r="N19" i="21"/>
  <c r="N3" i="20"/>
  <c r="N3" i="24" s="1"/>
  <c r="J3" i="19"/>
  <c r="K4" i="14"/>
  <c r="K4" i="17" s="1"/>
  <c r="K3" i="11"/>
  <c r="K3" i="14" s="1"/>
  <c r="J4" i="21"/>
  <c r="Q29" i="27"/>
  <c r="Q29" i="21"/>
  <c r="J29" i="21"/>
  <c r="G29" i="21"/>
  <c r="I19" i="21"/>
  <c r="Q3" i="9"/>
  <c r="Q4" i="10"/>
  <c r="Q29" i="10"/>
  <c r="B148" i="6"/>
  <c r="B172" i="6"/>
  <c r="B135" i="6"/>
  <c r="B159" i="6"/>
  <c r="B122" i="6"/>
  <c r="B131" i="6"/>
  <c r="B155" i="6"/>
  <c r="M4" i="25"/>
  <c r="M4" i="28" s="1"/>
  <c r="J4" i="16"/>
  <c r="J4" i="10"/>
  <c r="J3" i="9"/>
  <c r="J3" i="13" s="1"/>
  <c r="N17" i="17"/>
  <c r="F16" i="16"/>
  <c r="F16" i="10"/>
  <c r="D19" i="10"/>
  <c r="F30" i="16"/>
  <c r="F32" i="16"/>
  <c r="N33" i="16"/>
  <c r="Q4" i="15"/>
  <c r="Q3" i="8"/>
  <c r="B89" i="6"/>
  <c r="B91" i="6"/>
  <c r="B92" i="6"/>
  <c r="B93" i="6"/>
  <c r="B94" i="6"/>
  <c r="B113" i="6"/>
  <c r="G3" i="20"/>
  <c r="G3" i="24" s="1"/>
  <c r="I3" i="8"/>
  <c r="C31" i="17"/>
  <c r="F4" i="14"/>
  <c r="F4" i="17" s="1"/>
  <c r="F3" i="11"/>
  <c r="F3" i="14" s="1"/>
  <c r="F3" i="17" s="1"/>
  <c r="N4" i="14"/>
  <c r="N4" i="17" s="1"/>
  <c r="N3" i="11"/>
  <c r="N3" i="14" s="1"/>
  <c r="N3" i="17" s="1"/>
  <c r="F6" i="17"/>
  <c r="F8" i="17"/>
  <c r="F20" i="17"/>
  <c r="F3" i="9"/>
  <c r="F3" i="13" s="1"/>
  <c r="F4" i="10"/>
  <c r="N5" i="16"/>
  <c r="N7" i="16"/>
  <c r="N20" i="16"/>
  <c r="F24" i="16"/>
  <c r="N25" i="16"/>
  <c r="D29" i="10"/>
  <c r="D29" i="16"/>
  <c r="C4" i="15"/>
  <c r="C3" i="8"/>
  <c r="C3" i="12" s="1"/>
  <c r="C20" i="15"/>
  <c r="C22" i="15"/>
  <c r="N32" i="16"/>
  <c r="C23" i="15"/>
  <c r="M7" i="15"/>
  <c r="M11" i="15"/>
  <c r="M15" i="15"/>
  <c r="F44" i="37"/>
  <c r="N44" i="37"/>
  <c r="O44" i="37"/>
  <c r="D31" i="37"/>
  <c r="P31" i="37"/>
  <c r="L3" i="22"/>
  <c r="L3" i="25" s="1"/>
  <c r="L3" i="28" s="1"/>
  <c r="L4" i="25"/>
  <c r="L4" i="28" s="1"/>
  <c r="F29" i="27"/>
  <c r="F29" i="21"/>
  <c r="G4" i="26"/>
  <c r="G3" i="19"/>
  <c r="N28" i="15"/>
  <c r="K16" i="16"/>
  <c r="K16" i="10"/>
  <c r="K19" i="16"/>
  <c r="K19" i="10"/>
  <c r="K29" i="16"/>
  <c r="K29" i="10"/>
  <c r="J3" i="8"/>
  <c r="J16" i="15"/>
  <c r="J19" i="15"/>
  <c r="J29" i="15"/>
  <c r="D19" i="21"/>
  <c r="G19" i="21"/>
  <c r="O19" i="21"/>
  <c r="M9" i="17"/>
  <c r="M32" i="17"/>
  <c r="K4" i="25"/>
  <c r="K4" i="28" s="1"/>
  <c r="K3" i="22"/>
  <c r="K3" i="25" s="1"/>
  <c r="K3" i="28" s="1"/>
  <c r="M4" i="27"/>
  <c r="M3" i="20"/>
  <c r="M3" i="24" s="1"/>
  <c r="M4" i="21"/>
  <c r="Q3" i="20"/>
  <c r="Q3" i="24" s="1"/>
  <c r="Q4" i="21"/>
  <c r="Q4" i="27"/>
  <c r="C16" i="21"/>
  <c r="C16" i="27"/>
  <c r="M20" i="17"/>
  <c r="M30" i="17"/>
  <c r="N16" i="25"/>
  <c r="N16" i="28" s="1"/>
  <c r="F19" i="25"/>
  <c r="F19" i="28" s="1"/>
  <c r="F3" i="22"/>
  <c r="F3" i="25" s="1"/>
  <c r="F3" i="28" s="1"/>
  <c r="K4" i="21"/>
  <c r="K3" i="20"/>
  <c r="K3" i="24" s="1"/>
  <c r="K4" i="27"/>
  <c r="M16" i="21"/>
  <c r="H19" i="21"/>
  <c r="D3" i="19"/>
  <c r="D4" i="26"/>
  <c r="L3" i="19"/>
  <c r="M21" i="17"/>
  <c r="I4" i="16"/>
  <c r="I3" i="9"/>
  <c r="I3" i="13" s="1"/>
  <c r="I4" i="10"/>
  <c r="C9" i="16"/>
  <c r="C10" i="16"/>
  <c r="C11" i="16"/>
  <c r="C12" i="16"/>
  <c r="C13" i="16"/>
  <c r="C14" i="16"/>
  <c r="C15" i="16"/>
  <c r="I16" i="16"/>
  <c r="I16" i="10"/>
  <c r="F5" i="15"/>
  <c r="F6" i="15"/>
  <c r="F7" i="15"/>
  <c r="F8" i="15"/>
  <c r="F9" i="15"/>
  <c r="F10" i="15"/>
  <c r="F11" i="15"/>
  <c r="F12" i="15"/>
  <c r="F13" i="15"/>
  <c r="F14" i="15"/>
  <c r="F15" i="15"/>
  <c r="H29" i="15"/>
  <c r="N30" i="15"/>
  <c r="N31" i="15"/>
  <c r="N32" i="15"/>
  <c r="N33" i="15"/>
  <c r="N4" i="25"/>
  <c r="N4" i="28" s="1"/>
  <c r="N3" i="22"/>
  <c r="N3" i="25" s="1"/>
  <c r="N3" i="28" s="1"/>
  <c r="P29" i="27"/>
  <c r="P29" i="21"/>
  <c r="H19" i="26"/>
  <c r="N3" i="19"/>
  <c r="N19" i="26"/>
  <c r="G5" i="17"/>
  <c r="C7" i="17"/>
  <c r="G24" i="17"/>
  <c r="G30" i="17"/>
  <c r="C32" i="17"/>
  <c r="M5" i="16"/>
  <c r="M6" i="16"/>
  <c r="Q19" i="10"/>
  <c r="G5" i="16"/>
  <c r="B147" i="6"/>
  <c r="B171" i="6"/>
  <c r="B125" i="6"/>
  <c r="B134" i="6"/>
  <c r="B158" i="6"/>
  <c r="N4" i="27"/>
  <c r="C21" i="17"/>
  <c r="J14" i="16"/>
  <c r="B23" i="16"/>
  <c r="G11" i="15"/>
  <c r="J4" i="14"/>
  <c r="J4" i="17" s="1"/>
  <c r="J3" i="11"/>
  <c r="J3" i="14" s="1"/>
  <c r="J3" i="17" s="1"/>
  <c r="C8" i="17"/>
  <c r="J19" i="10"/>
  <c r="J19" i="16"/>
  <c r="M30" i="16"/>
  <c r="F19" i="21"/>
  <c r="L15" i="27"/>
  <c r="M6" i="17"/>
  <c r="B25" i="16"/>
  <c r="J28" i="16"/>
  <c r="C7" i="15"/>
  <c r="M17" i="15"/>
  <c r="F17" i="17"/>
  <c r="P19" i="14"/>
  <c r="P19" i="17" s="1"/>
  <c r="N30" i="17"/>
  <c r="N31" i="17"/>
  <c r="N32" i="17"/>
  <c r="D4" i="10"/>
  <c r="D3" i="9"/>
  <c r="H16" i="10"/>
  <c r="F17" i="16"/>
  <c r="B18" i="16"/>
  <c r="B19" i="16"/>
  <c r="L19" i="10"/>
  <c r="L19" i="16"/>
  <c r="N29" i="16"/>
  <c r="N29" i="10"/>
  <c r="N31" i="16"/>
  <c r="F33" i="16"/>
  <c r="E4" i="15"/>
  <c r="E3" i="8"/>
  <c r="M6" i="15"/>
  <c r="G18" i="15"/>
  <c r="C29" i="15"/>
  <c r="C31" i="15"/>
  <c r="C33" i="15"/>
  <c r="G4" i="21"/>
  <c r="L33" i="26"/>
  <c r="C23" i="17"/>
  <c r="G8" i="16"/>
  <c r="J20" i="16"/>
  <c r="J30" i="16"/>
  <c r="J16" i="10"/>
  <c r="J16" i="16"/>
  <c r="M20" i="16"/>
  <c r="M28" i="16"/>
  <c r="G6" i="16"/>
  <c r="J16" i="25"/>
  <c r="J16" i="28" s="1"/>
  <c r="J15" i="16"/>
  <c r="N22" i="16"/>
  <c r="J32" i="16"/>
  <c r="C11" i="15"/>
  <c r="G32" i="15"/>
  <c r="F5" i="17"/>
  <c r="N5" i="17"/>
  <c r="J6" i="17"/>
  <c r="N7" i="17"/>
  <c r="J8" i="17"/>
  <c r="F9" i="17"/>
  <c r="N10" i="17"/>
  <c r="J20" i="17"/>
  <c r="F21" i="17"/>
  <c r="F22" i="17"/>
  <c r="F23" i="17"/>
  <c r="F24" i="17"/>
  <c r="J5" i="16"/>
  <c r="J6" i="16"/>
  <c r="J8" i="16"/>
  <c r="F9" i="16"/>
  <c r="F10" i="16"/>
  <c r="F11" i="16"/>
  <c r="F12" i="16"/>
  <c r="F13" i="16"/>
  <c r="F14" i="16"/>
  <c r="F15" i="16"/>
  <c r="D16" i="10"/>
  <c r="D16" i="16"/>
  <c r="F19" i="10"/>
  <c r="F22" i="16"/>
  <c r="N23" i="16"/>
  <c r="F25" i="16"/>
  <c r="B28" i="16"/>
  <c r="K3" i="8"/>
  <c r="K4" i="10"/>
  <c r="G6" i="15"/>
  <c r="G10" i="15"/>
  <c r="K11" i="15"/>
  <c r="C12" i="15"/>
  <c r="K12" i="15"/>
  <c r="G14" i="15"/>
  <c r="K21" i="15"/>
  <c r="G24" i="15"/>
  <c r="K26" i="15"/>
  <c r="G28" i="15"/>
  <c r="E13" i="16"/>
  <c r="E5" i="16"/>
  <c r="E21" i="16"/>
  <c r="M24" i="15"/>
  <c r="E33" i="16"/>
  <c r="H4" i="16"/>
  <c r="N24" i="16"/>
  <c r="B16" i="16"/>
  <c r="C25" i="15"/>
  <c r="E8" i="15"/>
  <c r="E12" i="15"/>
  <c r="C17" i="15"/>
  <c r="C44" i="37"/>
  <c r="Q44" i="37"/>
  <c r="P10" i="30"/>
  <c r="H10" i="31"/>
  <c r="F4" i="27"/>
  <c r="F3" i="20"/>
  <c r="F3" i="24" s="1"/>
  <c r="F4" i="21"/>
  <c r="F16" i="21"/>
  <c r="E4" i="14"/>
  <c r="E4" i="17" s="1"/>
  <c r="E3" i="11"/>
  <c r="E3" i="14" s="1"/>
  <c r="C4" i="16"/>
  <c r="C3" i="9"/>
  <c r="C3" i="13" s="1"/>
  <c r="C4" i="10"/>
  <c r="O16" i="16"/>
  <c r="O16" i="10"/>
  <c r="O19" i="10"/>
  <c r="O29" i="10"/>
  <c r="N3" i="8"/>
  <c r="N29" i="15"/>
  <c r="G3" i="22"/>
  <c r="G3" i="25" s="1"/>
  <c r="G3" i="28" s="1"/>
  <c r="G4" i="25"/>
  <c r="G4" i="28" s="1"/>
  <c r="L19" i="27"/>
  <c r="L19" i="21"/>
  <c r="P19" i="27"/>
  <c r="P19" i="21"/>
  <c r="M3" i="19"/>
  <c r="C3" i="22"/>
  <c r="C3" i="25" s="1"/>
  <c r="C3" i="28" s="1"/>
  <c r="C4" i="25"/>
  <c r="C4" i="28" s="1"/>
  <c r="D4" i="21"/>
  <c r="D3" i="20"/>
  <c r="D3" i="24" s="1"/>
  <c r="L4" i="27"/>
  <c r="L4" i="21"/>
  <c r="L3" i="20"/>
  <c r="L3" i="24" s="1"/>
  <c r="I4" i="25"/>
  <c r="I4" i="28" s="1"/>
  <c r="I3" i="22"/>
  <c r="I3" i="25" s="1"/>
  <c r="I3" i="28" s="1"/>
  <c r="H16" i="27"/>
  <c r="H16" i="21"/>
  <c r="Q19" i="21"/>
  <c r="J19" i="21"/>
  <c r="J19" i="27"/>
  <c r="I19" i="16"/>
  <c r="I19" i="10"/>
  <c r="Q4" i="25"/>
  <c r="Q4" i="28" s="1"/>
  <c r="Q3" i="22"/>
  <c r="Q3" i="25" s="1"/>
  <c r="Q3" i="28" s="1"/>
  <c r="I19" i="25"/>
  <c r="I19" i="28" s="1"/>
  <c r="J3" i="20"/>
  <c r="J3" i="24" s="1"/>
  <c r="I29" i="27"/>
  <c r="I29" i="21"/>
  <c r="L29" i="21"/>
  <c r="Q16" i="10"/>
  <c r="B146" i="6"/>
  <c r="B170" i="6"/>
  <c r="B124" i="6"/>
  <c r="B133" i="6"/>
  <c r="B157" i="6"/>
  <c r="O3" i="8"/>
  <c r="O4" i="15"/>
  <c r="L4" i="14"/>
  <c r="L4" i="17" s="1"/>
  <c r="L3" i="11"/>
  <c r="L3" i="14" s="1"/>
  <c r="L3" i="17" s="1"/>
  <c r="P4" i="14"/>
  <c r="P4" i="17" s="1"/>
  <c r="P3" i="11"/>
  <c r="P3" i="14" s="1"/>
  <c r="P3" i="17" s="1"/>
  <c r="F30" i="17"/>
  <c r="L4" i="10"/>
  <c r="L4" i="16"/>
  <c r="L3" i="9"/>
  <c r="L3" i="13" s="1"/>
  <c r="N16" i="16"/>
  <c r="N16" i="10"/>
  <c r="F18" i="16"/>
  <c r="D27" i="16"/>
  <c r="F31" i="16"/>
  <c r="C16" i="15"/>
  <c r="E16" i="21"/>
  <c r="E19" i="10"/>
  <c r="J29" i="10"/>
  <c r="F5" i="16"/>
  <c r="F7" i="17"/>
  <c r="F10" i="17"/>
  <c r="N19" i="14"/>
  <c r="N19" i="17" s="1"/>
  <c r="H29" i="14"/>
  <c r="H29" i="17" s="1"/>
  <c r="N6" i="16"/>
  <c r="N8" i="16"/>
  <c r="N9" i="16"/>
  <c r="N10" i="16"/>
  <c r="N11" i="16"/>
  <c r="N12" i="16"/>
  <c r="N13" i="16"/>
  <c r="N14" i="16"/>
  <c r="N15" i="16"/>
  <c r="L16" i="10"/>
  <c r="F20" i="16"/>
  <c r="N21" i="16"/>
  <c r="F23" i="16"/>
  <c r="F28" i="16"/>
  <c r="L29" i="10"/>
  <c r="C8" i="15"/>
  <c r="G16" i="15"/>
  <c r="C26" i="15"/>
  <c r="G8" i="17"/>
  <c r="G17" i="17"/>
  <c r="M21" i="15"/>
  <c r="M25" i="15"/>
  <c r="G31" i="17"/>
  <c r="C9" i="15"/>
  <c r="G3" i="8"/>
  <c r="D3" i="11"/>
  <c r="G21" i="17"/>
  <c r="M8" i="15"/>
  <c r="M12" i="15"/>
  <c r="B44" i="37"/>
  <c r="J44" i="37"/>
  <c r="G44" i="37"/>
  <c r="E44" i="37"/>
  <c r="H31" i="37"/>
  <c r="L44" i="37"/>
  <c r="D4" i="25"/>
  <c r="D4" i="28" s="1"/>
  <c r="D3" i="22"/>
  <c r="D3" i="25" s="1"/>
  <c r="D3" i="28" s="1"/>
  <c r="P4" i="25"/>
  <c r="P4" i="28" s="1"/>
  <c r="P3" i="22"/>
  <c r="P3" i="25" s="1"/>
  <c r="P3" i="28" s="1"/>
  <c r="I27" i="26"/>
  <c r="G28" i="16"/>
  <c r="F28" i="15"/>
  <c r="C16" i="16"/>
  <c r="C16" i="10"/>
  <c r="C19" i="16"/>
  <c r="C19" i="10"/>
  <c r="C29" i="16"/>
  <c r="C29" i="10"/>
  <c r="B4" i="15"/>
  <c r="B3" i="8"/>
  <c r="B16" i="15"/>
  <c r="B19" i="15"/>
  <c r="B29" i="15"/>
  <c r="O3" i="22"/>
  <c r="O3" i="25" s="1"/>
  <c r="O3" i="28" s="1"/>
  <c r="O4" i="25"/>
  <c r="O4" i="28" s="1"/>
  <c r="I4" i="21"/>
  <c r="I3" i="20"/>
  <c r="I3" i="24" s="1"/>
  <c r="I4" i="27"/>
  <c r="C19" i="27"/>
  <c r="C19" i="21"/>
  <c r="K19" i="21"/>
  <c r="K29" i="21"/>
  <c r="K29" i="27"/>
  <c r="E4" i="26"/>
  <c r="E3" i="19"/>
  <c r="Q3" i="19"/>
  <c r="Q4" i="26"/>
  <c r="J19" i="25"/>
  <c r="J19" i="28" s="1"/>
  <c r="C4" i="21"/>
  <c r="C3" i="20"/>
  <c r="C3" i="24" s="1"/>
  <c r="C4" i="27"/>
  <c r="O4" i="27"/>
  <c r="O4" i="21"/>
  <c r="O3" i="20"/>
  <c r="O3" i="24" s="1"/>
  <c r="D16" i="27"/>
  <c r="D16" i="21"/>
  <c r="Q16" i="27"/>
  <c r="Q16" i="21"/>
  <c r="O29" i="21"/>
  <c r="O29" i="27"/>
  <c r="H4" i="26"/>
  <c r="H3" i="19"/>
  <c r="M31" i="17"/>
  <c r="G3" i="9"/>
  <c r="C7" i="16"/>
  <c r="G17" i="16"/>
  <c r="G18" i="16"/>
  <c r="C20" i="16"/>
  <c r="C21" i="16"/>
  <c r="C22" i="16"/>
  <c r="C23" i="16"/>
  <c r="C24" i="16"/>
  <c r="C25" i="16"/>
  <c r="C26" i="16"/>
  <c r="C27" i="16"/>
  <c r="C30" i="16"/>
  <c r="C31" i="16"/>
  <c r="C32" i="16"/>
  <c r="C33" i="16"/>
  <c r="H3" i="8"/>
  <c r="H3" i="12" s="1"/>
  <c r="H4" i="15"/>
  <c r="N5" i="15"/>
  <c r="N6" i="15"/>
  <c r="N7" i="15"/>
  <c r="N8" i="15"/>
  <c r="N9" i="15"/>
  <c r="N10" i="15"/>
  <c r="N11" i="15"/>
  <c r="N12" i="15"/>
  <c r="N13" i="15"/>
  <c r="N14" i="15"/>
  <c r="N15" i="15"/>
  <c r="F30" i="15"/>
  <c r="F31" i="15"/>
  <c r="F32" i="15"/>
  <c r="F33" i="15"/>
  <c r="F31" i="39"/>
  <c r="N31" i="39"/>
  <c r="D19" i="25"/>
  <c r="D19" i="28" s="1"/>
  <c r="P19" i="25"/>
  <c r="P19" i="28" s="1"/>
  <c r="D29" i="21"/>
  <c r="H29" i="27"/>
  <c r="H29" i="21"/>
  <c r="N29" i="21"/>
  <c r="D19" i="26"/>
  <c r="Q19" i="26"/>
  <c r="C4" i="14"/>
  <c r="C4" i="17" s="1"/>
  <c r="C3" i="11"/>
  <c r="C3" i="14" s="1"/>
  <c r="C3" i="17" s="1"/>
  <c r="G9" i="17"/>
  <c r="G20" i="17"/>
  <c r="C22" i="17"/>
  <c r="P4" i="15"/>
  <c r="P3" i="8"/>
  <c r="P3" i="12" s="1"/>
  <c r="P16" i="15"/>
  <c r="B162" i="6"/>
  <c r="B163" i="6"/>
  <c r="B164" i="6"/>
  <c r="B165" i="6"/>
  <c r="B149" i="6"/>
  <c r="B173" i="6"/>
  <c r="B145" i="6"/>
  <c r="B169" i="6"/>
  <c r="B123" i="6"/>
  <c r="B132" i="6"/>
  <c r="B156" i="6"/>
  <c r="B138" i="6"/>
  <c r="B139" i="6"/>
  <c r="B140" i="6"/>
  <c r="B141" i="6"/>
  <c r="M3" i="22"/>
  <c r="M3" i="25" s="1"/>
  <c r="M3" i="28" s="1"/>
  <c r="J10" i="16"/>
  <c r="J18" i="16"/>
  <c r="M25" i="16"/>
  <c r="C5" i="15"/>
  <c r="C6" i="17"/>
  <c r="C10" i="17"/>
  <c r="G23" i="17"/>
  <c r="P16" i="10"/>
  <c r="P29" i="10"/>
  <c r="O19" i="15"/>
  <c r="L6" i="26"/>
  <c r="L22" i="26"/>
  <c r="L18" i="26"/>
  <c r="L26" i="26"/>
  <c r="L31" i="27"/>
  <c r="L31" i="26"/>
  <c r="L10" i="27"/>
  <c r="K3" i="19"/>
  <c r="M19" i="26"/>
  <c r="M10" i="17"/>
  <c r="J13" i="16"/>
  <c r="N26" i="16"/>
  <c r="G21" i="15"/>
  <c r="G33" i="15"/>
  <c r="H4" i="14"/>
  <c r="H4" i="17" s="1"/>
  <c r="H3" i="11"/>
  <c r="H3" i="14" s="1"/>
  <c r="H3" i="17" s="1"/>
  <c r="B17" i="17"/>
  <c r="J30" i="17"/>
  <c r="F31" i="17"/>
  <c r="F32" i="17"/>
  <c r="B17" i="16"/>
  <c r="N17" i="16"/>
  <c r="N18" i="16"/>
  <c r="F29" i="10"/>
  <c r="B32" i="16"/>
  <c r="M3" i="8"/>
  <c r="M3" i="12" s="1"/>
  <c r="M4" i="15"/>
  <c r="M14" i="15"/>
  <c r="C18" i="15"/>
  <c r="M20" i="15"/>
  <c r="M26" i="15"/>
  <c r="K29" i="15"/>
  <c r="C32" i="15"/>
  <c r="K5" i="16"/>
  <c r="B90" i="6"/>
  <c r="J22" i="16"/>
  <c r="N28" i="16"/>
  <c r="G15" i="15"/>
  <c r="E4" i="10"/>
  <c r="P19" i="10"/>
  <c r="P19" i="16"/>
  <c r="M22" i="16"/>
  <c r="K7" i="16"/>
  <c r="B130" i="6"/>
  <c r="B154" i="6"/>
  <c r="B137" i="6"/>
  <c r="L23" i="26"/>
  <c r="M19" i="25"/>
  <c r="M19" i="28" s="1"/>
  <c r="L8" i="28"/>
  <c r="B7" i="16"/>
  <c r="J24" i="16"/>
  <c r="N30" i="16"/>
  <c r="G25" i="15"/>
  <c r="N6" i="17"/>
  <c r="J7" i="17"/>
  <c r="N8" i="17"/>
  <c r="N9" i="17"/>
  <c r="J10" i="17"/>
  <c r="P16" i="14"/>
  <c r="P16" i="17" s="1"/>
  <c r="F19" i="14"/>
  <c r="F19" i="17" s="1"/>
  <c r="N20" i="17"/>
  <c r="N21" i="17"/>
  <c r="N22" i="17"/>
  <c r="N23" i="17"/>
  <c r="N24" i="17"/>
  <c r="P29" i="14"/>
  <c r="P29" i="17" s="1"/>
  <c r="B5" i="16"/>
  <c r="N3" i="9"/>
  <c r="N3" i="13" s="1"/>
  <c r="N4" i="10"/>
  <c r="F6" i="16"/>
  <c r="F7" i="16"/>
  <c r="F8" i="16"/>
  <c r="M16" i="10"/>
  <c r="N19" i="10"/>
  <c r="F21" i="16"/>
  <c r="B24" i="16"/>
  <c r="F26" i="16"/>
  <c r="K5" i="15"/>
  <c r="C6" i="15"/>
  <c r="K6" i="15"/>
  <c r="K9" i="15"/>
  <c r="C10" i="15"/>
  <c r="K10" i="15"/>
  <c r="G12" i="15"/>
  <c r="C14" i="15"/>
  <c r="K15" i="15"/>
  <c r="K22" i="15"/>
  <c r="C24" i="15"/>
  <c r="K25" i="15"/>
  <c r="C28" i="15"/>
  <c r="K28" i="15"/>
  <c r="O7" i="16"/>
  <c r="B29" i="10"/>
  <c r="M23" i="15"/>
  <c r="M28" i="15"/>
  <c r="P4" i="16"/>
  <c r="C15" i="15"/>
  <c r="E9" i="16"/>
  <c r="C21" i="15"/>
  <c r="M32" i="15"/>
  <c r="M5" i="15"/>
  <c r="M9" i="15"/>
  <c r="M13" i="15"/>
  <c r="G3" i="13" l="1"/>
  <c r="Q3" i="13"/>
  <c r="Q3" i="12"/>
  <c r="D3" i="13"/>
  <c r="B57" i="6"/>
  <c r="B55" i="6"/>
  <c r="B61" i="6"/>
  <c r="B60" i="6"/>
  <c r="B168" i="6"/>
  <c r="B59" i="6"/>
  <c r="D3" i="12"/>
  <c r="D3" i="15" s="1"/>
  <c r="E3" i="23"/>
  <c r="E3" i="26" s="1"/>
  <c r="O3" i="12"/>
  <c r="O3" i="15" s="1"/>
  <c r="L3" i="12"/>
  <c r="L3" i="15" s="1"/>
  <c r="C3" i="23"/>
  <c r="C3" i="26" s="1"/>
  <c r="L3" i="23"/>
  <c r="L3" i="26" s="1"/>
  <c r="J3" i="12"/>
  <c r="J3" i="15" s="1"/>
  <c r="O3" i="23"/>
  <c r="O3" i="26" s="1"/>
  <c r="K3" i="23"/>
  <c r="K3" i="26" s="1"/>
  <c r="N3" i="12"/>
  <c r="N3" i="15" s="1"/>
  <c r="J3" i="23"/>
  <c r="J3" i="26" s="1"/>
  <c r="M3" i="23"/>
  <c r="M3" i="26" s="1"/>
  <c r="D3" i="23"/>
  <c r="D3" i="26" s="1"/>
  <c r="G3" i="23"/>
  <c r="G3" i="26" s="1"/>
  <c r="I3" i="12"/>
  <c r="I3" i="15" s="1"/>
  <c r="F3" i="12"/>
  <c r="F3" i="15" s="1"/>
  <c r="M3" i="13"/>
  <c r="Q3" i="23"/>
  <c r="Q3" i="26" s="1"/>
  <c r="B56" i="6"/>
  <c r="B99" i="6"/>
  <c r="B129" i="6" s="1"/>
  <c r="H3" i="23"/>
  <c r="H3" i="26" s="1"/>
  <c r="G3" i="12"/>
  <c r="G3" i="15" s="1"/>
  <c r="B3" i="12"/>
  <c r="B3" i="15" s="1"/>
  <c r="K3" i="12"/>
  <c r="K3" i="15" s="1"/>
  <c r="E3" i="12"/>
  <c r="E3" i="15" s="1"/>
  <c r="N3" i="23"/>
  <c r="N3" i="26" s="1"/>
  <c r="I3" i="23"/>
  <c r="I3" i="26" s="1"/>
  <c r="G3" i="14"/>
  <c r="G3" i="17" s="1"/>
  <c r="Q3" i="15"/>
  <c r="G29" i="17"/>
  <c r="O3" i="10"/>
  <c r="B3" i="10"/>
  <c r="H3" i="10"/>
  <c r="B3" i="16"/>
  <c r="Q3" i="14"/>
  <c r="Q3" i="17" s="1"/>
  <c r="D3" i="14"/>
  <c r="D3" i="17" s="1"/>
  <c r="E3" i="16"/>
  <c r="I3" i="27"/>
  <c r="I3" i="21"/>
  <c r="E3" i="17"/>
  <c r="Q3" i="27"/>
  <c r="Q3" i="21"/>
  <c r="J3" i="10"/>
  <c r="Q3" i="10"/>
  <c r="N3" i="27"/>
  <c r="N3" i="21"/>
  <c r="H3" i="27"/>
  <c r="H3" i="21"/>
  <c r="E3" i="27"/>
  <c r="E3" i="21"/>
  <c r="H3" i="16"/>
  <c r="D3" i="27"/>
  <c r="D3" i="21"/>
  <c r="F3" i="21"/>
  <c r="F3" i="27"/>
  <c r="K3" i="27"/>
  <c r="K3" i="21"/>
  <c r="C3" i="15"/>
  <c r="G3" i="27"/>
  <c r="G3" i="21"/>
  <c r="B143" i="6"/>
  <c r="B167" i="6"/>
  <c r="K3" i="10"/>
  <c r="N3" i="10"/>
  <c r="M3" i="10"/>
  <c r="O3" i="27"/>
  <c r="O3" i="21"/>
  <c r="C3" i="27"/>
  <c r="C3" i="21"/>
  <c r="P3" i="16"/>
  <c r="J3" i="21"/>
  <c r="J3" i="27"/>
  <c r="L3" i="27"/>
  <c r="L3" i="21"/>
  <c r="C3" i="10"/>
  <c r="D3" i="10"/>
  <c r="M3" i="21"/>
  <c r="M3" i="27"/>
  <c r="K3" i="16"/>
  <c r="P3" i="27"/>
  <c r="P3" i="21"/>
  <c r="E3" i="10"/>
  <c r="P3" i="15"/>
  <c r="H3" i="15"/>
  <c r="G3" i="10"/>
  <c r="P3" i="10"/>
  <c r="L3" i="10"/>
  <c r="I3" i="10"/>
  <c r="F3" i="10"/>
  <c r="K3" i="17"/>
  <c r="O3" i="16"/>
  <c r="B153" i="6" l="1"/>
  <c r="M3" i="16"/>
  <c r="N3" i="16"/>
  <c r="Q3" i="16"/>
  <c r="F3" i="16"/>
  <c r="I3" i="16"/>
  <c r="L3" i="16"/>
  <c r="G3" i="16"/>
  <c r="C3" i="16"/>
  <c r="M3" i="15"/>
  <c r="J3" i="16"/>
  <c r="D3" i="16"/>
  <c r="B23" i="4"/>
  <c r="B30" i="4"/>
  <c r="B37" i="4"/>
  <c r="B8" i="4"/>
  <c r="B7" i="4"/>
  <c r="B43" i="4"/>
  <c r="B13" i="4"/>
  <c r="B4" i="4"/>
  <c r="B15" i="4"/>
  <c r="B11" i="4"/>
  <c r="B21" i="4"/>
  <c r="B24" i="4"/>
  <c r="B25" i="4"/>
  <c r="B26" i="4"/>
  <c r="B36" i="4"/>
  <c r="B45" i="4"/>
  <c r="B35" i="4"/>
  <c r="B27" i="4"/>
  <c r="B22" i="4"/>
  <c r="B34" i="4"/>
  <c r="B29" i="4"/>
  <c r="B16" i="4"/>
  <c r="B20" i="4"/>
  <c r="B42" i="4"/>
  <c r="B28" i="4"/>
  <c r="B17" i="4"/>
  <c r="B9" i="4"/>
  <c r="B12" i="4"/>
  <c r="B33" i="4"/>
  <c r="B38" i="4"/>
  <c r="B39" i="4"/>
  <c r="B10" i="4"/>
  <c r="B44" i="4"/>
  <c r="B14" i="4"/>
  <c r="B31" i="6" l="1"/>
</calcChain>
</file>

<file path=xl/sharedStrings.xml><?xml version="1.0" encoding="utf-8"?>
<sst xmlns="http://schemas.openxmlformats.org/spreadsheetml/2006/main" count="2101" uniqueCount="1057">
  <si>
    <t>detailed split of CO2 emissions</t>
  </si>
  <si>
    <t>detailed split of useful energy demand</t>
  </si>
  <si>
    <t>detailed split of final energy consumption</t>
  </si>
  <si>
    <t>ICT and multimedia</t>
  </si>
  <si>
    <t>Miscellaneous building technologies</t>
  </si>
  <si>
    <t>Building lighting</t>
  </si>
  <si>
    <t>Street lighting</t>
  </si>
  <si>
    <t>Ventilation and others</t>
  </si>
  <si>
    <t>Services / specific electric uses</t>
  </si>
  <si>
    <t>Services sector: Specific electric uses</t>
  </si>
  <si>
    <t>Thermal energy service per useful surface area</t>
  </si>
  <si>
    <t>Final energy consumption per useful surface area</t>
  </si>
  <si>
    <t>Thermal energy service per building</t>
  </si>
  <si>
    <t>Final energy consumption per building</t>
  </si>
  <si>
    <t>System efficiency indicator of total stock</t>
  </si>
  <si>
    <t>Thermal energy service</t>
  </si>
  <si>
    <t>Final energy consumption</t>
  </si>
  <si>
    <t>Number of new and renovated buildings</t>
  </si>
  <si>
    <t>Services sector: Thermal uses in new and renovated buildings</t>
  </si>
  <si>
    <t>Number of buildings</t>
  </si>
  <si>
    <t>Services sector: Thermal uses</t>
  </si>
  <si>
    <t>Services sector summary</t>
  </si>
  <si>
    <t>Click on the link to jump to the sheet</t>
  </si>
  <si>
    <t>Energy intensity (toe/physical output index)</t>
  </si>
  <si>
    <t>Electricity</t>
  </si>
  <si>
    <t>Geothermal</t>
  </si>
  <si>
    <t>Solar</t>
  </si>
  <si>
    <t>LPG</t>
  </si>
  <si>
    <t>Liquids</t>
  </si>
  <si>
    <t>Solids</t>
  </si>
  <si>
    <t>Ratio of energy service to energy consumption (system efficiency indicator)</t>
  </si>
  <si>
    <t>Cooling</t>
  </si>
  <si>
    <t>Space heating</t>
  </si>
  <si>
    <t>Specific electricity uses</t>
  </si>
  <si>
    <t>Catering</t>
  </si>
  <si>
    <t>Hot water</t>
  </si>
  <si>
    <t>Thermal uses</t>
  </si>
  <si>
    <t>Emissions per capita (kg CO2 / capita)</t>
  </si>
  <si>
    <t>Thermal energy service per capita (kWh useful / capita)</t>
  </si>
  <si>
    <t>Energy consumption per capita (kWh / capita)</t>
  </si>
  <si>
    <t>Emissions per useful surface area (kg CO2 / sqm)</t>
  </si>
  <si>
    <t>Thermal energy service per useful surface area (kWh useful / sqm)</t>
  </si>
  <si>
    <t>Energy consumption per useful surface area (kWh / sqm)</t>
  </si>
  <si>
    <t>Emissions per building (kg CO2 / representative building cell)</t>
  </si>
  <si>
    <t>Thermal energy service per building (kWh useful / representative building cell)</t>
  </si>
  <si>
    <t>Energy consumption per building (kWh / representative building cell)</t>
  </si>
  <si>
    <t>Additional building indicators</t>
  </si>
  <si>
    <t>Share of emissions in end-uses (in %)</t>
  </si>
  <si>
    <t>Emissions by end-uses (kt of CO2)</t>
  </si>
  <si>
    <t>Liquid biofuels</t>
  </si>
  <si>
    <t>Biogas</t>
  </si>
  <si>
    <t>Renewable energies and wastes</t>
  </si>
  <si>
    <t>Liquified petroleum gas (LPG)</t>
  </si>
  <si>
    <t>Emissions by fuel - Eurostat structure (kt of CO2)</t>
  </si>
  <si>
    <t>Emissions</t>
  </si>
  <si>
    <t>Shares of energy consumption in end-uses (in %)</t>
  </si>
  <si>
    <t>Energy consumption by end-uses (ktoe)</t>
  </si>
  <si>
    <t>Energy consumption by fuel - Eurostat structure (ktoe)</t>
  </si>
  <si>
    <t>Energy consumption</t>
  </si>
  <si>
    <t>New and renovated buildings useful surface area (in sqm/representative building cell)</t>
  </si>
  <si>
    <t>Services useful surface area (in sqm/representative building cell)</t>
  </si>
  <si>
    <t>Services useful surface area (in sqm/employee)</t>
  </si>
  <si>
    <t>Services useful surface area (in sqm/capita)</t>
  </si>
  <si>
    <t>Representative building cell size (employees/representative building cell)</t>
  </si>
  <si>
    <t>Indicators</t>
  </si>
  <si>
    <t>Relative heating degree-days</t>
  </si>
  <si>
    <t>Actual heating degree-days</t>
  </si>
  <si>
    <t>New and renovated buildings useful surface area (in 000 sqm)</t>
  </si>
  <si>
    <t>Total services useful surface area (in 000 sqm)</t>
  </si>
  <si>
    <t>Number of representative building cells</t>
  </si>
  <si>
    <t>Employment data (employees)</t>
  </si>
  <si>
    <t>Population (inhabitants)</t>
  </si>
  <si>
    <t>Electric space cooling</t>
  </si>
  <si>
    <t>Gas heat pumps</t>
  </si>
  <si>
    <t>Space cooling</t>
  </si>
  <si>
    <t>Circulation, other electricity</t>
  </si>
  <si>
    <t>Conventional electric heating</t>
  </si>
  <si>
    <t>Advanced electric heating</t>
  </si>
  <si>
    <t>Conventional gas heaters</t>
  </si>
  <si>
    <t>Stock of buildings</t>
  </si>
  <si>
    <t>Electricity in circulation and other use</t>
  </si>
  <si>
    <t>Final energy consumption (ktoe)</t>
  </si>
  <si>
    <t>Thermal energy service (ktoe useful)</t>
  </si>
  <si>
    <t>Ratio of energy service to energy consumption</t>
  </si>
  <si>
    <t>CO2 emissions (kt CO2)</t>
  </si>
  <si>
    <t>Solar (as of solar equiped buildings)</t>
  </si>
  <si>
    <t>Solar (as of total)</t>
  </si>
  <si>
    <t>Final energy consumption (kWh / representative building cell)</t>
  </si>
  <si>
    <t>Thermal energy service (kWh useful / representative building cell)</t>
  </si>
  <si>
    <t>CO2 emissions (kg CO2 / representative building cell)</t>
  </si>
  <si>
    <t>Final energy consumption (kWh / sqm)</t>
  </si>
  <si>
    <t>Thermal energy service (kWh useful / sqm)</t>
  </si>
  <si>
    <t>CO2 emissions (kg CO2 / sqm)</t>
  </si>
  <si>
    <t>ICT and multimedia (unit per capita)</t>
  </si>
  <si>
    <t>Miscellaneous building technologies (sqm per building cell)</t>
  </si>
  <si>
    <t>Street lighting (unit per capita)</t>
  </si>
  <si>
    <t>Ventilation and others (sqm per building cell)</t>
  </si>
  <si>
    <t>Penetration factor</t>
  </si>
  <si>
    <t>ICT and multimedia (W per appliance)</t>
  </si>
  <si>
    <t>Miscellaneous building technologies (W per serviced m2)</t>
  </si>
  <si>
    <t>Street lighting (W per appliance)</t>
  </si>
  <si>
    <t>Ventilation and others (W per serviced m2)</t>
  </si>
  <si>
    <t>W per new appliance (in average operating mode)</t>
  </si>
  <si>
    <t>W per appliance (in average operating mode)</t>
  </si>
  <si>
    <t>Operating hours per appliance</t>
  </si>
  <si>
    <t>Number of replaced appliances</t>
  </si>
  <si>
    <t>Number of new appliances</t>
  </si>
  <si>
    <t>Stock of appliances</t>
  </si>
  <si>
    <t>Total MW installed (in average operating mode)</t>
  </si>
  <si>
    <t>Lumens per useful surface area (lumen per sqm)</t>
  </si>
  <si>
    <t>Emission intensity (kt of CO2 / ktoe)</t>
  </si>
  <si>
    <t>Useful energy demand intensity (toe useful / physical output index)</t>
  </si>
  <si>
    <t>Energy intensity (toe / physical output index)</t>
  </si>
  <si>
    <t>Residual fuel oil and other liquids</t>
  </si>
  <si>
    <t>by fuel (EUROSTAT DATA)</t>
  </si>
  <si>
    <t>Energy consumption (ktoe)</t>
  </si>
  <si>
    <t>Idle capacity (production index)</t>
  </si>
  <si>
    <t>Decommissioned capacity (production index)</t>
  </si>
  <si>
    <t>Capacity investment (production index)</t>
  </si>
  <si>
    <t>Installed capacity (production index)</t>
  </si>
  <si>
    <t>Physical output (index)</t>
  </si>
  <si>
    <t>Specific heat uses</t>
  </si>
  <si>
    <t>Low enthalpy heat</t>
  </si>
  <si>
    <t>Motor drives</t>
  </si>
  <si>
    <t>Ventilation</t>
  </si>
  <si>
    <t>Lighting</t>
  </si>
  <si>
    <t>Agriculture, forestry and fishing</t>
  </si>
  <si>
    <t>Market shares of energy uses (%)</t>
  </si>
  <si>
    <t>Biomass</t>
  </si>
  <si>
    <t>Fuel oil and other liquids</t>
  </si>
  <si>
    <t>Detailed split of energy consumption (ktoe)</t>
  </si>
  <si>
    <t>Ratio of useful energy demand to final energy consumption (system efficiency indicator)</t>
  </si>
  <si>
    <t>Market shares of useful energy demand (%)</t>
  </si>
  <si>
    <t>Detailed split of useful energy demand (ktoe)</t>
  </si>
  <si>
    <t>Emission intensity (kt of CO2 per ktoe)</t>
  </si>
  <si>
    <t>Market shares of CO2 emissions by subsector (%)</t>
  </si>
  <si>
    <t>Detailed split of CO2 emissions by subsector (kt of CO2)</t>
  </si>
  <si>
    <t>Services and Agriculture sector</t>
  </si>
  <si>
    <t>Legal Notice</t>
  </si>
  <si>
    <t>Neither the European Commission nor any person acting on behalf of the Commission is responsible for the use which might be made of this information.</t>
  </si>
  <si>
    <t>Building lighting (W per appliance)</t>
  </si>
  <si>
    <t>Building lighting (unit per building cell)</t>
  </si>
  <si>
    <t>Prepared by JRC C.6</t>
  </si>
  <si>
    <t>The information made available is property of the Joint Research Centre of the European Commission.</t>
  </si>
  <si>
    <t>Use conditions</t>
  </si>
  <si>
    <t>This work is licensed under</t>
  </si>
  <si>
    <t>CC BY 4.0</t>
  </si>
  <si>
    <t>Mean heating degree-days over period 2000- 2020</t>
  </si>
  <si>
    <t>Value added per capita relative to EU</t>
  </si>
  <si>
    <t>Natural gas</t>
  </si>
  <si>
    <t>Code</t>
  </si>
  <si>
    <t>Ambient heat</t>
  </si>
  <si>
    <t>Solar and geothermal</t>
  </si>
  <si>
    <r>
      <t>CO</t>
    </r>
    <r>
      <rPr>
        <vertAlign val="subscript"/>
        <sz val="9"/>
        <color rgb="FF050505"/>
        <rFont val="Calibri"/>
        <family val="2"/>
        <scheme val="minor"/>
      </rPr>
      <t>2</t>
    </r>
    <r>
      <rPr>
        <sz val="9"/>
        <color rgb="FF050505"/>
        <rFont val="Calibri"/>
        <family val="2"/>
        <scheme val="minor"/>
      </rPr>
      <t xml:space="preserve"> emissions</t>
    </r>
  </si>
  <si>
    <r>
      <t>CO</t>
    </r>
    <r>
      <rPr>
        <vertAlign val="subscript"/>
        <sz val="9"/>
        <color rgb="FF050505"/>
        <rFont val="Calibri"/>
        <family val="2"/>
        <scheme val="minor"/>
      </rPr>
      <t>2</t>
    </r>
    <r>
      <rPr>
        <sz val="9"/>
        <color rgb="FF050505"/>
        <rFont val="Calibri"/>
        <family val="2"/>
        <scheme val="minor"/>
      </rPr>
      <t xml:space="preserve"> emissions per building</t>
    </r>
  </si>
  <si>
    <r>
      <t>CO</t>
    </r>
    <r>
      <rPr>
        <vertAlign val="subscript"/>
        <sz val="9"/>
        <color rgb="FF050505"/>
        <rFont val="Calibri"/>
        <family val="2"/>
        <scheme val="minor"/>
      </rPr>
      <t>2</t>
    </r>
    <r>
      <rPr>
        <sz val="9"/>
        <color rgb="FF050505"/>
        <rFont val="Calibri"/>
        <family val="2"/>
        <scheme val="minor"/>
      </rPr>
      <t xml:space="preserve"> emissions per useful surface area</t>
    </r>
  </si>
  <si>
    <t>Street lighting (thousand units)</t>
  </si>
  <si>
    <t>ICT and multimedia (thousand units)</t>
  </si>
  <si>
    <t>Ventilation and others (serviced million m2)</t>
  </si>
  <si>
    <t>Miscellaneous building technologies (serviced million m2)</t>
  </si>
  <si>
    <t>Building lighting (million units)</t>
  </si>
  <si>
    <t>Diesel oil</t>
  </si>
  <si>
    <t>Distributed heat</t>
  </si>
  <si>
    <t>Diesel oil and other liquids (without biofuels)</t>
  </si>
  <si>
    <t>Biomass and waste</t>
  </si>
  <si>
    <t>Diesel oil (without biofuels)</t>
  </si>
  <si>
    <t>Diesel oil and liquid biofuels</t>
  </si>
  <si>
    <t>Pumping devices (diesel oil and liquid biofuels)</t>
  </si>
  <si>
    <t>Farming machine drives (diesel oil and liquid biofuels)</t>
  </si>
  <si>
    <t>Natural gas and biogas</t>
  </si>
  <si>
    <t>Pumping devices (electricity)</t>
  </si>
  <si>
    <t>Commercial refrigeration</t>
  </si>
  <si>
    <t>Commercial refrigeration (thousand units)</t>
  </si>
  <si>
    <t>Commercial refrigeration (W per appliance)</t>
  </si>
  <si>
    <t>Commercial refrigeration (unit per capita)</t>
  </si>
  <si>
    <t>Agriculture, forestry and fishing summary</t>
  </si>
  <si>
    <t>JRC-IDEES-2023 - Integrated Database of the European Energy System</t>
  </si>
  <si>
    <t>v2023-1.00</t>
  </si>
  <si>
    <t>Gross domestic product (M€2023)</t>
  </si>
  <si>
    <t>Value added (M€2023)</t>
  </si>
  <si>
    <t>GDP per capita (€2023)</t>
  </si>
  <si>
    <t>Value added per employee (€2023)</t>
  </si>
  <si>
    <t>Value added per capita (€2023)</t>
  </si>
  <si>
    <t>Value added intensity (toe / M€2023)</t>
  </si>
  <si>
    <t>Data centers - final energy consumption (ktoe)</t>
  </si>
  <si>
    <t>RO</t>
  </si>
  <si>
    <t>Romania</t>
  </si>
  <si>
    <t>RO - Services sector summary</t>
  </si>
  <si>
    <t>Macro.number.RO.Population</t>
  </si>
  <si>
    <t>Macro.Meuro2015.RO.GDP</t>
  </si>
  <si>
    <t>Macro.Meuro2015.RO.VA</t>
  </si>
  <si>
    <t>Macro.number.RO.Employees</t>
  </si>
  <si>
    <t>NUM.number.RO.Ser.Bld</t>
  </si>
  <si>
    <t>SurfaceArea.ksqm.RO.Ser.Bld</t>
  </si>
  <si>
    <t>NUM.number.RO.Ser.BldNew</t>
  </si>
  <si>
    <t>SurfaceArea.ksqm.RO.Ser.BldNew</t>
  </si>
  <si>
    <t>HDD.Celsius.RO.Actual</t>
  </si>
  <si>
    <t>HDD.Celsius.RO.Mean</t>
  </si>
  <si>
    <t>HDD.ratio.RO.Relative</t>
  </si>
  <si>
    <t>FEC.ktoe.RO.ES.Ser</t>
  </si>
  <si>
    <t>FEC.ktoe.RO.ES.Ser.Solids</t>
  </si>
  <si>
    <t>FEC.ktoe.RO.ES.Ser.LPG</t>
  </si>
  <si>
    <t>FEC.ktoe.RO.ES.Ser.Oil</t>
  </si>
  <si>
    <t>FEC.ktoe.RO.ES.Ser.NG</t>
  </si>
  <si>
    <t>FEC.ktoe.RO.ES.Ser.Biomass_Waste</t>
  </si>
  <si>
    <t>FEC.ktoe.RO.ES.Ser.Biogas</t>
  </si>
  <si>
    <t>FEC.ktoe.RO.ES.Ser.LiqBio</t>
  </si>
  <si>
    <t>FEC.ktoe.RO.ES.Ser.Solar</t>
  </si>
  <si>
    <t>FEC.ktoe.RO.ES.Ser.Geo</t>
  </si>
  <si>
    <t>FEC.ktoe.RO.ES.Ser.Ambient</t>
  </si>
  <si>
    <t>FEC.ktoe.RO.ES.Ser.Steam_Distr</t>
  </si>
  <si>
    <t>FEC.ktoe.RO.ES.Ser.Elec</t>
  </si>
  <si>
    <t>FEC.ktoe.RO.Ser</t>
  </si>
  <si>
    <t>FEC.ktoe.RO.Ser.Bld.Thermal</t>
  </si>
  <si>
    <t>FEC.ktoe.RO.Ser.Bld.Thermal.SH</t>
  </si>
  <si>
    <t>FEC.ktoe.RO.Ser.Bld.Thermal.SC</t>
  </si>
  <si>
    <t>FEC.ktoe.RO.Ser.Bld.Thermal.HW</t>
  </si>
  <si>
    <t>FEC.ktoe.RO.Ser.Bld.Thermal.CA</t>
  </si>
  <si>
    <t>FEC.ktoe.RO.Ser.SEU</t>
  </si>
  <si>
    <t>EMI.ktCO2.RO.ES.Ser</t>
  </si>
  <si>
    <t>EMI.ktCO2.RO.ES.Ser.Solids</t>
  </si>
  <si>
    <t>EMI.ktCO2.RO.ES.Ser.LPG</t>
  </si>
  <si>
    <t>EMI.ktCO2.RO.ES.Ser.Oil</t>
  </si>
  <si>
    <t>EMI.ktCO2.RO.ES.Ser.NG</t>
  </si>
  <si>
    <t>EMI.ktCO2.RO.ES.Ser.Biomass_Waste</t>
  </si>
  <si>
    <t>EMI.ktCO2.RO.ES.Ser.Biogas</t>
  </si>
  <si>
    <t>EMI.ktCO2.RO.ES.Ser.LiqBio</t>
  </si>
  <si>
    <t>EMI.ktCO2.RO.ES.Ser.Solar</t>
  </si>
  <si>
    <t>EMI.ktCO2.RO.ES.Ser.Geo</t>
  </si>
  <si>
    <t>EMI.ktCO2.RO.ES.Ser.Ambient</t>
  </si>
  <si>
    <t>EMI.ktCO2.RO.ES.Ser.Steam_Distr</t>
  </si>
  <si>
    <t>EMI.ktCO2.RO.ES.Ser.Elec</t>
  </si>
  <si>
    <t>EMI.ktCO2.RO.Ser</t>
  </si>
  <si>
    <t>EMI.ktCO2.RO.Ser.Bld.Thermal</t>
  </si>
  <si>
    <t>EMI.ktCO2.RO.Ser.Bld.Thermal.SH</t>
  </si>
  <si>
    <t>EMI.ktCO2.RO.Ser.Bld.Thermal.SC</t>
  </si>
  <si>
    <t>EMI.ktCO2.RO.Ser.Bld.Thermal.HW</t>
  </si>
  <si>
    <t>EMI.ktCO2.RO.Ser.Bld.Thermal.CA</t>
  </si>
  <si>
    <t>EMI.ktCO2.RO.Ser.SEU</t>
  </si>
  <si>
    <t>Eff.ratio.RO.Ser.Bld.Thermal</t>
  </si>
  <si>
    <t>Eff.ratio.RO.Ser.Bld.Thermal.SH</t>
  </si>
  <si>
    <t>Eff.ratio.RO.Ser.Bld.Thermal.SC</t>
  </si>
  <si>
    <t>Eff.ratio.RO.Ser.Bld.Thermal.HW</t>
  </si>
  <si>
    <t>Eff.ratio.RO.Ser.Bld.Thermal.CA</t>
  </si>
  <si>
    <t>RO - Number of buildings</t>
  </si>
  <si>
    <t>NUM.number.RO.Ser.Bld.Thermal</t>
  </si>
  <si>
    <t>NUM.number.RO.Ser.Bld.Thermal.SH</t>
  </si>
  <si>
    <t>NUM.number.RO.Ser.Bld.Thermal.SH.Solids</t>
  </si>
  <si>
    <t>NUM.number.RO.Ser.Bld.Thermal.SH.LPG</t>
  </si>
  <si>
    <t>NUM.number.RO.Ser.Bld.Thermal.SH.Oil</t>
  </si>
  <si>
    <t>NUM.number.RO.Ser.Bld.Thermal.SH.GasHP</t>
  </si>
  <si>
    <t>NUM.number.RO.Ser.Bld.Thermal.SH.GasTH</t>
  </si>
  <si>
    <t>NUM.number.RO.Ser.Bld.Thermal.SH.Biomass</t>
  </si>
  <si>
    <t>NUM.number.RO.Ser.Bld.Thermal.SH.Geo</t>
  </si>
  <si>
    <t>NUM.number.RO.Ser.Bld.Thermal.SH.DistrHeat</t>
  </si>
  <si>
    <t>NUM.number.RO.Ser.Bld.Thermal.SH.AdvElc</t>
  </si>
  <si>
    <t>NUM.number.RO.Ser.Bld.Thermal.SH.ConvElc</t>
  </si>
  <si>
    <t>NUM.number.RO.Ser.Bld.Thermal.SC</t>
  </si>
  <si>
    <t>NUM.number.RO.Ser.Bld.Thermal.SC.GasHP</t>
  </si>
  <si>
    <t>NUM.number.RO.Ser.Bld.Thermal.SC.AC</t>
  </si>
  <si>
    <t>NUM.number.RO.Ser.Bld.Thermal.HW</t>
  </si>
  <si>
    <t>NUM.number.RO.Ser.Bld.Thermal.HW.Solids</t>
  </si>
  <si>
    <t>NUM.number.RO.Ser.Bld.Thermal.HW.LPG</t>
  </si>
  <si>
    <t>NUM.number.RO.Ser.Bld.Thermal.HW.Oil</t>
  </si>
  <si>
    <t>NUM.number.RO.Ser.Bld.Thermal.HW.Gas</t>
  </si>
  <si>
    <t>NUM.number.RO.Ser.Bld.Thermal.HW.Biomass</t>
  </si>
  <si>
    <t>NUM.number.RO.Ser.Bld.Thermal.HW.DistrHeat</t>
  </si>
  <si>
    <t>NUM.number.RO.Ser.Bld.Thermal.HW.Elc</t>
  </si>
  <si>
    <t>NUM.number.RO.Ser.Bld.Thermal.HW.Solar</t>
  </si>
  <si>
    <t>NUM.number.RO.Ser.Bld.Thermal.CA</t>
  </si>
  <si>
    <t>NUM.number.RO.Ser.Bld.Thermal.CA.LPG</t>
  </si>
  <si>
    <t>NUM.number.RO.Ser.Bld.Thermal.CA.Gas</t>
  </si>
  <si>
    <t>NUM.number.RO.Ser.Bld.Thermal.CA.Biomass</t>
  </si>
  <si>
    <t>NUM.number.RO.Ser.Bld.Thermal.CA.Elc</t>
  </si>
  <si>
    <t>RO - Final energy consumption</t>
  </si>
  <si>
    <t>FEC.ktoe.RO.Ser.Bld.Thermal.SH.Solids.Solids</t>
  </si>
  <si>
    <t>FEC.ktoe.RO.Ser.Bld.Thermal.SH.LPG.LPG</t>
  </si>
  <si>
    <t>FEC.ktoe.RO.Ser.Bld.Thermal.SH.Oil.Oil_LiqBio</t>
  </si>
  <si>
    <t>FEC.ktoe.RO.Ser.Bld.Thermal.SH.GasHP.NG_Biogas</t>
  </si>
  <si>
    <t>FEC.ktoe.RO.Ser.Bld.Thermal.SH.GasTH.NG_Biogas</t>
  </si>
  <si>
    <t>FEC.ktoe.RO.Ser.Bld.Thermal.SH.Biomass.Biomass_Waste</t>
  </si>
  <si>
    <t>FEC.ktoe.RO.Ser.Bld.Thermal.SH.Geo.Geo</t>
  </si>
  <si>
    <t>FEC.ktoe.RO.Ser.Bld.Thermal.SH.DistrHeat.Steam_Distr</t>
  </si>
  <si>
    <t>FEC.ktoe.RO.Ser.Bld.Thermal.SH.AdvElc.Elec</t>
  </si>
  <si>
    <t>FEC.ktoe.RO.Ser.Bld.Thermal.SH.ConvElc.Elec</t>
  </si>
  <si>
    <t>FEC.ktoe.RO.Ser.Bld.Thermal.SH.TotalCirculation.Elec</t>
  </si>
  <si>
    <t>FEC.ktoe.RO.Ser.Bld.Thermal.SC.GasHP.NG_Biogas</t>
  </si>
  <si>
    <t>FEC.ktoe.RO.Ser.Bld.Thermal.SC.AC.Elec</t>
  </si>
  <si>
    <t>FEC.ktoe.RO.Ser.Bld.Thermal.HW.Solids.Solids</t>
  </si>
  <si>
    <t>FEC.ktoe.RO.Ser.Bld.Thermal.HW.LPG.LPG</t>
  </si>
  <si>
    <t>FEC.ktoe.RO.Ser.Bld.Thermal.HW.Oil.Oil_LiqBio</t>
  </si>
  <si>
    <t>FEC.ktoe.RO.Ser.Bld.Thermal.HW.Gas.NG_Biogas</t>
  </si>
  <si>
    <t>FEC.ktoe.RO.Ser.Bld.Thermal.HW.Biomass.Biomass_Waste</t>
  </si>
  <si>
    <t>FEC.ktoe.RO.Ser.Bld.Thermal.HW.DistrHeat.Steam_Distr</t>
  </si>
  <si>
    <t>FEC.ktoe.RO.Ser.Bld.Thermal.HW.Elc.Elec</t>
  </si>
  <si>
    <t>FEC.ktoe.RO.Ser.Bld.Thermal.HW.TotalSolar.Solar</t>
  </si>
  <si>
    <t>FEC.ktoe.RO.Ser.Bld.Thermal.CA.LPG</t>
  </si>
  <si>
    <t>FEC.ktoe.RO.Ser.Bld.Thermal.CA.Gas.NG_Biogas</t>
  </si>
  <si>
    <t>FEC.ktoe.RO.Ser.Bld.Thermal.CA.Biomass.Biomass_Waste</t>
  </si>
  <si>
    <t>FEC.ktoe.RO.Ser.Bld.Thermal.CA.Elc.Elec</t>
  </si>
  <si>
    <t>RO - Thermal energy service</t>
  </si>
  <si>
    <t>TES.ktoe.RO.Ser.Bld.Thermal</t>
  </si>
  <si>
    <t>TES.ktoe.RO.Ser.Bld.Thermal.SH</t>
  </si>
  <si>
    <t>TES.ktoe.RO.Ser.Bld.Thermal.SH.Solids.Solids</t>
  </si>
  <si>
    <t>TES.ktoe.RO.Ser.Bld.Thermal.SH.LPG.LPG</t>
  </si>
  <si>
    <t>TES.ktoe.RO.Ser.Bld.Thermal.SH.Oil.Oil_LiqBio</t>
  </si>
  <si>
    <t>TES.ktoe.RO.Ser.Bld.Thermal.SH.GasHP.NG_Biogas</t>
  </si>
  <si>
    <t>TES.ktoe.RO.Ser.Bld.Thermal.SH.GasTH.NG_Biogas</t>
  </si>
  <si>
    <t>TES.ktoe.RO.Ser.Bld.Thermal.SH.Biomass.Biomass_Waste</t>
  </si>
  <si>
    <t>TES.ktoe.RO.Ser.Bld.Thermal.SH.Geo.Geo</t>
  </si>
  <si>
    <t>TES.ktoe.RO.Ser.Bld.Thermal.SH.DistrHeat.Steam_Distr</t>
  </si>
  <si>
    <t>TES.ktoe.RO.Ser.Bld.Thermal.SH.AdvElc.Elec</t>
  </si>
  <si>
    <t>TES.ktoe.RO.Ser.Bld.Thermal.SH.ConvElc.Elec</t>
  </si>
  <si>
    <t>TES.ktoe.RO.Ser.Bld.Thermal.SH.TotalCirculation.Elec</t>
  </si>
  <si>
    <t>TES.ktoe.RO.Ser.Bld.Thermal.SC</t>
  </si>
  <si>
    <t>TES.ktoe.RO.Ser.Bld.Thermal.SC.GasHP.NG_Biogas</t>
  </si>
  <si>
    <t>TES.ktoe.RO.Ser.Bld.Thermal.SC.AC.Elec</t>
  </si>
  <si>
    <t>TES.ktoe.RO.Ser.Bld.Thermal.HW</t>
  </si>
  <si>
    <t>TES.ktoe.RO.Ser.Bld.Thermal.HW.Solids.Solids</t>
  </si>
  <si>
    <t>TES.ktoe.RO.Ser.Bld.Thermal.HW.LPG.LPG</t>
  </si>
  <si>
    <t>TES.ktoe.RO.Ser.Bld.Thermal.HW.Oil.Oil_LiqBio</t>
  </si>
  <si>
    <t>TES.ktoe.RO.Ser.Bld.Thermal.HW.Gas.NG_Biogas</t>
  </si>
  <si>
    <t>TES.ktoe.RO.Ser.Bld.Thermal.HW.Biomass.Biomass_Waste</t>
  </si>
  <si>
    <t>TES.ktoe.RO.Ser.Bld.Thermal.HW.DistrHeat.Steam_Distr</t>
  </si>
  <si>
    <t>TES.ktoe.RO.Ser.Bld.Thermal.HW.Elc.Elec</t>
  </si>
  <si>
    <t>TES.ktoe.RO.Ser.Bld.Thermal.HW.TotalSolar.Solar</t>
  </si>
  <si>
    <t>TES.ktoe.RO.Ser.Bld.Thermal.CA</t>
  </si>
  <si>
    <t>TES.ktoe.RO.Ser.Bld.Thermal.CA.LPG</t>
  </si>
  <si>
    <t>TES.ktoe.RO.Ser.Bld.Thermal.CA.Gas.NG_Biogas</t>
  </si>
  <si>
    <t>TES.ktoe.RO.Ser.Bld.Thermal.CA.Biomass.Biomass_Waste</t>
  </si>
  <si>
    <t>TES.ktoe.RO.Ser.Bld.Thermal.CA.Elc.Elec</t>
  </si>
  <si>
    <t>RO - System efficiency indicator of total stock</t>
  </si>
  <si>
    <t>Eff.ratio.RO.Ser.Bld.Thermal.SH.Solids.Solids</t>
  </si>
  <si>
    <t>Eff.ratio.RO.Ser.Bld.Thermal.SH.LPG.LPG</t>
  </si>
  <si>
    <t>Eff.ratio.RO.Ser.Bld.Thermal.SH.Oil.Oil_LiqBio</t>
  </si>
  <si>
    <t>Eff.ratio.RO.Ser.Bld.Thermal.SH.GasHP.NG_Biogas</t>
  </si>
  <si>
    <t>Eff.ratio.RO.Ser.Bld.Thermal.SH.GasTH.NG_Biogas</t>
  </si>
  <si>
    <t>Eff.ratio.RO.Ser.Bld.Thermal.SH.Biomass.Biomass_Waste</t>
  </si>
  <si>
    <t>Eff.ratio.RO.Ser.Bld.Thermal.SH.Geo.Geo</t>
  </si>
  <si>
    <t>Eff.ratio.RO.Ser.Bld.Thermal.SH.DistrHeat.Steam_Distr</t>
  </si>
  <si>
    <t>Eff.ratio.RO.Ser.Bld.Thermal.SH.AdvElc.Elec</t>
  </si>
  <si>
    <t>Eff.ratio.RO.Ser.Bld.Thermal.SH.ConvElc.Elec</t>
  </si>
  <si>
    <t>Eff.ratio.RO.Ser.Bld.Thermal.SH.TotalCirculation.Elec</t>
  </si>
  <si>
    <t>Eff.ratio.RO.Ser.Bld.Thermal.SC.GasHP.NG_Biogas</t>
  </si>
  <si>
    <t>Eff.ratio.RO.Ser.Bld.Thermal.SC.AC.Elec</t>
  </si>
  <si>
    <t>Eff.ratio.RO.Ser.Bld.Thermal.HW.Solids.Solids</t>
  </si>
  <si>
    <t>Eff.ratio.RO.Ser.Bld.Thermal.HW.LPG.LPG</t>
  </si>
  <si>
    <t>Eff.ratio.RO.Ser.Bld.Thermal.HW.Oil.Oil_LiqBio</t>
  </si>
  <si>
    <t>Eff.ratio.RO.Ser.Bld.Thermal.HW.Gas.NG_Biogas</t>
  </si>
  <si>
    <t>Eff.ratio.RO.Ser.Bld.Thermal.HW.Biomass.Biomass_Waste</t>
  </si>
  <si>
    <t>Eff.ratio.RO.Ser.Bld.Thermal.HW.DistrHeat.Steam_Distr</t>
  </si>
  <si>
    <t>Eff.ratio.RO.Ser.Bld.Thermal.HW.Elc.Elec</t>
  </si>
  <si>
    <t>Eff.ratio.RO.Ser.Bld.Thermal.HW.TotalSolar.Solar</t>
  </si>
  <si>
    <t>Eff.ratio.RO.Ser.Bld.Thermal.CA.LPG</t>
  </si>
  <si>
    <t>Eff.ratio.RO.Ser.Bld.Thermal.CA.Gas.NG_Biogas</t>
  </si>
  <si>
    <t>Eff.ratio.RO.Ser.Bld.Thermal.CA.Biomass.Biomass_Waste</t>
  </si>
  <si>
    <t>Eff.ratio.RO.Ser.Bld.Thermal.CA.Elc.Elec</t>
  </si>
  <si>
    <t>RO - CO2 emissions</t>
  </si>
  <si>
    <t>EMI.ktCO2.RO.Ser.Bld.Thermal.SH.Solids.Solids</t>
  </si>
  <si>
    <t>EMI.ktCO2.RO.Ser.Bld.Thermal.SH.LPG.LPG</t>
  </si>
  <si>
    <t>EMI.ktCO2.RO.Ser.Bld.Thermal.SH.Oil.Oil_LiqBio</t>
  </si>
  <si>
    <t>EMI.ktCO2.RO.Ser.Bld.Thermal.SH.GasHP.NG_Biogas</t>
  </si>
  <si>
    <t>EMI.ktCO2.RO.Ser.Bld.Thermal.SH.GasTH.NG_Biogas</t>
  </si>
  <si>
    <t>EMI.ktCO2.RO.Ser.Bld.Thermal.SH.Biomass.Biomass_Waste</t>
  </si>
  <si>
    <t>EMI.ktCO2.RO.Ser.Bld.Thermal.SH.Geo.Geo</t>
  </si>
  <si>
    <t>EMI.ktCO2.RO.Ser.Bld.Thermal.SH.DistrHeat.Steam_Distr</t>
  </si>
  <si>
    <t>EMI.ktCO2.RO.Ser.Bld.Thermal.SH.AdvElc.Elec</t>
  </si>
  <si>
    <t>EMI.ktCO2.RO.Ser.Bld.Thermal.SH.ConvElc.Elec</t>
  </si>
  <si>
    <t>EMI.ktCO2.RO.Ser.Bld.Thermal.SH.TotalCirculation.Elec</t>
  </si>
  <si>
    <t>EMI.ktCO2.RO.Ser.Bld.Thermal.SC.GasHP.NG_Biogas</t>
  </si>
  <si>
    <t>EMI.ktCO2.RO.Ser.Bld.Thermal.SC.AC.Elec</t>
  </si>
  <si>
    <t>EMI.ktCO2.RO.Ser.Bld.Thermal.HW.Solids.Solids</t>
  </si>
  <si>
    <t>EMI.ktCO2.RO.Ser.Bld.Thermal.HW.LPG.LPG</t>
  </si>
  <si>
    <t>EMI.ktCO2.RO.Ser.Bld.Thermal.HW.Oil.Oil_LiqBio</t>
  </si>
  <si>
    <t>EMI.ktCO2.RO.Ser.Bld.Thermal.HW.Gas.NG_Biogas</t>
  </si>
  <si>
    <t>EMI.ktCO2.RO.Ser.Bld.Thermal.HW.Biomass.Biomass_Waste</t>
  </si>
  <si>
    <t>EMI.ktCO2.RO.Ser.Bld.Thermal.HW.DistrHeat.Steam_Distr</t>
  </si>
  <si>
    <t>EMI.ktCO2.RO.Ser.Bld.Thermal.HW.Elc.Elec</t>
  </si>
  <si>
    <t>EMI.ktCO2.RO.Ser.Bld.Thermal.HW.TotalSolar.Solar</t>
  </si>
  <si>
    <t>EMI.ktCO2.RO.Ser.Bld.Thermal.CA.LPG</t>
  </si>
  <si>
    <t>EMI.ktCO2.RO.Ser.Bld.Thermal.CA.Gas.NG_Biogas</t>
  </si>
  <si>
    <t>EMI.ktCO2.RO.Ser.Bld.Thermal.CA.Biomass.Biomass_Waste</t>
  </si>
  <si>
    <t>EMI.ktCO2.RO.Ser.Bld.Thermal.CA.Elc.Elec</t>
  </si>
  <si>
    <t>RO - Final energy consumption per building</t>
  </si>
  <si>
    <t>FEC_per_building.kWh.RO.Ser.Bld.Thermal</t>
  </si>
  <si>
    <t>FEC_per_building.kWh.RO.Ser.Bld.Thermal.SH</t>
  </si>
  <si>
    <t>FEC_per_building.kWh.RO.Ser.Bld.Thermal.SH.Solids.Solids</t>
  </si>
  <si>
    <t>FEC_per_building.kWh.RO.Ser.Bld.Thermal.SH.LPG.LPG</t>
  </si>
  <si>
    <t>FEC_per_building.kWh.RO.Ser.Bld.Thermal.SH.Oil.Oil_LiqBio</t>
  </si>
  <si>
    <t>FEC_per_building.kWh.RO.Ser.Bld.Thermal.SH.GasHP.NG_Biogas</t>
  </si>
  <si>
    <t>FEC_per_building.kWh.RO.Ser.Bld.Thermal.SH.GasTH.NG_Biogas</t>
  </si>
  <si>
    <t>FEC_per_building.kWh.RO.Ser.Bld.Thermal.SH.Biomass.Biomass_Waste</t>
  </si>
  <si>
    <t>FEC_per_building.kWh.RO.Ser.Bld.Thermal.SH.Geo.Geo</t>
  </si>
  <si>
    <t>FEC_per_building.kWh.RO.Ser.Bld.Thermal.SH.DistrHeat.Steam_Distr</t>
  </si>
  <si>
    <t>FEC_per_building.kWh.RO.Ser.Bld.Thermal.SH.AdvElc.Elec</t>
  </si>
  <si>
    <t>FEC_per_building.kWh.RO.Ser.Bld.Thermal.SH.ConvElc.Elec</t>
  </si>
  <si>
    <t>FEC_per_building.kWh.RO.Ser.Bld.Thermal.SH.TotalCirculation.Elec</t>
  </si>
  <si>
    <t>FEC_per_building.kWh.RO.Ser.Bld.Thermal.SC</t>
  </si>
  <si>
    <t>FEC_per_building.kWh.RO.Ser.Bld.Thermal.SC.GasHP.NG_Biogas</t>
  </si>
  <si>
    <t>FEC_per_building.kWh.RO.Ser.Bld.Thermal.SC.AC.Elec</t>
  </si>
  <si>
    <t>FEC_per_building.kWh.RO.Ser.Bld.Thermal.HW</t>
  </si>
  <si>
    <t>FEC_per_building.kWh.RO.Ser.Bld.Thermal.HW.Solids.Solids</t>
  </si>
  <si>
    <t>FEC_per_building.kWh.RO.Ser.Bld.Thermal.HW.LPG.LPG</t>
  </si>
  <si>
    <t>FEC_per_building.kWh.RO.Ser.Bld.Thermal.HW.Oil.Oil_LiqBio</t>
  </si>
  <si>
    <t>FEC_per_building.kWh.RO.Ser.Bld.Thermal.HW.Gas.NG_Biogas</t>
  </si>
  <si>
    <t>FEC_per_building.kWh.RO.Ser.Bld.Thermal.HW.Biomass.Biomass_Waste</t>
  </si>
  <si>
    <t>FEC_per_building.kWh.RO.Ser.Bld.Thermal.HW.DistrHeat.Steam_Distr</t>
  </si>
  <si>
    <t>FEC_per_building.kWh.RO.Ser.Bld.Thermal.HW.Elc.Elec</t>
  </si>
  <si>
    <t>FEC_per_building.kWh.RO.Ser.Bld.Thermal.HW.TotalSolar.Solar</t>
  </si>
  <si>
    <t>FEC_per_building.kWh.RO.Ser.Bld.Thermal.CA</t>
  </si>
  <si>
    <t>FEC_per_building.kWh.RO.Ser.Bld.Thermal.CA.LPG</t>
  </si>
  <si>
    <t>FEC_per_building.kWh.RO.Ser.Bld.Thermal.CA.Gas.NG_Biogas</t>
  </si>
  <si>
    <t>FEC_per_building.kWh.RO.Ser.Bld.Thermal.CA.Biomass.Biomass_Waste</t>
  </si>
  <si>
    <t>FEC_per_building.kWh.RO.Ser.Bld.Thermal.CA.Elc.Elec</t>
  </si>
  <si>
    <t>RO - Thermal energy service per building</t>
  </si>
  <si>
    <t>TES_per_building.kWh.RO.Ser.Bld.Thermal</t>
  </si>
  <si>
    <t>TES_per_building.kWh.RO.Ser.Bld.Thermal.SH</t>
  </si>
  <si>
    <t>TES_per_building.kWh.RO.Ser.Bld.Thermal.SH.Solids.Solids</t>
  </si>
  <si>
    <t>TES_per_building.kWh.RO.Ser.Bld.Thermal.SH.LPG.LPG</t>
  </si>
  <si>
    <t>TES_per_building.kWh.RO.Ser.Bld.Thermal.SH.Oil.Oil_LiqBio</t>
  </si>
  <si>
    <t>TES_per_building.kWh.RO.Ser.Bld.Thermal.SH.GasHP.NG_Biogas</t>
  </si>
  <si>
    <t>TES_per_building.kWh.RO.Ser.Bld.Thermal.SH.GasTH.NG_Biogas</t>
  </si>
  <si>
    <t>TES_per_building.kWh.RO.Ser.Bld.Thermal.SH.Biomass.Biomass_Waste</t>
  </si>
  <si>
    <t>TES_per_building.kWh.RO.Ser.Bld.Thermal.SH.Geo.Geo</t>
  </si>
  <si>
    <t>TES_per_building.kWh.RO.Ser.Bld.Thermal.SH.DistrHeat.Steam_Distr</t>
  </si>
  <si>
    <t>TES_per_building.kWh.RO.Ser.Bld.Thermal.SH.AdvElc.Elec</t>
  </si>
  <si>
    <t>TES_per_building.kWh.RO.Ser.Bld.Thermal.SH.ConvElc.Elec</t>
  </si>
  <si>
    <t>TES_per_building.kWh.RO.Ser.Bld.Thermal.SH.TotalCirculation.Elec</t>
  </si>
  <si>
    <t>TES_per_building.kWh.RO.Ser.Bld.Thermal.SC</t>
  </si>
  <si>
    <t>TES_per_building.kWh.RO.Ser.Bld.Thermal.SC.GasHP.NG_Biogas</t>
  </si>
  <si>
    <t>TES_per_building.kWh.RO.Ser.Bld.Thermal.SC.AC.Elec</t>
  </si>
  <si>
    <t>TES_per_building.kWh.RO.Ser.Bld.Thermal.HW</t>
  </si>
  <si>
    <t>TES_per_building.kWh.RO.Ser.Bld.Thermal.HW.Solids.Solids</t>
  </si>
  <si>
    <t>TES_per_building.kWh.RO.Ser.Bld.Thermal.HW.LPG.LPG</t>
  </si>
  <si>
    <t>TES_per_building.kWh.RO.Ser.Bld.Thermal.HW.Oil.Oil_LiqBio</t>
  </si>
  <si>
    <t>TES_per_building.kWh.RO.Ser.Bld.Thermal.HW.Gas.NG_Biogas</t>
  </si>
  <si>
    <t>TES_per_building.kWh.RO.Ser.Bld.Thermal.HW.Biomass.Biomass_Waste</t>
  </si>
  <si>
    <t>TES_per_building.kWh.RO.Ser.Bld.Thermal.HW.DistrHeat.Steam_Distr</t>
  </si>
  <si>
    <t>TES_per_building.kWh.RO.Ser.Bld.Thermal.HW.Elc.Elec</t>
  </si>
  <si>
    <t>TES_per_building.kWh.RO.Ser.Bld.Thermal.HW.TotalSolar.Solar</t>
  </si>
  <si>
    <t>TES_per_building.kWh.RO.Ser.Bld.Thermal.CA</t>
  </si>
  <si>
    <t>TES_per_building.kWh.RO.Ser.Bld.Thermal.CA.LPG</t>
  </si>
  <si>
    <t>TES_per_building.kWh.RO.Ser.Bld.Thermal.CA.Gas.NG_Biogas</t>
  </si>
  <si>
    <t>TES_per_building.kWh.RO.Ser.Bld.Thermal.CA.Biomass.Biomass_Waste</t>
  </si>
  <si>
    <t>TES_per_building.kWh.RO.Ser.Bld.Thermal.CA.Elc.Elec</t>
  </si>
  <si>
    <t>RO - CO2 emissions per building</t>
  </si>
  <si>
    <t>EMI_per_building.kgCO2.RO.Ser.Bld.Thermal</t>
  </si>
  <si>
    <t>EMI_per_building.kgCO2.RO.Ser.Bld.Thermal.SH</t>
  </si>
  <si>
    <t>EMI_per_building.kgCO2.RO.Ser.Bld.Thermal.SH.Solids.Solids</t>
  </si>
  <si>
    <t>EMI_per_building.kgCO2.RO.Ser.Bld.Thermal.SH.LPG.LPG</t>
  </si>
  <si>
    <t>EMI_per_building.kgCO2.RO.Ser.Bld.Thermal.SH.Oil.Oil_LiqBio</t>
  </si>
  <si>
    <t>EMI_per_building.kgCO2.RO.Ser.Bld.Thermal.SH.GasHP.NG_Biogas</t>
  </si>
  <si>
    <t>EMI_per_building.kgCO2.RO.Ser.Bld.Thermal.SH.GasTH.NG_Biogas</t>
  </si>
  <si>
    <t>EMI_per_building.kgCO2.RO.Ser.Bld.Thermal.SH.Biomass.Biomass_Waste</t>
  </si>
  <si>
    <t>EMI_per_building.kgCO2.RO.Ser.Bld.Thermal.SH.Geo.Geo</t>
  </si>
  <si>
    <t>EMI_per_building.kgCO2.RO.Ser.Bld.Thermal.SH.DistrHeat.Steam_Distr</t>
  </si>
  <si>
    <t>EMI_per_building.kgCO2.RO.Ser.Bld.Thermal.SH.AdvElc.Elec</t>
  </si>
  <si>
    <t>EMI_per_building.kgCO2.RO.Ser.Bld.Thermal.SH.ConvElc.Elec</t>
  </si>
  <si>
    <t>EMI_per_building.kgCO2.RO.Ser.Bld.Thermal.SH.TotalCirculation.Elec</t>
  </si>
  <si>
    <t>EMI_per_building.kgCO2.RO.Ser.Bld.Thermal.SC</t>
  </si>
  <si>
    <t>EMI_per_building.kgCO2.RO.Ser.Bld.Thermal.SC.GasHP.NG_Biogas</t>
  </si>
  <si>
    <t>EMI_per_building.kgCO2.RO.Ser.Bld.Thermal.SC.AC.Elec</t>
  </si>
  <si>
    <t>EMI_per_building.kgCO2.RO.Ser.Bld.Thermal.HW</t>
  </si>
  <si>
    <t>EMI_per_building.kgCO2.RO.Ser.Bld.Thermal.HW.Solids.Solids</t>
  </si>
  <si>
    <t>EMI_per_building.kgCO2.RO.Ser.Bld.Thermal.HW.LPG.LPG</t>
  </si>
  <si>
    <t>EMI_per_building.kgCO2.RO.Ser.Bld.Thermal.HW.Oil.Oil_LiqBio</t>
  </si>
  <si>
    <t>EMI_per_building.kgCO2.RO.Ser.Bld.Thermal.HW.Gas.NG_Biogas</t>
  </si>
  <si>
    <t>EMI_per_building.kgCO2.RO.Ser.Bld.Thermal.HW.Biomass.Biomass_Waste</t>
  </si>
  <si>
    <t>EMI_per_building.kgCO2.RO.Ser.Bld.Thermal.HW.DistrHeat.Steam_Distr</t>
  </si>
  <si>
    <t>EMI_per_building.kgCO2.RO.Ser.Bld.Thermal.HW.Elc.Elec</t>
  </si>
  <si>
    <t>EMI_per_building.kgCO2.RO.Ser.Bld.Thermal.HW.TotalSolar.Solar</t>
  </si>
  <si>
    <t>EMI_per_building.kgCO2.RO.Ser.Bld.Thermal.CA</t>
  </si>
  <si>
    <t>EMI_per_building.kgCO2.RO.Ser.Bld.Thermal.CA.LPG</t>
  </si>
  <si>
    <t>EMI_per_building.kgCO2.RO.Ser.Bld.Thermal.CA.Gas.NG_Biogas</t>
  </si>
  <si>
    <t>EMI_per_building.kgCO2.RO.Ser.Bld.Thermal.CA.Biomass.Biomass_Waste</t>
  </si>
  <si>
    <t>EMI_per_building.kgCO2.RO.Ser.Bld.Thermal.CA.Elc.Elec</t>
  </si>
  <si>
    <t>RO - Final energy consumption per useful surface area</t>
  </si>
  <si>
    <t>FEC_per_sqm.kWh.RO.Ser.Bld.Thermal</t>
  </si>
  <si>
    <t>FEC_per_sqm.kWh.RO.Ser.Bld.Thermal.SH</t>
  </si>
  <si>
    <t>FEC_per_sqm.kWh.RO.Ser.Bld.Thermal.SH.Solids.Solids</t>
  </si>
  <si>
    <t>FEC_per_sqm.kWh.RO.Ser.Bld.Thermal.SH.LPG.LPG</t>
  </si>
  <si>
    <t>FEC_per_sqm.kWh.RO.Ser.Bld.Thermal.SH.Oil.Oil_LiqBio</t>
  </si>
  <si>
    <t>FEC_per_sqm.kWh.RO.Ser.Bld.Thermal.SH.GasHP.NG_Biogas</t>
  </si>
  <si>
    <t>FEC_per_sqm.kWh.RO.Ser.Bld.Thermal.SH.GasTH.NG_Biogas</t>
  </si>
  <si>
    <t>FEC_per_sqm.kWh.RO.Ser.Bld.Thermal.SH.Biomass.Biomass_Waste</t>
  </si>
  <si>
    <t>FEC_per_sqm.kWh.RO.Ser.Bld.Thermal.SH.Geo.Geo</t>
  </si>
  <si>
    <t>FEC_per_sqm.kWh.RO.Ser.Bld.Thermal.SH.DistrHeat.Steam_Distr</t>
  </si>
  <si>
    <t>FEC_per_sqm.kWh.RO.Ser.Bld.Thermal.SH.AdvElc.Elec</t>
  </si>
  <si>
    <t>FEC_per_sqm.kWh.RO.Ser.Bld.Thermal.SH.ConvElc.Elec</t>
  </si>
  <si>
    <t>FEC_per_sqm.kWh.RO.Ser.Bld.Thermal.SH.TotalCirculation.Elec</t>
  </si>
  <si>
    <t>FEC_per_sqm.kWh.RO.Ser.Bld.Thermal.SC</t>
  </si>
  <si>
    <t>FEC_per_sqm.kWh.RO.Ser.Bld.Thermal.SC.GasHP.NG_Biogas</t>
  </si>
  <si>
    <t>FEC_per_sqm.kWh.RO.Ser.Bld.Thermal.SC.AC.Elec</t>
  </si>
  <si>
    <t>FEC_per_sqm.kWh.RO.Ser.Bld.Thermal.HW</t>
  </si>
  <si>
    <t>FEC_per_sqm.kWh.RO.Ser.Bld.Thermal.HW.Solids.Solids</t>
  </si>
  <si>
    <t>FEC_per_sqm.kWh.RO.Ser.Bld.Thermal.HW.LPG.LPG</t>
  </si>
  <si>
    <t>FEC_per_sqm.kWh.RO.Ser.Bld.Thermal.HW.Oil.Oil_LiqBio</t>
  </si>
  <si>
    <t>FEC_per_sqm.kWh.RO.Ser.Bld.Thermal.HW.Gas.NG_Biogas</t>
  </si>
  <si>
    <t>FEC_per_sqm.kWh.RO.Ser.Bld.Thermal.HW.Biomass.Biomass_Waste</t>
  </si>
  <si>
    <t>FEC_per_sqm.kWh.RO.Ser.Bld.Thermal.HW.DistrHeat.Steam_Distr</t>
  </si>
  <si>
    <t>FEC_per_sqm.kWh.RO.Ser.Bld.Thermal.HW.Elc.Elec</t>
  </si>
  <si>
    <t>FEC_per_sqm.kWh.RO.Ser.Bld.Thermal.HW.TotalSolar.Solar</t>
  </si>
  <si>
    <t>FEC_per_sqm.kWh.RO.Ser.Bld.Thermal.CA</t>
  </si>
  <si>
    <t>FEC_per_sqm.kWh.RO.Ser.Bld.Thermal.CA.LPG</t>
  </si>
  <si>
    <t>FEC_per_sqm.kWh.RO.Ser.Bld.Thermal.CA.Gas.NG_Biogas</t>
  </si>
  <si>
    <t>FEC_per_sqm.kWh.RO.Ser.Bld.Thermal.CA.Biomass.Biomass_Waste</t>
  </si>
  <si>
    <t>FEC_per_sqm.kWh.RO.Ser.Bld.Thermal.CA.Elc.Elec</t>
  </si>
  <si>
    <t>RO - Thermal energy service per useful surface area</t>
  </si>
  <si>
    <t>TES_per_sqm.kWh.RO.Ser.Bld.Thermal</t>
  </si>
  <si>
    <t>TES_per_sqm.kWh.RO.Ser.Bld.Thermal.SH</t>
  </si>
  <si>
    <t>TES_per_sqm.kWh.RO.Ser.Bld.Thermal.SH.Solids.Solids</t>
  </si>
  <si>
    <t>TES_per_sqm.kWh.RO.Ser.Bld.Thermal.SH.LPG.LPG</t>
  </si>
  <si>
    <t>TES_per_sqm.kWh.RO.Ser.Bld.Thermal.SH.Oil.Oil_LiqBio</t>
  </si>
  <si>
    <t>TES_per_sqm.kWh.RO.Ser.Bld.Thermal.SH.GasHP.NG_Biogas</t>
  </si>
  <si>
    <t>TES_per_sqm.kWh.RO.Ser.Bld.Thermal.SH.GasTH.NG_Biogas</t>
  </si>
  <si>
    <t>TES_per_sqm.kWh.RO.Ser.Bld.Thermal.SH.Biomass.Biomass_Waste</t>
  </si>
  <si>
    <t>TES_per_sqm.kWh.RO.Ser.Bld.Thermal.SH.Geo.Geo</t>
  </si>
  <si>
    <t>TES_per_sqm.kWh.RO.Ser.Bld.Thermal.SH.DistrHeat.Steam_Distr</t>
  </si>
  <si>
    <t>TES_per_sqm.kWh.RO.Ser.Bld.Thermal.SH.AdvElc.Elec</t>
  </si>
  <si>
    <t>TES_per_sqm.kWh.RO.Ser.Bld.Thermal.SH.ConvElc.Elec</t>
  </si>
  <si>
    <t>TES_per_sqm.kWh.RO.Ser.Bld.Thermal.SH.TotalCirculation.Elec</t>
  </si>
  <si>
    <t>TES_per_sqm.kWh.RO.Ser.Bld.Thermal.SC</t>
  </si>
  <si>
    <t>TES_per_sqm.kWh.RO.Ser.Bld.Thermal.SC.GasHP.NG_Biogas</t>
  </si>
  <si>
    <t>TES_per_sqm.kWh.RO.Ser.Bld.Thermal.SC.AC.Elec</t>
  </si>
  <si>
    <t>TES_per_sqm.kWh.RO.Ser.Bld.Thermal.HW</t>
  </si>
  <si>
    <t>TES_per_sqm.kWh.RO.Ser.Bld.Thermal.HW.Solids.Solids</t>
  </si>
  <si>
    <t>TES_per_sqm.kWh.RO.Ser.Bld.Thermal.HW.LPG.LPG</t>
  </si>
  <si>
    <t>TES_per_sqm.kWh.RO.Ser.Bld.Thermal.HW.Oil.Oil_LiqBio</t>
  </si>
  <si>
    <t>TES_per_sqm.kWh.RO.Ser.Bld.Thermal.HW.Gas.NG_Biogas</t>
  </si>
  <si>
    <t>TES_per_sqm.kWh.RO.Ser.Bld.Thermal.HW.Biomass.Biomass_Waste</t>
  </si>
  <si>
    <t>TES_per_sqm.kWh.RO.Ser.Bld.Thermal.HW.DistrHeat.Steam_Distr</t>
  </si>
  <si>
    <t>TES_per_sqm.kWh.RO.Ser.Bld.Thermal.HW.Elc.Elec</t>
  </si>
  <si>
    <t>TES_per_sqm.kWh.RO.Ser.Bld.Thermal.HW.TotalSolar.Solar</t>
  </si>
  <si>
    <t>TES_per_sqm.kWh.RO.Ser.Bld.Thermal.CA</t>
  </si>
  <si>
    <t>TES_per_sqm.kWh.RO.Ser.Bld.Thermal.CA.LPG</t>
  </si>
  <si>
    <t>TES_per_sqm.kWh.RO.Ser.Bld.Thermal.CA.Gas.NG_Biogas</t>
  </si>
  <si>
    <t>TES_per_sqm.kWh.RO.Ser.Bld.Thermal.CA.Biomass.Biomass_Waste</t>
  </si>
  <si>
    <t>TES_per_sqm.kWh.RO.Ser.Bld.Thermal.CA.Elc.Elec</t>
  </si>
  <si>
    <t>RO - CO2 emissions per useful surface area</t>
  </si>
  <si>
    <t>EMI_per_sqm.kgCO2.RO.Ser.Bld.Thermal</t>
  </si>
  <si>
    <t>EMI_per_sqm.kgCO2.RO.Ser.Bld.Thermal.SH</t>
  </si>
  <si>
    <t>EMI_per_sqm.kgCO2.RO.Ser.Bld.Thermal.SH.Solids.Solids</t>
  </si>
  <si>
    <t>EMI_per_sqm.kgCO2.RO.Ser.Bld.Thermal.SH.LPG.LPG</t>
  </si>
  <si>
    <t>EMI_per_sqm.kgCO2.RO.Ser.Bld.Thermal.SH.Oil.Oil_LiqBio</t>
  </si>
  <si>
    <t>EMI_per_sqm.kgCO2.RO.Ser.Bld.Thermal.SH.GasHP.NG_Biogas</t>
  </si>
  <si>
    <t>EMI_per_sqm.kgCO2.RO.Ser.Bld.Thermal.SH.GasTH.NG_Biogas</t>
  </si>
  <si>
    <t>EMI_per_sqm.kgCO2.RO.Ser.Bld.Thermal.SH.Biomass.Biomass_Waste</t>
  </si>
  <si>
    <t>EMI_per_sqm.kgCO2.RO.Ser.Bld.Thermal.SH.Geo.Geo</t>
  </si>
  <si>
    <t>EMI_per_sqm.kgCO2.RO.Ser.Bld.Thermal.SH.DistrHeat.Steam_Distr</t>
  </si>
  <si>
    <t>EMI_per_sqm.kgCO2.RO.Ser.Bld.Thermal.SH.AdvElc.Elec</t>
  </si>
  <si>
    <t>EMI_per_sqm.kgCO2.RO.Ser.Bld.Thermal.SH.ConvElc.Elec</t>
  </si>
  <si>
    <t>EMI_per_sqm.kgCO2.RO.Ser.Bld.Thermal.SH.TotalCirculation.Elec</t>
  </si>
  <si>
    <t>EMI_per_sqm.kgCO2.RO.Ser.Bld.Thermal.SC</t>
  </si>
  <si>
    <t>EMI_per_sqm.kgCO2.RO.Ser.Bld.Thermal.SC.GasHP.NG_Biogas</t>
  </si>
  <si>
    <t>EMI_per_sqm.kgCO2.RO.Ser.Bld.Thermal.SC.AC.Elec</t>
  </si>
  <si>
    <t>EMI_per_sqm.kgCO2.RO.Ser.Bld.Thermal.HW</t>
  </si>
  <si>
    <t>EMI_per_sqm.kgCO2.RO.Ser.Bld.Thermal.HW.Solids.Solids</t>
  </si>
  <si>
    <t>EMI_per_sqm.kgCO2.RO.Ser.Bld.Thermal.HW.LPG.LPG</t>
  </si>
  <si>
    <t>EMI_per_sqm.kgCO2.RO.Ser.Bld.Thermal.HW.Oil.Oil_LiqBio</t>
  </si>
  <si>
    <t>EMI_per_sqm.kgCO2.RO.Ser.Bld.Thermal.HW.Gas.NG_Biogas</t>
  </si>
  <si>
    <t>EMI_per_sqm.kgCO2.RO.Ser.Bld.Thermal.HW.Biomass.Biomass_Waste</t>
  </si>
  <si>
    <t>EMI_per_sqm.kgCO2.RO.Ser.Bld.Thermal.HW.DistrHeat.Steam_Distr</t>
  </si>
  <si>
    <t>EMI_per_sqm.kgCO2.RO.Ser.Bld.Thermal.HW.Elc.Elec</t>
  </si>
  <si>
    <t>EMI_per_sqm.kgCO2.RO.Ser.Bld.Thermal.HW.TotalSolar.Solar</t>
  </si>
  <si>
    <t>EMI_per_sqm.kgCO2.RO.Ser.Bld.Thermal.CA</t>
  </si>
  <si>
    <t>EMI_per_sqm.kgCO2.RO.Ser.Bld.Thermal.CA.LPG</t>
  </si>
  <si>
    <t>EMI_per_sqm.kgCO2.RO.Ser.Bld.Thermal.CA.Gas.NG_Biogas</t>
  </si>
  <si>
    <t>EMI_per_sqm.kgCO2.RO.Ser.Bld.Thermal.CA.Biomass.Biomass_Waste</t>
  </si>
  <si>
    <t>EMI_per_sqm.kgCO2.RO.Ser.Bld.Thermal.CA.Elc.Elec</t>
  </si>
  <si>
    <t>RO - Number of new and renovated buildings</t>
  </si>
  <si>
    <t>NUM.number.RO.Ser.BldNew.Thermal</t>
  </si>
  <si>
    <t>NUM.number.RO.Ser.BldNew.Thermal.SH</t>
  </si>
  <si>
    <t>NUM.number.RO.Ser.BldNew.Thermal.SH.Solids</t>
  </si>
  <si>
    <t>NUM.number.RO.Ser.BldNew.Thermal.SH.LPG</t>
  </si>
  <si>
    <t>NUM.number.RO.Ser.BldNew.Thermal.SH.Oil</t>
  </si>
  <si>
    <t>NUM.number.RO.Ser.BldNew.Thermal.SH.GasHP</t>
  </si>
  <si>
    <t>NUM.number.RO.Ser.BldNew.Thermal.SH.GasTH</t>
  </si>
  <si>
    <t>NUM.number.RO.Ser.BldNew.Thermal.SH.Biomass</t>
  </si>
  <si>
    <t>NUM.number.RO.Ser.BldNew.Thermal.SH.Geo</t>
  </si>
  <si>
    <t>NUM.number.RO.Ser.BldNew.Thermal.SH.DistrHeat</t>
  </si>
  <si>
    <t>NUM.number.RO.Ser.BldNew.Thermal.SH.AdvElc</t>
  </si>
  <si>
    <t>NUM.number.RO.Ser.BldNew.Thermal.SH.ConvElc</t>
  </si>
  <si>
    <t>NUM.number.RO.Ser.BldNew.Thermal.SC</t>
  </si>
  <si>
    <t>NUM.number.RO.Ser.BldNew.Thermal.SC.GasHP</t>
  </si>
  <si>
    <t>NUM.number.RO.Ser.BldNew.Thermal.SC.AC</t>
  </si>
  <si>
    <t>NUM.number.RO.Ser.BldNew.Thermal.HW</t>
  </si>
  <si>
    <t>NUM.number.RO.Ser.BldNew.Thermal.HW.Solids</t>
  </si>
  <si>
    <t>NUM.number.RO.Ser.BldNew.Thermal.HW.LPG</t>
  </si>
  <si>
    <t>NUM.number.RO.Ser.BldNew.Thermal.HW.Oil</t>
  </si>
  <si>
    <t>NUM.number.RO.Ser.BldNew.Thermal.HW.Gas</t>
  </si>
  <si>
    <t>NUM.number.RO.Ser.BldNew.Thermal.HW.Biomass</t>
  </si>
  <si>
    <t>NUM.number.RO.Ser.BldNew.Thermal.HW.DistrHeat</t>
  </si>
  <si>
    <t>NUM.number.RO.Ser.BldNew.Thermal.HW.Elc</t>
  </si>
  <si>
    <t>NUM.number.RO.Ser.BldNew.Thermal.HW.Solar</t>
  </si>
  <si>
    <t>NUM.number.RO.Ser.BldNew.Thermal.CA</t>
  </si>
  <si>
    <t>NUM.number.RO.Ser.BldNew.Thermal.CA.LPG</t>
  </si>
  <si>
    <t>NUM.number.RO.Ser.BldNew.Thermal.CA.Gas</t>
  </si>
  <si>
    <t>NUM.number.RO.Ser.BldNew.Thermal.CA.Biomass</t>
  </si>
  <si>
    <t>NUM.number.RO.Ser.BldNew.Thermal.CA.Elc</t>
  </si>
  <si>
    <t>RO - Final energy consumption in new and renovated buildings</t>
  </si>
  <si>
    <t>FEC.ktoe.RO.Ser.BldNew.Thermal</t>
  </si>
  <si>
    <t>FEC.ktoe.RO.Ser.BldNew.Thermal.SH</t>
  </si>
  <si>
    <t>FEC.ktoe.RO.Ser.BldNew.Thermal.SH.Solids.Solids</t>
  </si>
  <si>
    <t>FEC.ktoe.RO.Ser.BldNew.Thermal.SH.LPG.LPG</t>
  </si>
  <si>
    <t>FEC.ktoe.RO.Ser.BldNew.Thermal.SH.Oil.Oil_LiqBio</t>
  </si>
  <si>
    <t>FEC.ktoe.RO.Ser.BldNew.Thermal.SH.GasHP.NG_Biogas</t>
  </si>
  <si>
    <t>FEC.ktoe.RO.Ser.BldNew.Thermal.SH.GasTH.NG_Biogas</t>
  </si>
  <si>
    <t>FEC.ktoe.RO.Ser.BldNew.Thermal.SH.Biomass.Biomass_Waste</t>
  </si>
  <si>
    <t>FEC.ktoe.RO.Ser.BldNew.Thermal.SH.Geo.Geo</t>
  </si>
  <si>
    <t>FEC.ktoe.RO.Ser.BldNew.Thermal.SH.DistrHeat.Steam_Distr</t>
  </si>
  <si>
    <t>FEC.ktoe.RO.Ser.BldNew.Thermal.SH.AdvElc.Elec</t>
  </si>
  <si>
    <t>FEC.ktoe.RO.Ser.BldNew.Thermal.SH.ConvElc.Elec</t>
  </si>
  <si>
    <t>FEC.ktoe.RO.Ser.BldNew.Thermal.SH.TotalCirculation.Elec</t>
  </si>
  <si>
    <t>FEC.ktoe.RO.Ser.BldNew.Thermal.SC</t>
  </si>
  <si>
    <t>FEC.ktoe.RO.Ser.BldNew.Thermal.SC.GasHP.NG_Biogas</t>
  </si>
  <si>
    <t>FEC.ktoe.RO.Ser.BldNew.Thermal.SC.AC.Elec</t>
  </si>
  <si>
    <t>FEC.ktoe.RO.Ser.BldNew.Thermal.HW</t>
  </si>
  <si>
    <t>FEC.ktoe.RO.Ser.BldNew.Thermal.HW.Solids.Solids</t>
  </si>
  <si>
    <t>FEC.ktoe.RO.Ser.BldNew.Thermal.HW.LPG.LPG</t>
  </si>
  <si>
    <t>FEC.ktoe.RO.Ser.BldNew.Thermal.HW.Oil.Oil_LiqBio</t>
  </si>
  <si>
    <t>FEC.ktoe.RO.Ser.BldNew.Thermal.HW.Gas.NG_Biogas</t>
  </si>
  <si>
    <t>FEC.ktoe.RO.Ser.BldNew.Thermal.HW.Biomass.Biomass_Waste</t>
  </si>
  <si>
    <t>FEC.ktoe.RO.Ser.BldNew.Thermal.HW.DistrHeat.Steam_Distr</t>
  </si>
  <si>
    <t>FEC.ktoe.RO.Ser.BldNew.Thermal.HW.Elc.Elec</t>
  </si>
  <si>
    <t>FEC.ktoe.RO.Ser.BldNew.Thermal.HW.TotalSolar.Solar</t>
  </si>
  <si>
    <t>FEC.ktoe.RO.Ser.BldNew.Thermal.CA</t>
  </si>
  <si>
    <t>FEC.ktoe.RO.Ser.BldNew.Thermal.CA.LPG</t>
  </si>
  <si>
    <t>FEC.ktoe.RO.Ser.BldNew.Thermal.CA.Gas.NG_Biogas</t>
  </si>
  <si>
    <t>FEC.ktoe.RO.Ser.BldNew.Thermal.CA.Biomass.Biomass_Waste</t>
  </si>
  <si>
    <t>FEC.ktoe.RO.Ser.BldNew.Thermal.CA.Elc.Elec</t>
  </si>
  <si>
    <t>RO - Thermal energy service in new and renovated buildings</t>
  </si>
  <si>
    <t>TES.ktoe.RO.Ser.BldNew.Thermal</t>
  </si>
  <si>
    <t>TES.ktoe.RO.Ser.BldNew.Thermal.SH</t>
  </si>
  <si>
    <t>TES.ktoe.RO.Ser.BldNew.Thermal.SH.Solids.Solids</t>
  </si>
  <si>
    <t>TES.ktoe.RO.Ser.BldNew.Thermal.SH.LPG.LPG</t>
  </si>
  <si>
    <t>TES.ktoe.RO.Ser.BldNew.Thermal.SH.Oil.Oil_LiqBio</t>
  </si>
  <si>
    <t>TES.ktoe.RO.Ser.BldNew.Thermal.SH.GasHP.NG_Biogas</t>
  </si>
  <si>
    <t>TES.ktoe.RO.Ser.BldNew.Thermal.SH.GasTH.NG_Biogas</t>
  </si>
  <si>
    <t>TES.ktoe.RO.Ser.BldNew.Thermal.SH.Biomass.Biomass_Waste</t>
  </si>
  <si>
    <t>TES.ktoe.RO.Ser.BldNew.Thermal.SH.Geo.Geo</t>
  </si>
  <si>
    <t>TES.ktoe.RO.Ser.BldNew.Thermal.SH.DistrHeat.Steam_Distr</t>
  </si>
  <si>
    <t>TES.ktoe.RO.Ser.BldNew.Thermal.SH.AdvElc.Elec</t>
  </si>
  <si>
    <t>TES.ktoe.RO.Ser.BldNew.Thermal.SH.ConvElc.Elec</t>
  </si>
  <si>
    <t>TES.ktoe.RO.Ser.BldNew.Thermal.SH.TotalCirculation.Elec</t>
  </si>
  <si>
    <t>TES.ktoe.RO.Ser.BldNew.Thermal.SC</t>
  </si>
  <si>
    <t>TES.ktoe.RO.Ser.BldNew.Thermal.SC.GasHP.NG_Biogas</t>
  </si>
  <si>
    <t>TES.ktoe.RO.Ser.BldNew.Thermal.SC.AC.Elec</t>
  </si>
  <si>
    <t>TES.ktoe.RO.Ser.BldNew.Thermal.HW</t>
  </si>
  <si>
    <t>TES.ktoe.RO.Ser.BldNew.Thermal.HW.Solids.Solids</t>
  </si>
  <si>
    <t>TES.ktoe.RO.Ser.BldNew.Thermal.HW.LPG.LPG</t>
  </si>
  <si>
    <t>TES.ktoe.RO.Ser.BldNew.Thermal.HW.Oil.Oil_LiqBio</t>
  </si>
  <si>
    <t>TES.ktoe.RO.Ser.BldNew.Thermal.HW.Gas.NG_Biogas</t>
  </si>
  <si>
    <t>TES.ktoe.RO.Ser.BldNew.Thermal.HW.Biomass.Biomass_Waste</t>
  </si>
  <si>
    <t>TES.ktoe.RO.Ser.BldNew.Thermal.HW.DistrHeat.Steam_Distr</t>
  </si>
  <si>
    <t>TES.ktoe.RO.Ser.BldNew.Thermal.HW.Elc.Elec</t>
  </si>
  <si>
    <t>TES.ktoe.RO.Ser.BldNew.Thermal.HW.TotalSolar.Solar</t>
  </si>
  <si>
    <t>TES.ktoe.RO.Ser.BldNew.Thermal.CA</t>
  </si>
  <si>
    <t>TES.ktoe.RO.Ser.BldNew.Thermal.CA.LPG</t>
  </si>
  <si>
    <t>TES.ktoe.RO.Ser.BldNew.Thermal.CA.Gas.NG_Biogas</t>
  </si>
  <si>
    <t>TES.ktoe.RO.Ser.BldNew.Thermal.CA.Biomass.Biomass_Waste</t>
  </si>
  <si>
    <t>TES.ktoe.RO.Ser.BldNew.Thermal.CA.Elc.Elec</t>
  </si>
  <si>
    <t>RO - System efficiency indicator of new and renovated buildings</t>
  </si>
  <si>
    <t>Eff.ratio.RO.Ser.BldNew.Thermal</t>
  </si>
  <si>
    <t>Eff.ratio.RO.Ser.BldNew.Thermal.SH</t>
  </si>
  <si>
    <t>Eff.ratio.RO.Ser.BldNew.Thermal.SH.Solids.Solids</t>
  </si>
  <si>
    <t>Eff.ratio.RO.Ser.BldNew.Thermal.SH.LPG.LPG</t>
  </si>
  <si>
    <t>Eff.ratio.RO.Ser.BldNew.Thermal.SH.Oil.Oil_LiqBio</t>
  </si>
  <si>
    <t>Eff.ratio.RO.Ser.BldNew.Thermal.SH.GasHP.NG_Biogas</t>
  </si>
  <si>
    <t>Eff.ratio.RO.Ser.BldNew.Thermal.SH.GasTH.NG_Biogas</t>
  </si>
  <si>
    <t>Eff.ratio.RO.Ser.BldNew.Thermal.SH.Biomass.Biomass_Waste</t>
  </si>
  <si>
    <t>Eff.ratio.RO.Ser.BldNew.Thermal.SH.Geo.Geo</t>
  </si>
  <si>
    <t>Eff.ratio.RO.Ser.BldNew.Thermal.SH.DistrHeat.Steam_Distr</t>
  </si>
  <si>
    <t>Eff.ratio.RO.Ser.BldNew.Thermal.SH.AdvElc.Elec</t>
  </si>
  <si>
    <t>Eff.ratio.RO.Ser.BldNew.Thermal.SH.ConvElc.Elec</t>
  </si>
  <si>
    <t>Eff.ratio.RO.Ser.BldNew.Thermal.SH.TotalCirculation.Elec</t>
  </si>
  <si>
    <t>Eff.ratio.RO.Ser.BldNew.Thermal.SC</t>
  </si>
  <si>
    <t>Eff.ratio.RO.Ser.BldNew.Thermal.SC.GasHP.NG_Biogas</t>
  </si>
  <si>
    <t>Eff.ratio.RO.Ser.BldNew.Thermal.SC.AC.Elec</t>
  </si>
  <si>
    <t>Eff.ratio.RO.Ser.BldNew.Thermal.HW</t>
  </si>
  <si>
    <t>Eff.ratio.RO.Ser.BldNew.Thermal.HW.Solids.Solids</t>
  </si>
  <si>
    <t>Eff.ratio.RO.Ser.BldNew.Thermal.HW.LPG.LPG</t>
  </si>
  <si>
    <t>Eff.ratio.RO.Ser.BldNew.Thermal.HW.Oil.Oil_LiqBio</t>
  </si>
  <si>
    <t>Eff.ratio.RO.Ser.BldNew.Thermal.HW.Gas.NG_Biogas</t>
  </si>
  <si>
    <t>Eff.ratio.RO.Ser.BldNew.Thermal.HW.Biomass.Biomass_Waste</t>
  </si>
  <si>
    <t>Eff.ratio.RO.Ser.BldNew.Thermal.HW.DistrHeat.Steam_Distr</t>
  </si>
  <si>
    <t>Eff.ratio.RO.Ser.BldNew.Thermal.HW.Elc.Elec</t>
  </si>
  <si>
    <t>Eff.ratio.RO.Ser.BldNew.Thermal.HW.TotalSolar.Solar</t>
  </si>
  <si>
    <t>Eff.ratio.RO.Ser.BldNew.Thermal.CA</t>
  </si>
  <si>
    <t>Eff.ratio.RO.Ser.BldNew.Thermal.CA.LPG</t>
  </si>
  <si>
    <t>Eff.ratio.RO.Ser.BldNew.Thermal.CA.Gas.NG_Biogas</t>
  </si>
  <si>
    <t>Eff.ratio.RO.Ser.BldNew.Thermal.CA.Biomass.Biomass_Waste</t>
  </si>
  <si>
    <t>Eff.ratio.RO.Ser.BldNew.Thermal.CA.Elc.Elec</t>
  </si>
  <si>
    <t>RO - CO2 emissions in new and renovated buildings</t>
  </si>
  <si>
    <t>EMI.ktCO2.RO.Ser.BldNew.Thermal</t>
  </si>
  <si>
    <t>EMI.ktCO2.RO.Ser.BldNew.Thermal.SH</t>
  </si>
  <si>
    <t>EMI.ktCO2.RO.Ser.BldNew.Thermal.SH.Solids.Solids</t>
  </si>
  <si>
    <t>EMI.ktCO2.RO.Ser.BldNew.Thermal.SH.LPG.LPG</t>
  </si>
  <si>
    <t>EMI.ktCO2.RO.Ser.BldNew.Thermal.SH.Oil.Oil_LiqBio</t>
  </si>
  <si>
    <t>EMI.ktCO2.RO.Ser.BldNew.Thermal.SH.GasHP.NG_Biogas</t>
  </si>
  <si>
    <t>EMI.ktCO2.RO.Ser.BldNew.Thermal.SH.GasTH.NG_Biogas</t>
  </si>
  <si>
    <t>EMI.ktCO2.RO.Ser.BldNew.Thermal.SH.Biomass.Biomass_Waste</t>
  </si>
  <si>
    <t>EMI.ktCO2.RO.Ser.BldNew.Thermal.SH.Geo.Geo</t>
  </si>
  <si>
    <t>EMI.ktCO2.RO.Ser.BldNew.Thermal.SH.DistrHeat.Steam_Distr</t>
  </si>
  <si>
    <t>EMI.ktCO2.RO.Ser.BldNew.Thermal.SH.AdvElc.Elec</t>
  </si>
  <si>
    <t>EMI.ktCO2.RO.Ser.BldNew.Thermal.SH.ConvElc.Elec</t>
  </si>
  <si>
    <t>EMI.ktCO2.RO.Ser.BldNew.Thermal.SH.TotalCirculation.Elec</t>
  </si>
  <si>
    <t>EMI.ktCO2.RO.Ser.BldNew.Thermal.SC</t>
  </si>
  <si>
    <t>EMI.ktCO2.RO.Ser.BldNew.Thermal.SC.GasHP.NG_Biogas</t>
  </si>
  <si>
    <t>EMI.ktCO2.RO.Ser.BldNew.Thermal.SC.AC.Elec</t>
  </si>
  <si>
    <t>EMI.ktCO2.RO.Ser.BldNew.Thermal.HW</t>
  </si>
  <si>
    <t>EMI.ktCO2.RO.Ser.BldNew.Thermal.HW.Solids.Solids</t>
  </si>
  <si>
    <t>EMI.ktCO2.RO.Ser.BldNew.Thermal.HW.LPG.LPG</t>
  </si>
  <si>
    <t>EMI.ktCO2.RO.Ser.BldNew.Thermal.HW.Oil.Oil_LiqBio</t>
  </si>
  <si>
    <t>EMI.ktCO2.RO.Ser.BldNew.Thermal.HW.Gas.NG_Biogas</t>
  </si>
  <si>
    <t>EMI.ktCO2.RO.Ser.BldNew.Thermal.HW.Biomass.Biomass_Waste</t>
  </si>
  <si>
    <t>EMI.ktCO2.RO.Ser.BldNew.Thermal.HW.DistrHeat.Steam_Distr</t>
  </si>
  <si>
    <t>EMI.ktCO2.RO.Ser.BldNew.Thermal.HW.Elc.Elec</t>
  </si>
  <si>
    <t>EMI.ktCO2.RO.Ser.BldNew.Thermal.HW.TotalSolar.Solar</t>
  </si>
  <si>
    <t>EMI.ktCO2.RO.Ser.BldNew.Thermal.CA</t>
  </si>
  <si>
    <t>EMI.ktCO2.RO.Ser.BldNew.Thermal.CA.LPG</t>
  </si>
  <si>
    <t>EMI.ktCO2.RO.Ser.BldNew.Thermal.CA.Gas.NG_Biogas</t>
  </si>
  <si>
    <t>EMI.ktCO2.RO.Ser.BldNew.Thermal.CA.Biomass.Biomass_Waste</t>
  </si>
  <si>
    <t>EMI.ktCO2.RO.Ser.BldNew.Thermal.CA.Elc.Elec</t>
  </si>
  <si>
    <t>RO - Final energy consumption of new and renovated buildings (per building)</t>
  </si>
  <si>
    <t>FEC_per_building.kWh.RO.Ser.BldNew.Thermal</t>
  </si>
  <si>
    <t>FEC_per_building.kWh.RO.Ser.BldNew.Thermal.SH</t>
  </si>
  <si>
    <t>FEC_per_building.kWh.RO.Ser.BldNew.Thermal.SH.Solids.Solids</t>
  </si>
  <si>
    <t>FEC_per_building.kWh.RO.Ser.BldNew.Thermal.SH.LPG.LPG</t>
  </si>
  <si>
    <t>FEC_per_building.kWh.RO.Ser.BldNew.Thermal.SH.Oil.Oil_LiqBio</t>
  </si>
  <si>
    <t>FEC_per_building.kWh.RO.Ser.BldNew.Thermal.SH.GasHP.NG_Biogas</t>
  </si>
  <si>
    <t>FEC_per_building.kWh.RO.Ser.BldNew.Thermal.SH.GasTH.NG_Biogas</t>
  </si>
  <si>
    <t>FEC_per_building.kWh.RO.Ser.BldNew.Thermal.SH.Biomass.Biomass_Waste</t>
  </si>
  <si>
    <t>FEC_per_building.kWh.RO.Ser.BldNew.Thermal.SH.Geo.Geo</t>
  </si>
  <si>
    <t>FEC_per_building.kWh.RO.Ser.BldNew.Thermal.SH.DistrHeat.Steam_Distr</t>
  </si>
  <si>
    <t>FEC_per_building.kWh.RO.Ser.BldNew.Thermal.SH.AdvElc.Elec</t>
  </si>
  <si>
    <t>FEC_per_building.kWh.RO.Ser.BldNew.Thermal.SH.ConvElc.Elec</t>
  </si>
  <si>
    <t>FEC_per_building.kWh.RO.Ser.BldNew.Thermal.SH.TotalCirculation.Elec</t>
  </si>
  <si>
    <t>FEC_per_building.kWh.RO.Ser.BldNew.Thermal.SC</t>
  </si>
  <si>
    <t>FEC_per_building.kWh.RO.Ser.BldNew.Thermal.SC.GasHP.NG_Biogas</t>
  </si>
  <si>
    <t>FEC_per_building.kWh.RO.Ser.BldNew.Thermal.SC.AC.Elec</t>
  </si>
  <si>
    <t>FEC_per_building.kWh.RO.Ser.BldNew.Thermal.HW</t>
  </si>
  <si>
    <t>FEC_per_building.kWh.RO.Ser.BldNew.Thermal.HW.Solids.Solids</t>
  </si>
  <si>
    <t>FEC_per_building.kWh.RO.Ser.BldNew.Thermal.HW.LPG.LPG</t>
  </si>
  <si>
    <t>FEC_per_building.kWh.RO.Ser.BldNew.Thermal.HW.Oil.Oil_LiqBio</t>
  </si>
  <si>
    <t>FEC_per_building.kWh.RO.Ser.BldNew.Thermal.HW.Gas.NG_Biogas</t>
  </si>
  <si>
    <t>FEC_per_building.kWh.RO.Ser.BldNew.Thermal.HW.Biomass.Biomass_Waste</t>
  </si>
  <si>
    <t>FEC_per_building.kWh.RO.Ser.BldNew.Thermal.HW.DistrHeat.Steam_Distr</t>
  </si>
  <si>
    <t>FEC_per_building.kWh.RO.Ser.BldNew.Thermal.HW.Elc.Elec</t>
  </si>
  <si>
    <t>FEC_per_building.kWh.RO.Ser.BldNew.Thermal.HW.TotalSolar.Solar</t>
  </si>
  <si>
    <t>FEC_per_building.kWh.RO.Ser.BldNew.Thermal.CA</t>
  </si>
  <si>
    <t>FEC_per_building.kWh.RO.Ser.BldNew.Thermal.CA.LPG</t>
  </si>
  <si>
    <t>FEC_per_building.kWh.RO.Ser.BldNew.Thermal.CA.Gas.NG_Biogas</t>
  </si>
  <si>
    <t>FEC_per_building.kWh.RO.Ser.BldNew.Thermal.CA.Biomass.Biomass_Waste</t>
  </si>
  <si>
    <t>FEC_per_building.kWh.RO.Ser.BldNew.Thermal.CA.Elc.Elec</t>
  </si>
  <si>
    <t>RO - Thermal energy service of new and renovated buildings (per building)</t>
  </si>
  <si>
    <t>TES_per_building.kWh.RO.Ser.BldNew.Thermal</t>
  </si>
  <si>
    <t>TES_per_building.kWh.RO.Ser.BldNew.Thermal.SH</t>
  </si>
  <si>
    <t>TES_per_building.kWh.RO.Ser.BldNew.Thermal.SH.Solids.Solids</t>
  </si>
  <si>
    <t>TES_per_building.kWh.RO.Ser.BldNew.Thermal.SH.LPG.LPG</t>
  </si>
  <si>
    <t>TES_per_building.kWh.RO.Ser.BldNew.Thermal.SH.Oil.Oil_LiqBio</t>
  </si>
  <si>
    <t>TES_per_building.kWh.RO.Ser.BldNew.Thermal.SH.GasHP.NG_Biogas</t>
  </si>
  <si>
    <t>TES_per_building.kWh.RO.Ser.BldNew.Thermal.SH.GasTH.NG_Biogas</t>
  </si>
  <si>
    <t>TES_per_building.kWh.RO.Ser.BldNew.Thermal.SH.Biomass.Biomass_Waste</t>
  </si>
  <si>
    <t>TES_per_building.kWh.RO.Ser.BldNew.Thermal.SH.Geo.Geo</t>
  </si>
  <si>
    <t>TES_per_building.kWh.RO.Ser.BldNew.Thermal.SH.DistrHeat.Steam_Distr</t>
  </si>
  <si>
    <t>TES_per_building.kWh.RO.Ser.BldNew.Thermal.SH.AdvElc.Elec</t>
  </si>
  <si>
    <t>TES_per_building.kWh.RO.Ser.BldNew.Thermal.SH.ConvElc.Elec</t>
  </si>
  <si>
    <t>TES_per_building.kWh.RO.Ser.BldNew.Thermal.SH.TotalCirculation.Elec</t>
  </si>
  <si>
    <t>TES_per_building.kWh.RO.Ser.BldNew.Thermal.SC</t>
  </si>
  <si>
    <t>TES_per_building.kWh.RO.Ser.BldNew.Thermal.SC.GasHP.NG_Biogas</t>
  </si>
  <si>
    <t>TES_per_building.kWh.RO.Ser.BldNew.Thermal.SC.AC.Elec</t>
  </si>
  <si>
    <t>TES_per_building.kWh.RO.Ser.BldNew.Thermal.HW</t>
  </si>
  <si>
    <t>TES_per_building.kWh.RO.Ser.BldNew.Thermal.HW.Solids.Solids</t>
  </si>
  <si>
    <t>TES_per_building.kWh.RO.Ser.BldNew.Thermal.HW.LPG.LPG</t>
  </si>
  <si>
    <t>TES_per_building.kWh.RO.Ser.BldNew.Thermal.HW.Oil.Oil_LiqBio</t>
  </si>
  <si>
    <t>TES_per_building.kWh.RO.Ser.BldNew.Thermal.HW.Gas.NG_Biogas</t>
  </si>
  <si>
    <t>TES_per_building.kWh.RO.Ser.BldNew.Thermal.HW.Biomass.Biomass_Waste</t>
  </si>
  <si>
    <t>TES_per_building.kWh.RO.Ser.BldNew.Thermal.HW.DistrHeat.Steam_Distr</t>
  </si>
  <si>
    <t>TES_per_building.kWh.RO.Ser.BldNew.Thermal.HW.Elc.Elec</t>
  </si>
  <si>
    <t>TES_per_building.kWh.RO.Ser.BldNew.Thermal.HW.TotalSolar.Solar</t>
  </si>
  <si>
    <t>TES_per_building.kWh.RO.Ser.BldNew.Thermal.CA</t>
  </si>
  <si>
    <t>TES_per_building.kWh.RO.Ser.BldNew.Thermal.CA.LPG</t>
  </si>
  <si>
    <t>TES_per_building.kWh.RO.Ser.BldNew.Thermal.CA.Gas.NG_Biogas</t>
  </si>
  <si>
    <t>TES_per_building.kWh.RO.Ser.BldNew.Thermal.CA.Biomass.Biomass_Waste</t>
  </si>
  <si>
    <t>TES_per_building.kWh.RO.Ser.BldNew.Thermal.CA.Elc.Elec</t>
  </si>
  <si>
    <t>RO - CO2 emissions in new and renovated buildings (per building)</t>
  </si>
  <si>
    <t>EMI_per_building.kgCO2.RO.Ser.BldNew.Thermal</t>
  </si>
  <si>
    <t>EMI_per_building.kgCO2.RO.Ser.BldNew.Thermal.SH</t>
  </si>
  <si>
    <t>EMI_per_building.kgCO2.RO.Ser.BldNew.Thermal.SH.Solids.Solids</t>
  </si>
  <si>
    <t>EMI_per_building.kgCO2.RO.Ser.BldNew.Thermal.SH.LPG.LPG</t>
  </si>
  <si>
    <t>EMI_per_building.kgCO2.RO.Ser.BldNew.Thermal.SH.Oil.Oil_LiqBio</t>
  </si>
  <si>
    <t>EMI_per_building.kgCO2.RO.Ser.BldNew.Thermal.SH.GasHP.NG_Biogas</t>
  </si>
  <si>
    <t>EMI_per_building.kgCO2.RO.Ser.BldNew.Thermal.SH.GasTH.NG_Biogas</t>
  </si>
  <si>
    <t>EMI_per_building.kgCO2.RO.Ser.BldNew.Thermal.SH.Biomass.Biomass_Waste</t>
  </si>
  <si>
    <t>EMI_per_building.kgCO2.RO.Ser.BldNew.Thermal.SH.Geo.Geo</t>
  </si>
  <si>
    <t>EMI_per_building.kgCO2.RO.Ser.BldNew.Thermal.SH.DistrHeat.Steam_Distr</t>
  </si>
  <si>
    <t>EMI_per_building.kgCO2.RO.Ser.BldNew.Thermal.SH.AdvElc.Elec</t>
  </si>
  <si>
    <t>EMI_per_building.kgCO2.RO.Ser.BldNew.Thermal.SH.ConvElc.Elec</t>
  </si>
  <si>
    <t>EMI_per_building.kgCO2.RO.Ser.BldNew.Thermal.SH.TotalCirculation.Elec</t>
  </si>
  <si>
    <t>EMI_per_building.kgCO2.RO.Ser.BldNew.Thermal.SC</t>
  </si>
  <si>
    <t>EMI_per_building.kgCO2.RO.Ser.BldNew.Thermal.SC.GasHP.NG_Biogas</t>
  </si>
  <si>
    <t>EMI_per_building.kgCO2.RO.Ser.BldNew.Thermal.SC.AC.Elec</t>
  </si>
  <si>
    <t>EMI_per_building.kgCO2.RO.Ser.BldNew.Thermal.HW</t>
  </si>
  <si>
    <t>EMI_per_building.kgCO2.RO.Ser.BldNew.Thermal.HW.Solids.Solids</t>
  </si>
  <si>
    <t>EMI_per_building.kgCO2.RO.Ser.BldNew.Thermal.HW.LPG.LPG</t>
  </si>
  <si>
    <t>EMI_per_building.kgCO2.RO.Ser.BldNew.Thermal.HW.Oil.Oil_LiqBio</t>
  </si>
  <si>
    <t>EMI_per_building.kgCO2.RO.Ser.BldNew.Thermal.HW.Gas.NG_Biogas</t>
  </si>
  <si>
    <t>EMI_per_building.kgCO2.RO.Ser.BldNew.Thermal.HW.Biomass.Biomass_Waste</t>
  </si>
  <si>
    <t>EMI_per_building.kgCO2.RO.Ser.BldNew.Thermal.HW.DistrHeat.Steam_Distr</t>
  </si>
  <si>
    <t>EMI_per_building.kgCO2.RO.Ser.BldNew.Thermal.HW.Elc.Elec</t>
  </si>
  <si>
    <t>EMI_per_building.kgCO2.RO.Ser.BldNew.Thermal.HW.TotalSolar.Solar</t>
  </si>
  <si>
    <t>EMI_per_building.kgCO2.RO.Ser.BldNew.Thermal.CA</t>
  </si>
  <si>
    <t>EMI_per_building.kgCO2.RO.Ser.BldNew.Thermal.CA.LPG</t>
  </si>
  <si>
    <t>EMI_per_building.kgCO2.RO.Ser.BldNew.Thermal.CA.Gas.NG_Biogas</t>
  </si>
  <si>
    <t>EMI_per_building.kgCO2.RO.Ser.BldNew.Thermal.CA.Biomass.Biomass_Waste</t>
  </si>
  <si>
    <t>EMI_per_building.kgCO2.RO.Ser.BldNew.Thermal.CA.Elc.Elec</t>
  </si>
  <si>
    <t>RO - Final energy consumption in new and renovated buildings per surface area</t>
  </si>
  <si>
    <t>FEC_per_sqm.kWh.RO.Ser.BldNew.Thermal</t>
  </si>
  <si>
    <t>FEC_per_sqm.kWh.RO.Ser.BldNew.Thermal.SH</t>
  </si>
  <si>
    <t>FEC_per_sqm.kWh.RO.Ser.BldNew.Thermal.SH.Solids.Solids</t>
  </si>
  <si>
    <t>FEC_per_sqm.kWh.RO.Ser.BldNew.Thermal.SH.LPG.LPG</t>
  </si>
  <si>
    <t>FEC_per_sqm.kWh.RO.Ser.BldNew.Thermal.SH.Oil.Oil_LiqBio</t>
  </si>
  <si>
    <t>FEC_per_sqm.kWh.RO.Ser.BldNew.Thermal.SH.GasHP.NG_Biogas</t>
  </si>
  <si>
    <t>FEC_per_sqm.kWh.RO.Ser.BldNew.Thermal.SH.GasTH.NG_Biogas</t>
  </si>
  <si>
    <t>FEC_per_sqm.kWh.RO.Ser.BldNew.Thermal.SH.Biomass.Biomass_Waste</t>
  </si>
  <si>
    <t>FEC_per_sqm.kWh.RO.Ser.BldNew.Thermal.SH.Geo.Geo</t>
  </si>
  <si>
    <t>FEC_per_sqm.kWh.RO.Ser.BldNew.Thermal.SH.DistrHeat.Steam_Distr</t>
  </si>
  <si>
    <t>FEC_per_sqm.kWh.RO.Ser.BldNew.Thermal.SH.AdvElc.Elec</t>
  </si>
  <si>
    <t>FEC_per_sqm.kWh.RO.Ser.BldNew.Thermal.SH.ConvElc.Elec</t>
  </si>
  <si>
    <t>FEC_per_sqm.kWh.RO.Ser.BldNew.Thermal.SH.TotalCirculation.Elec</t>
  </si>
  <si>
    <t>FEC_per_sqm.kWh.RO.Ser.BldNew.Thermal.SC</t>
  </si>
  <si>
    <t>FEC_per_sqm.kWh.RO.Ser.BldNew.Thermal.SC.GasHP.NG_Biogas</t>
  </si>
  <si>
    <t>FEC_per_sqm.kWh.RO.Ser.BldNew.Thermal.SC.AC.Elec</t>
  </si>
  <si>
    <t>FEC_per_sqm.kWh.RO.Ser.BldNew.Thermal.HW</t>
  </si>
  <si>
    <t>FEC_per_sqm.kWh.RO.Ser.BldNew.Thermal.HW.Solids.Solids</t>
  </si>
  <si>
    <t>FEC_per_sqm.kWh.RO.Ser.BldNew.Thermal.HW.LPG.LPG</t>
  </si>
  <si>
    <t>FEC_per_sqm.kWh.RO.Ser.BldNew.Thermal.HW.Oil.Oil_LiqBio</t>
  </si>
  <si>
    <t>FEC_per_sqm.kWh.RO.Ser.BldNew.Thermal.HW.Gas.NG_Biogas</t>
  </si>
  <si>
    <t>FEC_per_sqm.kWh.RO.Ser.BldNew.Thermal.HW.Biomass.Biomass_Waste</t>
  </si>
  <si>
    <t>FEC_per_sqm.kWh.RO.Ser.BldNew.Thermal.HW.DistrHeat.Steam_Distr</t>
  </si>
  <si>
    <t>FEC_per_sqm.kWh.RO.Ser.BldNew.Thermal.HW.Elc.Elec</t>
  </si>
  <si>
    <t>FEC_per_sqm.kWh.RO.Ser.BldNew.Thermal.HW.TotalSolar.Solar</t>
  </si>
  <si>
    <t>FEC_per_sqm.kWh.RO.Ser.BldNew.Thermal.CA</t>
  </si>
  <si>
    <t>FEC_per_sqm.kWh.RO.Ser.BldNew.Thermal.CA.LPG</t>
  </si>
  <si>
    <t>FEC_per_sqm.kWh.RO.Ser.BldNew.Thermal.CA.Gas.NG_Biogas</t>
  </si>
  <si>
    <t>FEC_per_sqm.kWh.RO.Ser.BldNew.Thermal.CA.Biomass.Biomass_Waste</t>
  </si>
  <si>
    <t>FEC_per_sqm.kWh.RO.Ser.BldNew.Thermal.CA.Elc.Elec</t>
  </si>
  <si>
    <t>RO - Thermal energy service in new and renovated buildings per surface area</t>
  </si>
  <si>
    <t>TES_per_sqm.kWh.RO.Ser.BldNew.Thermal</t>
  </si>
  <si>
    <t>TES_per_sqm.kWh.RO.Ser.BldNew.Thermal.SH</t>
  </si>
  <si>
    <t>TES_per_sqm.kWh.RO.Ser.BldNew.Thermal.SH.Solids.Solids</t>
  </si>
  <si>
    <t>TES_per_sqm.kWh.RO.Ser.BldNew.Thermal.SH.LPG.LPG</t>
  </si>
  <si>
    <t>TES_per_sqm.kWh.RO.Ser.BldNew.Thermal.SH.Oil.Oil_LiqBio</t>
  </si>
  <si>
    <t>TES_per_sqm.kWh.RO.Ser.BldNew.Thermal.SH.GasHP.NG_Biogas</t>
  </si>
  <si>
    <t>TES_per_sqm.kWh.RO.Ser.BldNew.Thermal.SH.GasTH.NG_Biogas</t>
  </si>
  <si>
    <t>TES_per_sqm.kWh.RO.Ser.BldNew.Thermal.SH.Biomass.Biomass_Waste</t>
  </si>
  <si>
    <t>TES_per_sqm.kWh.RO.Ser.BldNew.Thermal.SH.Geo.Geo</t>
  </si>
  <si>
    <t>TES_per_sqm.kWh.RO.Ser.BldNew.Thermal.SH.DistrHeat.Steam_Distr</t>
  </si>
  <si>
    <t>TES_per_sqm.kWh.RO.Ser.BldNew.Thermal.SH.AdvElc.Elec</t>
  </si>
  <si>
    <t>TES_per_sqm.kWh.RO.Ser.BldNew.Thermal.SH.ConvElc.Elec</t>
  </si>
  <si>
    <t>TES_per_sqm.kWh.RO.Ser.BldNew.Thermal.SH.TotalCirculation.Elec</t>
  </si>
  <si>
    <t>TES_per_sqm.kWh.RO.Ser.BldNew.Thermal.SC</t>
  </si>
  <si>
    <t>TES_per_sqm.kWh.RO.Ser.BldNew.Thermal.SC.GasHP.NG_Biogas</t>
  </si>
  <si>
    <t>TES_per_sqm.kWh.RO.Ser.BldNew.Thermal.SC.AC.Elec</t>
  </si>
  <si>
    <t>TES_per_sqm.kWh.RO.Ser.BldNew.Thermal.HW</t>
  </si>
  <si>
    <t>TES_per_sqm.kWh.RO.Ser.BldNew.Thermal.HW.Solids.Solids</t>
  </si>
  <si>
    <t>TES_per_sqm.kWh.RO.Ser.BldNew.Thermal.HW.LPG.LPG</t>
  </si>
  <si>
    <t>TES_per_sqm.kWh.RO.Ser.BldNew.Thermal.HW.Oil.Oil_LiqBio</t>
  </si>
  <si>
    <t>TES_per_sqm.kWh.RO.Ser.BldNew.Thermal.HW.Gas.NG_Biogas</t>
  </si>
  <si>
    <t>TES_per_sqm.kWh.RO.Ser.BldNew.Thermal.HW.Biomass.Biomass_Waste</t>
  </si>
  <si>
    <t>TES_per_sqm.kWh.RO.Ser.BldNew.Thermal.HW.DistrHeat.Steam_Distr</t>
  </si>
  <si>
    <t>TES_per_sqm.kWh.RO.Ser.BldNew.Thermal.HW.Elc.Elec</t>
  </si>
  <si>
    <t>TES_per_sqm.kWh.RO.Ser.BldNew.Thermal.HW.TotalSolar.Solar</t>
  </si>
  <si>
    <t>TES_per_sqm.kWh.RO.Ser.BldNew.Thermal.CA</t>
  </si>
  <si>
    <t>TES_per_sqm.kWh.RO.Ser.BldNew.Thermal.CA.LPG</t>
  </si>
  <si>
    <t>TES_per_sqm.kWh.RO.Ser.BldNew.Thermal.CA.Gas.NG_Biogas</t>
  </si>
  <si>
    <t>TES_per_sqm.kWh.RO.Ser.BldNew.Thermal.CA.Biomass.Biomass_Waste</t>
  </si>
  <si>
    <t>TES_per_sqm.kWh.RO.Ser.BldNew.Thermal.CA.Elc.Elec</t>
  </si>
  <si>
    <t>RO - CO2 emissions in new and renovated buildings per surface area</t>
  </si>
  <si>
    <t>EMI_per_sqm.kgCO2.RO.Ser.BldNew.Thermal</t>
  </si>
  <si>
    <t>EMI_per_sqm.kgCO2.RO.Ser.BldNew.Thermal.SH</t>
  </si>
  <si>
    <t>EMI_per_sqm.kgCO2.RO.Ser.BldNew.Thermal.SH.Solids.Solids</t>
  </si>
  <si>
    <t>EMI_per_sqm.kgCO2.RO.Ser.BldNew.Thermal.SH.LPG.LPG</t>
  </si>
  <si>
    <t>EMI_per_sqm.kgCO2.RO.Ser.BldNew.Thermal.SH.Oil.Oil_LiqBio</t>
  </si>
  <si>
    <t>EMI_per_sqm.kgCO2.RO.Ser.BldNew.Thermal.SH.GasHP.NG_Biogas</t>
  </si>
  <si>
    <t>EMI_per_sqm.kgCO2.RO.Ser.BldNew.Thermal.SH.GasTH.NG_Biogas</t>
  </si>
  <si>
    <t>EMI_per_sqm.kgCO2.RO.Ser.BldNew.Thermal.SH.Biomass.Biomass_Waste</t>
  </si>
  <si>
    <t>EMI_per_sqm.kgCO2.RO.Ser.BldNew.Thermal.SH.Geo.Geo</t>
  </si>
  <si>
    <t>EMI_per_sqm.kgCO2.RO.Ser.BldNew.Thermal.SH.DistrHeat.Steam_Distr</t>
  </si>
  <si>
    <t>EMI_per_sqm.kgCO2.RO.Ser.BldNew.Thermal.SH.AdvElc.Elec</t>
  </si>
  <si>
    <t>EMI_per_sqm.kgCO2.RO.Ser.BldNew.Thermal.SH.ConvElc.Elec</t>
  </si>
  <si>
    <t>EMI_per_sqm.kgCO2.RO.Ser.BldNew.Thermal.SH.TotalCirculation.Elec</t>
  </si>
  <si>
    <t>EMI_per_sqm.kgCO2.RO.Ser.BldNew.Thermal.SC</t>
  </si>
  <si>
    <t>EMI_per_sqm.kgCO2.RO.Ser.BldNew.Thermal.SC.GasHP.NG_Biogas</t>
  </si>
  <si>
    <t>EMI_per_sqm.kgCO2.RO.Ser.BldNew.Thermal.SC.AC.Elec</t>
  </si>
  <si>
    <t>EMI_per_sqm.kgCO2.RO.Ser.BldNew.Thermal.HW</t>
  </si>
  <si>
    <t>EMI_per_sqm.kgCO2.RO.Ser.BldNew.Thermal.HW.Solids.Solids</t>
  </si>
  <si>
    <t>EMI_per_sqm.kgCO2.RO.Ser.BldNew.Thermal.HW.LPG.LPG</t>
  </si>
  <si>
    <t>EMI_per_sqm.kgCO2.RO.Ser.BldNew.Thermal.HW.Oil.Oil_LiqBio</t>
  </si>
  <si>
    <t>EMI_per_sqm.kgCO2.RO.Ser.BldNew.Thermal.HW.Gas.NG_Biogas</t>
  </si>
  <si>
    <t>EMI_per_sqm.kgCO2.RO.Ser.BldNew.Thermal.HW.Biomass.Biomass_Waste</t>
  </si>
  <si>
    <t>EMI_per_sqm.kgCO2.RO.Ser.BldNew.Thermal.HW.DistrHeat.Steam_Distr</t>
  </si>
  <si>
    <t>EMI_per_sqm.kgCO2.RO.Ser.BldNew.Thermal.HW.Elc.Elec</t>
  </si>
  <si>
    <t>EMI_per_sqm.kgCO2.RO.Ser.BldNew.Thermal.HW.TotalSolar.Solar</t>
  </si>
  <si>
    <t>EMI_per_sqm.kgCO2.RO.Ser.BldNew.Thermal.CA</t>
  </si>
  <si>
    <t>EMI_per_sqm.kgCO2.RO.Ser.BldNew.Thermal.CA.LPG</t>
  </si>
  <si>
    <t>EMI_per_sqm.kgCO2.RO.Ser.BldNew.Thermal.CA.Gas.NG_Biogas</t>
  </si>
  <si>
    <t>EMI_per_sqm.kgCO2.RO.Ser.BldNew.Thermal.CA.Biomass.Biomass_Waste</t>
  </si>
  <si>
    <t>EMI_per_sqm.kgCO2.RO.Ser.BldNew.Thermal.CA.Elc.Elec</t>
  </si>
  <si>
    <t>FEC.ktoe.RO.Ser.SEU.VE</t>
  </si>
  <si>
    <t>FEC.ktoe.RO.Ser.SEU.SL</t>
  </si>
  <si>
    <t>FEC.ktoe.RO.Ser.SEU.BL</t>
  </si>
  <si>
    <t>FEC.ktoe.RO.Ser.SEU.CR</t>
  </si>
  <si>
    <t>FEC.ktoe.RO.Ser.SEU.BT</t>
  </si>
  <si>
    <t>FEC.ktoe.RO.Ser.SEU.IT</t>
  </si>
  <si>
    <t>Size.MW.RO.Ser.SEU</t>
  </si>
  <si>
    <t>Size.MW.RO.Ser.SEU.VE</t>
  </si>
  <si>
    <t>Size.MW.RO.Ser.SEU.SL</t>
  </si>
  <si>
    <t>Size.MW.RO.Ser.SEU.BL</t>
  </si>
  <si>
    <t>Size.MW.RO.Ser.SEU.CR</t>
  </si>
  <si>
    <t>Size.MW.RO.Ser.SEU.BT</t>
  </si>
  <si>
    <t>Size.MW.RO.Ser.SEU.IT</t>
  </si>
  <si>
    <t>NUM.Msqm.RO.Ser.SEU.VE</t>
  </si>
  <si>
    <t>NUM.k.RO.Ser.SEU.SL</t>
  </si>
  <si>
    <t>NUM.M.RO.Ser.SEU.BL</t>
  </si>
  <si>
    <t>NUM.k.RO.Ser.SEU.CR</t>
  </si>
  <si>
    <t>NUM.Msqm.RO.Ser.SEU.BT</t>
  </si>
  <si>
    <t>NUM.k.RO.Ser.SEU.IT</t>
  </si>
  <si>
    <t>NUM.Msqm.RO.Ser.SEUnew.VE</t>
  </si>
  <si>
    <t>NUM.k.RO.Ser.SEUnew.SL</t>
  </si>
  <si>
    <t>NUM.M.RO.Ser.SEUnew.BL</t>
  </si>
  <si>
    <t>NUM.k.RO.Ser.SEUnew.CR</t>
  </si>
  <si>
    <t>NUM.Msqm.RO.Ser.SEUnew.BT</t>
  </si>
  <si>
    <t>NUM.k.RO.Ser.SEUnew.IT</t>
  </si>
  <si>
    <t>NUM.Msqm.RO.Ser.SEUrepl.VE</t>
  </si>
  <si>
    <t>NUM.k.RO.Ser.SEUrepl.SL</t>
  </si>
  <si>
    <t>NUM.M.RO.Ser.SEUrepl.BL</t>
  </si>
  <si>
    <t>NUM.k.RO.Ser.SEUrepl.CR</t>
  </si>
  <si>
    <t>NUM.Msqm.RO.Ser.SEUrepl.BT</t>
  </si>
  <si>
    <t>NUM.k.RO.Ser.SEUrepl.IT</t>
  </si>
  <si>
    <t>Op.hours.RO.Ser.SEU.VE</t>
  </si>
  <si>
    <t>Op.hours.RO.Ser.SEU.SL</t>
  </si>
  <si>
    <t>Op.hours.RO.Ser.SEU.BL</t>
  </si>
  <si>
    <t>Op.hours.RO.Ser.SEU.CR</t>
  </si>
  <si>
    <t>Op.hours.RO.Ser.SEU.BT</t>
  </si>
  <si>
    <t>Op.hours.RO.Ser.SEU.IT</t>
  </si>
  <si>
    <t>Size_per_appl.W.RO.Ser.SEU.VE</t>
  </si>
  <si>
    <t>Size_per_appl.W.RO.Ser.SEU.SL</t>
  </si>
  <si>
    <t>Size_per_appl.W.RO.Ser.SEU.BL</t>
  </si>
  <si>
    <t>Size_per_appl.W.RO.Ser.SEU.CR</t>
  </si>
  <si>
    <t>Size_per_appl.W.RO.Ser.SEU.BT</t>
  </si>
  <si>
    <t>Size_per_appl.W.RO.Ser.SEU.IT</t>
  </si>
  <si>
    <t>Size_per_appl.W.RO.Ser.SEUnew.VE</t>
  </si>
  <si>
    <t>Size_per_appl.W.RO.Ser.SEUnew.SL</t>
  </si>
  <si>
    <t>Size_per_appl.W.RO.Ser.SEUnew.BL</t>
  </si>
  <si>
    <t>Size_per_appl.W.RO.Ser.SEUnew.CR</t>
  </si>
  <si>
    <t>Size_per_appl.W.RO.Ser.SEUnew.BT</t>
  </si>
  <si>
    <t>Size_per_appl.W.RO.Ser.SEUnew.IT</t>
  </si>
  <si>
    <t>NUM.sqm_per_building.RO.Ser.SEU.VE</t>
  </si>
  <si>
    <t>NUM.number_per_capita.RO.Ser.SEU.SL</t>
  </si>
  <si>
    <t>NUM.number_per_building.RO.Ser.SEU.BL</t>
  </si>
  <si>
    <t>NUM.number_per_capita.RO.Ser.SEU.CR</t>
  </si>
  <si>
    <t>NUM.sqm_per_building.RO.Ser.SEU.BT</t>
  </si>
  <si>
    <t>NUM.number_per_capita.RO.Ser.SEU.IT</t>
  </si>
  <si>
    <t>Lumens_per_sqm.lumen.RO.Ser.SEU.BL</t>
  </si>
  <si>
    <t>FEC.ktoe.RO.Ser.SEU.IT.DataCenters</t>
  </si>
  <si>
    <t>RO - Services / specific electric uses</t>
  </si>
  <si>
    <t>RO - Ventilation and others</t>
  </si>
  <si>
    <t>RO - Street lighting</t>
  </si>
  <si>
    <t>RO - Building lighting</t>
  </si>
  <si>
    <t>RO - Commercial refrigeration</t>
  </si>
  <si>
    <t>RO - Miscellaneous building technologies</t>
  </si>
  <si>
    <t>RO - ICT and multimedia</t>
  </si>
  <si>
    <t>RO - Agriculture, forestry and fishing</t>
  </si>
  <si>
    <t>VA.Meuro2015.Meuro2023.RO.AGR.AGR</t>
  </si>
  <si>
    <t>OUTPUT.index.index.RO.AGR.AGR</t>
  </si>
  <si>
    <t>CAP.index.index.RO.AGR.AGR</t>
  </si>
  <si>
    <t>NEWCAP.index.index.RO.AGR.AGR</t>
  </si>
  <si>
    <t>CAPOUT.index.RO.AGR.AGR</t>
  </si>
  <si>
    <t>CAPIDLE.index.RO.AGR.AGR</t>
  </si>
  <si>
    <t>FEC.ktoe.RO.ES.AGR</t>
  </si>
  <si>
    <t>FEC.ktoe.RO.ES.AGR.Solids</t>
  </si>
  <si>
    <t>FEC.ktoe.RO.ES.AGR.LPG</t>
  </si>
  <si>
    <t>FEC.ktoe.RO.ES.AGR.Diesel</t>
  </si>
  <si>
    <t>FEC.ktoe.RO.ES.AGR.RFO</t>
  </si>
  <si>
    <t>FEC.ktoe.RO.ES.AGR.NG</t>
  </si>
  <si>
    <t>FEC.ktoe.RO.ES.AGR.Biomass_Waste</t>
  </si>
  <si>
    <t>FEC.ktoe.RO.ES.AGR.Biogas</t>
  </si>
  <si>
    <t>FEC.ktoe.RO.ES.AGR.LiqBio</t>
  </si>
  <si>
    <t>FEC.ktoe.RO.ES.AGR.Solar</t>
  </si>
  <si>
    <t>FEC.ktoe.RO.ES.AGR.Geo</t>
  </si>
  <si>
    <t>FEC.ktoe.RO.ES.AGR.Ambient</t>
  </si>
  <si>
    <t>FEC.ktoe.RO.ES.AGR.Steam_Distr</t>
  </si>
  <si>
    <t>FEC.ktoe.RO.ES.AGR.Elec</t>
  </si>
  <si>
    <t>RO - Agriculture, forestry and fishing / final energy consumption</t>
  </si>
  <si>
    <t>FEC.ktoe.ktoe.RO.AGR.AGR.LIGHT.GENERIC.ELEC</t>
  </si>
  <si>
    <t>FEC.ktoe.ktoe.RO.AGR.AGR.FANS.GENERIC.ELEC</t>
  </si>
  <si>
    <t>FEC.ktoe.ktoe.RO.AGR.AGR.MOTOR.GENERIC.ELEC</t>
  </si>
  <si>
    <t>FEC.ktoe.ktoe.RO.AGR.AGR.LOW_ENTH.THERM.DIESEL_LIQBIO</t>
  </si>
  <si>
    <t>FEC.ktoe.ktoe.RO.AGR.AGR.LOW_ENTH.THERM.NG_BIOGAS</t>
  </si>
  <si>
    <t>FEC.ktoe.ktoe.RO.AGR.AGR.LOW_ENTH.THERM.SOLAR_GEO</t>
  </si>
  <si>
    <t>FEC.ktoe.ktoe.RO.AGR.AGR.LOW_ENTH.HP.AMBIENT</t>
  </si>
  <si>
    <t>FEC.ktoe.ktoe.RO.AGR.AGR.LOW_ENTH.THERM.STEAM_DISTR</t>
  </si>
  <si>
    <t>FEC.ktoe.ktoe.RO.AGR.AGR.LOW_ENTH.THERM.ELEC</t>
  </si>
  <si>
    <t>FEC.ktoe.ktoe.RO.AGR.AGR.FARM_DRIVES.MECH.DIESEL_LIQBIO</t>
  </si>
  <si>
    <t>FEC.ktoe.ktoe.RO.AGR.AGR.HEAT_USE.THERM.SOLIDS</t>
  </si>
  <si>
    <t>FEC.ktoe.ktoe.RO.AGR.AGR.HEAT_USE.THERM.LPG</t>
  </si>
  <si>
    <t>FEC.ktoe.ktoe.RO.AGR.AGR.HEAT_USE.THERM.DIESEL_LIQBIO</t>
  </si>
  <si>
    <t>FEC.ktoe.ktoe.RO.AGR.AGR.HEAT_USE.THERM.RFO</t>
  </si>
  <si>
    <t>FEC.ktoe.ktoe.RO.AGR.AGR.HEAT_USE.THERM.NG_BIOGAS</t>
  </si>
  <si>
    <t>FEC.ktoe.ktoe.RO.AGR.AGR.HEAT_USE.THERM.BIOMASS_WASTE</t>
  </si>
  <si>
    <t>FEC.ktoe.ktoe.RO.AGR.AGR.HEAT_USE.THERM.SOLAR_GEO</t>
  </si>
  <si>
    <t>FEC.ktoe.ktoe.RO.AGR.AGR.FARM_PUMP.MECH.DIESEL_LIQBIO</t>
  </si>
  <si>
    <t>FEC.ktoe.ktoe.RO.AGR.AGR.FARM_PUMP_ELEC.MECH.ELEC</t>
  </si>
  <si>
    <t>FEC.ktoe.ktoe.RO.AGR.AGR.GENERIC.MECH.ELEC</t>
  </si>
  <si>
    <t>RO - Agriculture, forestry and fishing / useful energy demand</t>
  </si>
  <si>
    <t>UED.ktoe.ktoe.RO.AGR.AGR.LIGHT.GENERIC.ELEC</t>
  </si>
  <si>
    <t>UED.ktoe.ktoe.RO.AGR.AGR.FANS.GENERIC.ELEC</t>
  </si>
  <si>
    <t>UED.ktoe.ktoe.RO.AGR.AGR.MOTOR.GENERIC.ELEC</t>
  </si>
  <si>
    <t>UED.ktoe.ktoe.RO.AGR.AGR.LOW_ENTH.THERM.DIESEL_LIQBIO</t>
  </si>
  <si>
    <t>UED.ktoe.ktoe.RO.AGR.AGR.LOW_ENTH.THERM.NG_BIOGAS</t>
  </si>
  <si>
    <t>UED.ktoe.ktoe.RO.AGR.AGR.LOW_ENTH.THERM.SOLAR_GEO</t>
  </si>
  <si>
    <t>UED.ktoe.ktoe.RO.AGR.AGR.LOW_ENTH.HP.AMBIENT</t>
  </si>
  <si>
    <t>UED.ktoe.ktoe.RO.AGR.AGR.LOW_ENTH.THERM.STEAM_DISTR</t>
  </si>
  <si>
    <t>UED.ktoe.ktoe.RO.AGR.AGR.LOW_ENTH.THERM.ELEC</t>
  </si>
  <si>
    <t>UED.ktoe.ktoe.RO.AGR.AGR.FARM_DRIVES.MECH.DIESEL_LIQBIO</t>
  </si>
  <si>
    <t>UED.ktoe.ktoe.RO.AGR.AGR.HEAT_USE.THERM.SOLIDS</t>
  </si>
  <si>
    <t>UED.ktoe.ktoe.RO.AGR.AGR.HEAT_USE.THERM.LPG</t>
  </si>
  <si>
    <t>UED.ktoe.ktoe.RO.AGR.AGR.HEAT_USE.THERM.DIESEL_LIQBIO</t>
  </si>
  <si>
    <t>UED.ktoe.ktoe.RO.AGR.AGR.HEAT_USE.THERM.RFO</t>
  </si>
  <si>
    <t>UED.ktoe.ktoe.RO.AGR.AGR.HEAT_USE.THERM.NG_BIOGAS</t>
  </si>
  <si>
    <t>UED.ktoe.ktoe.RO.AGR.AGR.HEAT_USE.THERM.BIOMASS_WASTE</t>
  </si>
  <si>
    <t>UED.ktoe.ktoe.RO.AGR.AGR.HEAT_USE.THERM.SOLAR_GEO</t>
  </si>
  <si>
    <t>UED.ktoe.ktoe.RO.AGR.AGR.FARM_PUMP.MECH.DIESEL_LIQBIO</t>
  </si>
  <si>
    <t>UED.ktoe.ktoe.RO.AGR.AGR.FARM_PUMP_ELEC.MECH.ELEC</t>
  </si>
  <si>
    <t>UED.ktoe.ktoe.RO.AGR.AGR.GENERIC.MECH.ELEC</t>
  </si>
  <si>
    <t>RO - Agriculture, forestry and fishing / CO2 emissions</t>
  </si>
  <si>
    <t>FUEL_EMI.ktCO2.ktCO2.RO.AGR.AGR.LIGHT.GENERIC.ELEC</t>
  </si>
  <si>
    <t>FUEL_EMI.ktCO2.ktCO2.RO.AGR.AGR.FANS.GENERIC.ELEC</t>
  </si>
  <si>
    <t>FUEL_EMI.ktCO2.ktCO2.RO.AGR.AGR.MOTOR.GENERIC.ELEC</t>
  </si>
  <si>
    <t>FUEL_EMI.ktCO2.ktCO2.RO.AGR.AGR.LOW_ENTH.THERM.DIESEL_LIQBIO</t>
  </si>
  <si>
    <t>FUEL_EMI.ktCO2.ktCO2.RO.AGR.AGR.LOW_ENTH.THERM.NG_BIOGAS</t>
  </si>
  <si>
    <t>FUEL_EMI.ktCO2.ktCO2.RO.AGR.AGR.LOW_ENTH.THERM.SOLAR_GEO</t>
  </si>
  <si>
    <t>FUEL_EMI.ktCO2.ktCO2.RO.AGR.AGR.LOW_ENTH.HP.AMBIENT</t>
  </si>
  <si>
    <t>FUEL_EMI.ktCO2.ktCO2.RO.AGR.AGR.LOW_ENTH.THERM.STEAM_DISTR</t>
  </si>
  <si>
    <t>FUEL_EMI.ktCO2.ktCO2.RO.AGR.AGR.LOW_ENTH.THERM.ELEC</t>
  </si>
  <si>
    <t>FUEL_EMI.ktCO2.ktCO2.RO.AGR.AGR.FARM_DRIVES.MECH.DIESEL_LIQBIO</t>
  </si>
  <si>
    <t>FUEL_EMI.ktCO2.ktCO2.RO.AGR.AGR.HEAT_USE.THERM.SOLIDS</t>
  </si>
  <si>
    <t>FUEL_EMI.ktCO2.ktCO2.RO.AGR.AGR.HEAT_USE.THERM.LPG</t>
  </si>
  <si>
    <t>FUEL_EMI.ktCO2.ktCO2.RO.AGR.AGR.HEAT_USE.THERM.DIESEL_LIQBIO</t>
  </si>
  <si>
    <t>FUEL_EMI.ktCO2.ktCO2.RO.AGR.AGR.HEAT_USE.THERM.RFO</t>
  </si>
  <si>
    <t>FUEL_EMI.ktCO2.ktCO2.RO.AGR.AGR.HEAT_USE.THERM.NG_BIOGAS</t>
  </si>
  <si>
    <t>FUEL_EMI.ktCO2.ktCO2.RO.AGR.AGR.HEAT_USE.THERM.BIOMASS_WASTE</t>
  </si>
  <si>
    <t>FUEL_EMI.ktCO2.ktCO2.RO.AGR.AGR.HEAT_USE.THERM.SOLAR_GEO</t>
  </si>
  <si>
    <t>FUEL_EMI.ktCO2.ktCO2.RO.AGR.AGR.FARM_PUMP.MECH.DIESEL_LIQBIO</t>
  </si>
  <si>
    <t>FUEL_EMI.ktCO2.ktCO2.RO.AGR.AGR.FARM_PUMP_ELEC.MECH.ELEC</t>
  </si>
  <si>
    <t>FUEL_EMI.ktCO2.ktCO2.RO.AGR.AGR.GENERIC.MECH.ELEC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</si>
</sst>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4">
    <numFmt numFmtId="164" formatCode="_(* #,##0.00_);_(* \(#,##0.00\);_(* &quot;-&quot;??_);_(@_)"/>
    <numFmt numFmtId="165" formatCode="#,##0.000;\-#,##0.000;&quot;-&quot;"/>
    <numFmt numFmtId="166" formatCode="#,##0.0;\-#,##0.0;&quot;-&quot;"/>
    <numFmt numFmtId="167" formatCode="#,##0.000;\-#,##0.000;&quot;&quot;"/>
    <numFmt numFmtId="168" formatCode="0.0%;\-0.0%;&quot;-&quot;"/>
    <numFmt numFmtId="169" formatCode="#,##0;\-#,##0;&quot;-&quot;"/>
    <numFmt numFmtId="170" formatCode="#,##0.0;\-#,##0.0;&quot;&quot;"/>
    <numFmt numFmtId="171" formatCode="0.000;\-0.000;&quot;-&quot;"/>
    <numFmt numFmtId="172" formatCode="0.0;\-0.0;&quot;-&quot;"/>
    <numFmt numFmtId="173" formatCode="#,##0;\-#,##0;&quot;&quot;"/>
    <numFmt numFmtId="174" formatCode="#,##0.00;\-#,##0.00;&quot;-&quot;"/>
    <numFmt numFmtId="175" formatCode="#,##0.000000000000000000_ ;\-#,##0.000000000000000000\ "/>
    <numFmt numFmtId="176" formatCode="0.00%;\-0.00%;&quot;-&quot;"/>
    <numFmt numFmtId="177" formatCode="mmmm\ yyyy"/>
  </numFmts>
  <fonts count="4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9"/>
      <color theme="10"/>
      <name val="Calibri"/>
      <family val="2"/>
      <scheme val="minor"/>
    </font>
    <font>
      <b/>
      <sz val="14"/>
      <color rgb="FFFF0000"/>
      <name val="Calibri"/>
      <family val="2"/>
      <scheme val="minor"/>
    </font>
    <font>
      <i/>
      <sz val="9"/>
      <color theme="1"/>
      <name val="Calibri"/>
      <family val="2"/>
      <scheme val="minor"/>
    </font>
    <font>
      <b/>
      <sz val="14"/>
      <color rgb="FF0070C0"/>
      <name val="Calibri"/>
      <family val="2"/>
      <scheme val="minor"/>
    </font>
    <font>
      <sz val="10"/>
      <name val="Arial"/>
      <family val="2"/>
      <charset val="161"/>
    </font>
    <font>
      <sz val="10"/>
      <name val="Arial"/>
      <family val="2"/>
    </font>
    <font>
      <sz val="8"/>
      <color theme="3" tint="-0.499984740745262"/>
      <name val="Calibri"/>
      <family val="2"/>
      <scheme val="minor"/>
    </font>
    <font>
      <sz val="10"/>
      <color theme="3" tint="-0.499984740745262"/>
      <name val="Calibri"/>
      <family val="2"/>
      <scheme val="minor"/>
    </font>
    <font>
      <b/>
      <sz val="10"/>
      <color rgb="FF002060"/>
      <name val="Calibri"/>
      <family val="2"/>
      <scheme val="minor"/>
    </font>
    <font>
      <sz val="8"/>
      <color rgb="FF002060"/>
      <name val="Calibri"/>
      <family val="2"/>
      <scheme val="minor"/>
    </font>
    <font>
      <u/>
      <sz val="9"/>
      <color rgb="FF0564C3"/>
      <name val="Calibri"/>
      <family val="2"/>
      <scheme val="minor"/>
    </font>
    <font>
      <b/>
      <sz val="10"/>
      <color rgb="FF050505"/>
      <name val="Calibri"/>
      <family val="2"/>
      <scheme val="minor"/>
    </font>
    <font>
      <b/>
      <sz val="8"/>
      <color rgb="FF050505"/>
      <name val="Calibri"/>
      <family val="2"/>
      <scheme val="minor"/>
    </font>
    <font>
      <sz val="8"/>
      <color rgb="FF050505"/>
      <name val="Calibri"/>
      <family val="2"/>
      <scheme val="minor"/>
    </font>
    <font>
      <i/>
      <sz val="8"/>
      <color rgb="FF050505"/>
      <name val="Calibri"/>
      <family val="2"/>
      <scheme val="minor"/>
    </font>
    <font>
      <sz val="10"/>
      <color rgb="FF050505"/>
      <name val="Calibri"/>
      <family val="2"/>
      <scheme val="minor"/>
    </font>
    <font>
      <sz val="9"/>
      <color rgb="FFBE0000"/>
      <name val="Calibri"/>
      <family val="2"/>
      <scheme val="minor"/>
    </font>
    <font>
      <b/>
      <sz val="8"/>
      <color rgb="FFBE0000"/>
      <name val="Calibri"/>
      <family val="2"/>
      <scheme val="minor"/>
    </font>
    <font>
      <sz val="8"/>
      <color rgb="FFBE0000"/>
      <name val="Calibri"/>
      <family val="2"/>
      <scheme val="minor"/>
    </font>
    <font>
      <sz val="9"/>
      <color rgb="FF050505"/>
      <name val="Calibri"/>
      <family val="2"/>
      <scheme val="minor"/>
    </font>
    <font>
      <sz val="10"/>
      <color rgb="FFBE0000"/>
      <name val="Calibri"/>
      <family val="2"/>
      <scheme val="minor"/>
    </font>
    <font>
      <sz val="8"/>
      <color rgb="FF006EBE"/>
      <name val="Calibri"/>
      <family val="2"/>
      <scheme val="minor"/>
    </font>
    <font>
      <sz val="8"/>
      <color rgb="FF506428"/>
      <name val="Calibri"/>
      <family val="2"/>
      <scheme val="minor"/>
    </font>
    <font>
      <sz val="8"/>
      <color rgb="FF828282"/>
      <name val="Calibri"/>
      <family val="2"/>
      <scheme val="minor"/>
    </font>
    <font>
      <b/>
      <sz val="14"/>
      <color rgb="FF006EBE"/>
      <name val="Calibri"/>
      <family val="2"/>
      <scheme val="minor"/>
    </font>
    <font>
      <i/>
      <sz val="9"/>
      <color rgb="FF050505"/>
      <name val="Calibri"/>
      <family val="2"/>
      <scheme val="minor"/>
    </font>
    <font>
      <b/>
      <sz val="9"/>
      <color rgb="FF050505"/>
      <name val="Calibri"/>
      <family val="2"/>
      <scheme val="minor"/>
    </font>
    <font>
      <vertAlign val="subscript"/>
      <sz val="9"/>
      <color rgb="FF050505"/>
      <name val="Calibri"/>
      <family val="2"/>
      <scheme val="minor"/>
    </font>
    <font>
      <sz val="16"/>
      <color rgb="FF050505"/>
      <name val="Calibri"/>
      <family val="2"/>
      <scheme val="minor"/>
    </font>
    <font>
      <b/>
      <sz val="20"/>
      <color rgb="FF050505"/>
      <name val="Calibri"/>
      <family val="2"/>
      <scheme val="minor"/>
    </font>
    <font>
      <b/>
      <sz val="24"/>
      <color rgb="FF050505"/>
      <name val="Calibri"/>
      <family val="2"/>
      <scheme val="minor"/>
    </font>
    <font>
      <b/>
      <sz val="22"/>
      <color rgb="FF050505"/>
      <name val="Calibri"/>
      <family val="2"/>
      <scheme val="minor"/>
    </font>
    <font>
      <b/>
      <u/>
      <sz val="16"/>
      <color rgb="FF050505"/>
      <name val="Calibri"/>
      <family val="2"/>
      <scheme val="minor"/>
    </font>
    <font>
      <b/>
      <sz val="14"/>
      <color rgb="FF050505"/>
      <name val="Calibri"/>
      <family val="2"/>
      <scheme val="minor"/>
    </font>
    <font>
      <b/>
      <sz val="11"/>
      <color rgb="FF050505"/>
      <name val="Calibri"/>
      <family val="2"/>
      <scheme val="minor"/>
    </font>
    <font>
      <u/>
      <sz val="11"/>
      <color rgb="FF0564C3"/>
      <name val="Calibri"/>
      <family val="2"/>
      <scheme val="minor"/>
    </font>
    <font>
      <sz val="16"/>
      <color rgb="FFFF000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DCEBF5"/>
        <bgColor indexed="64"/>
      </patternFill>
    </fill>
    <fill>
      <patternFill patternType="solid">
        <fgColor rgb="FFDCD7C3"/>
        <bgColor indexed="64"/>
      </patternFill>
    </fill>
    <fill>
      <patternFill patternType="solid">
        <fgColor rgb="FFF0F0F0"/>
        <bgColor indexed="64"/>
      </patternFill>
    </fill>
    <fill>
      <patternFill patternType="solid">
        <fgColor rgb="FFD7D7D7"/>
        <bgColor indexed="64"/>
      </patternFill>
    </fill>
    <fill>
      <patternFill patternType="solid">
        <fgColor rgb="FFFFFF00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hair">
        <color auto="1"/>
      </top>
      <bottom/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/>
      <top style="hair">
        <color auto="1"/>
      </top>
      <bottom style="hair">
        <color auto="1"/>
      </bottom>
      <diagonal/>
    </border>
  </borders>
  <cellStyleXfs count="10">
    <xf numFmtId="0" fontId="0" fillId="0" borderId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3" fillId="0" borderId="0" applyNumberFormat="0" applyFill="0" applyBorder="0" applyAlignment="0" applyProtection="0"/>
    <xf numFmtId="164" fontId="1" fillId="0" borderId="0" applyFont="0" applyFill="0" applyBorder="0" applyAlignment="0" applyProtection="0"/>
    <xf numFmtId="0" fontId="8" fillId="0" borderId="0"/>
    <xf numFmtId="0" fontId="9" fillId="0" borderId="0"/>
    <xf numFmtId="9" fontId="8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1" fillId="0" borderId="0"/>
  </cellStyleXfs>
  <cellXfs count="313">
    <xf numFmtId="0" fontId="0" fillId="0" borderId="0" xfId="0"/>
    <xf numFmtId="0" fontId="10" fillId="2" borderId="0" xfId="5" applyFont="1" applyFill="1" applyAlignment="1">
      <alignment vertical="center"/>
    </xf>
    <xf numFmtId="0" fontId="10" fillId="2" borderId="0" xfId="5" applyNumberFormat="1" applyFont="1" applyFill="1" applyAlignment="1">
      <alignment vertical="center"/>
    </xf>
    <xf numFmtId="166" fontId="10" fillId="2" borderId="0" xfId="5" applyNumberFormat="1" applyFont="1" applyFill="1" applyAlignment="1">
      <alignment vertical="center"/>
    </xf>
    <xf numFmtId="0" fontId="11" fillId="2" borderId="0" xfId="5" applyFont="1" applyFill="1" applyBorder="1" applyAlignment="1">
      <alignment horizontal="left" vertical="center"/>
    </xf>
    <xf numFmtId="0" fontId="11" fillId="2" borderId="0" xfId="5" applyFont="1" applyFill="1" applyAlignment="1">
      <alignment horizontal="left" vertical="center"/>
    </xf>
    <xf numFmtId="3" fontId="10" fillId="2" borderId="0" xfId="5" applyNumberFormat="1" applyFont="1" applyFill="1" applyAlignment="1">
      <alignment vertical="center"/>
    </xf>
    <xf numFmtId="0" fontId="10" fillId="2" borderId="0" xfId="5" applyNumberFormat="1" applyFont="1" applyFill="1" applyAlignment="1">
      <alignment vertical="center" shrinkToFit="1"/>
    </xf>
    <xf numFmtId="0" fontId="10" fillId="2" borderId="2" xfId="5" applyNumberFormat="1" applyFont="1" applyFill="1" applyBorder="1" applyAlignment="1">
      <alignment vertical="center" shrinkToFit="1"/>
    </xf>
    <xf numFmtId="0" fontId="10" fillId="2" borderId="5" xfId="5" applyNumberFormat="1" applyFont="1" applyFill="1" applyBorder="1" applyAlignment="1">
      <alignment vertical="center" shrinkToFit="1"/>
    </xf>
    <xf numFmtId="0" fontId="10" fillId="2" borderId="0" xfId="5" applyNumberFormat="1" applyFont="1" applyFill="1" applyBorder="1" applyAlignment="1">
      <alignment vertical="center" shrinkToFit="1"/>
    </xf>
    <xf numFmtId="0" fontId="10" fillId="2" borderId="1" xfId="5" applyNumberFormat="1" applyFont="1" applyFill="1" applyBorder="1" applyAlignment="1">
      <alignment vertical="center" shrinkToFit="1"/>
    </xf>
    <xf numFmtId="0" fontId="7" fillId="2" borderId="0" xfId="0" applyFont="1" applyFill="1"/>
    <xf numFmtId="0" fontId="2" fillId="2" borderId="0" xfId="0" applyFont="1" applyFill="1"/>
    <xf numFmtId="0" fontId="6" fillId="2" borderId="0" xfId="0" applyFont="1" applyFill="1"/>
    <xf numFmtId="0" fontId="0" fillId="2" borderId="0" xfId="0" applyFill="1"/>
    <xf numFmtId="0" fontId="6" fillId="2" borderId="1" xfId="0" applyFont="1" applyFill="1" applyBorder="1"/>
    <xf numFmtId="0" fontId="5" fillId="2" borderId="0" xfId="0" applyFont="1" applyFill="1"/>
    <xf numFmtId="0" fontId="4" fillId="2" borderId="0" xfId="3" applyFont="1" applyFill="1"/>
    <xf numFmtId="0" fontId="3" fillId="2" borderId="0" xfId="3" applyFill="1"/>
    <xf numFmtId="0" fontId="4" fillId="2" borderId="0" xfId="3" applyFont="1" applyFill="1" applyAlignment="1">
      <alignment horizontal="left"/>
    </xf>
    <xf numFmtId="0" fontId="4" fillId="2" borderId="0" xfId="3" applyFont="1" applyFill="1" applyAlignment="1">
      <alignment horizontal="left" indent="1"/>
    </xf>
    <xf numFmtId="0" fontId="2" fillId="2" borderId="0" xfId="0" applyFont="1" applyFill="1" applyAlignment="1">
      <alignment horizontal="left"/>
    </xf>
    <xf numFmtId="0" fontId="2" fillId="2" borderId="0" xfId="0" applyFont="1" applyFill="1" applyAlignment="1">
      <alignment horizontal="left" indent="1"/>
    </xf>
    <xf numFmtId="0" fontId="14" fillId="2" borderId="0" xfId="3" applyFont="1" applyFill="1"/>
    <xf numFmtId="0" fontId="14" fillId="2" borderId="0" xfId="3" applyFont="1" applyFill="1" applyAlignment="1">
      <alignment horizontal="left" indent="1"/>
    </xf>
    <xf numFmtId="0" fontId="14" fillId="2" borderId="0" xfId="3" applyFont="1" applyFill="1" applyAlignment="1">
      <alignment horizontal="left" indent="2"/>
    </xf>
    <xf numFmtId="1" fontId="16" fillId="3" borderId="2" xfId="5" applyNumberFormat="1" applyFont="1" applyFill="1" applyBorder="1" applyAlignment="1">
      <alignment horizontal="center" vertical="center"/>
    </xf>
    <xf numFmtId="0" fontId="15" fillId="3" borderId="2" xfId="5" applyFont="1" applyFill="1" applyBorder="1" applyAlignment="1">
      <alignment horizontal="left" vertical="center" wrapText="1"/>
    </xf>
    <xf numFmtId="172" fontId="10" fillId="2" borderId="0" xfId="5" applyNumberFormat="1" applyFont="1" applyFill="1" applyBorder="1" applyAlignment="1">
      <alignment vertical="center"/>
    </xf>
    <xf numFmtId="0" fontId="12" fillId="2" borderId="2" xfId="5" applyNumberFormat="1" applyFont="1" applyFill="1" applyBorder="1" applyAlignment="1">
      <alignment horizontal="left" vertical="center"/>
    </xf>
    <xf numFmtId="0" fontId="11" fillId="2" borderId="2" xfId="5" applyNumberFormat="1" applyFont="1" applyFill="1" applyBorder="1" applyAlignment="1">
      <alignment vertical="center"/>
    </xf>
    <xf numFmtId="0" fontId="11" fillId="2" borderId="2" xfId="5" applyNumberFormat="1" applyFont="1" applyFill="1" applyBorder="1" applyAlignment="1">
      <alignment vertical="center" shrinkToFit="1"/>
    </xf>
    <xf numFmtId="0" fontId="16" fillId="2" borderId="5" xfId="5" applyFont="1" applyFill="1" applyBorder="1" applyAlignment="1">
      <alignment horizontal="left" vertical="center"/>
    </xf>
    <xf numFmtId="169" fontId="17" fillId="2" borderId="5" xfId="5" applyNumberFormat="1" applyFont="1" applyFill="1" applyBorder="1" applyAlignment="1">
      <alignment vertical="center"/>
    </xf>
    <xf numFmtId="0" fontId="16" fillId="2" borderId="0" xfId="5" applyFont="1" applyFill="1" applyBorder="1" applyAlignment="1">
      <alignment horizontal="left" vertical="center"/>
    </xf>
    <xf numFmtId="169" fontId="17" fillId="2" borderId="0" xfId="5" applyNumberFormat="1" applyFont="1" applyFill="1" applyBorder="1" applyAlignment="1">
      <alignment vertical="center"/>
    </xf>
    <xf numFmtId="0" fontId="16" fillId="2" borderId="1" xfId="5" applyFont="1" applyFill="1" applyBorder="1" applyAlignment="1">
      <alignment horizontal="left" vertical="center"/>
    </xf>
    <xf numFmtId="169" fontId="17" fillId="2" borderId="1" xfId="5" applyNumberFormat="1" applyFont="1" applyFill="1" applyBorder="1" applyAlignment="1">
      <alignment vertical="center"/>
    </xf>
    <xf numFmtId="0" fontId="16" fillId="2" borderId="3" xfId="5" applyFont="1" applyFill="1" applyBorder="1" applyAlignment="1">
      <alignment horizontal="left" vertical="center"/>
    </xf>
    <xf numFmtId="169" fontId="17" fillId="2" borderId="3" xfId="5" applyNumberFormat="1" applyFont="1" applyFill="1" applyBorder="1" applyAlignment="1">
      <alignment vertical="center"/>
    </xf>
    <xf numFmtId="173" fontId="17" fillId="2" borderId="0" xfId="5" applyNumberFormat="1" applyFont="1" applyFill="1" applyBorder="1" applyAlignment="1">
      <alignment vertical="center"/>
    </xf>
    <xf numFmtId="173" fontId="17" fillId="2" borderId="1" xfId="5" applyNumberFormat="1" applyFont="1" applyFill="1" applyBorder="1" applyAlignment="1">
      <alignment vertical="center"/>
    </xf>
    <xf numFmtId="172" fontId="17" fillId="2" borderId="5" xfId="5" applyNumberFormat="1" applyFont="1" applyFill="1" applyBorder="1" applyAlignment="1">
      <alignment vertical="center"/>
    </xf>
    <xf numFmtId="172" fontId="17" fillId="2" borderId="0" xfId="5" applyNumberFormat="1" applyFont="1" applyFill="1" applyBorder="1" applyAlignment="1">
      <alignment vertical="center"/>
    </xf>
    <xf numFmtId="0" fontId="18" fillId="2" borderId="1" xfId="5" applyFont="1" applyFill="1" applyBorder="1" applyAlignment="1">
      <alignment horizontal="left" vertical="center"/>
    </xf>
    <xf numFmtId="171" fontId="17" fillId="2" borderId="1" xfId="5" applyNumberFormat="1" applyFont="1" applyFill="1" applyBorder="1" applyAlignment="1">
      <alignment vertical="center"/>
    </xf>
    <xf numFmtId="0" fontId="15" fillId="4" borderId="2" xfId="5" applyNumberFormat="1" applyFont="1" applyFill="1" applyBorder="1" applyAlignment="1">
      <alignment horizontal="left" vertical="center"/>
    </xf>
    <xf numFmtId="0" fontId="19" fillId="4" borderId="2" xfId="5" applyNumberFormat="1" applyFont="1" applyFill="1" applyBorder="1" applyAlignment="1">
      <alignment vertical="center"/>
    </xf>
    <xf numFmtId="0" fontId="16" fillId="2" borderId="5" xfId="5" applyFont="1" applyFill="1" applyBorder="1" applyAlignment="1">
      <alignment horizontal="left" vertical="center" indent="1"/>
    </xf>
    <xf numFmtId="0" fontId="16" fillId="2" borderId="0" xfId="5" applyFont="1" applyFill="1" applyBorder="1" applyAlignment="1">
      <alignment horizontal="left" vertical="center" indent="1"/>
    </xf>
    <xf numFmtId="0" fontId="16" fillId="2" borderId="1" xfId="5" applyFont="1" applyFill="1" applyBorder="1" applyAlignment="1">
      <alignment horizontal="left" vertical="center" indent="1"/>
    </xf>
    <xf numFmtId="165" fontId="17" fillId="2" borderId="1" xfId="5" applyNumberFormat="1" applyFont="1" applyFill="1" applyBorder="1" applyAlignment="1">
      <alignment vertical="center"/>
    </xf>
    <xf numFmtId="165" fontId="17" fillId="2" borderId="5" xfId="5" applyNumberFormat="1" applyFont="1" applyFill="1" applyBorder="1" applyAlignment="1">
      <alignment vertical="center"/>
    </xf>
    <xf numFmtId="165" fontId="17" fillId="2" borderId="0" xfId="5" applyNumberFormat="1" applyFont="1" applyFill="1" applyBorder="1" applyAlignment="1">
      <alignment vertical="center"/>
    </xf>
    <xf numFmtId="166" fontId="17" fillId="2" borderId="0" xfId="5" applyNumberFormat="1" applyFont="1" applyFill="1" applyBorder="1" applyAlignment="1">
      <alignment vertical="center"/>
    </xf>
    <xf numFmtId="167" fontId="17" fillId="2" borderId="1" xfId="5" applyNumberFormat="1" applyFont="1" applyFill="1" applyBorder="1" applyAlignment="1">
      <alignment vertical="center"/>
    </xf>
    <xf numFmtId="170" fontId="17" fillId="2" borderId="1" xfId="5" applyNumberFormat="1" applyFont="1" applyFill="1" applyBorder="1" applyAlignment="1">
      <alignment vertical="center"/>
    </xf>
    <xf numFmtId="0" fontId="17" fillId="2" borderId="5" xfId="5" applyFont="1" applyFill="1" applyBorder="1" applyAlignment="1">
      <alignment horizontal="left" vertical="center" indent="2"/>
    </xf>
    <xf numFmtId="166" fontId="17" fillId="2" borderId="5" xfId="5" applyNumberFormat="1" applyFont="1" applyFill="1" applyBorder="1" applyAlignment="1">
      <alignment vertical="center"/>
    </xf>
    <xf numFmtId="0" fontId="17" fillId="2" borderId="0" xfId="5" applyFont="1" applyFill="1" applyBorder="1" applyAlignment="1">
      <alignment horizontal="left" vertical="center" indent="2"/>
    </xf>
    <xf numFmtId="0" fontId="17" fillId="2" borderId="0" xfId="5" applyFont="1" applyFill="1" applyBorder="1" applyAlignment="1">
      <alignment horizontal="left" vertical="center" indent="3"/>
    </xf>
    <xf numFmtId="0" fontId="17" fillId="2" borderId="1" xfId="5" applyFont="1" applyFill="1" applyBorder="1" applyAlignment="1">
      <alignment horizontal="left" vertical="center" indent="2"/>
    </xf>
    <xf numFmtId="166" fontId="17" fillId="2" borderId="1" xfId="5" applyNumberFormat="1" applyFont="1" applyFill="1" applyBorder="1" applyAlignment="1">
      <alignment vertical="center"/>
    </xf>
    <xf numFmtId="166" fontId="17" fillId="2" borderId="4" xfId="1" applyNumberFormat="1" applyFont="1" applyFill="1" applyBorder="1" applyAlignment="1">
      <alignment vertical="center"/>
    </xf>
    <xf numFmtId="166" fontId="17" fillId="2" borderId="0" xfId="1" applyNumberFormat="1" applyFont="1" applyFill="1" applyBorder="1" applyAlignment="1">
      <alignment vertical="center"/>
    </xf>
    <xf numFmtId="0" fontId="17" fillId="2" borderId="3" xfId="5" applyFont="1" applyFill="1" applyBorder="1" applyAlignment="1">
      <alignment horizontal="left" vertical="center" indent="3"/>
    </xf>
    <xf numFmtId="166" fontId="17" fillId="2" borderId="3" xfId="1" applyNumberFormat="1" applyFont="1" applyFill="1" applyBorder="1" applyAlignment="1">
      <alignment vertical="center"/>
    </xf>
    <xf numFmtId="166" fontId="17" fillId="2" borderId="1" xfId="1" applyNumberFormat="1" applyFont="1" applyFill="1" applyBorder="1" applyAlignment="1">
      <alignment vertical="center"/>
    </xf>
    <xf numFmtId="0" fontId="18" fillId="2" borderId="2" xfId="5" applyFont="1" applyFill="1" applyBorder="1" applyAlignment="1">
      <alignment horizontal="left" vertical="center" indent="2"/>
    </xf>
    <xf numFmtId="168" fontId="17" fillId="2" borderId="2" xfId="5" applyNumberFormat="1" applyFont="1" applyFill="1" applyBorder="1" applyAlignment="1">
      <alignment vertical="center"/>
    </xf>
    <xf numFmtId="168" fontId="17" fillId="2" borderId="5" xfId="5" applyNumberFormat="1" applyFont="1" applyFill="1" applyBorder="1" applyAlignment="1">
      <alignment vertical="center"/>
    </xf>
    <xf numFmtId="168" fontId="17" fillId="2" borderId="0" xfId="5" applyNumberFormat="1" applyFont="1" applyFill="1" applyBorder="1" applyAlignment="1">
      <alignment vertical="center"/>
    </xf>
    <xf numFmtId="168" fontId="17" fillId="2" borderId="1" xfId="5" applyNumberFormat="1" applyFont="1" applyFill="1" applyBorder="1" applyAlignment="1">
      <alignment vertical="center"/>
    </xf>
    <xf numFmtId="0" fontId="17" fillId="2" borderId="1" xfId="5" applyFont="1" applyFill="1" applyBorder="1" applyAlignment="1">
      <alignment horizontal="left" vertical="center" indent="3"/>
    </xf>
    <xf numFmtId="167" fontId="17" fillId="2" borderId="5" xfId="5" applyNumberFormat="1" applyFont="1" applyFill="1" applyBorder="1" applyAlignment="1">
      <alignment vertical="center"/>
    </xf>
    <xf numFmtId="167" fontId="17" fillId="2" borderId="0" xfId="5" applyNumberFormat="1" applyFont="1" applyFill="1" applyBorder="1" applyAlignment="1">
      <alignment vertical="center"/>
    </xf>
    <xf numFmtId="0" fontId="18" fillId="2" borderId="4" xfId="5" applyFont="1" applyFill="1" applyBorder="1" applyAlignment="1">
      <alignment horizontal="left" vertical="center" indent="2"/>
    </xf>
    <xf numFmtId="0" fontId="18" fillId="2" borderId="1" xfId="5" applyFont="1" applyFill="1" applyBorder="1" applyAlignment="1">
      <alignment horizontal="left" vertical="center" indent="2"/>
    </xf>
    <xf numFmtId="0" fontId="20" fillId="5" borderId="2" xfId="5" applyFont="1" applyFill="1" applyBorder="1" applyAlignment="1">
      <alignment horizontal="left" vertical="center" indent="1"/>
    </xf>
    <xf numFmtId="166" fontId="21" fillId="5" borderId="2" xfId="5" applyNumberFormat="1" applyFont="1" applyFill="1" applyBorder="1" applyAlignment="1">
      <alignment vertical="center"/>
    </xf>
    <xf numFmtId="0" fontId="20" fillId="5" borderId="5" xfId="5" applyFont="1" applyFill="1" applyBorder="1" applyAlignment="1">
      <alignment horizontal="left" vertical="center" indent="1"/>
    </xf>
    <xf numFmtId="166" fontId="21" fillId="5" borderId="5" xfId="5" applyNumberFormat="1" applyFont="1" applyFill="1" applyBorder="1" applyAlignment="1">
      <alignment vertical="center"/>
    </xf>
    <xf numFmtId="168" fontId="22" fillId="5" borderId="2" xfId="2" applyNumberFormat="1" applyFont="1" applyFill="1" applyBorder="1" applyAlignment="1">
      <alignment vertical="center"/>
    </xf>
    <xf numFmtId="0" fontId="20" fillId="5" borderId="4" xfId="5" applyFont="1" applyFill="1" applyBorder="1" applyAlignment="1">
      <alignment horizontal="left" vertical="center" indent="1"/>
    </xf>
    <xf numFmtId="166" fontId="21" fillId="5" borderId="4" xfId="5" applyNumberFormat="1" applyFont="1" applyFill="1" applyBorder="1" applyAlignment="1">
      <alignment vertical="center"/>
    </xf>
    <xf numFmtId="167" fontId="22" fillId="5" borderId="2" xfId="1" applyNumberFormat="1" applyFont="1" applyFill="1" applyBorder="1" applyAlignment="1">
      <alignment vertical="center"/>
    </xf>
    <xf numFmtId="1" fontId="16" fillId="3" borderId="2" xfId="5" applyNumberFormat="1" applyFont="1" applyFill="1" applyBorder="1" applyAlignment="1">
      <alignment horizontal="center" vertical="center" shrinkToFit="1"/>
    </xf>
    <xf numFmtId="169" fontId="17" fillId="2" borderId="5" xfId="5" applyNumberFormat="1" applyFont="1" applyFill="1" applyBorder="1" applyAlignment="1">
      <alignment vertical="center" shrinkToFit="1"/>
    </xf>
    <xf numFmtId="169" fontId="17" fillId="2" borderId="0" xfId="5" applyNumberFormat="1" applyFont="1" applyFill="1" applyBorder="1" applyAlignment="1">
      <alignment vertical="center" shrinkToFit="1"/>
    </xf>
    <xf numFmtId="169" fontId="17" fillId="2" borderId="1" xfId="5" applyNumberFormat="1" applyFont="1" applyFill="1" applyBorder="1" applyAlignment="1">
      <alignment vertical="center" shrinkToFit="1"/>
    </xf>
    <xf numFmtId="169" fontId="17" fillId="2" borderId="3" xfId="5" applyNumberFormat="1" applyFont="1" applyFill="1" applyBorder="1" applyAlignment="1">
      <alignment vertical="center" shrinkToFit="1"/>
    </xf>
    <xf numFmtId="173" fontId="17" fillId="2" borderId="0" xfId="5" applyNumberFormat="1" applyFont="1" applyFill="1" applyBorder="1" applyAlignment="1">
      <alignment vertical="center" shrinkToFit="1"/>
    </xf>
    <xf numFmtId="173" fontId="17" fillId="2" borderId="1" xfId="5" applyNumberFormat="1" applyFont="1" applyFill="1" applyBorder="1" applyAlignment="1">
      <alignment vertical="center" shrinkToFit="1"/>
    </xf>
    <xf numFmtId="172" fontId="17" fillId="2" borderId="5" xfId="5" applyNumberFormat="1" applyFont="1" applyFill="1" applyBorder="1" applyAlignment="1">
      <alignment vertical="center" shrinkToFit="1"/>
    </xf>
    <xf numFmtId="172" fontId="17" fillId="2" borderId="0" xfId="5" applyNumberFormat="1" applyFont="1" applyFill="1" applyBorder="1" applyAlignment="1">
      <alignment vertical="center" shrinkToFit="1"/>
    </xf>
    <xf numFmtId="171" fontId="17" fillId="2" borderId="1" xfId="5" applyNumberFormat="1" applyFont="1" applyFill="1" applyBorder="1" applyAlignment="1">
      <alignment vertical="center" shrinkToFit="1"/>
    </xf>
    <xf numFmtId="0" fontId="19" fillId="4" borderId="2" xfId="5" applyNumberFormat="1" applyFont="1" applyFill="1" applyBorder="1" applyAlignment="1">
      <alignment vertical="center" shrinkToFit="1"/>
    </xf>
    <xf numFmtId="165" fontId="17" fillId="2" borderId="1" xfId="5" applyNumberFormat="1" applyFont="1" applyFill="1" applyBorder="1" applyAlignment="1">
      <alignment vertical="center" shrinkToFit="1"/>
    </xf>
    <xf numFmtId="165" fontId="17" fillId="2" borderId="5" xfId="5" applyNumberFormat="1" applyFont="1" applyFill="1" applyBorder="1" applyAlignment="1">
      <alignment vertical="center" shrinkToFit="1"/>
    </xf>
    <xf numFmtId="165" fontId="17" fillId="2" borderId="0" xfId="5" applyNumberFormat="1" applyFont="1" applyFill="1" applyBorder="1" applyAlignment="1">
      <alignment vertical="center" shrinkToFit="1"/>
    </xf>
    <xf numFmtId="166" fontId="17" fillId="2" borderId="0" xfId="5" applyNumberFormat="1" applyFont="1" applyFill="1" applyBorder="1" applyAlignment="1">
      <alignment vertical="center" shrinkToFit="1"/>
    </xf>
    <xf numFmtId="170" fontId="17" fillId="2" borderId="1" xfId="5" applyNumberFormat="1" applyFont="1" applyFill="1" applyBorder="1" applyAlignment="1">
      <alignment vertical="center" shrinkToFit="1"/>
    </xf>
    <xf numFmtId="166" fontId="21" fillId="5" borderId="2" xfId="5" applyNumberFormat="1" applyFont="1" applyFill="1" applyBorder="1" applyAlignment="1">
      <alignment vertical="center" shrinkToFit="1"/>
    </xf>
    <xf numFmtId="166" fontId="17" fillId="2" borderId="5" xfId="5" applyNumberFormat="1" applyFont="1" applyFill="1" applyBorder="1" applyAlignment="1">
      <alignment vertical="center" shrinkToFit="1"/>
    </xf>
    <xf numFmtId="166" fontId="17" fillId="2" borderId="1" xfId="5" applyNumberFormat="1" applyFont="1" applyFill="1" applyBorder="1" applyAlignment="1">
      <alignment vertical="center" shrinkToFit="1"/>
    </xf>
    <xf numFmtId="166" fontId="10" fillId="2" borderId="0" xfId="5" applyNumberFormat="1" applyFont="1" applyFill="1" applyAlignment="1">
      <alignment vertical="center" shrinkToFit="1"/>
    </xf>
    <xf numFmtId="166" fontId="21" fillId="5" borderId="5" xfId="5" applyNumberFormat="1" applyFont="1" applyFill="1" applyBorder="1" applyAlignment="1">
      <alignment vertical="center" shrinkToFit="1"/>
    </xf>
    <xf numFmtId="166" fontId="17" fillId="2" borderId="4" xfId="1" applyNumberFormat="1" applyFont="1" applyFill="1" applyBorder="1" applyAlignment="1">
      <alignment vertical="center" shrinkToFit="1"/>
    </xf>
    <xf numFmtId="166" fontId="17" fillId="2" borderId="0" xfId="1" applyNumberFormat="1" applyFont="1" applyFill="1" applyBorder="1" applyAlignment="1">
      <alignment vertical="center" shrinkToFit="1"/>
    </xf>
    <xf numFmtId="166" fontId="17" fillId="2" borderId="3" xfId="1" applyNumberFormat="1" applyFont="1" applyFill="1" applyBorder="1" applyAlignment="1">
      <alignment vertical="center" shrinkToFit="1"/>
    </xf>
    <xf numFmtId="166" fontId="17" fillId="2" borderId="1" xfId="1" applyNumberFormat="1" applyFont="1" applyFill="1" applyBorder="1" applyAlignment="1">
      <alignment vertical="center" shrinkToFit="1"/>
    </xf>
    <xf numFmtId="168" fontId="22" fillId="5" borderId="2" xfId="2" applyNumberFormat="1" applyFont="1" applyFill="1" applyBorder="1" applyAlignment="1">
      <alignment vertical="center" shrinkToFit="1"/>
    </xf>
    <xf numFmtId="168" fontId="17" fillId="2" borderId="2" xfId="5" applyNumberFormat="1" applyFont="1" applyFill="1" applyBorder="1" applyAlignment="1">
      <alignment vertical="center" shrinkToFit="1"/>
    </xf>
    <xf numFmtId="168" fontId="17" fillId="2" borderId="5" xfId="5" applyNumberFormat="1" applyFont="1" applyFill="1" applyBorder="1" applyAlignment="1">
      <alignment vertical="center" shrinkToFit="1"/>
    </xf>
    <xf numFmtId="168" fontId="17" fillId="2" borderId="0" xfId="5" applyNumberFormat="1" applyFont="1" applyFill="1" applyBorder="1" applyAlignment="1">
      <alignment vertical="center" shrinkToFit="1"/>
    </xf>
    <xf numFmtId="168" fontId="17" fillId="2" borderId="1" xfId="5" applyNumberFormat="1" applyFont="1" applyFill="1" applyBorder="1" applyAlignment="1">
      <alignment vertical="center" shrinkToFit="1"/>
    </xf>
    <xf numFmtId="166" fontId="21" fillId="5" borderId="4" xfId="5" applyNumberFormat="1" applyFont="1" applyFill="1" applyBorder="1" applyAlignment="1">
      <alignment vertical="center" shrinkToFit="1"/>
    </xf>
    <xf numFmtId="0" fontId="10" fillId="2" borderId="0" xfId="5" applyFont="1" applyFill="1" applyAlignment="1">
      <alignment vertical="center" shrinkToFit="1"/>
    </xf>
    <xf numFmtId="167" fontId="22" fillId="5" borderId="2" xfId="1" applyNumberFormat="1" applyFont="1" applyFill="1" applyBorder="1" applyAlignment="1">
      <alignment vertical="center" shrinkToFit="1"/>
    </xf>
    <xf numFmtId="167" fontId="17" fillId="2" borderId="5" xfId="5" applyNumberFormat="1" applyFont="1" applyFill="1" applyBorder="1" applyAlignment="1">
      <alignment vertical="center" shrinkToFit="1"/>
    </xf>
    <xf numFmtId="167" fontId="17" fillId="2" borderId="0" xfId="5" applyNumberFormat="1" applyFont="1" applyFill="1" applyBorder="1" applyAlignment="1">
      <alignment vertical="center" shrinkToFit="1"/>
    </xf>
    <xf numFmtId="167" fontId="17" fillId="2" borderId="1" xfId="5" applyNumberFormat="1" applyFont="1" applyFill="1" applyBorder="1" applyAlignment="1">
      <alignment vertical="center" shrinkToFit="1"/>
    </xf>
    <xf numFmtId="0" fontId="24" fillId="6" borderId="2" xfId="5" applyFont="1" applyFill="1" applyBorder="1" applyAlignment="1">
      <alignment horizontal="left" vertical="center"/>
    </xf>
    <xf numFmtId="169" fontId="22" fillId="6" borderId="2" xfId="1" applyNumberFormat="1" applyFont="1" applyFill="1" applyBorder="1" applyAlignment="1">
      <alignment vertical="center"/>
    </xf>
    <xf numFmtId="166" fontId="22" fillId="6" borderId="2" xfId="1" applyNumberFormat="1" applyFont="1" applyFill="1" applyBorder="1" applyAlignment="1">
      <alignment vertical="center"/>
    </xf>
    <xf numFmtId="165" fontId="22" fillId="6" borderId="2" xfId="1" applyNumberFormat="1" applyFont="1" applyFill="1" applyBorder="1" applyAlignment="1">
      <alignment vertical="center"/>
    </xf>
    <xf numFmtId="0" fontId="25" fillId="2" borderId="0" xfId="5" applyFont="1" applyFill="1" applyBorder="1" applyAlignment="1">
      <alignment horizontal="left" vertical="center" indent="2"/>
    </xf>
    <xf numFmtId="0" fontId="25" fillId="2" borderId="7" xfId="5" applyFont="1" applyFill="1" applyBorder="1" applyAlignment="1">
      <alignment horizontal="left" vertical="center" indent="2"/>
    </xf>
    <xf numFmtId="0" fontId="16" fillId="5" borderId="2" xfId="5" applyFont="1" applyFill="1" applyBorder="1" applyAlignment="1">
      <alignment horizontal="left" vertical="center" indent="1"/>
    </xf>
    <xf numFmtId="166" fontId="17" fillId="5" borderId="2" xfId="1" applyNumberFormat="1" applyFont="1" applyFill="1" applyBorder="1" applyAlignment="1">
      <alignment vertical="center"/>
    </xf>
    <xf numFmtId="0" fontId="17" fillId="2" borderId="0" xfId="5" applyFont="1" applyFill="1" applyAlignment="1">
      <alignment horizontal="left" vertical="center" indent="2"/>
    </xf>
    <xf numFmtId="166" fontId="17" fillId="2" borderId="0" xfId="1" applyNumberFormat="1" applyFont="1" applyFill="1" applyAlignment="1">
      <alignment vertical="center"/>
    </xf>
    <xf numFmtId="0" fontId="17" fillId="2" borderId="7" xfId="5" applyFont="1" applyFill="1" applyBorder="1" applyAlignment="1">
      <alignment horizontal="left" vertical="center" indent="2"/>
    </xf>
    <xf numFmtId="166" fontId="17" fillId="2" borderId="7" xfId="1" applyNumberFormat="1" applyFont="1" applyFill="1" applyBorder="1" applyAlignment="1">
      <alignment vertical="center"/>
    </xf>
    <xf numFmtId="165" fontId="17" fillId="5" borderId="2" xfId="1" applyNumberFormat="1" applyFont="1" applyFill="1" applyBorder="1" applyAlignment="1">
      <alignment vertical="center"/>
    </xf>
    <xf numFmtId="165" fontId="17" fillId="2" borderId="0" xfId="1" applyNumberFormat="1" applyFont="1" applyFill="1" applyAlignment="1">
      <alignment vertical="center"/>
    </xf>
    <xf numFmtId="165" fontId="17" fillId="2" borderId="0" xfId="1" applyNumberFormat="1" applyFont="1" applyFill="1" applyBorder="1" applyAlignment="1">
      <alignment vertical="center"/>
    </xf>
    <xf numFmtId="165" fontId="17" fillId="2" borderId="7" xfId="1" applyNumberFormat="1" applyFont="1" applyFill="1" applyBorder="1" applyAlignment="1">
      <alignment vertical="center"/>
    </xf>
    <xf numFmtId="169" fontId="17" fillId="5" borderId="2" xfId="1" applyNumberFormat="1" applyFont="1" applyFill="1" applyBorder="1" applyAlignment="1">
      <alignment vertical="center"/>
    </xf>
    <xf numFmtId="169" fontId="17" fillId="2" borderId="0" xfId="1" applyNumberFormat="1" applyFont="1" applyFill="1" applyAlignment="1">
      <alignment vertical="center"/>
    </xf>
    <xf numFmtId="169" fontId="17" fillId="2" borderId="0" xfId="1" applyNumberFormat="1" applyFont="1" applyFill="1" applyBorder="1" applyAlignment="1">
      <alignment vertical="center"/>
    </xf>
    <xf numFmtId="0" fontId="18" fillId="2" borderId="7" xfId="5" applyFont="1" applyFill="1" applyBorder="1" applyAlignment="1">
      <alignment horizontal="left" vertical="center" indent="2"/>
    </xf>
    <xf numFmtId="169" fontId="18" fillId="2" borderId="7" xfId="1" applyNumberFormat="1" applyFont="1" applyFill="1" applyBorder="1" applyAlignment="1">
      <alignment vertical="center"/>
    </xf>
    <xf numFmtId="0" fontId="18" fillId="2" borderId="6" xfId="5" applyFont="1" applyFill="1" applyBorder="1" applyAlignment="1">
      <alignment horizontal="left" vertical="center" indent="2"/>
    </xf>
    <xf numFmtId="166" fontId="18" fillId="2" borderId="6" xfId="1" applyNumberFormat="1" applyFont="1" applyFill="1" applyBorder="1" applyAlignment="1">
      <alignment vertical="center"/>
    </xf>
    <xf numFmtId="166" fontId="18" fillId="2" borderId="1" xfId="1" applyNumberFormat="1" applyFont="1" applyFill="1" applyBorder="1" applyAlignment="1">
      <alignment vertical="center"/>
    </xf>
    <xf numFmtId="166" fontId="17" fillId="2" borderId="6" xfId="1" applyNumberFormat="1" applyFont="1" applyFill="1" applyBorder="1" applyAlignment="1">
      <alignment vertical="center"/>
    </xf>
    <xf numFmtId="165" fontId="17" fillId="2" borderId="6" xfId="1" applyNumberFormat="1" applyFont="1" applyFill="1" applyBorder="1" applyAlignment="1">
      <alignment vertical="center"/>
    </xf>
    <xf numFmtId="165" fontId="17" fillId="2" borderId="1" xfId="1" applyNumberFormat="1" applyFont="1" applyFill="1" applyBorder="1" applyAlignment="1">
      <alignment vertical="center"/>
    </xf>
    <xf numFmtId="169" fontId="18" fillId="2" borderId="6" xfId="1" applyNumberFormat="1" applyFont="1" applyFill="1" applyBorder="1" applyAlignment="1">
      <alignment vertical="center"/>
    </xf>
    <xf numFmtId="169" fontId="18" fillId="2" borderId="1" xfId="1" applyNumberFormat="1" applyFont="1" applyFill="1" applyBorder="1" applyAlignment="1">
      <alignment vertical="center"/>
    </xf>
    <xf numFmtId="169" fontId="17" fillId="2" borderId="1" xfId="1" applyNumberFormat="1" applyFont="1" applyFill="1" applyBorder="1" applyAlignment="1">
      <alignment vertical="center"/>
    </xf>
    <xf numFmtId="165" fontId="18" fillId="2" borderId="6" xfId="1" applyNumberFormat="1" applyFont="1" applyFill="1" applyBorder="1" applyAlignment="1">
      <alignment vertical="center"/>
    </xf>
    <xf numFmtId="166" fontId="22" fillId="6" borderId="2" xfId="1" applyNumberFormat="1" applyFont="1" applyFill="1" applyBorder="1" applyAlignment="1">
      <alignment vertical="center" shrinkToFit="1"/>
    </xf>
    <xf numFmtId="166" fontId="17" fillId="5" borderId="2" xfId="1" applyNumberFormat="1" applyFont="1" applyFill="1" applyBorder="1" applyAlignment="1">
      <alignment vertical="center" shrinkToFit="1"/>
    </xf>
    <xf numFmtId="166" fontId="17" fillId="2" borderId="0" xfId="1" applyNumberFormat="1" applyFont="1" applyFill="1" applyAlignment="1">
      <alignment vertical="center" shrinkToFit="1"/>
    </xf>
    <xf numFmtId="166" fontId="17" fillId="2" borderId="7" xfId="1" applyNumberFormat="1" applyFont="1" applyFill="1" applyBorder="1" applyAlignment="1">
      <alignment vertical="center" shrinkToFit="1"/>
    </xf>
    <xf numFmtId="166" fontId="18" fillId="2" borderId="6" xfId="1" applyNumberFormat="1" applyFont="1" applyFill="1" applyBorder="1" applyAlignment="1">
      <alignment vertical="center" shrinkToFit="1"/>
    </xf>
    <xf numFmtId="166" fontId="18" fillId="2" borderId="1" xfId="1" applyNumberFormat="1" applyFont="1" applyFill="1" applyBorder="1" applyAlignment="1">
      <alignment vertical="center" shrinkToFit="1"/>
    </xf>
    <xf numFmtId="166" fontId="17" fillId="2" borderId="6" xfId="1" applyNumberFormat="1" applyFont="1" applyFill="1" applyBorder="1" applyAlignment="1">
      <alignment vertical="center" shrinkToFit="1"/>
    </xf>
    <xf numFmtId="165" fontId="22" fillId="6" borderId="2" xfId="1" applyNumberFormat="1" applyFont="1" applyFill="1" applyBorder="1" applyAlignment="1">
      <alignment vertical="center" shrinkToFit="1"/>
    </xf>
    <xf numFmtId="165" fontId="17" fillId="5" borderId="2" xfId="1" applyNumberFormat="1" applyFont="1" applyFill="1" applyBorder="1" applyAlignment="1">
      <alignment vertical="center" shrinkToFit="1"/>
    </xf>
    <xf numFmtId="165" fontId="17" fillId="2" borderId="0" xfId="1" applyNumberFormat="1" applyFont="1" applyFill="1" applyAlignment="1">
      <alignment vertical="center" shrinkToFit="1"/>
    </xf>
    <xf numFmtId="165" fontId="17" fillId="2" borderId="0" xfId="1" applyNumberFormat="1" applyFont="1" applyFill="1" applyBorder="1" applyAlignment="1">
      <alignment vertical="center" shrinkToFit="1"/>
    </xf>
    <xf numFmtId="165" fontId="17" fillId="2" borderId="7" xfId="1" applyNumberFormat="1" applyFont="1" applyFill="1" applyBorder="1" applyAlignment="1">
      <alignment vertical="center" shrinkToFit="1"/>
    </xf>
    <xf numFmtId="165" fontId="17" fillId="2" borderId="6" xfId="1" applyNumberFormat="1" applyFont="1" applyFill="1" applyBorder="1" applyAlignment="1">
      <alignment vertical="center" shrinkToFit="1"/>
    </xf>
    <xf numFmtId="165" fontId="17" fillId="2" borderId="1" xfId="1" applyNumberFormat="1" applyFont="1" applyFill="1" applyBorder="1" applyAlignment="1">
      <alignment vertical="center" shrinkToFit="1"/>
    </xf>
    <xf numFmtId="169" fontId="22" fillId="6" borderId="2" xfId="1" applyNumberFormat="1" applyFont="1" applyFill="1" applyBorder="1" applyAlignment="1">
      <alignment vertical="center" shrinkToFit="1"/>
    </xf>
    <xf numFmtId="169" fontId="17" fillId="5" borderId="2" xfId="1" applyNumberFormat="1" applyFont="1" applyFill="1" applyBorder="1" applyAlignment="1">
      <alignment vertical="center" shrinkToFit="1"/>
    </xf>
    <xf numFmtId="169" fontId="17" fillId="2" borderId="0" xfId="1" applyNumberFormat="1" applyFont="1" applyFill="1" applyAlignment="1">
      <alignment vertical="center" shrinkToFit="1"/>
    </xf>
    <xf numFmtId="169" fontId="17" fillId="2" borderId="0" xfId="1" applyNumberFormat="1" applyFont="1" applyFill="1" applyBorder="1" applyAlignment="1">
      <alignment vertical="center" shrinkToFit="1"/>
    </xf>
    <xf numFmtId="169" fontId="18" fillId="2" borderId="7" xfId="1" applyNumberFormat="1" applyFont="1" applyFill="1" applyBorder="1" applyAlignment="1">
      <alignment vertical="center" shrinkToFit="1"/>
    </xf>
    <xf numFmtId="169" fontId="18" fillId="2" borderId="6" xfId="1" applyNumberFormat="1" applyFont="1" applyFill="1" applyBorder="1" applyAlignment="1">
      <alignment vertical="center" shrinkToFit="1"/>
    </xf>
    <xf numFmtId="169" fontId="18" fillId="2" borderId="1" xfId="1" applyNumberFormat="1" applyFont="1" applyFill="1" applyBorder="1" applyAlignment="1">
      <alignment vertical="center" shrinkToFit="1"/>
    </xf>
    <xf numFmtId="169" fontId="17" fillId="2" borderId="1" xfId="1" applyNumberFormat="1" applyFont="1" applyFill="1" applyBorder="1" applyAlignment="1">
      <alignment vertical="center" shrinkToFit="1"/>
    </xf>
    <xf numFmtId="165" fontId="18" fillId="2" borderId="6" xfId="1" applyNumberFormat="1" applyFont="1" applyFill="1" applyBorder="1" applyAlignment="1">
      <alignment vertical="center" shrinkToFit="1"/>
    </xf>
    <xf numFmtId="169" fontId="10" fillId="2" borderId="0" xfId="5" applyNumberFormat="1" applyFont="1" applyFill="1" applyAlignment="1">
      <alignment vertical="center"/>
    </xf>
    <xf numFmtId="0" fontId="15" fillId="6" borderId="2" xfId="5" applyFont="1" applyFill="1" applyBorder="1" applyAlignment="1">
      <alignment horizontal="left" vertical="center"/>
    </xf>
    <xf numFmtId="166" fontId="16" fillId="6" borderId="2" xfId="5" applyNumberFormat="1" applyFont="1" applyFill="1" applyBorder="1" applyAlignment="1">
      <alignment vertical="center"/>
    </xf>
    <xf numFmtId="166" fontId="17" fillId="2" borderId="0" xfId="5" applyNumberFormat="1" applyFont="1" applyFill="1" applyAlignment="1">
      <alignment vertical="center"/>
    </xf>
    <xf numFmtId="169" fontId="17" fillId="2" borderId="0" xfId="5" applyNumberFormat="1" applyFont="1" applyFill="1" applyAlignment="1">
      <alignment vertical="center"/>
    </xf>
    <xf numFmtId="173" fontId="17" fillId="2" borderId="0" xfId="5" applyNumberFormat="1" applyFont="1" applyFill="1" applyAlignment="1">
      <alignment vertical="center"/>
    </xf>
    <xf numFmtId="172" fontId="16" fillId="6" borderId="2" xfId="5" applyNumberFormat="1" applyFont="1" applyFill="1" applyBorder="1" applyAlignment="1">
      <alignment vertical="center"/>
    </xf>
    <xf numFmtId="172" fontId="17" fillId="2" borderId="0" xfId="5" applyNumberFormat="1" applyFont="1" applyFill="1" applyAlignment="1">
      <alignment vertical="center"/>
    </xf>
    <xf numFmtId="172" fontId="17" fillId="2" borderId="1" xfId="5" applyNumberFormat="1" applyFont="1" applyFill="1" applyBorder="1" applyAlignment="1">
      <alignment vertical="center"/>
    </xf>
    <xf numFmtId="165" fontId="16" fillId="6" borderId="2" xfId="2" applyNumberFormat="1" applyFont="1" applyFill="1" applyBorder="1" applyAlignment="1">
      <alignment vertical="center"/>
    </xf>
    <xf numFmtId="165" fontId="17" fillId="2" borderId="0" xfId="5" applyNumberFormat="1" applyFont="1" applyFill="1" applyAlignment="1">
      <alignment vertical="center"/>
    </xf>
    <xf numFmtId="166" fontId="16" fillId="6" borderId="2" xfId="5" applyNumberFormat="1" applyFont="1" applyFill="1" applyBorder="1" applyAlignment="1">
      <alignment vertical="center" shrinkToFit="1"/>
    </xf>
    <xf numFmtId="166" fontId="17" fillId="2" borderId="0" xfId="5" applyNumberFormat="1" applyFont="1" applyFill="1" applyAlignment="1">
      <alignment vertical="center" shrinkToFit="1"/>
    </xf>
    <xf numFmtId="169" fontId="17" fillId="2" borderId="0" xfId="5" applyNumberFormat="1" applyFont="1" applyFill="1" applyAlignment="1">
      <alignment vertical="center" shrinkToFit="1"/>
    </xf>
    <xf numFmtId="173" fontId="17" fillId="2" borderId="0" xfId="5" applyNumberFormat="1" applyFont="1" applyFill="1" applyAlignment="1">
      <alignment vertical="center" shrinkToFit="1"/>
    </xf>
    <xf numFmtId="172" fontId="16" fillId="6" borderId="2" xfId="5" applyNumberFormat="1" applyFont="1" applyFill="1" applyBorder="1" applyAlignment="1">
      <alignment vertical="center" shrinkToFit="1"/>
    </xf>
    <xf numFmtId="172" fontId="17" fillId="2" borderId="0" xfId="5" applyNumberFormat="1" applyFont="1" applyFill="1" applyAlignment="1">
      <alignment vertical="center" shrinkToFit="1"/>
    </xf>
    <xf numFmtId="172" fontId="17" fillId="2" borderId="1" xfId="5" applyNumberFormat="1" applyFont="1" applyFill="1" applyBorder="1" applyAlignment="1">
      <alignment vertical="center" shrinkToFit="1"/>
    </xf>
    <xf numFmtId="165" fontId="16" fillId="6" borderId="2" xfId="2" applyNumberFormat="1" applyFont="1" applyFill="1" applyBorder="1" applyAlignment="1">
      <alignment vertical="center" shrinkToFit="1"/>
    </xf>
    <xf numFmtId="165" fontId="17" fillId="2" borderId="0" xfId="5" applyNumberFormat="1" applyFont="1" applyFill="1" applyAlignment="1">
      <alignment vertical="center" shrinkToFit="1"/>
    </xf>
    <xf numFmtId="0" fontId="23" fillId="2" borderId="2" xfId="5" applyFont="1" applyFill="1" applyBorder="1" applyAlignment="1">
      <alignment horizontal="left" vertical="center"/>
    </xf>
    <xf numFmtId="166" fontId="17" fillId="2" borderId="2" xfId="5" applyNumberFormat="1" applyFont="1" applyFill="1" applyBorder="1" applyAlignment="1">
      <alignment vertical="center"/>
    </xf>
    <xf numFmtId="0" fontId="23" fillId="2" borderId="5" xfId="5" applyFont="1" applyFill="1" applyBorder="1" applyAlignment="1">
      <alignment horizontal="left" vertical="center"/>
    </xf>
    <xf numFmtId="0" fontId="23" fillId="2" borderId="7" xfId="5" applyFont="1" applyFill="1" applyBorder="1" applyAlignment="1">
      <alignment horizontal="left" vertical="center"/>
    </xf>
    <xf numFmtId="165" fontId="17" fillId="2" borderId="7" xfId="5" applyNumberFormat="1" applyFont="1" applyFill="1" applyBorder="1" applyAlignment="1">
      <alignment vertical="center"/>
    </xf>
    <xf numFmtId="0" fontId="23" fillId="2" borderId="0" xfId="5" applyFont="1" applyFill="1" applyBorder="1" applyAlignment="1">
      <alignment horizontal="left" vertical="center"/>
    </xf>
    <xf numFmtId="0" fontId="23" fillId="2" borderId="1" xfId="5" applyFont="1" applyFill="1" applyBorder="1" applyAlignment="1">
      <alignment horizontal="left" vertical="center"/>
    </xf>
    <xf numFmtId="172" fontId="17" fillId="2" borderId="2" xfId="5" applyNumberFormat="1" applyFont="1" applyFill="1" applyBorder="1" applyAlignment="1">
      <alignment vertical="center"/>
    </xf>
    <xf numFmtId="166" fontId="17" fillId="2" borderId="2" xfId="5" applyNumberFormat="1" applyFont="1" applyFill="1" applyBorder="1" applyAlignment="1">
      <alignment vertical="center" shrinkToFit="1"/>
    </xf>
    <xf numFmtId="165" fontId="17" fillId="2" borderId="7" xfId="5" applyNumberFormat="1" applyFont="1" applyFill="1" applyBorder="1" applyAlignment="1">
      <alignment vertical="center" shrinkToFit="1"/>
    </xf>
    <xf numFmtId="169" fontId="10" fillId="2" borderId="0" xfId="5" applyNumberFormat="1" applyFont="1" applyFill="1" applyAlignment="1">
      <alignment vertical="center" shrinkToFit="1"/>
    </xf>
    <xf numFmtId="172" fontId="17" fillId="2" borderId="2" xfId="5" applyNumberFormat="1" applyFont="1" applyFill="1" applyBorder="1" applyAlignment="1">
      <alignment vertical="center" shrinkToFit="1"/>
    </xf>
    <xf numFmtId="172" fontId="10" fillId="2" borderId="0" xfId="5" applyNumberFormat="1" applyFont="1" applyFill="1" applyBorder="1" applyAlignment="1">
      <alignment vertical="center" shrinkToFit="1"/>
    </xf>
    <xf numFmtId="0" fontId="13" fillId="2" borderId="2" xfId="5" applyNumberFormat="1" applyFont="1" applyFill="1" applyBorder="1" applyAlignment="1">
      <alignment vertical="center" shrinkToFit="1"/>
    </xf>
    <xf numFmtId="0" fontId="13" fillId="2" borderId="5" xfId="5" applyNumberFormat="1" applyFont="1" applyFill="1" applyBorder="1" applyAlignment="1">
      <alignment vertical="center" shrinkToFit="1"/>
    </xf>
    <xf numFmtId="0" fontId="13" fillId="2" borderId="6" xfId="5" applyNumberFormat="1" applyFont="1" applyFill="1" applyBorder="1" applyAlignment="1">
      <alignment vertical="center" shrinkToFit="1"/>
    </xf>
    <xf numFmtId="0" fontId="13" fillId="2" borderId="3" xfId="5" applyNumberFormat="1" applyFont="1" applyFill="1" applyBorder="1" applyAlignment="1">
      <alignment vertical="center" shrinkToFit="1"/>
    </xf>
    <xf numFmtId="0" fontId="13" fillId="2" borderId="1" xfId="5" applyNumberFormat="1" applyFont="1" applyFill="1" applyBorder="1" applyAlignment="1">
      <alignment vertical="center" shrinkToFit="1"/>
    </xf>
    <xf numFmtId="175" fontId="10" fillId="2" borderId="0" xfId="5" applyNumberFormat="1" applyFont="1" applyFill="1" applyAlignment="1">
      <alignment vertical="center"/>
    </xf>
    <xf numFmtId="0" fontId="13" fillId="2" borderId="0" xfId="5" applyNumberFormat="1" applyFont="1" applyFill="1" applyBorder="1" applyAlignment="1">
      <alignment vertical="center" shrinkToFit="1"/>
    </xf>
    <xf numFmtId="174" fontId="17" fillId="2" borderId="1" xfId="5" applyNumberFormat="1" applyFont="1" applyFill="1" applyBorder="1" applyAlignment="1">
      <alignment vertical="center"/>
    </xf>
    <xf numFmtId="0" fontId="16" fillId="6" borderId="2" xfId="5" applyFont="1" applyFill="1" applyBorder="1" applyAlignment="1">
      <alignment horizontal="left" vertical="center"/>
    </xf>
    <xf numFmtId="166" fontId="17" fillId="6" borderId="2" xfId="5" applyNumberFormat="1" applyFont="1" applyFill="1" applyBorder="1" applyAlignment="1">
      <alignment vertical="center"/>
    </xf>
    <xf numFmtId="0" fontId="16" fillId="6" borderId="5" xfId="5" applyFont="1" applyFill="1" applyBorder="1" applyAlignment="1">
      <alignment horizontal="left" vertical="center"/>
    </xf>
    <xf numFmtId="166" fontId="17" fillId="6" borderId="5" xfId="5" applyNumberFormat="1" applyFont="1" applyFill="1" applyBorder="1" applyAlignment="1">
      <alignment vertical="center"/>
    </xf>
    <xf numFmtId="0" fontId="16" fillId="6" borderId="1" xfId="5" applyFont="1" applyFill="1" applyBorder="1" applyAlignment="1">
      <alignment horizontal="left" vertical="center"/>
    </xf>
    <xf numFmtId="166" fontId="17" fillId="6" borderId="1" xfId="5" applyNumberFormat="1" applyFont="1" applyFill="1" applyBorder="1" applyAlignment="1">
      <alignment vertical="center"/>
    </xf>
    <xf numFmtId="0" fontId="16" fillId="5" borderId="6" xfId="5" applyFont="1" applyFill="1" applyBorder="1" applyAlignment="1">
      <alignment horizontal="left" vertical="center" indent="1"/>
    </xf>
    <xf numFmtId="166" fontId="17" fillId="5" borderId="6" xfId="5" applyNumberFormat="1" applyFont="1" applyFill="1" applyBorder="1" applyAlignment="1">
      <alignment vertical="center"/>
    </xf>
    <xf numFmtId="0" fontId="16" fillId="5" borderId="3" xfId="5" applyFont="1" applyFill="1" applyBorder="1" applyAlignment="1">
      <alignment horizontal="left" vertical="center" indent="1"/>
    </xf>
    <xf numFmtId="166" fontId="17" fillId="5" borderId="3" xfId="5" applyNumberFormat="1" applyFont="1" applyFill="1" applyBorder="1" applyAlignment="1">
      <alignment vertical="center"/>
    </xf>
    <xf numFmtId="0" fontId="18" fillId="5" borderId="2" xfId="5" applyFont="1" applyFill="1" applyBorder="1" applyAlignment="1">
      <alignment horizontal="left" vertical="center" indent="1"/>
    </xf>
    <xf numFmtId="166" fontId="17" fillId="5" borderId="2" xfId="5" applyNumberFormat="1" applyFont="1" applyFill="1" applyBorder="1" applyAlignment="1">
      <alignment vertical="center"/>
    </xf>
    <xf numFmtId="3" fontId="17" fillId="6" borderId="2" xfId="5" applyNumberFormat="1" applyFont="1" applyFill="1" applyBorder="1" applyAlignment="1">
      <alignment vertical="center"/>
    </xf>
    <xf numFmtId="165" fontId="19" fillId="6" borderId="2" xfId="5" applyNumberFormat="1" applyFont="1" applyFill="1" applyBorder="1" applyAlignment="1">
      <alignment vertical="center"/>
    </xf>
    <xf numFmtId="0" fontId="15" fillId="6" borderId="2" xfId="5" applyNumberFormat="1" applyFont="1" applyFill="1" applyBorder="1" applyAlignment="1">
      <alignment horizontal="left" vertical="center"/>
    </xf>
    <xf numFmtId="0" fontId="24" fillId="5" borderId="2" xfId="5" applyFont="1" applyFill="1" applyBorder="1" applyAlignment="1">
      <alignment horizontal="left" vertical="center" indent="1"/>
    </xf>
    <xf numFmtId="0" fontId="22" fillId="5" borderId="2" xfId="5" applyFont="1" applyFill="1" applyBorder="1" applyAlignment="1">
      <alignment horizontal="left" vertical="center" indent="1"/>
    </xf>
    <xf numFmtId="176" fontId="22" fillId="5" borderId="2" xfId="2" applyNumberFormat="1" applyFont="1" applyFill="1" applyBorder="1" applyAlignment="1">
      <alignment vertical="center"/>
    </xf>
    <xf numFmtId="174" fontId="22" fillId="5" borderId="2" xfId="2" applyNumberFormat="1" applyFont="1" applyFill="1" applyBorder="1" applyAlignment="1">
      <alignment vertical="center"/>
    </xf>
    <xf numFmtId="165" fontId="22" fillId="5" borderId="2" xfId="2" applyNumberFormat="1" applyFont="1" applyFill="1" applyBorder="1" applyAlignment="1">
      <alignment vertical="center"/>
    </xf>
    <xf numFmtId="0" fontId="26" fillId="2" borderId="5" xfId="5" applyFont="1" applyFill="1" applyBorder="1" applyAlignment="1">
      <alignment horizontal="left" vertical="center" indent="2"/>
    </xf>
    <xf numFmtId="166" fontId="26" fillId="2" borderId="5" xfId="5" applyNumberFormat="1" applyFont="1" applyFill="1" applyBorder="1" applyAlignment="1">
      <alignment vertical="center"/>
    </xf>
    <xf numFmtId="0" fontId="26" fillId="2" borderId="0" xfId="5" applyFont="1" applyFill="1" applyBorder="1" applyAlignment="1">
      <alignment horizontal="left" vertical="center" indent="2"/>
    </xf>
    <xf numFmtId="166" fontId="26" fillId="2" borderId="0" xfId="5" applyNumberFormat="1" applyFont="1" applyFill="1" applyBorder="1" applyAlignment="1">
      <alignment vertical="center"/>
    </xf>
    <xf numFmtId="0" fontId="26" fillId="2" borderId="3" xfId="5" applyFont="1" applyFill="1" applyBorder="1" applyAlignment="1">
      <alignment horizontal="left" vertical="center" indent="2"/>
    </xf>
    <xf numFmtId="166" fontId="26" fillId="2" borderId="3" xfId="5" applyNumberFormat="1" applyFont="1" applyFill="1" applyBorder="1" applyAlignment="1">
      <alignment vertical="center"/>
    </xf>
    <xf numFmtId="176" fontId="26" fillId="2" borderId="5" xfId="5" applyNumberFormat="1" applyFont="1" applyFill="1" applyBorder="1" applyAlignment="1">
      <alignment vertical="center"/>
    </xf>
    <xf numFmtId="176" fontId="26" fillId="2" borderId="0" xfId="5" applyNumberFormat="1" applyFont="1" applyFill="1" applyBorder="1" applyAlignment="1">
      <alignment vertical="center"/>
    </xf>
    <xf numFmtId="176" fontId="26" fillId="2" borderId="3" xfId="5" applyNumberFormat="1" applyFont="1" applyFill="1" applyBorder="1" applyAlignment="1">
      <alignment vertical="center"/>
    </xf>
    <xf numFmtId="174" fontId="26" fillId="2" borderId="5" xfId="5" applyNumberFormat="1" applyFont="1" applyFill="1" applyBorder="1" applyAlignment="1">
      <alignment vertical="center"/>
    </xf>
    <xf numFmtId="174" fontId="26" fillId="2" borderId="0" xfId="5" applyNumberFormat="1" applyFont="1" applyFill="1" applyBorder="1" applyAlignment="1">
      <alignment vertical="center"/>
    </xf>
    <xf numFmtId="174" fontId="26" fillId="2" borderId="3" xfId="5" applyNumberFormat="1" applyFont="1" applyFill="1" applyBorder="1" applyAlignment="1">
      <alignment vertical="center"/>
    </xf>
    <xf numFmtId="165" fontId="26" fillId="2" borderId="5" xfId="5" applyNumberFormat="1" applyFont="1" applyFill="1" applyBorder="1" applyAlignment="1">
      <alignment vertical="center"/>
    </xf>
    <xf numFmtId="165" fontId="26" fillId="2" borderId="0" xfId="5" applyNumberFormat="1" applyFont="1" applyFill="1" applyBorder="1" applyAlignment="1">
      <alignment vertical="center"/>
    </xf>
    <xf numFmtId="165" fontId="26" fillId="2" borderId="3" xfId="5" applyNumberFormat="1" applyFont="1" applyFill="1" applyBorder="1" applyAlignment="1">
      <alignment vertical="center"/>
    </xf>
    <xf numFmtId="0" fontId="27" fillId="2" borderId="0" xfId="5" applyFont="1" applyFill="1" applyBorder="1" applyAlignment="1">
      <alignment horizontal="left" vertical="center" indent="3"/>
    </xf>
    <xf numFmtId="166" fontId="27" fillId="2" borderId="0" xfId="5" applyNumberFormat="1" applyFont="1" applyFill="1" applyAlignment="1">
      <alignment vertical="center"/>
    </xf>
    <xf numFmtId="166" fontId="27" fillId="2" borderId="0" xfId="5" applyNumberFormat="1" applyFont="1" applyFill="1" applyBorder="1" applyAlignment="1">
      <alignment vertical="center"/>
    </xf>
    <xf numFmtId="0" fontId="25" fillId="2" borderId="8" xfId="5" applyFont="1" applyFill="1" applyBorder="1" applyAlignment="1">
      <alignment horizontal="left" vertical="center" indent="2"/>
    </xf>
    <xf numFmtId="166" fontId="25" fillId="2" borderId="8" xfId="5" applyNumberFormat="1" applyFont="1" applyFill="1" applyBorder="1" applyAlignment="1">
      <alignment vertical="center"/>
    </xf>
    <xf numFmtId="166" fontId="25" fillId="2" borderId="7" xfId="5" applyNumberFormat="1" applyFont="1" applyFill="1" applyBorder="1" applyAlignment="1">
      <alignment vertical="center"/>
    </xf>
    <xf numFmtId="176" fontId="25" fillId="2" borderId="0" xfId="5" applyNumberFormat="1" applyFont="1" applyFill="1" applyBorder="1" applyAlignment="1">
      <alignment vertical="center"/>
    </xf>
    <xf numFmtId="0" fontId="25" fillId="2" borderId="1" xfId="5" applyFont="1" applyFill="1" applyBorder="1" applyAlignment="1">
      <alignment horizontal="left" vertical="center" indent="2"/>
    </xf>
    <xf numFmtId="176" fontId="25" fillId="2" borderId="1" xfId="5" applyNumberFormat="1" applyFont="1" applyFill="1" applyBorder="1" applyAlignment="1">
      <alignment vertical="center"/>
    </xf>
    <xf numFmtId="174" fontId="25" fillId="2" borderId="0" xfId="5" applyNumberFormat="1" applyFont="1" applyFill="1" applyBorder="1" applyAlignment="1">
      <alignment vertical="center"/>
    </xf>
    <xf numFmtId="174" fontId="25" fillId="2" borderId="1" xfId="5" applyNumberFormat="1" applyFont="1" applyFill="1" applyBorder="1" applyAlignment="1">
      <alignment vertical="center"/>
    </xf>
    <xf numFmtId="165" fontId="25" fillId="2" borderId="0" xfId="5" applyNumberFormat="1" applyFont="1" applyFill="1" applyBorder="1" applyAlignment="1">
      <alignment vertical="center"/>
    </xf>
    <xf numFmtId="165" fontId="25" fillId="2" borderId="1" xfId="5" applyNumberFormat="1" applyFont="1" applyFill="1" applyBorder="1" applyAlignment="1">
      <alignment vertical="center"/>
    </xf>
    <xf numFmtId="165" fontId="19" fillId="6" borderId="2" xfId="5" applyNumberFormat="1" applyFont="1" applyFill="1" applyBorder="1" applyAlignment="1">
      <alignment vertical="center" shrinkToFit="1"/>
    </xf>
    <xf numFmtId="166" fontId="26" fillId="2" borderId="5" xfId="5" applyNumberFormat="1" applyFont="1" applyFill="1" applyBorder="1" applyAlignment="1">
      <alignment vertical="center" shrinkToFit="1"/>
    </xf>
    <xf numFmtId="166" fontId="26" fillId="2" borderId="0" xfId="5" applyNumberFormat="1" applyFont="1" applyFill="1" applyBorder="1" applyAlignment="1">
      <alignment vertical="center" shrinkToFit="1"/>
    </xf>
    <xf numFmtId="166" fontId="26" fillId="2" borderId="3" xfId="5" applyNumberFormat="1" applyFont="1" applyFill="1" applyBorder="1" applyAlignment="1">
      <alignment vertical="center" shrinkToFit="1"/>
    </xf>
    <xf numFmtId="166" fontId="27" fillId="2" borderId="0" xfId="5" applyNumberFormat="1" applyFont="1" applyFill="1" applyAlignment="1">
      <alignment vertical="center" shrinkToFit="1"/>
    </xf>
    <xf numFmtId="166" fontId="27" fillId="2" borderId="0" xfId="5" applyNumberFormat="1" applyFont="1" applyFill="1" applyBorder="1" applyAlignment="1">
      <alignment vertical="center" shrinkToFit="1"/>
    </xf>
    <xf numFmtId="166" fontId="25" fillId="2" borderId="8" xfId="5" applyNumberFormat="1" applyFont="1" applyFill="1" applyBorder="1" applyAlignment="1">
      <alignment vertical="center" shrinkToFit="1"/>
    </xf>
    <xf numFmtId="166" fontId="25" fillId="2" borderId="7" xfId="5" applyNumberFormat="1" applyFont="1" applyFill="1" applyBorder="1" applyAlignment="1">
      <alignment vertical="center" shrinkToFit="1"/>
    </xf>
    <xf numFmtId="176" fontId="22" fillId="5" borderId="2" xfId="2" applyNumberFormat="1" applyFont="1" applyFill="1" applyBorder="1" applyAlignment="1">
      <alignment vertical="center" shrinkToFit="1"/>
    </xf>
    <xf numFmtId="176" fontId="26" fillId="2" borderId="5" xfId="5" applyNumberFormat="1" applyFont="1" applyFill="1" applyBorder="1" applyAlignment="1">
      <alignment vertical="center" shrinkToFit="1"/>
    </xf>
    <xf numFmtId="176" fontId="26" fillId="2" borderId="0" xfId="5" applyNumberFormat="1" applyFont="1" applyFill="1" applyBorder="1" applyAlignment="1">
      <alignment vertical="center" shrinkToFit="1"/>
    </xf>
    <xf numFmtId="176" fontId="26" fillId="2" borderId="3" xfId="5" applyNumberFormat="1" applyFont="1" applyFill="1" applyBorder="1" applyAlignment="1">
      <alignment vertical="center" shrinkToFit="1"/>
    </xf>
    <xf numFmtId="176" fontId="25" fillId="2" borderId="0" xfId="5" applyNumberFormat="1" applyFont="1" applyFill="1" applyBorder="1" applyAlignment="1">
      <alignment vertical="center" shrinkToFit="1"/>
    </xf>
    <xf numFmtId="176" fontId="25" fillId="2" borderId="1" xfId="5" applyNumberFormat="1" applyFont="1" applyFill="1" applyBorder="1" applyAlignment="1">
      <alignment vertical="center" shrinkToFit="1"/>
    </xf>
    <xf numFmtId="174" fontId="22" fillId="5" borderId="2" xfId="2" applyNumberFormat="1" applyFont="1" applyFill="1" applyBorder="1" applyAlignment="1">
      <alignment vertical="center" shrinkToFit="1"/>
    </xf>
    <xf numFmtId="174" fontId="26" fillId="2" borderId="5" xfId="5" applyNumberFormat="1" applyFont="1" applyFill="1" applyBorder="1" applyAlignment="1">
      <alignment vertical="center" shrinkToFit="1"/>
    </xf>
    <xf numFmtId="174" fontId="26" fillId="2" borderId="0" xfId="5" applyNumberFormat="1" applyFont="1" applyFill="1" applyBorder="1" applyAlignment="1">
      <alignment vertical="center" shrinkToFit="1"/>
    </xf>
    <xf numFmtId="174" fontId="26" fillId="2" borderId="3" xfId="5" applyNumberFormat="1" applyFont="1" applyFill="1" applyBorder="1" applyAlignment="1">
      <alignment vertical="center" shrinkToFit="1"/>
    </xf>
    <xf numFmtId="174" fontId="25" fillId="2" borderId="0" xfId="5" applyNumberFormat="1" applyFont="1" applyFill="1" applyBorder="1" applyAlignment="1">
      <alignment vertical="center" shrinkToFit="1"/>
    </xf>
    <xf numFmtId="174" fontId="25" fillId="2" borderId="1" xfId="5" applyNumberFormat="1" applyFont="1" applyFill="1" applyBorder="1" applyAlignment="1">
      <alignment vertical="center" shrinkToFit="1"/>
    </xf>
    <xf numFmtId="165" fontId="22" fillId="5" borderId="2" xfId="2" applyNumberFormat="1" applyFont="1" applyFill="1" applyBorder="1" applyAlignment="1">
      <alignment vertical="center" shrinkToFit="1"/>
    </xf>
    <xf numFmtId="165" fontId="26" fillId="2" borderId="5" xfId="5" applyNumberFormat="1" applyFont="1" applyFill="1" applyBorder="1" applyAlignment="1">
      <alignment vertical="center" shrinkToFit="1"/>
    </xf>
    <xf numFmtId="165" fontId="26" fillId="2" borderId="0" xfId="5" applyNumberFormat="1" applyFont="1" applyFill="1" applyBorder="1" applyAlignment="1">
      <alignment vertical="center" shrinkToFit="1"/>
    </xf>
    <xf numFmtId="165" fontId="26" fillId="2" borderId="3" xfId="5" applyNumberFormat="1" applyFont="1" applyFill="1" applyBorder="1" applyAlignment="1">
      <alignment vertical="center" shrinkToFit="1"/>
    </xf>
    <xf numFmtId="165" fontId="25" fillId="2" borderId="0" xfId="5" applyNumberFormat="1" applyFont="1" applyFill="1" applyBorder="1" applyAlignment="1">
      <alignment vertical="center" shrinkToFit="1"/>
    </xf>
    <xf numFmtId="165" fontId="25" fillId="2" borderId="1" xfId="5" applyNumberFormat="1" applyFont="1" applyFill="1" applyBorder="1" applyAlignment="1">
      <alignment vertical="center" shrinkToFit="1"/>
    </xf>
    <xf numFmtId="0" fontId="28" fillId="2" borderId="0" xfId="0" applyFont="1" applyFill="1"/>
    <xf numFmtId="0" fontId="29" fillId="2" borderId="1" xfId="0" applyFont="1" applyFill="1" applyBorder="1"/>
    <xf numFmtId="0" fontId="23" fillId="2" borderId="0" xfId="0" applyFont="1" applyFill="1"/>
    <xf numFmtId="0" fontId="30" fillId="2" borderId="0" xfId="0" applyFont="1" applyFill="1" applyAlignment="1">
      <alignment horizontal="left"/>
    </xf>
    <xf numFmtId="0" fontId="23" fillId="2" borderId="0" xfId="0" applyFont="1" applyFill="1" applyAlignment="1">
      <alignment horizontal="left"/>
    </xf>
    <xf numFmtId="0" fontId="23" fillId="2" borderId="0" xfId="0" applyFont="1" applyFill="1" applyAlignment="1">
      <alignment horizontal="left" indent="1"/>
    </xf>
    <xf numFmtId="0" fontId="32" fillId="2" borderId="0" xfId="6" applyFont="1" applyFill="1"/>
    <xf numFmtId="0" fontId="17" fillId="2" borderId="0" xfId="6" applyFont="1" applyFill="1" applyAlignment="1">
      <alignment vertical="center"/>
    </xf>
    <xf numFmtId="0" fontId="17" fillId="2" borderId="0" xfId="6" applyFont="1" applyFill="1" applyAlignment="1">
      <alignment horizontal="center" vertical="center"/>
    </xf>
    <xf numFmtId="0" fontId="33" fillId="2" borderId="2" xfId="6" applyFont="1" applyFill="1" applyBorder="1" applyAlignment="1">
      <alignment vertical="center"/>
    </xf>
    <xf numFmtId="0" fontId="34" fillId="2" borderId="2" xfId="6" applyFont="1" applyFill="1" applyBorder="1" applyAlignment="1">
      <alignment vertical="center"/>
    </xf>
    <xf numFmtId="0" fontId="35" fillId="2" borderId="0" xfId="6" applyFont="1" applyFill="1" applyAlignment="1">
      <alignment vertical="center"/>
    </xf>
    <xf numFmtId="0" fontId="34" fillId="2" borderId="0" xfId="6" applyFont="1" applyFill="1" applyAlignment="1">
      <alignment vertical="center"/>
    </xf>
    <xf numFmtId="0" fontId="15" fillId="2" borderId="0" xfId="6" applyFont="1" applyFill="1" applyAlignment="1">
      <alignment vertical="center"/>
    </xf>
    <xf numFmtId="0" fontId="19" fillId="2" borderId="0" xfId="6" applyFont="1" applyFill="1" applyAlignment="1">
      <alignment vertical="center"/>
    </xf>
    <xf numFmtId="0" fontId="38" fillId="2" borderId="0" xfId="9" applyFont="1" applyFill="1" applyAlignment="1">
      <alignment vertical="center"/>
    </xf>
    <xf numFmtId="0" fontId="39" fillId="2" borderId="0" xfId="3" applyFont="1" applyFill="1" applyAlignment="1">
      <alignment horizontal="left" vertical="center" indent="1"/>
    </xf>
    <xf numFmtId="166" fontId="17" fillId="7" borderId="0" xfId="5" applyNumberFormat="1" applyFont="1" applyFill="1" applyBorder="1" applyAlignment="1">
      <alignment vertical="center"/>
    </xf>
    <xf numFmtId="0" fontId="36" fillId="2" borderId="0" xfId="6" applyFont="1" applyFill="1" applyAlignment="1">
      <alignment horizontal="left" vertical="center"/>
    </xf>
    <xf numFmtId="177" fontId="37" fillId="2" borderId="0" xfId="6" quotePrefix="1" applyNumberFormat="1" applyFont="1" applyFill="1" applyAlignment="1">
      <alignment horizontal="left" vertical="center"/>
    </xf>
    <xf numFmtId="0" fontId="40" fillId="0" borderId="0" xfId="6" applyFont="1" applyAlignment="1">
      <alignment horizontal="left" vertical="center"/>
    </xf>
  </cellXfs>
  <cellStyles count="10">
    <cellStyle name="Comma" xfId="1" builtinId="3"/>
    <cellStyle name="Comma 2" xfId="4"/>
    <cellStyle name="Hyperlink" xfId="3" builtinId="8"/>
    <cellStyle name="Normal" xfId="0" builtinId="0"/>
    <cellStyle name="Normal 2" xfId="5"/>
    <cellStyle name="Normal 2 2" xfId="9"/>
    <cellStyle name="Normal 3" xfId="6"/>
    <cellStyle name="Percent" xfId="2" builtinId="5"/>
    <cellStyle name="Percent 2" xfId="7"/>
    <cellStyle name="Percent 3" xfId="8"/>
  </cellStyles>
  <dxfs count="0"/>
  <tableStyles count="0" defaultTableStyle="TableStyleMedium2" defaultPivotStyle="PivotStyleLight16"/>
  <colors>
    <mruColors>
      <color rgb="FF0564C3"/>
      <color rgb="FF050505"/>
      <color rgb="FF006EBE"/>
      <color rgb="FF506428"/>
      <color rgb="FFBE0000"/>
      <color rgb="FFF0F0F0"/>
      <color rgb="FFD7D7D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theme" Target="theme/theme1.xml"/><Relationship Id="rId40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11</xdr:col>
      <xdr:colOff>0</xdr:colOff>
      <xdr:row>15</xdr:row>
      <xdr:rowOff>0</xdr:rowOff>
    </xdr:from>
    <xdr:ext cx="2877561" cy="2011854"/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972300" y="3505200"/>
          <a:ext cx="2877561" cy="2011854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creativecommons.org/licenses/by/4.0/?ref=chooser-v1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>
    <pageSetUpPr fitToPage="1"/>
  </sheetPr>
  <dimension ref="A2:AF40"/>
  <sheetViews>
    <sheetView showGridLines="0" tabSelected="1" zoomScale="80" zoomScaleNormal="80" workbookViewId="0"/>
  </sheetViews>
  <sheetFormatPr defaultColWidth="9.140625" defaultRowHeight="15" customHeight="1" x14ac:dyDescent="0.25"/>
  <cols>
    <col min="1" max="4" width="9.140625" style="299"/>
    <col min="5" max="21" width="9.7109375" style="299" customWidth="1"/>
    <col min="22" max="22" width="9.7109375" style="300" customWidth="1"/>
    <col min="23" max="23" width="107.42578125" style="299" customWidth="1"/>
    <col min="24" max="24" width="44.7109375" style="299" customWidth="1"/>
    <col min="25" max="26" width="9.7109375" style="299" customWidth="1"/>
    <col min="27" max="16384" width="9.140625" style="299"/>
  </cols>
  <sheetData>
    <row r="2" spans="1:23" ht="21" x14ac:dyDescent="0.35">
      <c r="A2" s="298"/>
      <c r="B2" s="312"/>
      <c r="C2" s="312"/>
      <c r="D2" s="312"/>
      <c r="E2" s="312"/>
      <c r="F2" s="312"/>
      <c r="G2" s="312"/>
      <c r="H2" s="312"/>
      <c r="I2" s="312"/>
      <c r="J2" s="312"/>
      <c r="K2" s="312"/>
    </row>
    <row r="3" spans="1:23" ht="15" customHeight="1" x14ac:dyDescent="0.25">
      <c r="B3" s="312"/>
      <c r="C3" s="312"/>
      <c r="D3" s="312"/>
      <c r="E3" s="312"/>
      <c r="F3" s="312"/>
      <c r="G3" s="312"/>
      <c r="H3" s="312"/>
      <c r="I3" s="312"/>
      <c r="J3" s="312"/>
      <c r="K3" s="312"/>
    </row>
    <row r="6" spans="1:23" ht="31.5" x14ac:dyDescent="0.25">
      <c r="A6" s="301"/>
      <c r="B6" s="302" t="s">
        <v>176</v>
      </c>
      <c r="C6" s="302"/>
      <c r="D6" s="302"/>
      <c r="E6" s="302"/>
      <c r="F6" s="302"/>
      <c r="G6" s="302"/>
      <c r="H6" s="302"/>
      <c r="I6" s="302"/>
      <c r="J6" s="302"/>
      <c r="K6" s="302"/>
      <c r="L6" s="302"/>
      <c r="M6" s="302"/>
      <c r="N6" s="302"/>
      <c r="O6" s="302"/>
      <c r="P6" s="302"/>
      <c r="Q6" s="302"/>
      <c r="V6" s="299"/>
    </row>
    <row r="7" spans="1:23" ht="15" customHeight="1" x14ac:dyDescent="0.25">
      <c r="V7" s="299"/>
    </row>
    <row r="8" spans="1:23" ht="15" customHeight="1" x14ac:dyDescent="0.25">
      <c r="V8" s="299"/>
    </row>
    <row r="9" spans="1:23" ht="15" customHeight="1" x14ac:dyDescent="0.25">
      <c r="V9" s="299"/>
    </row>
    <row r="10" spans="1:23" ht="28.5" x14ac:dyDescent="0.25">
      <c r="C10" s="303" t="s">
        <v>186</v>
      </c>
      <c r="V10" s="299"/>
    </row>
    <row r="11" spans="1:23" ht="15" customHeight="1" x14ac:dyDescent="0.25">
      <c r="V11" s="299"/>
    </row>
    <row r="15" spans="1:23" ht="30" customHeight="1" x14ac:dyDescent="0.25">
      <c r="C15" s="303" t="s">
        <v>137</v>
      </c>
    </row>
    <row r="16" spans="1:23" ht="15" customHeight="1" x14ac:dyDescent="0.25">
      <c r="W16" s="304"/>
    </row>
    <row r="17" spans="12:32" ht="15" customHeight="1" x14ac:dyDescent="0.25">
      <c r="W17" s="304"/>
    </row>
    <row r="28" spans="12:32" ht="21" x14ac:dyDescent="0.25">
      <c r="L28" s="310" t="s">
        <v>142</v>
      </c>
      <c r="M28" s="310"/>
      <c r="N28" s="310"/>
      <c r="O28" s="310"/>
    </row>
    <row r="29" spans="12:32" ht="15" customHeight="1" x14ac:dyDescent="0.25">
      <c r="V29" s="299"/>
    </row>
    <row r="30" spans="12:32" ht="18.75" x14ac:dyDescent="0.25">
      <c r="L30" s="311">
        <v>45967.479444444441</v>
      </c>
      <c r="M30" s="311"/>
      <c r="N30" s="311"/>
      <c r="O30" s="311"/>
      <c r="V30" s="299"/>
    </row>
    <row r="31" spans="12:32" ht="15" customHeight="1" x14ac:dyDescent="0.25">
      <c r="L31" s="305" t="s">
        <v>177</v>
      </c>
      <c r="V31" s="299"/>
      <c r="AA31" s="306"/>
      <c r="AB31" s="306"/>
      <c r="AC31" s="306"/>
      <c r="AD31" s="306"/>
      <c r="AE31" s="306"/>
      <c r="AF31" s="306"/>
    </row>
    <row r="32" spans="12:32" ht="15" customHeight="1" x14ac:dyDescent="0.25">
      <c r="V32" s="299"/>
    </row>
    <row r="33" spans="2:32" ht="15" customHeight="1" x14ac:dyDescent="0.25">
      <c r="B33" s="307" t="s">
        <v>138</v>
      </c>
      <c r="V33" s="299"/>
    </row>
    <row r="34" spans="2:32" ht="15" customHeight="1" x14ac:dyDescent="0.25">
      <c r="B34" s="307"/>
      <c r="V34" s="307"/>
    </row>
    <row r="35" spans="2:32" ht="15" customHeight="1" x14ac:dyDescent="0.25">
      <c r="B35" s="307" t="s">
        <v>143</v>
      </c>
      <c r="V35" s="307"/>
    </row>
    <row r="36" spans="2:32" ht="15" customHeight="1" x14ac:dyDescent="0.25">
      <c r="B36" s="307" t="s">
        <v>139</v>
      </c>
      <c r="E36" s="306"/>
      <c r="F36" s="306"/>
      <c r="G36" s="306"/>
      <c r="H36" s="306"/>
      <c r="I36" s="306"/>
      <c r="J36" s="306"/>
      <c r="K36" s="306"/>
      <c r="L36" s="306"/>
      <c r="M36" s="306"/>
      <c r="N36" s="306"/>
      <c r="O36" s="306"/>
      <c r="P36" s="306"/>
      <c r="Q36" s="306"/>
      <c r="R36" s="306"/>
      <c r="S36" s="306"/>
      <c r="T36" s="306"/>
      <c r="U36" s="306"/>
      <c r="W36" s="306"/>
      <c r="X36" s="306"/>
      <c r="Y36" s="306"/>
      <c r="Z36" s="306"/>
    </row>
    <row r="38" spans="2:32" ht="15" customHeight="1" x14ac:dyDescent="0.25">
      <c r="B38" s="307" t="s">
        <v>144</v>
      </c>
    </row>
    <row r="39" spans="2:32" ht="15" customHeight="1" x14ac:dyDescent="0.25">
      <c r="B39" s="307" t="s">
        <v>145</v>
      </c>
    </row>
    <row r="40" spans="2:32" ht="15" customHeight="1" x14ac:dyDescent="0.25">
      <c r="B40" s="308" t="s">
        <v>146</v>
      </c>
      <c r="AA40" s="306"/>
      <c r="AB40" s="306"/>
      <c r="AC40" s="306"/>
      <c r="AD40" s="306"/>
      <c r="AE40" s="306"/>
      <c r="AF40" s="306"/>
    </row>
  </sheetData>
  <mergeCells count="3">
    <mergeCell ref="L28:O28"/>
    <mergeCell ref="L30:O30"/>
    <mergeCell ref="B2:K3"/>
  </mergeCells>
  <hyperlinks>
    <hyperlink ref="B40" r:id="rId1"/>
  </hyperlinks>
  <printOptions horizontalCentered="1" verticalCentered="1"/>
  <pageMargins left="0.39370078740157483" right="0.39370078740157483" top="0.39370078740157483" bottom="0.39370078740157483" header="0.31496062992125984" footer="0.31496062992125984"/>
  <pageSetup paperSize="9" scale="84" orientation="landscape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2">
    <pageSetUpPr fitToPage="1"/>
  </sheetPr>
  <dimension ref="A1:D45"/>
  <sheetViews>
    <sheetView showGridLines="0" zoomScale="115" zoomScaleNormal="115" workbookViewId="0"/>
  </sheetViews>
  <sheetFormatPr defaultRowHeight="15" x14ac:dyDescent="0.25"/>
  <cols>
    <col min="1" max="1" width="7.7109375" style="15" customWidth="1"/>
    <col min="2" max="2" width="15.85546875" style="15" customWidth="1"/>
    <col min="3" max="3" width="2.85546875" style="15" customWidth="1"/>
    <col min="4" max="4" width="54.7109375" style="15" customWidth="1"/>
    <col min="5" max="16384" width="9.140625" style="15"/>
  </cols>
  <sheetData>
    <row r="1" spans="1:4" ht="18.75" x14ac:dyDescent="0.3">
      <c r="A1" s="292" t="s">
        <v>185</v>
      </c>
      <c r="B1" s="292" t="s">
        <v>186</v>
      </c>
      <c r="C1" s="13"/>
      <c r="D1" s="14"/>
    </row>
    <row r="2" spans="1:4" ht="18.75" x14ac:dyDescent="0.3">
      <c r="A2" s="12"/>
      <c r="B2" s="13"/>
      <c r="C2" s="13"/>
      <c r="D2" s="14"/>
    </row>
    <row r="3" spans="1:4" ht="18.75" x14ac:dyDescent="0.3">
      <c r="A3" s="12"/>
      <c r="B3" s="293" t="s">
        <v>22</v>
      </c>
      <c r="C3" s="16"/>
      <c r="D3" s="16"/>
    </row>
    <row r="4" spans="1:4" ht="15" customHeight="1" x14ac:dyDescent="0.3">
      <c r="A4" s="17"/>
      <c r="B4" s="24" t="str">
        <f ca="1">HYPERLINK("#"&amp;CELL("address",SER_summary!$B$2),MID(CELL("filename",SER_summary!$B$2),FIND("]",CELL("filename",SER_summary!$B$2))+1,256))</f>
        <v>SER_summary</v>
      </c>
      <c r="C4" s="18"/>
      <c r="D4" s="294" t="s">
        <v>21</v>
      </c>
    </row>
    <row r="5" spans="1:4" x14ac:dyDescent="0.25">
      <c r="A5" s="19"/>
      <c r="B5" s="20"/>
      <c r="C5" s="21"/>
      <c r="D5" s="22"/>
    </row>
    <row r="6" spans="1:4" x14ac:dyDescent="0.25">
      <c r="A6" s="19"/>
      <c r="B6" s="295" t="s">
        <v>20</v>
      </c>
      <c r="C6" s="21"/>
      <c r="D6" s="22"/>
    </row>
    <row r="7" spans="1:4" x14ac:dyDescent="0.25">
      <c r="A7" s="19"/>
      <c r="B7" s="25" t="str">
        <f ca="1">HYPERLINK("#"&amp;CELL("address",SER_hh_num!$B$2),MID(CELL("filename",SER_hh_num!$B$2),FIND("]",CELL("filename",SER_hh_num!$B$2))+1,256))</f>
        <v>SER_hh_num</v>
      </c>
      <c r="C7" s="21"/>
      <c r="D7" s="296" t="s">
        <v>19</v>
      </c>
    </row>
    <row r="8" spans="1:4" x14ac:dyDescent="0.25">
      <c r="B8" s="25" t="str">
        <f ca="1">HYPERLINK("#"&amp;CELL("address",SER_hh_fec!$B$2),MID(CELL("filename",SER_hh_fec!$B$2),FIND("]",CELL("filename",SER_hh_fec!$B$2))+1,256))</f>
        <v>SER_hh_fec</v>
      </c>
      <c r="C8" s="21"/>
      <c r="D8" s="296" t="s">
        <v>16</v>
      </c>
    </row>
    <row r="9" spans="1:4" x14ac:dyDescent="0.25">
      <c r="B9" s="25" t="str">
        <f ca="1">HYPERLINK("#"&amp;CELL("address",SER_hh_tes!$B$2),MID(CELL("filename",SER_hh_tes!$B$2),FIND("]",CELL("filename",SER_hh_tes!$B$2))+1,256))</f>
        <v>SER_hh_tes</v>
      </c>
      <c r="C9" s="21"/>
      <c r="D9" s="296" t="s">
        <v>15</v>
      </c>
    </row>
    <row r="10" spans="1:4" x14ac:dyDescent="0.25">
      <c r="B10" s="25" t="str">
        <f ca="1">HYPERLINK("#"&amp;CELL("address",SER_hh_eff!$B$2),MID(CELL("filename",SER_hh_eff!$B$2),FIND("]",CELL("filename",SER_hh_eff!$B$2))+1,256))</f>
        <v>SER_hh_eff</v>
      </c>
      <c r="C10" s="21"/>
      <c r="D10" s="296" t="s">
        <v>14</v>
      </c>
    </row>
    <row r="11" spans="1:4" x14ac:dyDescent="0.25">
      <c r="B11" s="25" t="str">
        <f ca="1">HYPERLINK("#"&amp;CELL("address",SER_hh_emi!$B$2),MID(CELL("filename",SER_hh_emi!$B$2),FIND("]",CELL("filename",SER_hh_emi!$B$2))+1,256))</f>
        <v>SER_hh_emi</v>
      </c>
      <c r="C11" s="21"/>
      <c r="D11" s="296" t="s">
        <v>153</v>
      </c>
    </row>
    <row r="12" spans="1:4" x14ac:dyDescent="0.25">
      <c r="B12" s="25" t="str">
        <f ca="1">HYPERLINK("#"&amp;CELL("address",SER_hh_fech!$B$2),MID(CELL("filename",SER_hh_fech!$B$2),FIND("]",CELL("filename",SER_hh_fech!$B$2))+1,256))</f>
        <v>SER_hh_fech</v>
      </c>
      <c r="C12" s="21"/>
      <c r="D12" s="296" t="s">
        <v>13</v>
      </c>
    </row>
    <row r="13" spans="1:4" x14ac:dyDescent="0.25">
      <c r="B13" s="25" t="str">
        <f ca="1">HYPERLINK("#"&amp;CELL("address",SER_hh_tesh!$B$2),MID(CELL("filename",SER_hh_tesh!$B$2),FIND("]",CELL("filename",SER_hh_tesh!$B$2))+1,256))</f>
        <v>SER_hh_tesh</v>
      </c>
      <c r="C13" s="21"/>
      <c r="D13" s="296" t="s">
        <v>12</v>
      </c>
    </row>
    <row r="14" spans="1:4" x14ac:dyDescent="0.25">
      <c r="B14" s="25" t="str">
        <f ca="1">HYPERLINK("#"&amp;CELL("address",SER_hh_emih!$B$2),MID(CELL("filename",SER_hh_emih!$B$2),FIND("]",CELL("filename",SER_hh_emih!$B$2))+1,256))</f>
        <v>SER_hh_emih</v>
      </c>
      <c r="C14" s="21"/>
      <c r="D14" s="296" t="s">
        <v>154</v>
      </c>
    </row>
    <row r="15" spans="1:4" x14ac:dyDescent="0.25">
      <c r="B15" s="25" t="str">
        <f ca="1">HYPERLINK("#"&amp;CELL("address",SER_hh_fecs!$B$2),MID(CELL("filename",SER_hh_fecs!$B$2),FIND("]",CELL("filename",SER_hh_fecs!$B$2))+1,256))</f>
        <v>SER_hh_fecs</v>
      </c>
      <c r="C15" s="21"/>
      <c r="D15" s="296" t="s">
        <v>11</v>
      </c>
    </row>
    <row r="16" spans="1:4" x14ac:dyDescent="0.25">
      <c r="B16" s="25" t="str">
        <f ca="1">HYPERLINK("#"&amp;CELL("address",SER_hh_tess!$B$2),MID(CELL("filename",SER_hh_tess!$B$2),FIND("]",CELL("filename",SER_hh_tess!$B$2))+1,256))</f>
        <v>SER_hh_tess</v>
      </c>
      <c r="C16" s="21"/>
      <c r="D16" s="296" t="s">
        <v>10</v>
      </c>
    </row>
    <row r="17" spans="1:4" x14ac:dyDescent="0.25">
      <c r="B17" s="25" t="str">
        <f ca="1">HYPERLINK("#"&amp;CELL("address",SER_hh_emis!$B$2),MID(CELL("filename",SER_hh_emis!$B$2),FIND("]",CELL("filename",SER_hh_emis!$B$2))+1,256))</f>
        <v>SER_hh_emis</v>
      </c>
      <c r="C17" s="21"/>
      <c r="D17" s="296" t="s">
        <v>155</v>
      </c>
    </row>
    <row r="18" spans="1:4" x14ac:dyDescent="0.25">
      <c r="B18" s="21"/>
      <c r="C18" s="21"/>
      <c r="D18" s="23"/>
    </row>
    <row r="19" spans="1:4" x14ac:dyDescent="0.25">
      <c r="A19" s="19"/>
      <c r="B19" s="295" t="s">
        <v>18</v>
      </c>
      <c r="C19" s="21"/>
      <c r="D19" s="22"/>
    </row>
    <row r="20" spans="1:4" x14ac:dyDescent="0.25">
      <c r="A20" s="19"/>
      <c r="B20" s="25" t="str">
        <f ca="1">HYPERLINK("#"&amp;CELL("address",SER_hh_num_in!$B$2),MID(CELL("filename",SER_hh_num_in!$B$2),FIND("]",CELL("filename",SER_hh_num_in!$B$2))+1,256))</f>
        <v>SER_hh_num_in</v>
      </c>
      <c r="C20" s="21"/>
      <c r="D20" s="296" t="s">
        <v>17</v>
      </c>
    </row>
    <row r="21" spans="1:4" x14ac:dyDescent="0.25">
      <c r="B21" s="25" t="str">
        <f ca="1">HYPERLINK("#"&amp;CELL("address",SER_hh_fec_in!$B$2),MID(CELL("filename",SER_hh_fec_in!$B$2),FIND("]",CELL("filename",SER_hh_fec_in!$B$2))+1,256))</f>
        <v>SER_hh_fec_in</v>
      </c>
      <c r="C21" s="21"/>
      <c r="D21" s="296" t="s">
        <v>16</v>
      </c>
    </row>
    <row r="22" spans="1:4" x14ac:dyDescent="0.25">
      <c r="B22" s="25" t="str">
        <f ca="1">HYPERLINK("#"&amp;CELL("address",SER_hh_tes_in!$B$2),MID(CELL("filename",SER_hh_tes_in!$B$2),FIND("]",CELL("filename",SER_hh_tes_in!$B$2))+1,256))</f>
        <v>SER_hh_tes_in</v>
      </c>
      <c r="C22" s="21"/>
      <c r="D22" s="296" t="s">
        <v>15</v>
      </c>
    </row>
    <row r="23" spans="1:4" x14ac:dyDescent="0.25">
      <c r="B23" s="25" t="str">
        <f ca="1">HYPERLINK("#"&amp;CELL("address",SER_hh_eff_in!$B$2),MID(CELL("filename",SER_hh_eff_in!$B$2),FIND("]",CELL("filename",SER_hh_eff_in!$B$2))+1,256))</f>
        <v>SER_hh_eff_in</v>
      </c>
      <c r="C23" s="21"/>
      <c r="D23" s="296" t="s">
        <v>14</v>
      </c>
    </row>
    <row r="24" spans="1:4" x14ac:dyDescent="0.25">
      <c r="B24" s="25" t="str">
        <f ca="1">HYPERLINK("#"&amp;CELL("address",SER_hh_emi_in!$B$2),MID(CELL("filename",SER_hh_emi_in!$B$2),FIND("]",CELL("filename",SER_hh_emi_in!$B$2))+1,256))</f>
        <v>SER_hh_emi_in</v>
      </c>
      <c r="C24" s="21"/>
      <c r="D24" s="296" t="s">
        <v>153</v>
      </c>
    </row>
    <row r="25" spans="1:4" x14ac:dyDescent="0.25">
      <c r="B25" s="25" t="str">
        <f ca="1">HYPERLINK("#"&amp;CELL("address",SER_hh_fech_in!$B$2),MID(CELL("filename",SER_hh_fech_in!$B$2),FIND("]",CELL("filename",SER_hh_fech_in!$B$2))+1,256))</f>
        <v>SER_hh_fech_in</v>
      </c>
      <c r="C25" s="21"/>
      <c r="D25" s="296" t="s">
        <v>13</v>
      </c>
    </row>
    <row r="26" spans="1:4" x14ac:dyDescent="0.25">
      <c r="B26" s="25" t="str">
        <f ca="1">HYPERLINK("#"&amp;CELL("address",SER_hh_tesh_in!$B$2),MID(CELL("filename",SER_hh_tesh_in!$B$2),FIND("]",CELL("filename",SER_hh_tesh_in!$B$2))+1,256))</f>
        <v>SER_hh_tesh_in</v>
      </c>
      <c r="C26" s="21"/>
      <c r="D26" s="296" t="s">
        <v>12</v>
      </c>
    </row>
    <row r="27" spans="1:4" x14ac:dyDescent="0.25">
      <c r="B27" s="25" t="str">
        <f ca="1">HYPERLINK("#"&amp;CELL("address",SER_hh_emih_in!$B$2),MID(CELL("filename",SER_hh_emih_in!$B$2),FIND("]",CELL("filename",SER_hh_emih_in!$B$2))+1,256))</f>
        <v>SER_hh_emih_in</v>
      </c>
      <c r="C27" s="21"/>
      <c r="D27" s="296" t="s">
        <v>154</v>
      </c>
    </row>
    <row r="28" spans="1:4" x14ac:dyDescent="0.25">
      <c r="B28" s="25" t="str">
        <f ca="1">HYPERLINK("#"&amp;CELL("address",SER_hh_fecs_in!$B$2),MID(CELL("filename",SER_hh_fecs_in!$B$2),FIND("]",CELL("filename",SER_hh_fecs_in!$B$2))+1,256))</f>
        <v>SER_hh_fecs_in</v>
      </c>
      <c r="C28" s="21"/>
      <c r="D28" s="296" t="s">
        <v>11</v>
      </c>
    </row>
    <row r="29" spans="1:4" x14ac:dyDescent="0.25">
      <c r="B29" s="25" t="str">
        <f ca="1">HYPERLINK("#"&amp;CELL("address",SER_hh_tess_in!$B$2),MID(CELL("filename",SER_hh_tess_in!$B$2),FIND("]",CELL("filename",SER_hh_tess_in!$B$2))+1,256))</f>
        <v>SER_hh_tess_in</v>
      </c>
      <c r="C29" s="21"/>
      <c r="D29" s="296" t="s">
        <v>10</v>
      </c>
    </row>
    <row r="30" spans="1:4" x14ac:dyDescent="0.25">
      <c r="B30" s="25" t="str">
        <f ca="1">HYPERLINK("#"&amp;CELL("address",SER_hh_emis_in!$B$2),MID(CELL("filename",SER_hh_emis_in!$B$2),FIND("]",CELL("filename",SER_hh_emis_in!$B$2))+1,256))</f>
        <v>SER_hh_emis_in</v>
      </c>
      <c r="C30" s="21"/>
      <c r="D30" s="296" t="s">
        <v>155</v>
      </c>
    </row>
    <row r="31" spans="1:4" x14ac:dyDescent="0.25">
      <c r="B31" s="21"/>
      <c r="C31" s="21"/>
      <c r="D31" s="23"/>
    </row>
    <row r="32" spans="1:4" x14ac:dyDescent="0.25">
      <c r="B32" s="295" t="s">
        <v>9</v>
      </c>
      <c r="C32" s="21"/>
      <c r="D32" s="23"/>
    </row>
    <row r="33" spans="2:4" x14ac:dyDescent="0.25">
      <c r="B33" s="25" t="str">
        <f ca="1">HYPERLINK("#"&amp;CELL("address",'SER_se-appl'!$B$2),MID(CELL("filename",'SER_se-appl'!$B$2),FIND("]",CELL("filename",'SER_se-appl'!$B$2))+1,256))</f>
        <v>SER_se-appl</v>
      </c>
      <c r="C33" s="18"/>
      <c r="D33" s="296" t="s">
        <v>8</v>
      </c>
    </row>
    <row r="34" spans="2:4" x14ac:dyDescent="0.25">
      <c r="B34" s="25" t="str">
        <f ca="1">HYPERLINK("#"&amp;CELL("address",SER_VE!$B$2),MID(CELL("filename",SER_VE!$B$2),FIND("]",CELL("filename",SER_VE!$B$2))+1,256))</f>
        <v>SER_VE</v>
      </c>
      <c r="C34" s="18"/>
      <c r="D34" s="296" t="s">
        <v>7</v>
      </c>
    </row>
    <row r="35" spans="2:4" x14ac:dyDescent="0.25">
      <c r="B35" s="25" t="str">
        <f ca="1">HYPERLINK("#"&amp;CELL("address",SER_SL!$B$2),MID(CELL("filename",SER_SL!$B$2),FIND("]",CELL("filename",SER_SL!$B$2))+1,256))</f>
        <v>SER_SL</v>
      </c>
      <c r="C35" s="18"/>
      <c r="D35" s="296" t="s">
        <v>6</v>
      </c>
    </row>
    <row r="36" spans="2:4" x14ac:dyDescent="0.25">
      <c r="B36" s="25" t="str">
        <f ca="1">HYPERLINK("#"&amp;CELL("address",SER_BL!$B$2),MID(CELL("filename",SER_BL!$B$2),FIND("]",CELL("filename",SER_BL!$B$2))+1,256))</f>
        <v>SER_BL</v>
      </c>
      <c r="C36" s="18"/>
      <c r="D36" s="296" t="s">
        <v>5</v>
      </c>
    </row>
    <row r="37" spans="2:4" x14ac:dyDescent="0.25">
      <c r="B37" s="25" t="str">
        <f ca="1">HYPERLINK("#"&amp;CELL("address",SER_CR!$B$2),MID(CELL("filename",SER_CR!$B$2),FIND("]",CELL("filename",SER_CR!$B$2))+1,256))</f>
        <v>SER_CR</v>
      </c>
      <c r="C37" s="18"/>
      <c r="D37" s="296" t="s">
        <v>171</v>
      </c>
    </row>
    <row r="38" spans="2:4" x14ac:dyDescent="0.25">
      <c r="B38" s="25" t="str">
        <f ca="1">HYPERLINK("#"&amp;CELL("address",SER_BT!$B$2),MID(CELL("filename",SER_BT!$B$2),FIND("]",CELL("filename",SER_BT!$B$2))+1,256))</f>
        <v>SER_BT</v>
      </c>
      <c r="C38" s="18"/>
      <c r="D38" s="296" t="s">
        <v>4</v>
      </c>
    </row>
    <row r="39" spans="2:4" x14ac:dyDescent="0.25">
      <c r="B39" s="25" t="str">
        <f ca="1">HYPERLINK("#"&amp;CELL("address",SER_IT!$B$2),MID(CELL("filename",SER_IT!$B$2),FIND("]",CELL("filename",SER_IT!$B$2))+1,256))</f>
        <v>SER_IT</v>
      </c>
      <c r="C39" s="18"/>
      <c r="D39" s="296" t="s">
        <v>3</v>
      </c>
    </row>
    <row r="41" spans="2:4" x14ac:dyDescent="0.25">
      <c r="B41" s="295" t="s">
        <v>126</v>
      </c>
    </row>
    <row r="42" spans="2:4" x14ac:dyDescent="0.25">
      <c r="B42" s="25" t="str">
        <f ca="1">HYPERLINK("#"&amp;CELL("address",AGR!$B$2),MID(CELL("filename",AGR!$B$2),FIND("]",CELL("filename",AGR!$B$2))+1,256))</f>
        <v>AGR</v>
      </c>
      <c r="D42" s="294" t="s">
        <v>175</v>
      </c>
    </row>
    <row r="43" spans="2:4" x14ac:dyDescent="0.25">
      <c r="B43" s="26" t="str">
        <f ca="1">HYPERLINK("#"&amp;CELL("address",AGR_fec!$B$2),MID(CELL("filename",AGR_fec!$B$2),FIND("]",CELL("filename",AGR_fec!$B$2))+1,256))</f>
        <v>AGR_fec</v>
      </c>
      <c r="D43" s="297" t="s">
        <v>2</v>
      </c>
    </row>
    <row r="44" spans="2:4" x14ac:dyDescent="0.25">
      <c r="B44" s="26" t="str">
        <f ca="1">HYPERLINK("#"&amp;CELL("address",AGR_ued!$B$2),MID(CELL("filename",AGR_ued!$B$2),FIND("]",CELL("filename",AGR_ued!$B$2))+1,256))</f>
        <v>AGR_ued</v>
      </c>
      <c r="D44" s="297" t="s">
        <v>1</v>
      </c>
    </row>
    <row r="45" spans="2:4" x14ac:dyDescent="0.25">
      <c r="B45" s="26" t="str">
        <f ca="1">HYPERLINK("#"&amp;CELL("address",AGR_emi!$B$2),MID(CELL("filename",AGR_emi!$B$2),FIND("]",CELL("filename",AGR_emi!$B$2))+1,256))</f>
        <v>AGR_emi</v>
      </c>
      <c r="D45" s="297" t="s">
        <v>0</v>
      </c>
    </row>
  </sheetData>
  <pageMargins left="0.39370078740157483" right="0.39370078740157483" top="0.39370078740157483" bottom="0.39370078740157483" header="0.31496062992125984" footer="0.31496062992125984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>
    <tabColor theme="9" tint="0.79998168889431442"/>
    <pageSetUpPr fitToPage="1"/>
  </sheetPr>
  <dimension ref="A1:DA173"/>
  <sheetViews>
    <sheetView showGridLines="0" zoomScaleNormal="100" workbookViewId="0">
      <pane xSplit="1" ySplit="1" topLeftCell="H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60.7109375" style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12.95" customHeight="1" x14ac:dyDescent="0.25">
      <c r="A1" s="28" t="s">
        <v>187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X1" s="27">
        <v>2022</v>
      </c>
      <c r="Y1" s="27">
        <v>2023</v>
      </c>
      <c r="DA1" s="87" t="s">
        <v>150</v>
      </c>
    </row>
    <row r="2" spans="1:105" s="2" customFormat="1" ht="12" customHeight="1" x14ac:dyDescent="0.25">
      <c r="DA2" s="7"/>
    </row>
    <row r="3" spans="1:105" ht="12" customHeight="1" x14ac:dyDescent="0.25">
      <c r="A3" s="33" t="s">
        <v>71</v>
      </c>
      <c r="B3" s="34">
        <v>22455485</v>
      </c>
      <c r="C3" s="34">
        <v>22430457</v>
      </c>
      <c r="D3" s="34">
        <v>21833483</v>
      </c>
      <c r="E3" s="34">
        <v>21627509</v>
      </c>
      <c r="F3" s="34">
        <v>21521142</v>
      </c>
      <c r="G3" s="34">
        <v>21382354</v>
      </c>
      <c r="H3" s="34">
        <v>21257016</v>
      </c>
      <c r="I3" s="34">
        <v>21130503</v>
      </c>
      <c r="J3" s="34">
        <v>20635460</v>
      </c>
      <c r="K3" s="34">
        <v>20440290</v>
      </c>
      <c r="L3" s="34">
        <v>20294683</v>
      </c>
      <c r="M3" s="34">
        <v>20199059</v>
      </c>
      <c r="N3" s="34">
        <v>20095996</v>
      </c>
      <c r="O3" s="34">
        <v>20020074</v>
      </c>
      <c r="P3" s="34">
        <v>19947311</v>
      </c>
      <c r="Q3" s="34">
        <v>19870647</v>
      </c>
      <c r="R3" s="34">
        <v>19760585</v>
      </c>
      <c r="S3" s="34">
        <v>19643949</v>
      </c>
      <c r="T3" s="34">
        <v>19533481</v>
      </c>
      <c r="U3" s="34">
        <v>19414458</v>
      </c>
      <c r="V3" s="34">
        <v>19328838</v>
      </c>
      <c r="W3" s="34">
        <v>19201662</v>
      </c>
      <c r="X3" s="34">
        <v>19042455</v>
      </c>
      <c r="Y3" s="34">
        <v>19054548</v>
      </c>
      <c r="DA3" s="88" t="s">
        <v>188</v>
      </c>
    </row>
    <row r="4" spans="1:105" ht="12" customHeight="1" x14ac:dyDescent="0.25">
      <c r="A4" s="35" t="s">
        <v>178</v>
      </c>
      <c r="B4" s="36">
        <v>140756.1534257489</v>
      </c>
      <c r="C4" s="36">
        <v>148103.40413086084</v>
      </c>
      <c r="D4" s="36">
        <v>156550.37554134481</v>
      </c>
      <c r="E4" s="36">
        <v>160212.46845224619</v>
      </c>
      <c r="F4" s="36">
        <v>176922.51618113639</v>
      </c>
      <c r="G4" s="36">
        <v>185179.13448572173</v>
      </c>
      <c r="H4" s="36">
        <v>200048.10133333332</v>
      </c>
      <c r="I4" s="36">
        <v>214518.36769281694</v>
      </c>
      <c r="J4" s="36">
        <v>234485.33238018234</v>
      </c>
      <c r="K4" s="36">
        <v>221550.10714443348</v>
      </c>
      <c r="L4" s="36">
        <v>212896.90238883684</v>
      </c>
      <c r="M4" s="36">
        <v>222466.18579697006</v>
      </c>
      <c r="N4" s="36">
        <v>226703.17526921927</v>
      </c>
      <c r="O4" s="36">
        <v>227335.02554946489</v>
      </c>
      <c r="P4" s="36">
        <v>236690.20725050577</v>
      </c>
      <c r="Q4" s="36">
        <v>244163.42502999998</v>
      </c>
      <c r="R4" s="36">
        <v>251145.07787719506</v>
      </c>
      <c r="S4" s="36">
        <v>271730.18928147608</v>
      </c>
      <c r="T4" s="36">
        <v>288360.99914070102</v>
      </c>
      <c r="U4" s="36">
        <v>299674.78393887141</v>
      </c>
      <c r="V4" s="36">
        <v>288663.45812653756</v>
      </c>
      <c r="W4" s="36">
        <v>304672.10976280307</v>
      </c>
      <c r="X4" s="36">
        <v>316751.799098155</v>
      </c>
      <c r="Y4" s="36">
        <v>324368.59999999998</v>
      </c>
      <c r="DA4" s="89" t="s">
        <v>189</v>
      </c>
    </row>
    <row r="5" spans="1:105" ht="12" customHeight="1" x14ac:dyDescent="0.25">
      <c r="A5" s="35" t="s">
        <v>179</v>
      </c>
      <c r="B5" s="36">
        <v>73058.936014300212</v>
      </c>
      <c r="C5" s="36">
        <v>70831.466049539275</v>
      </c>
      <c r="D5" s="36">
        <v>75268.082236189264</v>
      </c>
      <c r="E5" s="36">
        <v>77149.033359447858</v>
      </c>
      <c r="F5" s="36">
        <v>84606.923741171122</v>
      </c>
      <c r="G5" s="36">
        <v>94456.18044352383</v>
      </c>
      <c r="H5" s="36">
        <v>102740.75110902511</v>
      </c>
      <c r="I5" s="36">
        <v>112357.34324970789</v>
      </c>
      <c r="J5" s="36">
        <v>115350.36037147875</v>
      </c>
      <c r="K5" s="36">
        <v>113318.2047841973</v>
      </c>
      <c r="L5" s="36">
        <v>106849.69501894222</v>
      </c>
      <c r="M5" s="36">
        <v>104338.435551531</v>
      </c>
      <c r="N5" s="36">
        <v>122546.7931132879</v>
      </c>
      <c r="O5" s="36">
        <v>125935.76461049504</v>
      </c>
      <c r="P5" s="36">
        <v>131141.47245255788</v>
      </c>
      <c r="Q5" s="36">
        <v>139891.56457800002</v>
      </c>
      <c r="R5" s="36">
        <v>147551.8392678547</v>
      </c>
      <c r="S5" s="36">
        <v>163243.67091922677</v>
      </c>
      <c r="T5" s="36">
        <v>172746.51560065348</v>
      </c>
      <c r="U5" s="36">
        <v>183799.94723125492</v>
      </c>
      <c r="V5" s="36">
        <v>181609.72123883295</v>
      </c>
      <c r="W5" s="36">
        <v>190165.02967284739</v>
      </c>
      <c r="X5" s="36">
        <v>195950.25148915887</v>
      </c>
      <c r="Y5" s="36">
        <v>201883.98585964879</v>
      </c>
      <c r="DA5" s="89" t="s">
        <v>190</v>
      </c>
    </row>
    <row r="6" spans="1:105" ht="12" customHeight="1" x14ac:dyDescent="0.25">
      <c r="A6" s="37" t="s">
        <v>70</v>
      </c>
      <c r="B6" s="38">
        <v>3174800</v>
      </c>
      <c r="C6" s="38">
        <v>3184800</v>
      </c>
      <c r="D6" s="38">
        <v>3273700</v>
      </c>
      <c r="E6" s="38">
        <v>3209800</v>
      </c>
      <c r="F6" s="38">
        <v>3466200.0000000005</v>
      </c>
      <c r="G6" s="38">
        <v>3493400</v>
      </c>
      <c r="H6" s="38">
        <v>3703100</v>
      </c>
      <c r="I6" s="38">
        <v>3741700</v>
      </c>
      <c r="J6" s="38">
        <v>3753000</v>
      </c>
      <c r="K6" s="38">
        <v>3730700.0000000005</v>
      </c>
      <c r="L6" s="38">
        <v>3626000</v>
      </c>
      <c r="M6" s="38">
        <v>3701800</v>
      </c>
      <c r="N6" s="38">
        <v>3747000</v>
      </c>
      <c r="O6" s="38">
        <v>3741300</v>
      </c>
      <c r="P6" s="38">
        <v>3800900.0000000005</v>
      </c>
      <c r="Q6" s="38">
        <v>4017700</v>
      </c>
      <c r="R6" s="38">
        <v>4086700</v>
      </c>
      <c r="S6" s="38">
        <v>4213300</v>
      </c>
      <c r="T6" s="38">
        <v>4231100</v>
      </c>
      <c r="U6" s="38">
        <v>4315799.9999999991</v>
      </c>
      <c r="V6" s="38">
        <v>4312600</v>
      </c>
      <c r="W6" s="38">
        <v>4349299.9999999991</v>
      </c>
      <c r="X6" s="38">
        <v>4426300</v>
      </c>
      <c r="Y6" s="38">
        <v>4321271.4774114778</v>
      </c>
      <c r="DA6" s="90" t="s">
        <v>191</v>
      </c>
    </row>
    <row r="7" spans="1:105" s="2" customFormat="1" ht="12" customHeight="1" x14ac:dyDescent="0.25">
      <c r="DA7" s="7"/>
    </row>
    <row r="8" spans="1:105" ht="12" customHeight="1" x14ac:dyDescent="0.25">
      <c r="A8" s="33" t="s">
        <v>69</v>
      </c>
      <c r="B8" s="34">
        <v>32838.432040694963</v>
      </c>
      <c r="C8" s="34">
        <v>35719.937310639922</v>
      </c>
      <c r="D8" s="34">
        <v>37157.052335049455</v>
      </c>
      <c r="E8" s="34">
        <v>39857.43668449598</v>
      </c>
      <c r="F8" s="34">
        <v>42566.644162568751</v>
      </c>
      <c r="G8" s="34">
        <v>45911.161130593704</v>
      </c>
      <c r="H8" s="34">
        <v>48661.475506371469</v>
      </c>
      <c r="I8" s="34">
        <v>50002.95883331092</v>
      </c>
      <c r="J8" s="34">
        <v>51532.110969474925</v>
      </c>
      <c r="K8" s="34">
        <v>52665.52237225898</v>
      </c>
      <c r="L8" s="34">
        <v>54791.046579909605</v>
      </c>
      <c r="M8" s="34">
        <v>56960.981791148799</v>
      </c>
      <c r="N8" s="34">
        <v>58420.510842979442</v>
      </c>
      <c r="O8" s="34">
        <v>61170.742702579671</v>
      </c>
      <c r="P8" s="34">
        <v>63725.858062569438</v>
      </c>
      <c r="Q8" s="34">
        <v>66995.348380343828</v>
      </c>
      <c r="R8" s="34">
        <v>69614.880293867391</v>
      </c>
      <c r="S8" s="34">
        <v>72589.442341480491</v>
      </c>
      <c r="T8" s="34">
        <v>74651.038519664944</v>
      </c>
      <c r="U8" s="34">
        <v>76405.308553928713</v>
      </c>
      <c r="V8" s="34">
        <v>77939.505555555545</v>
      </c>
      <c r="W8" s="34">
        <v>79309.081703577496</v>
      </c>
      <c r="X8" s="34">
        <v>80585.381200988952</v>
      </c>
      <c r="Y8" s="34">
        <v>81814.633400299455</v>
      </c>
      <c r="DA8" s="88" t="s">
        <v>192</v>
      </c>
    </row>
    <row r="9" spans="1:105" ht="12" customHeight="1" x14ac:dyDescent="0.25">
      <c r="A9" s="39" t="s">
        <v>68</v>
      </c>
      <c r="B9" s="40">
        <v>29554.588836625462</v>
      </c>
      <c r="C9" s="40">
        <v>32147.943579575927</v>
      </c>
      <c r="D9" s="40">
        <v>33441.34710154451</v>
      </c>
      <c r="E9" s="40">
        <v>35871.693016046382</v>
      </c>
      <c r="F9" s="40">
        <v>38309.979746311874</v>
      </c>
      <c r="G9" s="40">
        <v>41320.045017534336</v>
      </c>
      <c r="H9" s="40">
        <v>43795.327955734319</v>
      </c>
      <c r="I9" s="40">
        <v>45002.662949979829</v>
      </c>
      <c r="J9" s="40">
        <v>46378.899872527436</v>
      </c>
      <c r="K9" s="40">
        <v>47398.97013503308</v>
      </c>
      <c r="L9" s="40">
        <v>49311.941921918646</v>
      </c>
      <c r="M9" s="40">
        <v>51264.883612033918</v>
      </c>
      <c r="N9" s="40">
        <v>52578.459758681493</v>
      </c>
      <c r="O9" s="40">
        <v>55053.668432321705</v>
      </c>
      <c r="P9" s="40">
        <v>57353.272256312492</v>
      </c>
      <c r="Q9" s="40">
        <v>60295.81354230945</v>
      </c>
      <c r="R9" s="40">
        <v>62653.392264480652</v>
      </c>
      <c r="S9" s="40">
        <v>65330.498107332438</v>
      </c>
      <c r="T9" s="40">
        <v>67185.934667698457</v>
      </c>
      <c r="U9" s="40">
        <v>68764.777698535851</v>
      </c>
      <c r="V9" s="40">
        <v>70145.554999999993</v>
      </c>
      <c r="W9" s="40">
        <v>71378.173533219742</v>
      </c>
      <c r="X9" s="40">
        <v>72526.843080890059</v>
      </c>
      <c r="Y9" s="40">
        <v>73633.170060269505</v>
      </c>
      <c r="DA9" s="91" t="s">
        <v>193</v>
      </c>
    </row>
    <row r="10" spans="1:105" ht="12" customHeight="1" x14ac:dyDescent="0.25">
      <c r="A10" s="35" t="s">
        <v>17</v>
      </c>
      <c r="B10" s="41"/>
      <c r="C10" s="41">
        <v>3012.7952558790007</v>
      </c>
      <c r="D10" s="41">
        <v>1580.0216535063546</v>
      </c>
      <c r="E10" s="41">
        <v>2848.9897091515095</v>
      </c>
      <c r="F10" s="41">
        <v>2868.5527531546541</v>
      </c>
      <c r="G10" s="41">
        <v>3514.8213404302205</v>
      </c>
      <c r="H10" s="41">
        <v>2933.9888469175412</v>
      </c>
      <c r="I10" s="41">
        <v>1536.1168954026159</v>
      </c>
      <c r="J10" s="41">
        <v>1729.2652532888617</v>
      </c>
      <c r="K10" s="41">
        <v>1339.4424324635143</v>
      </c>
      <c r="L10" s="41">
        <v>2336.158058205915</v>
      </c>
      <c r="M10" s="41">
        <v>2389.1171577067157</v>
      </c>
      <c r="N10" s="41">
        <v>1687.4782761568554</v>
      </c>
      <c r="O10" s="41">
        <v>2983.8798145346213</v>
      </c>
      <c r="P10" s="41">
        <v>2799.7224122475086</v>
      </c>
      <c r="Q10" s="41">
        <v>3524.3989215161296</v>
      </c>
      <c r="R10" s="41">
        <v>2968.466019671202</v>
      </c>
      <c r="S10" s="41">
        <v>3337.1395491436615</v>
      </c>
      <c r="T10" s="41">
        <v>2439.6661903796457</v>
      </c>
      <c r="U10" s="41">
        <v>2143.0775265536927</v>
      </c>
      <c r="V10" s="41">
        <v>1932.1413170118958</v>
      </c>
      <c r="W10" s="41">
        <v>1775.5110727904323</v>
      </c>
      <c r="X10" s="41">
        <v>1689.3676312842704</v>
      </c>
      <c r="Y10" s="41">
        <v>1648.967726398977</v>
      </c>
      <c r="DA10" s="92" t="s">
        <v>194</v>
      </c>
    </row>
    <row r="11" spans="1:105" ht="12" customHeight="1" x14ac:dyDescent="0.25">
      <c r="A11" s="37" t="s">
        <v>67</v>
      </c>
      <c r="B11" s="42"/>
      <c r="C11" s="42">
        <v>2711.5157302911007</v>
      </c>
      <c r="D11" s="42">
        <v>1422.019488155719</v>
      </c>
      <c r="E11" s="42">
        <v>2564.0907382363584</v>
      </c>
      <c r="F11" s="42">
        <v>2581.6974778391887</v>
      </c>
      <c r="G11" s="42">
        <v>3163.3392063871984</v>
      </c>
      <c r="H11" s="42">
        <v>2640.5899622257871</v>
      </c>
      <c r="I11" s="42">
        <v>1382.5052058623544</v>
      </c>
      <c r="J11" s="42">
        <v>1556.3387279599756</v>
      </c>
      <c r="K11" s="42">
        <v>1205.4981892171629</v>
      </c>
      <c r="L11" s="42">
        <v>2102.5422523853235</v>
      </c>
      <c r="M11" s="42">
        <v>2150.2054419360443</v>
      </c>
      <c r="N11" s="42">
        <v>1518.7304485411698</v>
      </c>
      <c r="O11" s="42">
        <v>2685.4918330811593</v>
      </c>
      <c r="P11" s="42">
        <v>2519.750171022758</v>
      </c>
      <c r="Q11" s="42">
        <v>3171.9590293645174</v>
      </c>
      <c r="R11" s="42">
        <v>2671.6194177040816</v>
      </c>
      <c r="S11" s="42">
        <v>3003.4255942292948</v>
      </c>
      <c r="T11" s="42">
        <v>2195.6995713416813</v>
      </c>
      <c r="U11" s="42">
        <v>1928.7697738983234</v>
      </c>
      <c r="V11" s="42">
        <v>1738.9271853107064</v>
      </c>
      <c r="W11" s="42">
        <v>1597.9599655113891</v>
      </c>
      <c r="X11" s="42">
        <v>1520.4308681558437</v>
      </c>
      <c r="Y11" s="42">
        <v>1484.0709537590792</v>
      </c>
      <c r="DA11" s="93" t="s">
        <v>195</v>
      </c>
    </row>
    <row r="12" spans="1:105" s="2" customFormat="1" ht="12" customHeight="1" x14ac:dyDescent="0.25">
      <c r="DA12" s="7"/>
    </row>
    <row r="13" spans="1:105" ht="12" customHeight="1" x14ac:dyDescent="0.25">
      <c r="A13" s="33" t="s">
        <v>66</v>
      </c>
      <c r="B13" s="43">
        <v>2931.43</v>
      </c>
      <c r="C13" s="43">
        <v>3028.97</v>
      </c>
      <c r="D13" s="43">
        <v>2932</v>
      </c>
      <c r="E13" s="43">
        <v>3393.84</v>
      </c>
      <c r="F13" s="43">
        <v>3107.75</v>
      </c>
      <c r="G13" s="43">
        <v>3248.31</v>
      </c>
      <c r="H13" s="43">
        <v>3164.93</v>
      </c>
      <c r="I13" s="43">
        <v>2837.51</v>
      </c>
      <c r="J13" s="43">
        <v>2871.73</v>
      </c>
      <c r="K13" s="43">
        <v>2850.3</v>
      </c>
      <c r="L13" s="43">
        <v>3056.91</v>
      </c>
      <c r="M13" s="43">
        <v>3174.1</v>
      </c>
      <c r="N13" s="43">
        <v>3089.55</v>
      </c>
      <c r="O13" s="43">
        <v>2865.71</v>
      </c>
      <c r="P13" s="43">
        <v>2730.97</v>
      </c>
      <c r="Q13" s="43">
        <v>2787.05</v>
      </c>
      <c r="R13" s="43">
        <v>2920.43</v>
      </c>
      <c r="S13" s="43">
        <v>2918.88</v>
      </c>
      <c r="T13" s="43">
        <v>2748.49</v>
      </c>
      <c r="U13" s="43">
        <v>2568.23</v>
      </c>
      <c r="V13" s="43">
        <v>2665.22</v>
      </c>
      <c r="W13" s="43">
        <v>2993.6</v>
      </c>
      <c r="X13" s="43">
        <v>2751.26</v>
      </c>
      <c r="Y13" s="43">
        <v>2506.5300000000002</v>
      </c>
      <c r="DA13" s="94" t="s">
        <v>196</v>
      </c>
    </row>
    <row r="14" spans="1:105" ht="12" customHeight="1" x14ac:dyDescent="0.25">
      <c r="A14" s="35" t="s">
        <v>147</v>
      </c>
      <c r="B14" s="44">
        <f>AVERAGE($B$13:$V$13)</f>
        <v>2947.252857142857</v>
      </c>
      <c r="C14" s="44">
        <f t="shared" ref="C14:Y14" si="0">AVERAGE($B$13:$V$13)</f>
        <v>2947.252857142857</v>
      </c>
      <c r="D14" s="44">
        <f t="shared" si="0"/>
        <v>2947.252857142857</v>
      </c>
      <c r="E14" s="44">
        <f t="shared" si="0"/>
        <v>2947.252857142857</v>
      </c>
      <c r="F14" s="44">
        <f t="shared" si="0"/>
        <v>2947.252857142857</v>
      </c>
      <c r="G14" s="44">
        <f t="shared" si="0"/>
        <v>2947.252857142857</v>
      </c>
      <c r="H14" s="44">
        <f t="shared" si="0"/>
        <v>2947.252857142857</v>
      </c>
      <c r="I14" s="44">
        <f t="shared" si="0"/>
        <v>2947.252857142857</v>
      </c>
      <c r="J14" s="44">
        <f t="shared" si="0"/>
        <v>2947.252857142857</v>
      </c>
      <c r="K14" s="44">
        <f t="shared" si="0"/>
        <v>2947.252857142857</v>
      </c>
      <c r="L14" s="44">
        <f t="shared" si="0"/>
        <v>2947.252857142857</v>
      </c>
      <c r="M14" s="44">
        <f t="shared" si="0"/>
        <v>2947.252857142857</v>
      </c>
      <c r="N14" s="44">
        <f t="shared" si="0"/>
        <v>2947.252857142857</v>
      </c>
      <c r="O14" s="44">
        <f t="shared" si="0"/>
        <v>2947.252857142857</v>
      </c>
      <c r="P14" s="44">
        <f t="shared" si="0"/>
        <v>2947.252857142857</v>
      </c>
      <c r="Q14" s="44">
        <f t="shared" si="0"/>
        <v>2947.252857142857</v>
      </c>
      <c r="R14" s="44">
        <f t="shared" si="0"/>
        <v>2947.252857142857</v>
      </c>
      <c r="S14" s="44">
        <f t="shared" si="0"/>
        <v>2947.252857142857</v>
      </c>
      <c r="T14" s="44">
        <f t="shared" si="0"/>
        <v>2947.252857142857</v>
      </c>
      <c r="U14" s="44">
        <f t="shared" si="0"/>
        <v>2947.252857142857</v>
      </c>
      <c r="V14" s="44">
        <f t="shared" si="0"/>
        <v>2947.252857142857</v>
      </c>
      <c r="W14" s="44">
        <f t="shared" si="0"/>
        <v>2947.252857142857</v>
      </c>
      <c r="X14" s="44">
        <f t="shared" si="0"/>
        <v>2947.252857142857</v>
      </c>
      <c r="Y14" s="44">
        <f t="shared" si="0"/>
        <v>2947.252857142857</v>
      </c>
      <c r="DA14" s="95" t="s">
        <v>197</v>
      </c>
    </row>
    <row r="15" spans="1:105" ht="12" customHeight="1" x14ac:dyDescent="0.25">
      <c r="A15" s="45" t="s">
        <v>65</v>
      </c>
      <c r="B15" s="46">
        <f>B13/B14</f>
        <v>0.994631320110689</v>
      </c>
      <c r="C15" s="46">
        <f t="shared" ref="C15:W15" si="1">C13/C14</f>
        <v>1.0277265463189207</v>
      </c>
      <c r="D15" s="46">
        <f t="shared" si="1"/>
        <v>0.99482472055090532</v>
      </c>
      <c r="E15" s="46">
        <f t="shared" si="1"/>
        <v>1.1515265789885691</v>
      </c>
      <c r="F15" s="46">
        <f t="shared" si="1"/>
        <v>1.0544565229509126</v>
      </c>
      <c r="G15" s="46">
        <f t="shared" si="1"/>
        <v>1.1021483929102016</v>
      </c>
      <c r="H15" s="46">
        <f t="shared" si="1"/>
        <v>1.0738576407957627</v>
      </c>
      <c r="I15" s="46">
        <f t="shared" si="1"/>
        <v>0.96276435634733959</v>
      </c>
      <c r="J15" s="46">
        <f t="shared" si="1"/>
        <v>0.97437516874067231</v>
      </c>
      <c r="K15" s="46">
        <f t="shared" si="1"/>
        <v>0.96710399078657761</v>
      </c>
      <c r="L15" s="46">
        <f t="shared" si="1"/>
        <v>1.0372065608796956</v>
      </c>
      <c r="M15" s="46">
        <f t="shared" si="1"/>
        <v>1.0769690127901188</v>
      </c>
      <c r="N15" s="46">
        <f t="shared" si="1"/>
        <v>1.0482812808247099</v>
      </c>
      <c r="O15" s="46">
        <f t="shared" si="1"/>
        <v>0.9723325886527745</v>
      </c>
      <c r="P15" s="46">
        <f t="shared" si="1"/>
        <v>0.92661543897779863</v>
      </c>
      <c r="Q15" s="46">
        <f t="shared" si="1"/>
        <v>0.94564332790293348</v>
      </c>
      <c r="R15" s="46">
        <f t="shared" si="1"/>
        <v>0.99089903091353349</v>
      </c>
      <c r="S15" s="46">
        <f t="shared" si="1"/>
        <v>0.99037311743575263</v>
      </c>
      <c r="T15" s="46">
        <f t="shared" si="1"/>
        <v>0.93255995777181366</v>
      </c>
      <c r="U15" s="46">
        <f t="shared" si="1"/>
        <v>0.87139791680097256</v>
      </c>
      <c r="V15" s="46">
        <f t="shared" si="1"/>
        <v>0.90430652854934646</v>
      </c>
      <c r="W15" s="46">
        <f t="shared" si="1"/>
        <v>1.0157255400549761</v>
      </c>
      <c r="X15" s="46">
        <f t="shared" ref="X15:Y15" si="2">X13/X14</f>
        <v>0.93349981605146115</v>
      </c>
      <c r="Y15" s="46">
        <f t="shared" si="2"/>
        <v>0.85046316739510941</v>
      </c>
      <c r="DA15" s="96" t="s">
        <v>198</v>
      </c>
    </row>
    <row r="16" spans="1:105" s="2" customFormat="1" ht="12" customHeight="1" x14ac:dyDescent="0.25">
      <c r="DA16" s="7"/>
    </row>
    <row r="17" spans="1:105" s="2" customFormat="1" ht="12.95" customHeight="1" x14ac:dyDescent="0.25">
      <c r="A17" s="47" t="s">
        <v>64</v>
      </c>
      <c r="B17" s="48"/>
      <c r="C17" s="48"/>
      <c r="D17" s="48"/>
      <c r="E17" s="48"/>
      <c r="F17" s="48"/>
      <c r="G17" s="48"/>
      <c r="H17" s="48"/>
      <c r="I17" s="48"/>
      <c r="J17" s="48"/>
      <c r="K17" s="48"/>
      <c r="L17" s="48"/>
      <c r="M17" s="48"/>
      <c r="N17" s="48"/>
      <c r="O17" s="48"/>
      <c r="P17" s="48"/>
      <c r="Q17" s="48"/>
      <c r="R17" s="48"/>
      <c r="S17" s="48"/>
      <c r="T17" s="48"/>
      <c r="U17" s="48"/>
      <c r="V17" s="48"/>
      <c r="W17" s="48"/>
      <c r="X17" s="48"/>
      <c r="Y17" s="48"/>
      <c r="DA17" s="97"/>
    </row>
    <row r="18" spans="1:105" s="2" customFormat="1" ht="12" customHeight="1" x14ac:dyDescent="0.25">
      <c r="DA18" s="7"/>
    </row>
    <row r="19" spans="1:105" ht="12" customHeight="1" x14ac:dyDescent="0.25">
      <c r="A19" s="49" t="s">
        <v>180</v>
      </c>
      <c r="B19" s="34">
        <f t="shared" ref="B19:C19" si="3">B4*1000000/B3</f>
        <v>6268.2303867295186</v>
      </c>
      <c r="C19" s="34">
        <f t="shared" si="3"/>
        <v>6602.781393658669</v>
      </c>
      <c r="D19" s="34">
        <f t="shared" ref="D19:W19" si="4">D4*1000000/D3</f>
        <v>7170.1970565733745</v>
      </c>
      <c r="E19" s="34">
        <f t="shared" si="4"/>
        <v>7407.8095841849463</v>
      </c>
      <c r="F19" s="34">
        <f t="shared" si="4"/>
        <v>8220.870257774257</v>
      </c>
      <c r="G19" s="34">
        <f t="shared" si="4"/>
        <v>8660.3717479245624</v>
      </c>
      <c r="H19" s="34">
        <f t="shared" si="4"/>
        <v>9410.921144027614</v>
      </c>
      <c r="I19" s="34">
        <f t="shared" si="4"/>
        <v>10152.071045957446</v>
      </c>
      <c r="J19" s="34">
        <f t="shared" si="4"/>
        <v>11363.222936643155</v>
      </c>
      <c r="K19" s="34">
        <f t="shared" si="4"/>
        <v>10838.892557025045</v>
      </c>
      <c r="L19" s="34">
        <f t="shared" si="4"/>
        <v>10490.279763859176</v>
      </c>
      <c r="M19" s="34">
        <f t="shared" si="4"/>
        <v>11013.690578208127</v>
      </c>
      <c r="N19" s="34">
        <f t="shared" si="4"/>
        <v>11281.012161289207</v>
      </c>
      <c r="O19" s="34">
        <f t="shared" si="4"/>
        <v>11355.353908755027</v>
      </c>
      <c r="P19" s="34">
        <f t="shared" si="4"/>
        <v>11865.770140672383</v>
      </c>
      <c r="Q19" s="34">
        <f t="shared" si="4"/>
        <v>12287.643428520469</v>
      </c>
      <c r="R19" s="34">
        <f t="shared" si="4"/>
        <v>12709.394882651251</v>
      </c>
      <c r="S19" s="34">
        <f t="shared" si="4"/>
        <v>13832.768008177789</v>
      </c>
      <c r="T19" s="34">
        <f t="shared" si="4"/>
        <v>14762.396888742003</v>
      </c>
      <c r="U19" s="34">
        <f t="shared" si="4"/>
        <v>15435.650273567842</v>
      </c>
      <c r="V19" s="34">
        <f t="shared" si="4"/>
        <v>14934.34101556118</v>
      </c>
      <c r="W19" s="34">
        <f t="shared" si="4"/>
        <v>15866.96556593919</v>
      </c>
      <c r="X19" s="34">
        <f t="shared" ref="X19:Y19" si="5">X4*1000000/X3</f>
        <v>16633.979132320648</v>
      </c>
      <c r="Y19" s="34">
        <f t="shared" si="5"/>
        <v>17023.158985455862</v>
      </c>
      <c r="DA19" s="88"/>
    </row>
    <row r="20" spans="1:105" ht="12" customHeight="1" x14ac:dyDescent="0.25">
      <c r="A20" s="50" t="s">
        <v>181</v>
      </c>
      <c r="B20" s="36">
        <f t="shared" ref="B20:C20" si="6">B5*1000000/B6</f>
        <v>23012.138091942867</v>
      </c>
      <c r="C20" s="36">
        <f t="shared" si="6"/>
        <v>22240.47539862449</v>
      </c>
      <c r="D20" s="36">
        <f t="shared" ref="D20:W20" si="7">D5*1000000/D6</f>
        <v>22991.747025136472</v>
      </c>
      <c r="E20" s="36">
        <f t="shared" si="7"/>
        <v>24035.46431536166</v>
      </c>
      <c r="F20" s="36">
        <f t="shared" si="7"/>
        <v>24409.129231195868</v>
      </c>
      <c r="G20" s="36">
        <f t="shared" si="7"/>
        <v>27038.466950112736</v>
      </c>
      <c r="H20" s="36">
        <f t="shared" si="7"/>
        <v>27744.525157037373</v>
      </c>
      <c r="I20" s="36">
        <f t="shared" si="7"/>
        <v>30028.421105301837</v>
      </c>
      <c r="J20" s="36">
        <f t="shared" si="7"/>
        <v>30735.507692906674</v>
      </c>
      <c r="K20" s="36">
        <f t="shared" si="7"/>
        <v>30374.515448628215</v>
      </c>
      <c r="L20" s="36">
        <f t="shared" si="7"/>
        <v>29467.648929658637</v>
      </c>
      <c r="M20" s="36">
        <f t="shared" si="7"/>
        <v>28185.865133592037</v>
      </c>
      <c r="N20" s="36">
        <f t="shared" si="7"/>
        <v>32705.309077472084</v>
      </c>
      <c r="O20" s="36">
        <f t="shared" si="7"/>
        <v>33660.963999277003</v>
      </c>
      <c r="P20" s="36">
        <f t="shared" si="7"/>
        <v>34502.74210122809</v>
      </c>
      <c r="Q20" s="36">
        <f t="shared" si="7"/>
        <v>34818.817875401357</v>
      </c>
      <c r="R20" s="36">
        <f t="shared" si="7"/>
        <v>36105.37579657296</v>
      </c>
      <c r="S20" s="36">
        <f t="shared" si="7"/>
        <v>38744.848674252193</v>
      </c>
      <c r="T20" s="36">
        <f t="shared" si="7"/>
        <v>40827.802604678094</v>
      </c>
      <c r="U20" s="36">
        <f t="shared" si="7"/>
        <v>42587.688778732787</v>
      </c>
      <c r="V20" s="36">
        <f t="shared" si="7"/>
        <v>42111.422631088659</v>
      </c>
      <c r="W20" s="36">
        <f t="shared" si="7"/>
        <v>43723.134682097676</v>
      </c>
      <c r="X20" s="36">
        <f t="shared" ref="X20:Y20" si="8">X5*1000000/X6</f>
        <v>44269.536969739711</v>
      </c>
      <c r="Y20" s="36">
        <f t="shared" si="8"/>
        <v>46718.653737668217</v>
      </c>
      <c r="DA20" s="89"/>
    </row>
    <row r="21" spans="1:105" ht="12" customHeight="1" x14ac:dyDescent="0.25">
      <c r="A21" s="50" t="s">
        <v>182</v>
      </c>
      <c r="B21" s="36">
        <f t="shared" ref="B21:C21" si="9">B5*1000000/B3</f>
        <v>3253.5006932293031</v>
      </c>
      <c r="C21" s="36">
        <f t="shared" si="9"/>
        <v>3157.8253643935686</v>
      </c>
      <c r="D21" s="36">
        <f t="shared" ref="D21:W21" si="10">D5*1000000/D3</f>
        <v>3447.3694479341325</v>
      </c>
      <c r="E21" s="36">
        <f t="shared" si="10"/>
        <v>3567.1714832923135</v>
      </c>
      <c r="F21" s="36">
        <f t="shared" si="10"/>
        <v>3931.3398769066775</v>
      </c>
      <c r="G21" s="36">
        <f t="shared" si="10"/>
        <v>4417.4827731092582</v>
      </c>
      <c r="H21" s="36">
        <f t="shared" si="10"/>
        <v>4833.2631028280312</v>
      </c>
      <c r="I21" s="36">
        <f t="shared" si="10"/>
        <v>5317.3056623265375</v>
      </c>
      <c r="J21" s="36">
        <f t="shared" si="10"/>
        <v>5589.9098140520609</v>
      </c>
      <c r="K21" s="36">
        <f t="shared" si="10"/>
        <v>5543.8648269763926</v>
      </c>
      <c r="L21" s="36">
        <f t="shared" si="10"/>
        <v>5264.9107659844803</v>
      </c>
      <c r="M21" s="36">
        <f t="shared" si="10"/>
        <v>5165.5097176324407</v>
      </c>
      <c r="N21" s="36">
        <f t="shared" si="10"/>
        <v>6098.0701386130804</v>
      </c>
      <c r="O21" s="36">
        <f t="shared" si="10"/>
        <v>6290.4744812878835</v>
      </c>
      <c r="P21" s="36">
        <f t="shared" si="10"/>
        <v>6574.3935336726781</v>
      </c>
      <c r="Q21" s="36">
        <f t="shared" si="10"/>
        <v>7040.1112041293891</v>
      </c>
      <c r="R21" s="36">
        <f t="shared" si="10"/>
        <v>7466.9772816874956</v>
      </c>
      <c r="S21" s="36">
        <f t="shared" si="10"/>
        <v>8310.1249610873438</v>
      </c>
      <c r="T21" s="36">
        <f t="shared" si="10"/>
        <v>8843.6114177833169</v>
      </c>
      <c r="U21" s="36">
        <f t="shared" si="10"/>
        <v>9467.1686034838021</v>
      </c>
      <c r="V21" s="36">
        <f t="shared" si="10"/>
        <v>9395.790954367405</v>
      </c>
      <c r="W21" s="36">
        <f t="shared" si="10"/>
        <v>9903.5713508990721</v>
      </c>
      <c r="X21" s="36">
        <f t="shared" ref="X21:Y21" si="11">X5*1000000/X3</f>
        <v>10290.177999063611</v>
      </c>
      <c r="Y21" s="36">
        <f t="shared" si="11"/>
        <v>10595.055094439858</v>
      </c>
      <c r="DA21" s="89"/>
    </row>
    <row r="22" spans="1:105" ht="12" customHeight="1" x14ac:dyDescent="0.25">
      <c r="A22" s="51" t="s">
        <v>148</v>
      </c>
      <c r="B22" s="52">
        <v>0.17751704536748775</v>
      </c>
      <c r="C22" s="52">
        <v>0.16799999396247692</v>
      </c>
      <c r="D22" s="52">
        <v>0.17977662353225946</v>
      </c>
      <c r="E22" s="52">
        <v>0.1839913098529137</v>
      </c>
      <c r="F22" s="52">
        <v>0.19817710669353983</v>
      </c>
      <c r="G22" s="52">
        <v>0.21798008291445023</v>
      </c>
      <c r="H22" s="52">
        <v>0.23140894753966895</v>
      </c>
      <c r="I22" s="52">
        <v>0.24701563595904641</v>
      </c>
      <c r="J22" s="52">
        <v>0.25622867611579847</v>
      </c>
      <c r="K22" s="52">
        <v>0.2599987204066832</v>
      </c>
      <c r="L22" s="52">
        <v>0.24325685029319449</v>
      </c>
      <c r="M22" s="52">
        <v>0.2339630247392189</v>
      </c>
      <c r="N22" s="52">
        <v>0.2770800559629511</v>
      </c>
      <c r="O22" s="52">
        <v>0.28417762133822028</v>
      </c>
      <c r="P22" s="52">
        <v>0.29217425521220941</v>
      </c>
      <c r="Q22" s="52">
        <v>0.30775657023031794</v>
      </c>
      <c r="R22" s="52">
        <v>0.32101423527936696</v>
      </c>
      <c r="S22" s="52">
        <v>0.34791092650575289</v>
      </c>
      <c r="T22" s="52">
        <v>0.3624294542476022</v>
      </c>
      <c r="U22" s="52">
        <v>0.38076715871211925</v>
      </c>
      <c r="V22" s="52">
        <v>0.39927527232189824</v>
      </c>
      <c r="W22" s="52">
        <v>0.39655861762962313</v>
      </c>
      <c r="X22" s="52">
        <v>0.39960157216237391</v>
      </c>
      <c r="Y22" s="52">
        <v>0.41048357866886448</v>
      </c>
      <c r="DA22" s="98"/>
    </row>
    <row r="23" spans="1:105" ht="12" customHeight="1" x14ac:dyDescent="0.25">
      <c r="A23" s="49" t="s">
        <v>63</v>
      </c>
      <c r="B23" s="53">
        <f t="shared" ref="B23:C23" si="12">B6/B8</f>
        <v>96.679402843157533</v>
      </c>
      <c r="C23" s="53">
        <f t="shared" si="12"/>
        <v>89.160290856707121</v>
      </c>
      <c r="D23" s="53">
        <f t="shared" ref="D23:W23" si="13">D6/D8</f>
        <v>88.104405335511203</v>
      </c>
      <c r="E23" s="53">
        <f t="shared" si="13"/>
        <v>80.532022804380944</v>
      </c>
      <c r="F23" s="53">
        <f t="shared" si="13"/>
        <v>81.429956910909723</v>
      </c>
      <c r="G23" s="53">
        <f t="shared" si="13"/>
        <v>76.090430169323511</v>
      </c>
      <c r="H23" s="53">
        <f t="shared" si="13"/>
        <v>76.099213216729041</v>
      </c>
      <c r="I23" s="53">
        <f t="shared" si="13"/>
        <v>74.829571835404224</v>
      </c>
      <c r="J23" s="53">
        <f t="shared" si="13"/>
        <v>72.828376897330898</v>
      </c>
      <c r="K23" s="53">
        <f t="shared" si="13"/>
        <v>70.837615045950983</v>
      </c>
      <c r="L23" s="53">
        <f t="shared" si="13"/>
        <v>66.17869572379287</v>
      </c>
      <c r="M23" s="53">
        <f t="shared" si="13"/>
        <v>64.988346120382801</v>
      </c>
      <c r="N23" s="53">
        <f t="shared" si="13"/>
        <v>64.138432648612962</v>
      </c>
      <c r="O23" s="53">
        <f t="shared" si="13"/>
        <v>61.161591877193658</v>
      </c>
      <c r="P23" s="53">
        <f t="shared" si="13"/>
        <v>59.644547999150902</v>
      </c>
      <c r="Q23" s="53">
        <f t="shared" si="13"/>
        <v>59.969835177075929</v>
      </c>
      <c r="R23" s="53">
        <f t="shared" si="13"/>
        <v>58.704403178583235</v>
      </c>
      <c r="S23" s="53">
        <f t="shared" si="13"/>
        <v>58.042875989864889</v>
      </c>
      <c r="T23" s="53">
        <f t="shared" si="13"/>
        <v>56.678380956286667</v>
      </c>
      <c r="U23" s="53">
        <f t="shared" si="13"/>
        <v>56.485603967606558</v>
      </c>
      <c r="V23" s="53">
        <f t="shared" si="13"/>
        <v>55.332657928217984</v>
      </c>
      <c r="W23" s="53">
        <f t="shared" si="13"/>
        <v>54.839873398809125</v>
      </c>
      <c r="X23" s="53">
        <f t="shared" ref="X23:Y23" si="14">X6/X8</f>
        <v>54.926835786261442</v>
      </c>
      <c r="Y23" s="53">
        <f t="shared" si="14"/>
        <v>52.817830965134668</v>
      </c>
      <c r="DA23" s="99"/>
    </row>
    <row r="24" spans="1:105" ht="12" customHeight="1" x14ac:dyDescent="0.25">
      <c r="A24" s="50" t="s">
        <v>62</v>
      </c>
      <c r="B24" s="54">
        <f t="shared" ref="B24:C24" si="15">B9*1000/B3</f>
        <v>1.3161411938608969</v>
      </c>
      <c r="C24" s="54">
        <f t="shared" si="15"/>
        <v>1.4332273113996707</v>
      </c>
      <c r="D24" s="54">
        <f t="shared" ref="D24:W24" si="16">D9*1000/D3</f>
        <v>1.5316542533110502</v>
      </c>
      <c r="E24" s="54">
        <f t="shared" si="16"/>
        <v>1.6586141758649313</v>
      </c>
      <c r="F24" s="54">
        <f t="shared" si="16"/>
        <v>1.7801090549150167</v>
      </c>
      <c r="G24" s="54">
        <f t="shared" si="16"/>
        <v>1.9324366726663649</v>
      </c>
      <c r="H24" s="54">
        <f t="shared" si="16"/>
        <v>2.060276379136861</v>
      </c>
      <c r="I24" s="54">
        <f t="shared" si="16"/>
        <v>2.1297487783409523</v>
      </c>
      <c r="J24" s="54">
        <f t="shared" si="16"/>
        <v>2.2475340928928862</v>
      </c>
      <c r="K24" s="54">
        <f t="shared" si="16"/>
        <v>2.3188991024605365</v>
      </c>
      <c r="L24" s="54">
        <f t="shared" si="16"/>
        <v>2.4297961156584038</v>
      </c>
      <c r="M24" s="54">
        <f t="shared" si="16"/>
        <v>2.5379837551855222</v>
      </c>
      <c r="N24" s="54">
        <f t="shared" si="16"/>
        <v>2.6163649594019369</v>
      </c>
      <c r="O24" s="54">
        <f t="shared" si="16"/>
        <v>2.7499233235762119</v>
      </c>
      <c r="P24" s="54">
        <f t="shared" si="16"/>
        <v>2.8752382843137347</v>
      </c>
      <c r="Q24" s="54">
        <f t="shared" si="16"/>
        <v>3.0344162191754225</v>
      </c>
      <c r="R24" s="54">
        <f t="shared" si="16"/>
        <v>3.1706243648394343</v>
      </c>
      <c r="S24" s="54">
        <f t="shared" si="16"/>
        <v>3.325731404990536</v>
      </c>
      <c r="T24" s="54">
        <f t="shared" si="16"/>
        <v>3.4395269674513447</v>
      </c>
      <c r="U24" s="54">
        <f t="shared" si="16"/>
        <v>3.5419365144541168</v>
      </c>
      <c r="V24" s="54">
        <f t="shared" si="16"/>
        <v>3.6290621815962241</v>
      </c>
      <c r="W24" s="54">
        <f t="shared" si="16"/>
        <v>3.7172914268160611</v>
      </c>
      <c r="X24" s="54">
        <f t="shared" ref="X24:Y24" si="17">X9*1000/X3</f>
        <v>3.8086918457147494</v>
      </c>
      <c r="Y24" s="54">
        <f t="shared" si="17"/>
        <v>3.8643356987670083</v>
      </c>
      <c r="DA24" s="100"/>
    </row>
    <row r="25" spans="1:105" ht="12" customHeight="1" x14ac:dyDescent="0.25">
      <c r="A25" s="50" t="s">
        <v>61</v>
      </c>
      <c r="B25" s="54">
        <f t="shared" ref="B25:C25" si="18">B9*1000/B6</f>
        <v>9.3091183182012909</v>
      </c>
      <c r="C25" s="54">
        <f t="shared" si="18"/>
        <v>10.094179722298394</v>
      </c>
      <c r="D25" s="54">
        <f t="shared" ref="D25:W25" si="19">D9*1000/D6</f>
        <v>10.215153221597737</v>
      </c>
      <c r="E25" s="54">
        <f t="shared" si="19"/>
        <v>11.175678551949151</v>
      </c>
      <c r="F25" s="54">
        <f t="shared" si="19"/>
        <v>11.052443524987556</v>
      </c>
      <c r="G25" s="54">
        <f t="shared" si="19"/>
        <v>11.828031435717163</v>
      </c>
      <c r="H25" s="54">
        <f t="shared" si="19"/>
        <v>11.826666294654295</v>
      </c>
      <c r="I25" s="54">
        <f t="shared" si="19"/>
        <v>12.027330611748624</v>
      </c>
      <c r="J25" s="54">
        <f t="shared" si="19"/>
        <v>12.357820376372885</v>
      </c>
      <c r="K25" s="54">
        <f t="shared" si="19"/>
        <v>12.705114357904167</v>
      </c>
      <c r="L25" s="54">
        <f t="shared" si="19"/>
        <v>13.599542725294718</v>
      </c>
      <c r="M25" s="54">
        <f t="shared" si="19"/>
        <v>13.848636774551277</v>
      </c>
      <c r="N25" s="54">
        <f t="shared" si="19"/>
        <v>14.032148320971842</v>
      </c>
      <c r="O25" s="54">
        <f t="shared" si="19"/>
        <v>14.715117320803385</v>
      </c>
      <c r="P25" s="54">
        <f t="shared" si="19"/>
        <v>15.089392579734401</v>
      </c>
      <c r="Q25" s="54">
        <f t="shared" si="19"/>
        <v>15.007544998956977</v>
      </c>
      <c r="R25" s="54">
        <f t="shared" si="19"/>
        <v>15.331047609190948</v>
      </c>
      <c r="S25" s="54">
        <f t="shared" si="19"/>
        <v>15.505778868661723</v>
      </c>
      <c r="T25" s="54">
        <f t="shared" si="19"/>
        <v>15.879070375953878</v>
      </c>
      <c r="U25" s="54">
        <f t="shared" si="19"/>
        <v>15.933263288042973</v>
      </c>
      <c r="V25" s="54">
        <f t="shared" si="19"/>
        <v>16.265258776608079</v>
      </c>
      <c r="W25" s="54">
        <f t="shared" si="19"/>
        <v>16.411416442466546</v>
      </c>
      <c r="X25" s="54">
        <f t="shared" ref="X25:Y25" si="20">X9*1000/X6</f>
        <v>16.385433224338627</v>
      </c>
      <c r="Y25" s="54">
        <f t="shared" si="20"/>
        <v>17.039700107982373</v>
      </c>
      <c r="DA25" s="100"/>
    </row>
    <row r="26" spans="1:105" ht="12" customHeight="1" x14ac:dyDescent="0.25">
      <c r="A26" s="50" t="s">
        <v>60</v>
      </c>
      <c r="B26" s="55">
        <f t="shared" ref="B26:C26" si="21">B9*1000/B8</f>
        <v>899.99999999999977</v>
      </c>
      <c r="C26" s="55">
        <f t="shared" si="21"/>
        <v>899.99999999999989</v>
      </c>
      <c r="D26" s="55">
        <f t="shared" ref="D26:W26" si="22">D9*1000/D8</f>
        <v>900</v>
      </c>
      <c r="E26" s="55">
        <f t="shared" si="22"/>
        <v>900</v>
      </c>
      <c r="F26" s="55">
        <f t="shared" si="22"/>
        <v>899.99999999999989</v>
      </c>
      <c r="G26" s="55">
        <f t="shared" si="22"/>
        <v>900.00000000000011</v>
      </c>
      <c r="H26" s="55">
        <f t="shared" si="22"/>
        <v>900</v>
      </c>
      <c r="I26" s="55">
        <f t="shared" si="22"/>
        <v>900</v>
      </c>
      <c r="J26" s="55">
        <f t="shared" si="22"/>
        <v>900.00000000000011</v>
      </c>
      <c r="K26" s="55">
        <f t="shared" si="22"/>
        <v>899.99999999999989</v>
      </c>
      <c r="L26" s="55">
        <f t="shared" si="22"/>
        <v>900</v>
      </c>
      <c r="M26" s="55">
        <f t="shared" si="22"/>
        <v>900</v>
      </c>
      <c r="N26" s="55">
        <f t="shared" si="22"/>
        <v>899.99999999999989</v>
      </c>
      <c r="O26" s="55">
        <f t="shared" si="22"/>
        <v>900</v>
      </c>
      <c r="P26" s="55">
        <f t="shared" si="22"/>
        <v>899.99999999999989</v>
      </c>
      <c r="Q26" s="55">
        <f t="shared" si="22"/>
        <v>900</v>
      </c>
      <c r="R26" s="55">
        <f t="shared" si="22"/>
        <v>900</v>
      </c>
      <c r="S26" s="55">
        <f t="shared" si="22"/>
        <v>900</v>
      </c>
      <c r="T26" s="55">
        <f t="shared" si="22"/>
        <v>900.00000000000011</v>
      </c>
      <c r="U26" s="55">
        <f t="shared" si="22"/>
        <v>900</v>
      </c>
      <c r="V26" s="55">
        <f t="shared" si="22"/>
        <v>900.00000000000011</v>
      </c>
      <c r="W26" s="55">
        <f t="shared" si="22"/>
        <v>899.99999999999989</v>
      </c>
      <c r="X26" s="55">
        <f t="shared" ref="X26:Y26" si="23">X9*1000/X8</f>
        <v>900</v>
      </c>
      <c r="Y26" s="55">
        <f t="shared" si="23"/>
        <v>899.99999999999989</v>
      </c>
      <c r="DA26" s="101"/>
    </row>
    <row r="27" spans="1:105" ht="12" customHeight="1" x14ac:dyDescent="0.25">
      <c r="A27" s="51" t="s">
        <v>59</v>
      </c>
      <c r="B27" s="56" t="str">
        <f t="shared" ref="B27:C27" si="24">IF(SUM(B11)=0,"",B11*1000/B10)</f>
        <v/>
      </c>
      <c r="C27" s="57">
        <f t="shared" si="24"/>
        <v>900</v>
      </c>
      <c r="D27" s="57">
        <f t="shared" ref="D27:W27" si="25">IF(SUM(D11)=0,"",D11*1000/D10)</f>
        <v>900</v>
      </c>
      <c r="E27" s="57">
        <f t="shared" si="25"/>
        <v>900</v>
      </c>
      <c r="F27" s="57">
        <f t="shared" si="25"/>
        <v>900</v>
      </c>
      <c r="G27" s="57">
        <f t="shared" si="25"/>
        <v>900</v>
      </c>
      <c r="H27" s="57">
        <f t="shared" si="25"/>
        <v>899.99999999999989</v>
      </c>
      <c r="I27" s="57">
        <f t="shared" si="25"/>
        <v>900.00000000000011</v>
      </c>
      <c r="J27" s="57">
        <f t="shared" si="25"/>
        <v>900</v>
      </c>
      <c r="K27" s="57">
        <f t="shared" si="25"/>
        <v>900.00000000000011</v>
      </c>
      <c r="L27" s="57">
        <f t="shared" si="25"/>
        <v>899.99999999999989</v>
      </c>
      <c r="M27" s="57">
        <f t="shared" si="25"/>
        <v>900.00000000000011</v>
      </c>
      <c r="N27" s="57">
        <f t="shared" si="25"/>
        <v>900</v>
      </c>
      <c r="O27" s="57">
        <f t="shared" si="25"/>
        <v>900</v>
      </c>
      <c r="P27" s="57">
        <f t="shared" si="25"/>
        <v>900</v>
      </c>
      <c r="Q27" s="57">
        <f t="shared" si="25"/>
        <v>900.00000000000023</v>
      </c>
      <c r="R27" s="57">
        <f t="shared" si="25"/>
        <v>899.99999999999989</v>
      </c>
      <c r="S27" s="57">
        <f t="shared" si="25"/>
        <v>899.99999999999989</v>
      </c>
      <c r="T27" s="57">
        <f t="shared" si="25"/>
        <v>900</v>
      </c>
      <c r="U27" s="57">
        <f t="shared" si="25"/>
        <v>900</v>
      </c>
      <c r="V27" s="57">
        <f t="shared" si="25"/>
        <v>900</v>
      </c>
      <c r="W27" s="57">
        <f t="shared" si="25"/>
        <v>900</v>
      </c>
      <c r="X27" s="57">
        <f t="shared" ref="X27:Y27" si="26">IF(SUM(X11)=0,"",X11*1000/X10)</f>
        <v>900.00000000000011</v>
      </c>
      <c r="Y27" s="57">
        <f t="shared" si="26"/>
        <v>899.99999999999989</v>
      </c>
      <c r="DA27" s="102"/>
    </row>
    <row r="28" spans="1:105" s="2" customFormat="1" ht="12" customHeight="1" x14ac:dyDescent="0.25">
      <c r="DA28" s="7"/>
    </row>
    <row r="29" spans="1:105" s="2" customFormat="1" ht="12.95" customHeight="1" x14ac:dyDescent="0.25">
      <c r="A29" s="47" t="s">
        <v>58</v>
      </c>
      <c r="B29" s="48"/>
      <c r="C29" s="48"/>
      <c r="D29" s="48"/>
      <c r="E29" s="48"/>
      <c r="F29" s="48"/>
      <c r="G29" s="48"/>
      <c r="H29" s="48"/>
      <c r="I29" s="48"/>
      <c r="J29" s="48"/>
      <c r="K29" s="48"/>
      <c r="L29" s="48"/>
      <c r="M29" s="48"/>
      <c r="N29" s="48"/>
      <c r="O29" s="48"/>
      <c r="P29" s="48"/>
      <c r="Q29" s="48"/>
      <c r="R29" s="48"/>
      <c r="S29" s="48"/>
      <c r="T29" s="48"/>
      <c r="U29" s="48"/>
      <c r="V29" s="48"/>
      <c r="W29" s="48"/>
      <c r="X29" s="48"/>
      <c r="Y29" s="48"/>
      <c r="DA29" s="97"/>
    </row>
    <row r="30" spans="1:105" s="2" customFormat="1" ht="12" customHeight="1" x14ac:dyDescent="0.25">
      <c r="DA30" s="7"/>
    </row>
    <row r="31" spans="1:105" ht="12.95" customHeight="1" x14ac:dyDescent="0.25">
      <c r="A31" s="79" t="s">
        <v>57</v>
      </c>
      <c r="B31" s="80">
        <f>SUM(B32:B33,B36:B37,B44:B45)</f>
        <v>1236.3976356943149</v>
      </c>
      <c r="C31" s="80">
        <f t="shared" ref="C31:W31" si="27">SUM(C32:C33,C36:C37,C44:C45)</f>
        <v>1643.3741476784044</v>
      </c>
      <c r="D31" s="80">
        <f t="shared" si="27"/>
        <v>873.50686250583487</v>
      </c>
      <c r="E31" s="80">
        <f t="shared" si="27"/>
        <v>1450.8091203110334</v>
      </c>
      <c r="F31" s="80">
        <f t="shared" si="27"/>
        <v>1680.7845338334548</v>
      </c>
      <c r="G31" s="80">
        <f t="shared" si="27"/>
        <v>2135.2852281303471</v>
      </c>
      <c r="H31" s="80">
        <f t="shared" si="27"/>
        <v>2739.7321951157628</v>
      </c>
      <c r="I31" s="80">
        <f t="shared" si="27"/>
        <v>2430.2449805228011</v>
      </c>
      <c r="J31" s="80">
        <f t="shared" si="27"/>
        <v>2077.673096511463</v>
      </c>
      <c r="K31" s="80">
        <f t="shared" si="27"/>
        <v>1988.6505517846331</v>
      </c>
      <c r="L31" s="80">
        <f t="shared" si="27"/>
        <v>2111.0705263199325</v>
      </c>
      <c r="M31" s="80">
        <f t="shared" si="27"/>
        <v>2015.8306213693463</v>
      </c>
      <c r="N31" s="80">
        <f t="shared" si="27"/>
        <v>1984.4823518988628</v>
      </c>
      <c r="O31" s="80">
        <f t="shared" si="27"/>
        <v>1956.4601974092989</v>
      </c>
      <c r="P31" s="80">
        <f t="shared" si="27"/>
        <v>1931.8578615042638</v>
      </c>
      <c r="Q31" s="80">
        <f t="shared" si="27"/>
        <v>1995.1058796549871</v>
      </c>
      <c r="R31" s="80">
        <f t="shared" si="27"/>
        <v>2052.0426278215441</v>
      </c>
      <c r="S31" s="80">
        <f t="shared" si="27"/>
        <v>2148.2950736111929</v>
      </c>
      <c r="T31" s="80">
        <f t="shared" si="27"/>
        <v>2172.6708495764792</v>
      </c>
      <c r="U31" s="80">
        <f t="shared" si="27"/>
        <v>2154.9574917749137</v>
      </c>
      <c r="V31" s="80">
        <f t="shared" si="27"/>
        <v>2021.4110839458585</v>
      </c>
      <c r="W31" s="80">
        <f t="shared" si="27"/>
        <v>2199.3815291985129</v>
      </c>
      <c r="X31" s="80">
        <f t="shared" ref="X31:Y31" si="28">SUM(X32:X33,X36:X37,X44:X45)</f>
        <v>2273.657069583287</v>
      </c>
      <c r="Y31" s="80">
        <f t="shared" si="28"/>
        <v>2415.81823752022</v>
      </c>
      <c r="DA31" s="103" t="s">
        <v>199</v>
      </c>
    </row>
    <row r="32" spans="1:105" ht="12" customHeight="1" x14ac:dyDescent="0.25">
      <c r="A32" s="58" t="s">
        <v>29</v>
      </c>
      <c r="B32" s="59">
        <v>3.6036973344797936</v>
      </c>
      <c r="C32" s="59">
        <v>7.3535683576956146</v>
      </c>
      <c r="D32" s="59">
        <v>4.4060189165950128</v>
      </c>
      <c r="E32" s="59">
        <v>2.7844368013757519</v>
      </c>
      <c r="F32" s="59">
        <v>1.1445399828030953</v>
      </c>
      <c r="G32" s="59">
        <v>0.37179707652622518</v>
      </c>
      <c r="H32" s="59">
        <v>2.920808254514188</v>
      </c>
      <c r="I32" s="59">
        <v>1.373946689595873</v>
      </c>
      <c r="J32" s="59">
        <v>0.38890799656061897</v>
      </c>
      <c r="K32" s="59">
        <v>0.1899398108340499</v>
      </c>
      <c r="L32" s="59">
        <v>0.55288048151332758</v>
      </c>
      <c r="M32" s="59">
        <v>0.76096302665520199</v>
      </c>
      <c r="N32" s="59">
        <v>0.41547721410146171</v>
      </c>
      <c r="O32" s="59">
        <v>0.6083404987102321</v>
      </c>
      <c r="P32" s="59">
        <v>0.40696474634565771</v>
      </c>
      <c r="Q32" s="59">
        <v>0.44316423043852099</v>
      </c>
      <c r="R32" s="59">
        <v>0.8826311263972485</v>
      </c>
      <c r="S32" s="59">
        <v>0</v>
      </c>
      <c r="T32" s="59">
        <v>0.65107480653482364</v>
      </c>
      <c r="U32" s="59">
        <v>0.40851246775580402</v>
      </c>
      <c r="V32" s="59">
        <v>7.8417884780739466E-2</v>
      </c>
      <c r="W32" s="59">
        <v>0.1401547721410146</v>
      </c>
      <c r="X32" s="59">
        <v>0.14307824591573509</v>
      </c>
      <c r="Y32" s="59">
        <v>5.9931212381771272E-2</v>
      </c>
      <c r="DA32" s="104" t="s">
        <v>200</v>
      </c>
    </row>
    <row r="33" spans="1:105" ht="12" customHeight="1" x14ac:dyDescent="0.25">
      <c r="A33" s="60" t="s">
        <v>28</v>
      </c>
      <c r="B33" s="55">
        <f>SUM(B34:B35)</f>
        <v>103.86969072440945</v>
      </c>
      <c r="C33" s="55">
        <f t="shared" ref="C33:W33" si="29">SUM(C34:C35)</f>
        <v>135.17603933790565</v>
      </c>
      <c r="D33" s="55">
        <f t="shared" si="29"/>
        <v>236.33549535192262</v>
      </c>
      <c r="E33" s="55">
        <f t="shared" si="29"/>
        <v>262.01195780028559</v>
      </c>
      <c r="F33" s="55">
        <f t="shared" si="29"/>
        <v>481.37404372167487</v>
      </c>
      <c r="G33" s="55">
        <f t="shared" si="29"/>
        <v>475.09210689217025</v>
      </c>
      <c r="H33" s="55">
        <f t="shared" si="29"/>
        <v>264.69186837457642</v>
      </c>
      <c r="I33" s="55">
        <f t="shared" si="29"/>
        <v>446.25899600001594</v>
      </c>
      <c r="J33" s="55">
        <f t="shared" si="29"/>
        <v>286.20989788721516</v>
      </c>
      <c r="K33" s="55">
        <f t="shared" si="29"/>
        <v>129.23179093050814</v>
      </c>
      <c r="L33" s="55">
        <f t="shared" si="29"/>
        <v>143.4385624301984</v>
      </c>
      <c r="M33" s="55">
        <f t="shared" si="29"/>
        <v>256.23812119166269</v>
      </c>
      <c r="N33" s="55">
        <f t="shared" si="29"/>
        <v>228.94367686520039</v>
      </c>
      <c r="O33" s="55">
        <f t="shared" si="29"/>
        <v>194.35775535332965</v>
      </c>
      <c r="P33" s="55">
        <f t="shared" si="29"/>
        <v>189.5104927672719</v>
      </c>
      <c r="Q33" s="55">
        <f t="shared" si="29"/>
        <v>207.58274088357206</v>
      </c>
      <c r="R33" s="55">
        <f t="shared" si="29"/>
        <v>208.59022784018009</v>
      </c>
      <c r="S33" s="55">
        <f t="shared" si="29"/>
        <v>272.37706682872795</v>
      </c>
      <c r="T33" s="55">
        <f t="shared" si="29"/>
        <v>297.26689444868373</v>
      </c>
      <c r="U33" s="55">
        <f t="shared" si="29"/>
        <v>299.40775844509824</v>
      </c>
      <c r="V33" s="55">
        <f t="shared" si="29"/>
        <v>279.07973393022576</v>
      </c>
      <c r="W33" s="55">
        <f t="shared" si="29"/>
        <v>423.99235272334369</v>
      </c>
      <c r="X33" s="55">
        <f t="shared" ref="X33:Y33" si="30">SUM(X34:X35)</f>
        <v>442.04260354949258</v>
      </c>
      <c r="Y33" s="55">
        <f t="shared" si="30"/>
        <v>448.1708812312591</v>
      </c>
      <c r="DA33" s="101"/>
    </row>
    <row r="34" spans="1:105" ht="12" customHeight="1" x14ac:dyDescent="0.25">
      <c r="A34" s="61" t="s">
        <v>52</v>
      </c>
      <c r="B34" s="55">
        <v>22.594840928632841</v>
      </c>
      <c r="C34" s="55">
        <v>12.427171109200341</v>
      </c>
      <c r="D34" s="55">
        <v>7.9081685296646604</v>
      </c>
      <c r="E34" s="55">
        <v>33.892261392949273</v>
      </c>
      <c r="F34" s="55">
        <v>73.433190025795355</v>
      </c>
      <c r="G34" s="55">
        <v>90.826999140154768</v>
      </c>
      <c r="H34" s="55">
        <v>36.793723129836629</v>
      </c>
      <c r="I34" s="55">
        <v>109.2223559759243</v>
      </c>
      <c r="J34" s="55">
        <v>25.293551160791051</v>
      </c>
      <c r="K34" s="55">
        <v>13.79853826311264</v>
      </c>
      <c r="L34" s="55">
        <v>21.844453998280311</v>
      </c>
      <c r="M34" s="55">
        <v>13.796474634565779</v>
      </c>
      <c r="N34" s="55">
        <v>17.245657781599309</v>
      </c>
      <c r="O34" s="55">
        <v>19.54505588993981</v>
      </c>
      <c r="P34" s="55">
        <v>25.293551160791051</v>
      </c>
      <c r="Q34" s="55">
        <v>32.191831470335337</v>
      </c>
      <c r="R34" s="55">
        <v>29.89243336199484</v>
      </c>
      <c r="S34" s="55">
        <v>29.652794496990541</v>
      </c>
      <c r="T34" s="55">
        <v>30.441530524505591</v>
      </c>
      <c r="U34" s="55">
        <v>29.832158211521921</v>
      </c>
      <c r="V34" s="55">
        <v>26.8402407566638</v>
      </c>
      <c r="W34" s="55">
        <v>26.553998280309539</v>
      </c>
      <c r="X34" s="55">
        <v>25.952708512467751</v>
      </c>
      <c r="Y34" s="55">
        <v>22.70335339638865</v>
      </c>
      <c r="DA34" s="101" t="s">
        <v>201</v>
      </c>
    </row>
    <row r="35" spans="1:105" ht="12" customHeight="1" x14ac:dyDescent="0.25">
      <c r="A35" s="61" t="s">
        <v>163</v>
      </c>
      <c r="B35" s="55">
        <v>81.274849795776618</v>
      </c>
      <c r="C35" s="55">
        <v>122.74886822870531</v>
      </c>
      <c r="D35" s="55">
        <v>228.42732682225795</v>
      </c>
      <c r="E35" s="55">
        <v>228.11969640733631</v>
      </c>
      <c r="F35" s="55">
        <v>407.94085369587953</v>
      </c>
      <c r="G35" s="55">
        <v>384.26510775201547</v>
      </c>
      <c r="H35" s="55">
        <v>227.89814524473979</v>
      </c>
      <c r="I35" s="55">
        <v>337.03664002409164</v>
      </c>
      <c r="J35" s="55">
        <v>260.91634672642414</v>
      </c>
      <c r="K35" s="55">
        <v>115.43325266739549</v>
      </c>
      <c r="L35" s="55">
        <v>121.59410843191809</v>
      </c>
      <c r="M35" s="55">
        <v>242.4416465570969</v>
      </c>
      <c r="N35" s="55">
        <v>211.69801908360108</v>
      </c>
      <c r="O35" s="55">
        <v>174.81269946338983</v>
      </c>
      <c r="P35" s="55">
        <v>164.21694160648084</v>
      </c>
      <c r="Q35" s="55">
        <v>175.39090941323673</v>
      </c>
      <c r="R35" s="55">
        <v>178.69779447818524</v>
      </c>
      <c r="S35" s="55">
        <v>242.72427233173741</v>
      </c>
      <c r="T35" s="55">
        <v>266.82536392417813</v>
      </c>
      <c r="U35" s="55">
        <v>269.57560023357632</v>
      </c>
      <c r="V35" s="55">
        <v>252.23949317356195</v>
      </c>
      <c r="W35" s="55">
        <v>397.43835444303414</v>
      </c>
      <c r="X35" s="55">
        <v>416.0898950370248</v>
      </c>
      <c r="Y35" s="55">
        <v>425.46752783487045</v>
      </c>
      <c r="DA35" s="101" t="s">
        <v>202</v>
      </c>
    </row>
    <row r="36" spans="1:105" ht="12" customHeight="1" x14ac:dyDescent="0.25">
      <c r="A36" s="60" t="s">
        <v>149</v>
      </c>
      <c r="B36" s="55">
        <v>234.60877042132421</v>
      </c>
      <c r="C36" s="55">
        <v>517.86328460877041</v>
      </c>
      <c r="D36" s="55">
        <v>91.723989681857262</v>
      </c>
      <c r="E36" s="55">
        <v>462.20980223559758</v>
      </c>
      <c r="F36" s="55">
        <v>674.67755803955288</v>
      </c>
      <c r="G36" s="55">
        <v>781.64230438521065</v>
      </c>
      <c r="H36" s="55">
        <v>1596.152192605331</v>
      </c>
      <c r="I36" s="55">
        <v>1080.825451418744</v>
      </c>
      <c r="J36" s="55">
        <v>807.97506448839204</v>
      </c>
      <c r="K36" s="55">
        <v>929.01977644024066</v>
      </c>
      <c r="L36" s="55">
        <v>935.61908856405842</v>
      </c>
      <c r="M36" s="55">
        <v>755.9544282029234</v>
      </c>
      <c r="N36" s="55">
        <v>764.01547721410145</v>
      </c>
      <c r="O36" s="55">
        <v>784.60877042132415</v>
      </c>
      <c r="P36" s="55">
        <v>775.79535683576955</v>
      </c>
      <c r="Q36" s="55">
        <v>750.60189165950123</v>
      </c>
      <c r="R36" s="55">
        <v>762.48925193465175</v>
      </c>
      <c r="S36" s="55">
        <v>829.70945829750644</v>
      </c>
      <c r="T36" s="55">
        <v>821.65408426483225</v>
      </c>
      <c r="U36" s="55">
        <v>818.50137575236454</v>
      </c>
      <c r="V36" s="55">
        <v>770.77446259673252</v>
      </c>
      <c r="W36" s="55">
        <v>757.24978503869306</v>
      </c>
      <c r="X36" s="55">
        <v>794.8944110060188</v>
      </c>
      <c r="Y36" s="55">
        <v>863.80765262252794</v>
      </c>
      <c r="DA36" s="101" t="s">
        <v>203</v>
      </c>
    </row>
    <row r="37" spans="1:105" ht="12" customHeight="1" x14ac:dyDescent="0.25">
      <c r="A37" s="60" t="s">
        <v>51</v>
      </c>
      <c r="B37" s="55">
        <f>SUM(B38:B42)</f>
        <v>21.257265692175412</v>
      </c>
      <c r="C37" s="55">
        <f t="shared" ref="C37:W37" si="31">SUM(C38:C42)</f>
        <v>133.68202923473771</v>
      </c>
      <c r="D37" s="55">
        <f t="shared" si="31"/>
        <v>160.36113499570075</v>
      </c>
      <c r="E37" s="55">
        <f t="shared" si="31"/>
        <v>157.59054170249351</v>
      </c>
      <c r="F37" s="55">
        <f t="shared" si="31"/>
        <v>127.42424763542562</v>
      </c>
      <c r="G37" s="55">
        <f t="shared" si="31"/>
        <v>196.80902837489253</v>
      </c>
      <c r="H37" s="55">
        <f t="shared" si="31"/>
        <v>179.34935511607904</v>
      </c>
      <c r="I37" s="55">
        <f t="shared" si="31"/>
        <v>151.16560619088568</v>
      </c>
      <c r="J37" s="55">
        <f t="shared" si="31"/>
        <v>147.41564918314705</v>
      </c>
      <c r="K37" s="55">
        <f t="shared" si="31"/>
        <v>130.98306104901121</v>
      </c>
      <c r="L37" s="55">
        <f t="shared" si="31"/>
        <v>127.90197764402403</v>
      </c>
      <c r="M37" s="55">
        <f t="shared" si="31"/>
        <v>71.534393809114363</v>
      </c>
      <c r="N37" s="55">
        <f t="shared" si="31"/>
        <v>72.609114359415301</v>
      </c>
      <c r="O37" s="55">
        <f t="shared" si="31"/>
        <v>65.443938091143593</v>
      </c>
      <c r="P37" s="55">
        <f t="shared" si="31"/>
        <v>70.029664660361135</v>
      </c>
      <c r="Q37" s="55">
        <f t="shared" si="31"/>
        <v>126.49277730008598</v>
      </c>
      <c r="R37" s="55">
        <f t="shared" si="31"/>
        <v>147.89346517626828</v>
      </c>
      <c r="S37" s="55">
        <f t="shared" si="31"/>
        <v>130.59346517626821</v>
      </c>
      <c r="T37" s="55">
        <f t="shared" si="31"/>
        <v>128.69733447979365</v>
      </c>
      <c r="U37" s="55">
        <f t="shared" si="31"/>
        <v>127.893981083405</v>
      </c>
      <c r="V37" s="55">
        <f t="shared" si="31"/>
        <v>93.346345657781598</v>
      </c>
      <c r="W37" s="55">
        <f t="shared" si="31"/>
        <v>102.44445399828031</v>
      </c>
      <c r="X37" s="55">
        <f t="shared" ref="X37:Y37" si="32">SUM(X38:X42)</f>
        <v>94.029062768701635</v>
      </c>
      <c r="Y37" s="55">
        <f t="shared" si="32"/>
        <v>88.681083404987092</v>
      </c>
      <c r="DA37" s="101"/>
    </row>
    <row r="38" spans="1:105" ht="12" customHeight="1" x14ac:dyDescent="0.25">
      <c r="A38" s="61" t="s">
        <v>164</v>
      </c>
      <c r="B38" s="55">
        <v>16.766981943250219</v>
      </c>
      <c r="C38" s="55">
        <v>131.03086844368011</v>
      </c>
      <c r="D38" s="55">
        <v>152.07317282889079</v>
      </c>
      <c r="E38" s="55">
        <v>147.58288907996558</v>
      </c>
      <c r="F38" s="55">
        <v>121.64419604471195</v>
      </c>
      <c r="G38" s="55">
        <v>185.79819432502151</v>
      </c>
      <c r="H38" s="55">
        <v>172.70945829750639</v>
      </c>
      <c r="I38" s="55">
        <v>143.85692175408431</v>
      </c>
      <c r="J38" s="55">
        <v>132.79828030954431</v>
      </c>
      <c r="K38" s="55">
        <v>117.87042132416168</v>
      </c>
      <c r="L38" s="55">
        <v>123.6027515047291</v>
      </c>
      <c r="M38" s="55">
        <v>63.007566638005159</v>
      </c>
      <c r="N38" s="55">
        <v>63.533018056749782</v>
      </c>
      <c r="O38" s="55">
        <v>51.925193465176271</v>
      </c>
      <c r="P38" s="55">
        <v>54.480739466895955</v>
      </c>
      <c r="Q38" s="55">
        <v>111.13499570077386</v>
      </c>
      <c r="R38" s="55">
        <v>129.1201203783319</v>
      </c>
      <c r="S38" s="55">
        <v>108.69759243336195</v>
      </c>
      <c r="T38" s="55">
        <v>103.09312123817715</v>
      </c>
      <c r="U38" s="55">
        <v>102.85588993981084</v>
      </c>
      <c r="V38" s="55">
        <v>85.754686156491829</v>
      </c>
      <c r="W38" s="55">
        <v>95.567325881341361</v>
      </c>
      <c r="X38" s="55">
        <v>82.679449699054175</v>
      </c>
      <c r="Y38" s="55">
        <v>78.723989681857262</v>
      </c>
      <c r="DA38" s="101" t="s">
        <v>204</v>
      </c>
    </row>
    <row r="39" spans="1:105" ht="12" customHeight="1" x14ac:dyDescent="0.25">
      <c r="A39" s="61" t="s">
        <v>50</v>
      </c>
      <c r="B39" s="55">
        <v>0</v>
      </c>
      <c r="C39" s="55">
        <v>0</v>
      </c>
      <c r="D39" s="55">
        <v>0</v>
      </c>
      <c r="E39" s="55">
        <v>0</v>
      </c>
      <c r="F39" s="55">
        <v>0</v>
      </c>
      <c r="G39" s="55">
        <v>0</v>
      </c>
      <c r="H39" s="55">
        <v>0</v>
      </c>
      <c r="I39" s="55">
        <v>0</v>
      </c>
      <c r="J39" s="55">
        <v>0</v>
      </c>
      <c r="K39" s="55">
        <v>0</v>
      </c>
      <c r="L39" s="55">
        <v>0</v>
      </c>
      <c r="M39" s="55">
        <v>0</v>
      </c>
      <c r="N39" s="55">
        <v>0</v>
      </c>
      <c r="O39" s="55">
        <v>0</v>
      </c>
      <c r="P39" s="55">
        <v>0</v>
      </c>
      <c r="Q39" s="55">
        <v>0</v>
      </c>
      <c r="R39" s="55">
        <v>0</v>
      </c>
      <c r="S39" s="55">
        <v>0</v>
      </c>
      <c r="T39" s="55">
        <v>4.2374032674118656</v>
      </c>
      <c r="U39" s="55">
        <v>3.805588993981083</v>
      </c>
      <c r="V39" s="55">
        <v>1.792261392949269</v>
      </c>
      <c r="W39" s="55">
        <v>0.99724849527085124</v>
      </c>
      <c r="X39" s="55">
        <v>1.5584694754944111</v>
      </c>
      <c r="Y39" s="55">
        <v>2.492089423903697</v>
      </c>
      <c r="DA39" s="101" t="s">
        <v>205</v>
      </c>
    </row>
    <row r="40" spans="1:105" ht="12" customHeight="1" x14ac:dyDescent="0.25">
      <c r="A40" s="61" t="s">
        <v>49</v>
      </c>
      <c r="B40" s="55">
        <v>0</v>
      </c>
      <c r="C40" s="55">
        <v>0</v>
      </c>
      <c r="D40" s="55">
        <v>0</v>
      </c>
      <c r="E40" s="55">
        <v>0</v>
      </c>
      <c r="F40" s="55">
        <v>0</v>
      </c>
      <c r="G40" s="55">
        <v>0</v>
      </c>
      <c r="H40" s="55">
        <v>0</v>
      </c>
      <c r="I40" s="55">
        <v>0</v>
      </c>
      <c r="J40" s="55">
        <v>0</v>
      </c>
      <c r="K40" s="55">
        <v>0</v>
      </c>
      <c r="L40" s="55">
        <v>0</v>
      </c>
      <c r="M40" s="55">
        <v>0</v>
      </c>
      <c r="N40" s="55">
        <v>0</v>
      </c>
      <c r="O40" s="55">
        <v>0</v>
      </c>
      <c r="P40" s="55">
        <v>0</v>
      </c>
      <c r="Q40" s="55">
        <v>0</v>
      </c>
      <c r="R40" s="55">
        <v>0</v>
      </c>
      <c r="S40" s="55">
        <v>0</v>
      </c>
      <c r="T40" s="55">
        <v>0</v>
      </c>
      <c r="U40" s="55">
        <v>0</v>
      </c>
      <c r="V40" s="55">
        <v>0</v>
      </c>
      <c r="W40" s="55">
        <v>0</v>
      </c>
      <c r="X40" s="55">
        <v>0</v>
      </c>
      <c r="Y40" s="55">
        <v>0</v>
      </c>
      <c r="DA40" s="101" t="s">
        <v>206</v>
      </c>
    </row>
    <row r="41" spans="1:105" ht="12" customHeight="1" x14ac:dyDescent="0.25">
      <c r="A41" s="61" t="s">
        <v>26</v>
      </c>
      <c r="B41" s="55">
        <v>0</v>
      </c>
      <c r="C41" s="55">
        <v>0</v>
      </c>
      <c r="D41" s="55">
        <v>0</v>
      </c>
      <c r="E41" s="55">
        <v>0</v>
      </c>
      <c r="F41" s="55">
        <v>0</v>
      </c>
      <c r="G41" s="55">
        <v>0</v>
      </c>
      <c r="H41" s="55">
        <v>0</v>
      </c>
      <c r="I41" s="55">
        <v>2.3903697334479789E-2</v>
      </c>
      <c r="J41" s="55">
        <v>0</v>
      </c>
      <c r="K41" s="55">
        <v>0</v>
      </c>
      <c r="L41" s="55">
        <v>7.1625107480653469E-2</v>
      </c>
      <c r="M41" s="55">
        <v>4.7807394668959592E-2</v>
      </c>
      <c r="N41" s="55">
        <v>9.5528804815133275E-2</v>
      </c>
      <c r="O41" s="55">
        <v>4.7807394668959592E-2</v>
      </c>
      <c r="P41" s="55">
        <v>4.7807394668959592E-2</v>
      </c>
      <c r="Q41" s="55">
        <v>2.3903697334479789E-2</v>
      </c>
      <c r="R41" s="55">
        <v>2.3903697334479789E-2</v>
      </c>
      <c r="S41" s="55">
        <v>6.2252794496990532E-2</v>
      </c>
      <c r="T41" s="55">
        <v>5.7351676698194333E-2</v>
      </c>
      <c r="U41" s="55">
        <v>6.7153912295786752E-2</v>
      </c>
      <c r="V41" s="55">
        <v>3.7747205503009452E-2</v>
      </c>
      <c r="W41" s="55">
        <v>0.3981943250214961</v>
      </c>
      <c r="X41" s="55">
        <v>0.3638865004299226</v>
      </c>
      <c r="Y41" s="55">
        <v>0.38770421324161652</v>
      </c>
      <c r="DA41" s="101" t="s">
        <v>207</v>
      </c>
    </row>
    <row r="42" spans="1:105" ht="12" customHeight="1" x14ac:dyDescent="0.25">
      <c r="A42" s="61" t="s">
        <v>25</v>
      </c>
      <c r="B42" s="55">
        <v>4.4902837489251937</v>
      </c>
      <c r="C42" s="55">
        <v>2.6511607910576092</v>
      </c>
      <c r="D42" s="55">
        <v>8.2879621668099741</v>
      </c>
      <c r="E42" s="55">
        <v>10.007652622527941</v>
      </c>
      <c r="F42" s="55">
        <v>5.7800515907136703</v>
      </c>
      <c r="G42" s="55">
        <v>11.01083404987102</v>
      </c>
      <c r="H42" s="55">
        <v>6.6398968185726561</v>
      </c>
      <c r="I42" s="55">
        <v>7.2847807394668953</v>
      </c>
      <c r="J42" s="55">
        <v>14.61736887360275</v>
      </c>
      <c r="K42" s="55">
        <v>13.112639724849529</v>
      </c>
      <c r="L42" s="55">
        <v>4.2276010318142729</v>
      </c>
      <c r="M42" s="55">
        <v>8.4790197764402411</v>
      </c>
      <c r="N42" s="55">
        <v>8.9805674978503873</v>
      </c>
      <c r="O42" s="55">
        <v>13.47093723129837</v>
      </c>
      <c r="P42" s="55">
        <v>15.501117798796219</v>
      </c>
      <c r="Q42" s="55">
        <v>15.33387790197764</v>
      </c>
      <c r="R42" s="55">
        <v>18.749441100601889</v>
      </c>
      <c r="S42" s="55">
        <v>21.833619948409289</v>
      </c>
      <c r="T42" s="55">
        <v>21.309458297506449</v>
      </c>
      <c r="U42" s="55">
        <v>21.165348237317279</v>
      </c>
      <c r="V42" s="55">
        <v>5.7616509028374887</v>
      </c>
      <c r="W42" s="55">
        <v>5.4816852966466039</v>
      </c>
      <c r="X42" s="55">
        <v>9.4272570937231297</v>
      </c>
      <c r="Y42" s="55">
        <v>7.0773000859845219</v>
      </c>
      <c r="DA42" s="101" t="s">
        <v>208</v>
      </c>
    </row>
    <row r="43" spans="1:105" ht="12" customHeight="1" x14ac:dyDescent="0.25">
      <c r="A43" s="61" t="s">
        <v>151</v>
      </c>
      <c r="B43" s="309">
        <v>0</v>
      </c>
      <c r="C43" s="309">
        <v>0</v>
      </c>
      <c r="D43" s="55">
        <v>0</v>
      </c>
      <c r="E43" s="55">
        <v>0</v>
      </c>
      <c r="F43" s="55">
        <v>0</v>
      </c>
      <c r="G43" s="55">
        <v>0</v>
      </c>
      <c r="H43" s="55">
        <v>0</v>
      </c>
      <c r="I43" s="55">
        <v>0</v>
      </c>
      <c r="J43" s="55">
        <v>0</v>
      </c>
      <c r="K43" s="55">
        <v>0</v>
      </c>
      <c r="L43" s="55">
        <v>0</v>
      </c>
      <c r="M43" s="55">
        <v>0</v>
      </c>
      <c r="N43" s="55">
        <v>0</v>
      </c>
      <c r="O43" s="55">
        <v>0</v>
      </c>
      <c r="P43" s="55">
        <v>0</v>
      </c>
      <c r="Q43" s="55">
        <v>0</v>
      </c>
      <c r="R43" s="55">
        <v>0</v>
      </c>
      <c r="S43" s="55">
        <v>0</v>
      </c>
      <c r="T43" s="55">
        <v>0</v>
      </c>
      <c r="U43" s="55">
        <v>0</v>
      </c>
      <c r="V43" s="55">
        <v>0</v>
      </c>
      <c r="W43" s="55">
        <v>0</v>
      </c>
      <c r="X43" s="55">
        <v>0</v>
      </c>
      <c r="Y43" s="55">
        <v>73.052450558899366</v>
      </c>
      <c r="DA43" s="101" t="s">
        <v>209</v>
      </c>
    </row>
    <row r="44" spans="1:105" ht="12" customHeight="1" x14ac:dyDescent="0.25">
      <c r="A44" s="60" t="s">
        <v>162</v>
      </c>
      <c r="B44" s="55">
        <v>442.53370593293209</v>
      </c>
      <c r="C44" s="55">
        <v>295.14187446259672</v>
      </c>
      <c r="D44" s="55">
        <v>101.3423043852107</v>
      </c>
      <c r="E44" s="55">
        <v>124.03267411865863</v>
      </c>
      <c r="F44" s="55">
        <v>87.823645743766122</v>
      </c>
      <c r="G44" s="55">
        <v>287.90481513327597</v>
      </c>
      <c r="H44" s="55">
        <v>237.46061908856399</v>
      </c>
      <c r="I44" s="55">
        <v>216.6570937231298</v>
      </c>
      <c r="J44" s="55">
        <v>235.16766981943249</v>
      </c>
      <c r="K44" s="55">
        <v>193.89509888220121</v>
      </c>
      <c r="L44" s="55">
        <v>214.07755803955291</v>
      </c>
      <c r="M44" s="55">
        <v>225.13611349957009</v>
      </c>
      <c r="N44" s="55">
        <v>234.283920894239</v>
      </c>
      <c r="O44" s="55">
        <v>223.15374032674109</v>
      </c>
      <c r="P44" s="55">
        <v>185.3444539982803</v>
      </c>
      <c r="Q44" s="55">
        <v>183.79191745485809</v>
      </c>
      <c r="R44" s="55">
        <v>191.5066208082545</v>
      </c>
      <c r="S44" s="55">
        <v>177.77558039552881</v>
      </c>
      <c r="T44" s="55">
        <v>169.2189165950129</v>
      </c>
      <c r="U44" s="55">
        <v>148.13482373172829</v>
      </c>
      <c r="V44" s="55">
        <v>144.87712811693891</v>
      </c>
      <c r="W44" s="55">
        <v>146.6301805674978</v>
      </c>
      <c r="X44" s="55">
        <v>127.0870163370593</v>
      </c>
      <c r="Y44" s="55">
        <v>130.87583834909719</v>
      </c>
      <c r="DA44" s="101" t="s">
        <v>210</v>
      </c>
    </row>
    <row r="45" spans="1:105" ht="12" customHeight="1" x14ac:dyDescent="0.25">
      <c r="A45" s="62" t="s">
        <v>24</v>
      </c>
      <c r="B45" s="63">
        <v>430.52450558899386</v>
      </c>
      <c r="C45" s="63">
        <v>554.15735167669823</v>
      </c>
      <c r="D45" s="63">
        <v>279.33791917454857</v>
      </c>
      <c r="E45" s="63">
        <v>442.17970765262248</v>
      </c>
      <c r="F45" s="63">
        <v>308.34049871023211</v>
      </c>
      <c r="G45" s="63">
        <v>393.46517626827165</v>
      </c>
      <c r="H45" s="63">
        <v>459.15735167669817</v>
      </c>
      <c r="I45" s="63">
        <v>533.96388650042991</v>
      </c>
      <c r="J45" s="63">
        <v>600.51590713671544</v>
      </c>
      <c r="K45" s="63">
        <v>605.33088467183779</v>
      </c>
      <c r="L45" s="63">
        <v>689.48045916058516</v>
      </c>
      <c r="M45" s="63">
        <v>706.20660163942046</v>
      </c>
      <c r="N45" s="63">
        <v>684.21468535180531</v>
      </c>
      <c r="O45" s="63">
        <v>688.28765271805025</v>
      </c>
      <c r="P45" s="63">
        <v>710.77092849623534</v>
      </c>
      <c r="Q45" s="63">
        <v>726.19338812653132</v>
      </c>
      <c r="R45" s="63">
        <v>740.68043093579217</v>
      </c>
      <c r="S45" s="63">
        <v>737.8395029131616</v>
      </c>
      <c r="T45" s="63">
        <v>755.18254498162185</v>
      </c>
      <c r="U45" s="63">
        <v>760.61104029456203</v>
      </c>
      <c r="V45" s="63">
        <v>733.25499575939909</v>
      </c>
      <c r="W45" s="63">
        <v>768.92460209855699</v>
      </c>
      <c r="X45" s="63">
        <v>815.46089767609885</v>
      </c>
      <c r="Y45" s="63">
        <v>884.22285069996713</v>
      </c>
      <c r="DA45" s="105" t="s">
        <v>211</v>
      </c>
    </row>
    <row r="46" spans="1:105" s="2" customFormat="1" ht="12" customHeight="1" x14ac:dyDescent="0.25"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DA46" s="106"/>
    </row>
    <row r="47" spans="1:105" ht="12.95" customHeight="1" x14ac:dyDescent="0.25">
      <c r="A47" s="81" t="s">
        <v>56</v>
      </c>
      <c r="B47" s="82">
        <f t="shared" ref="B47" si="33">SUM(B48,B53)</f>
        <v>1236.3976356943149</v>
      </c>
      <c r="C47" s="82">
        <f t="shared" ref="C47:W47" si="34">SUM(C48,C53)</f>
        <v>1643.3741476784041</v>
      </c>
      <c r="D47" s="82">
        <f t="shared" si="34"/>
        <v>873.50686250583499</v>
      </c>
      <c r="E47" s="82">
        <f t="shared" si="34"/>
        <v>1450.8091203110334</v>
      </c>
      <c r="F47" s="82">
        <f t="shared" si="34"/>
        <v>1680.7845338334546</v>
      </c>
      <c r="G47" s="82">
        <f t="shared" si="34"/>
        <v>2135.2852281303476</v>
      </c>
      <c r="H47" s="82">
        <f t="shared" si="34"/>
        <v>2739.7321951157624</v>
      </c>
      <c r="I47" s="82">
        <f t="shared" si="34"/>
        <v>2430.2449805228007</v>
      </c>
      <c r="J47" s="82">
        <f t="shared" si="34"/>
        <v>2077.673096511463</v>
      </c>
      <c r="K47" s="82">
        <f t="shared" si="34"/>
        <v>1988.6505517846333</v>
      </c>
      <c r="L47" s="82">
        <f t="shared" si="34"/>
        <v>2111.0705263199325</v>
      </c>
      <c r="M47" s="82">
        <f t="shared" si="34"/>
        <v>2015.8306213693459</v>
      </c>
      <c r="N47" s="82">
        <f t="shared" si="34"/>
        <v>1984.4823518988633</v>
      </c>
      <c r="O47" s="82">
        <f t="shared" si="34"/>
        <v>1956.4601974092991</v>
      </c>
      <c r="P47" s="82">
        <f t="shared" si="34"/>
        <v>1931.8578615042638</v>
      </c>
      <c r="Q47" s="82">
        <f t="shared" si="34"/>
        <v>1995.1058796549871</v>
      </c>
      <c r="R47" s="82">
        <f t="shared" si="34"/>
        <v>2052.0426278215436</v>
      </c>
      <c r="S47" s="82">
        <f t="shared" si="34"/>
        <v>2148.2950736111925</v>
      </c>
      <c r="T47" s="82">
        <f t="shared" si="34"/>
        <v>2172.6708495764788</v>
      </c>
      <c r="U47" s="82">
        <f t="shared" si="34"/>
        <v>2154.9574917749142</v>
      </c>
      <c r="V47" s="82">
        <f t="shared" si="34"/>
        <v>2021.4110839458588</v>
      </c>
      <c r="W47" s="82">
        <f t="shared" si="34"/>
        <v>2199.3815291985129</v>
      </c>
      <c r="X47" s="82">
        <f t="shared" ref="X47:Y47" si="35">SUM(X48,X53)</f>
        <v>2273.657069583287</v>
      </c>
      <c r="Y47" s="82">
        <f t="shared" si="35"/>
        <v>2415.8182375202196</v>
      </c>
      <c r="DA47" s="107" t="s">
        <v>212</v>
      </c>
    </row>
    <row r="48" spans="1:105" ht="12" customHeight="1" x14ac:dyDescent="0.25">
      <c r="A48" s="77" t="s">
        <v>36</v>
      </c>
      <c r="B48" s="64">
        <f t="shared" ref="B48" si="36">SUM(B49:B52)</f>
        <v>1062.2635262426468</v>
      </c>
      <c r="C48" s="64">
        <f t="shared" ref="C48:W48" si="37">SUM(C49:C52)</f>
        <v>1457.4627387218061</v>
      </c>
      <c r="D48" s="64">
        <f t="shared" si="37"/>
        <v>676.56852899413104</v>
      </c>
      <c r="E48" s="64">
        <f t="shared" si="37"/>
        <v>1235.628266457893</v>
      </c>
      <c r="F48" s="64">
        <f t="shared" si="37"/>
        <v>1444.3087527889093</v>
      </c>
      <c r="G48" s="64">
        <f t="shared" si="37"/>
        <v>1872.4379005344927</v>
      </c>
      <c r="H48" s="64">
        <f t="shared" si="37"/>
        <v>2450.2409414311928</v>
      </c>
      <c r="I48" s="64">
        <f t="shared" si="37"/>
        <v>2116.4186855653588</v>
      </c>
      <c r="J48" s="64">
        <f t="shared" si="37"/>
        <v>1739.6877876827043</v>
      </c>
      <c r="K48" s="64">
        <f t="shared" si="37"/>
        <v>1633.7618004366857</v>
      </c>
      <c r="L48" s="64">
        <f t="shared" si="37"/>
        <v>1741.6072166242961</v>
      </c>
      <c r="M48" s="64">
        <f t="shared" si="37"/>
        <v>1636.406939209535</v>
      </c>
      <c r="N48" s="64">
        <f t="shared" si="37"/>
        <v>1594.554336472484</v>
      </c>
      <c r="O48" s="64">
        <f t="shared" si="37"/>
        <v>1552.5877375450334</v>
      </c>
      <c r="P48" s="64">
        <f t="shared" si="37"/>
        <v>1509.4578139616892</v>
      </c>
      <c r="Q48" s="64">
        <f t="shared" si="37"/>
        <v>1549.9494979446383</v>
      </c>
      <c r="R48" s="64">
        <f t="shared" si="37"/>
        <v>1591.408150398049</v>
      </c>
      <c r="S48" s="64">
        <f t="shared" si="37"/>
        <v>1673.0995943340424</v>
      </c>
      <c r="T48" s="64">
        <f t="shared" si="37"/>
        <v>1687.3681976447729</v>
      </c>
      <c r="U48" s="64">
        <f t="shared" si="37"/>
        <v>1665.1937714549922</v>
      </c>
      <c r="V48" s="64">
        <f t="shared" si="37"/>
        <v>1529.2966786152886</v>
      </c>
      <c r="W48" s="64">
        <f t="shared" si="37"/>
        <v>1698.3773712617035</v>
      </c>
      <c r="X48" s="64">
        <f t="shared" ref="X48:Y48" si="38">SUM(X49:X52)</f>
        <v>1771.4291072452738</v>
      </c>
      <c r="Y48" s="64">
        <f t="shared" si="38"/>
        <v>1913.6962621371226</v>
      </c>
      <c r="DA48" s="108" t="s">
        <v>213</v>
      </c>
    </row>
    <row r="49" spans="1:105" ht="12" customHeight="1" x14ac:dyDescent="0.25">
      <c r="A49" s="61" t="s">
        <v>32</v>
      </c>
      <c r="B49" s="65">
        <v>823.65992835054976</v>
      </c>
      <c r="C49" s="65">
        <v>1191.7187316829852</v>
      </c>
      <c r="D49" s="65">
        <v>497.4291672058622</v>
      </c>
      <c r="E49" s="65">
        <v>915.5171193846669</v>
      </c>
      <c r="F49" s="65">
        <v>1048.7826892735618</v>
      </c>
      <c r="G49" s="65">
        <v>1443.8081380889116</v>
      </c>
      <c r="H49" s="65">
        <v>1992.1821486802708</v>
      </c>
      <c r="I49" s="65">
        <v>1633.6646447614969</v>
      </c>
      <c r="J49" s="65">
        <v>1261.1149823259366</v>
      </c>
      <c r="K49" s="65">
        <v>1146.7598975751887</v>
      </c>
      <c r="L49" s="65">
        <v>1240.9044436465495</v>
      </c>
      <c r="M49" s="65">
        <v>1117.2210508373307</v>
      </c>
      <c r="N49" s="65">
        <v>1059.5091468853291</v>
      </c>
      <c r="O49" s="65">
        <v>983.50850941130454</v>
      </c>
      <c r="P49" s="65">
        <v>912.47571512845138</v>
      </c>
      <c r="Q49" s="65">
        <v>913.12085738579003</v>
      </c>
      <c r="R49" s="65">
        <v>951.14326517467543</v>
      </c>
      <c r="S49" s="65">
        <v>1017.2829134706889</v>
      </c>
      <c r="T49" s="65">
        <v>1026.0847450792057</v>
      </c>
      <c r="U49" s="65">
        <v>1006.8397916475242</v>
      </c>
      <c r="V49" s="65">
        <v>915.66866122960278</v>
      </c>
      <c r="W49" s="65">
        <v>1031.7513093088717</v>
      </c>
      <c r="X49" s="65">
        <v>1078.0873335305962</v>
      </c>
      <c r="Y49" s="65">
        <v>1200.4600854258106</v>
      </c>
      <c r="DA49" s="109" t="s">
        <v>214</v>
      </c>
    </row>
    <row r="50" spans="1:105" ht="12" customHeight="1" x14ac:dyDescent="0.25">
      <c r="A50" s="61" t="s">
        <v>31</v>
      </c>
      <c r="B50" s="65">
        <v>4.5585945196761721E-2</v>
      </c>
      <c r="C50" s="65">
        <v>0.49876282313251674</v>
      </c>
      <c r="D50" s="65">
        <v>1.0340920606022828</v>
      </c>
      <c r="E50" s="65">
        <v>1.5271363684148629</v>
      </c>
      <c r="F50" s="65">
        <v>1.8590682624126016</v>
      </c>
      <c r="G50" s="65">
        <v>2.3264914731619495</v>
      </c>
      <c r="H50" s="65">
        <v>3.1375063021849208</v>
      </c>
      <c r="I50" s="65">
        <v>5.0080305419924906</v>
      </c>
      <c r="J50" s="65">
        <v>4.6536706639705123</v>
      </c>
      <c r="K50" s="65">
        <v>4.9556576483176524</v>
      </c>
      <c r="L50" s="65">
        <v>6.3339610375475441</v>
      </c>
      <c r="M50" s="65">
        <v>5.9649671297352906</v>
      </c>
      <c r="N50" s="65">
        <v>9.786527331932227</v>
      </c>
      <c r="O50" s="65">
        <v>7.0386205020772774</v>
      </c>
      <c r="P50" s="65">
        <v>7.0030821180454801</v>
      </c>
      <c r="Q50" s="65">
        <v>9.5421743441938602</v>
      </c>
      <c r="R50" s="65">
        <v>8.1701473337748531</v>
      </c>
      <c r="S50" s="65">
        <v>8.9248545064545279</v>
      </c>
      <c r="T50" s="65">
        <v>7.8781080855806849</v>
      </c>
      <c r="U50" s="65">
        <v>8.9589690643534965</v>
      </c>
      <c r="V50" s="65">
        <v>8.0830391396916177</v>
      </c>
      <c r="W50" s="65">
        <v>9.3252303316705305</v>
      </c>
      <c r="X50" s="65">
        <v>9.805642923729188</v>
      </c>
      <c r="Y50" s="65">
        <v>10.198721089197484</v>
      </c>
      <c r="DA50" s="109" t="s">
        <v>215</v>
      </c>
    </row>
    <row r="51" spans="1:105" ht="12" customHeight="1" x14ac:dyDescent="0.25">
      <c r="A51" s="61" t="s">
        <v>35</v>
      </c>
      <c r="B51" s="65">
        <v>97.038987131841481</v>
      </c>
      <c r="C51" s="65">
        <v>116.4201236151231</v>
      </c>
      <c r="D51" s="65">
        <v>66.710322519834378</v>
      </c>
      <c r="E51" s="65">
        <v>145.59219422966555</v>
      </c>
      <c r="F51" s="65">
        <v>178.9451483833347</v>
      </c>
      <c r="G51" s="65">
        <v>189.82484032184396</v>
      </c>
      <c r="H51" s="65">
        <v>204.24971799246592</v>
      </c>
      <c r="I51" s="65">
        <v>211.78036528060809</v>
      </c>
      <c r="J51" s="65">
        <v>211.15095467788237</v>
      </c>
      <c r="K51" s="65">
        <v>217.39229329886393</v>
      </c>
      <c r="L51" s="65">
        <v>216.87574970735619</v>
      </c>
      <c r="M51" s="65">
        <v>229.34237494316736</v>
      </c>
      <c r="N51" s="65">
        <v>231.59126838771408</v>
      </c>
      <c r="O51" s="65">
        <v>245.07037588955635</v>
      </c>
      <c r="P51" s="65">
        <v>256.83885538588805</v>
      </c>
      <c r="Q51" s="65">
        <v>271.02749378289133</v>
      </c>
      <c r="R51" s="65">
        <v>275.62995206111458</v>
      </c>
      <c r="S51" s="65">
        <v>282.78676364274651</v>
      </c>
      <c r="T51" s="65">
        <v>278.99240336584018</v>
      </c>
      <c r="U51" s="65">
        <v>268.20678917333589</v>
      </c>
      <c r="V51" s="65">
        <v>254.91040373854651</v>
      </c>
      <c r="W51" s="65">
        <v>284.04887831700967</v>
      </c>
      <c r="X51" s="65">
        <v>288.23323541695254</v>
      </c>
      <c r="Y51" s="65">
        <v>296.02421608335794</v>
      </c>
      <c r="DA51" s="109" t="s">
        <v>216</v>
      </c>
    </row>
    <row r="52" spans="1:105" ht="12" customHeight="1" x14ac:dyDescent="0.25">
      <c r="A52" s="66" t="s">
        <v>34</v>
      </c>
      <c r="B52" s="67">
        <v>141.51902481505877</v>
      </c>
      <c r="C52" s="67">
        <v>148.82512060056521</v>
      </c>
      <c r="D52" s="67">
        <v>111.39494720783216</v>
      </c>
      <c r="E52" s="67">
        <v>172.99181647514575</v>
      </c>
      <c r="F52" s="67">
        <v>214.7218468696002</v>
      </c>
      <c r="G52" s="67">
        <v>236.47843065057515</v>
      </c>
      <c r="H52" s="67">
        <v>250.67156845627136</v>
      </c>
      <c r="I52" s="67">
        <v>265.96564498126145</v>
      </c>
      <c r="J52" s="67">
        <v>262.76818001491495</v>
      </c>
      <c r="K52" s="67">
        <v>264.65395191431548</v>
      </c>
      <c r="L52" s="67">
        <v>277.49306223284293</v>
      </c>
      <c r="M52" s="67">
        <v>283.87854629930172</v>
      </c>
      <c r="N52" s="67">
        <v>293.66739386750862</v>
      </c>
      <c r="O52" s="67">
        <v>316.97023174209522</v>
      </c>
      <c r="P52" s="67">
        <v>333.14016132930442</v>
      </c>
      <c r="Q52" s="67">
        <v>356.25897243176314</v>
      </c>
      <c r="R52" s="67">
        <v>356.46478582848408</v>
      </c>
      <c r="S52" s="67">
        <v>364.10506271415244</v>
      </c>
      <c r="T52" s="67">
        <v>374.41294111414652</v>
      </c>
      <c r="U52" s="67">
        <v>381.18822156977865</v>
      </c>
      <c r="V52" s="67">
        <v>350.6345745074475</v>
      </c>
      <c r="W52" s="67">
        <v>373.25195330415158</v>
      </c>
      <c r="X52" s="67">
        <v>395.30289537399597</v>
      </c>
      <c r="Y52" s="67">
        <v>407.01323953875669</v>
      </c>
      <c r="DA52" s="110" t="s">
        <v>217</v>
      </c>
    </row>
    <row r="53" spans="1:105" ht="12" customHeight="1" x14ac:dyDescent="0.25">
      <c r="A53" s="78" t="s">
        <v>33</v>
      </c>
      <c r="B53" s="68">
        <v>174.134109451668</v>
      </c>
      <c r="C53" s="68">
        <v>185.91140895659811</v>
      </c>
      <c r="D53" s="68">
        <v>196.93833351170389</v>
      </c>
      <c r="E53" s="68">
        <v>215.18085385314052</v>
      </c>
      <c r="F53" s="68">
        <v>236.47578104454539</v>
      </c>
      <c r="G53" s="68">
        <v>262.84732759585478</v>
      </c>
      <c r="H53" s="68">
        <v>289.49125368456947</v>
      </c>
      <c r="I53" s="68">
        <v>313.82629495744203</v>
      </c>
      <c r="J53" s="68">
        <v>337.98530882875866</v>
      </c>
      <c r="K53" s="68">
        <v>354.88875134794756</v>
      </c>
      <c r="L53" s="68">
        <v>369.46330969563644</v>
      </c>
      <c r="M53" s="68">
        <v>379.42368215981082</v>
      </c>
      <c r="N53" s="68">
        <v>389.92801542637937</v>
      </c>
      <c r="O53" s="68">
        <v>403.87245986426575</v>
      </c>
      <c r="P53" s="68">
        <v>422.40004754257461</v>
      </c>
      <c r="Q53" s="68">
        <v>445.1563817103488</v>
      </c>
      <c r="R53" s="68">
        <v>460.6344774234949</v>
      </c>
      <c r="S53" s="68">
        <v>475.1954792771503</v>
      </c>
      <c r="T53" s="68">
        <v>485.30265193170612</v>
      </c>
      <c r="U53" s="68">
        <v>489.76372031992173</v>
      </c>
      <c r="V53" s="68">
        <v>492.11440533057021</v>
      </c>
      <c r="W53" s="68">
        <v>501.00415793680941</v>
      </c>
      <c r="X53" s="68">
        <v>502.22796233801341</v>
      </c>
      <c r="Y53" s="68">
        <v>502.12197538309681</v>
      </c>
      <c r="DA53" s="111" t="s">
        <v>218</v>
      </c>
    </row>
    <row r="54" spans="1:105" s="2" customFormat="1" ht="12" customHeight="1" x14ac:dyDescent="0.25">
      <c r="DA54" s="7"/>
    </row>
    <row r="55" spans="1:105" ht="12.95" customHeight="1" x14ac:dyDescent="0.25">
      <c r="A55" s="79" t="s">
        <v>55</v>
      </c>
      <c r="B55" s="83">
        <f t="shared" ref="B55" si="39">IF(B47=0,0,B47/B$47)</f>
        <v>1</v>
      </c>
      <c r="C55" s="83">
        <f t="shared" ref="C55:W55" si="40">IF(C47=0,0,C47/C$47)</f>
        <v>1</v>
      </c>
      <c r="D55" s="83">
        <f t="shared" si="40"/>
        <v>1</v>
      </c>
      <c r="E55" s="83">
        <f t="shared" si="40"/>
        <v>1</v>
      </c>
      <c r="F55" s="83">
        <f t="shared" si="40"/>
        <v>1</v>
      </c>
      <c r="G55" s="83">
        <f t="shared" si="40"/>
        <v>1</v>
      </c>
      <c r="H55" s="83">
        <f t="shared" si="40"/>
        <v>1</v>
      </c>
      <c r="I55" s="83">
        <f t="shared" si="40"/>
        <v>1</v>
      </c>
      <c r="J55" s="83">
        <f t="shared" si="40"/>
        <v>1</v>
      </c>
      <c r="K55" s="83">
        <f t="shared" si="40"/>
        <v>1</v>
      </c>
      <c r="L55" s="83">
        <f t="shared" si="40"/>
        <v>1</v>
      </c>
      <c r="M55" s="83">
        <f t="shared" si="40"/>
        <v>1</v>
      </c>
      <c r="N55" s="83">
        <f t="shared" si="40"/>
        <v>1</v>
      </c>
      <c r="O55" s="83">
        <f t="shared" si="40"/>
        <v>1</v>
      </c>
      <c r="P55" s="83">
        <f t="shared" si="40"/>
        <v>1</v>
      </c>
      <c r="Q55" s="83">
        <f t="shared" si="40"/>
        <v>1</v>
      </c>
      <c r="R55" s="83">
        <f t="shared" si="40"/>
        <v>1</v>
      </c>
      <c r="S55" s="83">
        <f t="shared" si="40"/>
        <v>1</v>
      </c>
      <c r="T55" s="83">
        <f t="shared" si="40"/>
        <v>1</v>
      </c>
      <c r="U55" s="83">
        <f t="shared" si="40"/>
        <v>1</v>
      </c>
      <c r="V55" s="83">
        <f t="shared" si="40"/>
        <v>1</v>
      </c>
      <c r="W55" s="83">
        <f t="shared" si="40"/>
        <v>1</v>
      </c>
      <c r="X55" s="83">
        <f t="shared" ref="X55:Y55" si="41">IF(X47=0,0,X47/X$47)</f>
        <v>1</v>
      </c>
      <c r="Y55" s="83">
        <f t="shared" si="41"/>
        <v>1</v>
      </c>
      <c r="DA55" s="112"/>
    </row>
    <row r="56" spans="1:105" ht="12" customHeight="1" x14ac:dyDescent="0.25">
      <c r="A56" s="69" t="s">
        <v>36</v>
      </c>
      <c r="B56" s="70">
        <f t="shared" ref="B56" si="42">IF(B48=0,0,B48/B$47)</f>
        <v>0.85916010802311116</v>
      </c>
      <c r="C56" s="70">
        <f t="shared" ref="C56:W56" si="43">IF(C48=0,0,C48/C$47)</f>
        <v>0.88687213485788663</v>
      </c>
      <c r="D56" s="70">
        <f t="shared" si="43"/>
        <v>0.77454288916890057</v>
      </c>
      <c r="E56" s="70">
        <f t="shared" si="43"/>
        <v>0.85168217455993889</v>
      </c>
      <c r="F56" s="70">
        <f t="shared" si="43"/>
        <v>0.85930630828378551</v>
      </c>
      <c r="G56" s="70">
        <f t="shared" si="43"/>
        <v>0.87690294292626958</v>
      </c>
      <c r="H56" s="70">
        <f t="shared" si="43"/>
        <v>0.89433593027790892</v>
      </c>
      <c r="I56" s="70">
        <f t="shared" si="43"/>
        <v>0.87086639516896325</v>
      </c>
      <c r="J56" s="70">
        <f t="shared" si="43"/>
        <v>0.83732507804223089</v>
      </c>
      <c r="K56" s="70">
        <f t="shared" si="43"/>
        <v>0.8215429296869341</v>
      </c>
      <c r="L56" s="70">
        <f t="shared" si="43"/>
        <v>0.82498769932632554</v>
      </c>
      <c r="M56" s="70">
        <f t="shared" si="43"/>
        <v>0.81177799457075928</v>
      </c>
      <c r="N56" s="70">
        <f t="shared" si="43"/>
        <v>0.80351147237299725</v>
      </c>
      <c r="O56" s="70">
        <f t="shared" si="43"/>
        <v>0.79356980510052566</v>
      </c>
      <c r="P56" s="70">
        <f t="shared" si="43"/>
        <v>0.78135034882241916</v>
      </c>
      <c r="Q56" s="70">
        <f t="shared" si="43"/>
        <v>0.77687581082797996</v>
      </c>
      <c r="R56" s="70">
        <f t="shared" si="43"/>
        <v>0.77552392373422285</v>
      </c>
      <c r="S56" s="70">
        <f t="shared" si="43"/>
        <v>0.77880344040524807</v>
      </c>
      <c r="T56" s="70">
        <f t="shared" si="43"/>
        <v>0.77663314623735735</v>
      </c>
      <c r="U56" s="70">
        <f t="shared" si="43"/>
        <v>0.77272696923755468</v>
      </c>
      <c r="V56" s="70">
        <f t="shared" si="43"/>
        <v>0.75654907146845796</v>
      </c>
      <c r="W56" s="70">
        <f t="shared" si="43"/>
        <v>0.77220679937264791</v>
      </c>
      <c r="X56" s="70">
        <f t="shared" ref="X56:Y56" si="44">IF(X48=0,0,X48/X$47)</f>
        <v>0.77911006498879753</v>
      </c>
      <c r="Y56" s="70">
        <f t="shared" si="44"/>
        <v>0.79215241958827443</v>
      </c>
      <c r="DA56" s="113"/>
    </row>
    <row r="57" spans="1:105" ht="12" customHeight="1" x14ac:dyDescent="0.25">
      <c r="A57" s="61" t="s">
        <v>32</v>
      </c>
      <c r="B57" s="71">
        <f t="shared" ref="B57" si="45">IF(B49=0,0,B49/B$47)</f>
        <v>0.66617721077088032</v>
      </c>
      <c r="C57" s="71">
        <f t="shared" ref="C57:W57" si="46">IF(C49=0,0,C49/C$47)</f>
        <v>0.72516580193653835</v>
      </c>
      <c r="D57" s="71">
        <f t="shared" si="46"/>
        <v>0.56946223156036102</v>
      </c>
      <c r="E57" s="71">
        <f t="shared" si="46"/>
        <v>0.63103898822223603</v>
      </c>
      <c r="F57" s="71">
        <f t="shared" si="46"/>
        <v>0.6239840194635462</v>
      </c>
      <c r="G57" s="71">
        <f t="shared" si="46"/>
        <v>0.67616640581226128</v>
      </c>
      <c r="H57" s="71">
        <f t="shared" si="46"/>
        <v>0.72714484730727291</v>
      </c>
      <c r="I57" s="71">
        <f t="shared" si="46"/>
        <v>0.67222220716615111</v>
      </c>
      <c r="J57" s="71">
        <f t="shared" si="46"/>
        <v>0.60698431550344656</v>
      </c>
      <c r="K57" s="71">
        <f t="shared" si="46"/>
        <v>0.57665229144762298</v>
      </c>
      <c r="L57" s="71">
        <f t="shared" si="46"/>
        <v>0.58780814197132636</v>
      </c>
      <c r="M57" s="71">
        <f t="shared" si="46"/>
        <v>0.55422367285918439</v>
      </c>
      <c r="N57" s="71">
        <f t="shared" si="46"/>
        <v>0.53389698621987325</v>
      </c>
      <c r="O57" s="71">
        <f t="shared" si="46"/>
        <v>0.50269793922393335</v>
      </c>
      <c r="P57" s="71">
        <f t="shared" si="46"/>
        <v>0.47233066847782551</v>
      </c>
      <c r="Q57" s="71">
        <f t="shared" si="46"/>
        <v>0.45768040017189249</v>
      </c>
      <c r="R57" s="71">
        <f t="shared" si="46"/>
        <v>0.46351048086384677</v>
      </c>
      <c r="S57" s="71">
        <f t="shared" si="46"/>
        <v>0.47353034784028974</v>
      </c>
      <c r="T57" s="71">
        <f t="shared" si="46"/>
        <v>0.47226884149489168</v>
      </c>
      <c r="U57" s="71">
        <f t="shared" si="46"/>
        <v>0.46722025631152858</v>
      </c>
      <c r="V57" s="71">
        <f t="shared" si="46"/>
        <v>0.45298488194800457</v>
      </c>
      <c r="W57" s="71">
        <f t="shared" si="46"/>
        <v>0.46910974544960238</v>
      </c>
      <c r="X57" s="71">
        <f t="shared" ref="X57:Y57" si="47">IF(X49=0,0,X49/X$47)</f>
        <v>0.474164441046594</v>
      </c>
      <c r="Y57" s="71">
        <f t="shared" si="47"/>
        <v>0.49691655886249725</v>
      </c>
      <c r="DA57" s="114"/>
    </row>
    <row r="58" spans="1:105" ht="12" customHeight="1" x14ac:dyDescent="0.25">
      <c r="A58" s="61" t="s">
        <v>31</v>
      </c>
      <c r="B58" s="72">
        <f t="shared" ref="B58" si="48">IF(B50=0,0,B50/B$47)</f>
        <v>3.6869971181368645E-5</v>
      </c>
      <c r="C58" s="72">
        <f t="shared" ref="C58:W58" si="49">IF(C50=0,0,C50/C$47)</f>
        <v>3.0349925112130999E-4</v>
      </c>
      <c r="D58" s="72">
        <f t="shared" si="49"/>
        <v>1.1838396525423692E-3</v>
      </c>
      <c r="E58" s="72">
        <f t="shared" si="49"/>
        <v>1.0526101242646351E-3</v>
      </c>
      <c r="F58" s="72">
        <f t="shared" si="49"/>
        <v>1.1060717331641112E-3</v>
      </c>
      <c r="G58" s="72">
        <f t="shared" si="49"/>
        <v>1.0895459971869996E-3</v>
      </c>
      <c r="H58" s="72">
        <f t="shared" si="49"/>
        <v>1.1451872222322632E-3</v>
      </c>
      <c r="I58" s="72">
        <f t="shared" si="49"/>
        <v>2.0607101679581087E-3</v>
      </c>
      <c r="J58" s="72">
        <f t="shared" si="49"/>
        <v>2.2398473907104554E-3</v>
      </c>
      <c r="K58" s="72">
        <f t="shared" si="49"/>
        <v>2.4919700667723646E-3</v>
      </c>
      <c r="L58" s="72">
        <f t="shared" si="49"/>
        <v>3.0003550135243718E-3</v>
      </c>
      <c r="M58" s="72">
        <f t="shared" si="49"/>
        <v>2.9590616723955267E-3</v>
      </c>
      <c r="N58" s="72">
        <f t="shared" si="49"/>
        <v>4.9315265124771366E-3</v>
      </c>
      <c r="O58" s="72">
        <f t="shared" si="49"/>
        <v>3.5976303077351951E-3</v>
      </c>
      <c r="P58" s="72">
        <f t="shared" si="49"/>
        <v>3.6250504023067451E-3</v>
      </c>
      <c r="Q58" s="72">
        <f t="shared" si="49"/>
        <v>4.7827909493424903E-3</v>
      </c>
      <c r="R58" s="72">
        <f t="shared" si="49"/>
        <v>3.981470571324492E-3</v>
      </c>
      <c r="S58" s="72">
        <f t="shared" si="49"/>
        <v>4.1543895045349742E-3</v>
      </c>
      <c r="T58" s="72">
        <f t="shared" si="49"/>
        <v>3.6260016500503857E-3</v>
      </c>
      <c r="U58" s="72">
        <f t="shared" si="49"/>
        <v>4.1573762352845808E-3</v>
      </c>
      <c r="V58" s="72">
        <f t="shared" si="49"/>
        <v>3.9987111992644602E-3</v>
      </c>
      <c r="W58" s="72">
        <f t="shared" si="49"/>
        <v>4.239933002924137E-3</v>
      </c>
      <c r="X58" s="72">
        <f t="shared" ref="X58:Y58" si="50">IF(X50=0,0,X50/X$47)</f>
        <v>4.3127185075128123E-3</v>
      </c>
      <c r="Y58" s="72">
        <f t="shared" si="50"/>
        <v>4.2216425601895573E-3</v>
      </c>
      <c r="DA58" s="115"/>
    </row>
    <row r="59" spans="1:105" ht="12" customHeight="1" x14ac:dyDescent="0.25">
      <c r="A59" s="61" t="s">
        <v>35</v>
      </c>
      <c r="B59" s="72">
        <f t="shared" ref="B59" si="51">IF(B51=0,0,B51/B$47)</f>
        <v>7.8485257760419438E-2</v>
      </c>
      <c r="C59" s="72">
        <f t="shared" ref="C59:W59" si="52">IF(C51=0,0,C51/C$47)</f>
        <v>7.084212915214097E-2</v>
      </c>
      <c r="D59" s="72">
        <f t="shared" si="52"/>
        <v>7.637069081342078E-2</v>
      </c>
      <c r="E59" s="72">
        <f t="shared" si="52"/>
        <v>0.10035241176210183</v>
      </c>
      <c r="F59" s="72">
        <f t="shared" si="52"/>
        <v>0.10646525166149941</v>
      </c>
      <c r="G59" s="72">
        <f t="shared" si="52"/>
        <v>8.8899055648904712E-2</v>
      </c>
      <c r="H59" s="72">
        <f t="shared" si="52"/>
        <v>7.4550979236799361E-2</v>
      </c>
      <c r="I59" s="72">
        <f t="shared" si="52"/>
        <v>8.7143628308224849E-2</v>
      </c>
      <c r="J59" s="72">
        <f t="shared" si="52"/>
        <v>0.1016285743086424</v>
      </c>
      <c r="K59" s="72">
        <f t="shared" si="52"/>
        <v>0.10931648755673745</v>
      </c>
      <c r="L59" s="72">
        <f t="shared" si="52"/>
        <v>0.10273259325230553</v>
      </c>
      <c r="M59" s="72">
        <f t="shared" si="52"/>
        <v>0.1137706573716873</v>
      </c>
      <c r="N59" s="72">
        <f t="shared" si="52"/>
        <v>0.11670109747567906</v>
      </c>
      <c r="O59" s="72">
        <f t="shared" si="52"/>
        <v>0.12526213219879098</v>
      </c>
      <c r="P59" s="72">
        <f t="shared" si="52"/>
        <v>0.13294914729694318</v>
      </c>
      <c r="Q59" s="72">
        <f t="shared" si="52"/>
        <v>0.13584617064521909</v>
      </c>
      <c r="R59" s="72">
        <f t="shared" si="52"/>
        <v>0.13431979839216324</v>
      </c>
      <c r="S59" s="72">
        <f t="shared" si="52"/>
        <v>0.13163311088704124</v>
      </c>
      <c r="T59" s="72">
        <f t="shared" si="52"/>
        <v>0.12840988013450103</v>
      </c>
      <c r="U59" s="72">
        <f t="shared" si="52"/>
        <v>0.12446036183870589</v>
      </c>
      <c r="V59" s="72">
        <f t="shared" si="52"/>
        <v>0.12610517759749951</v>
      </c>
      <c r="W59" s="72">
        <f t="shared" si="52"/>
        <v>0.12914943339572432</v>
      </c>
      <c r="X59" s="72">
        <f t="shared" ref="X59:Y59" si="53">IF(X51=0,0,X51/X$47)</f>
        <v>0.12677076031953208</v>
      </c>
      <c r="Y59" s="72">
        <f t="shared" si="53"/>
        <v>0.12253579821767543</v>
      </c>
      <c r="DA59" s="115"/>
    </row>
    <row r="60" spans="1:105" ht="12" customHeight="1" x14ac:dyDescent="0.25">
      <c r="A60" s="61" t="s">
        <v>34</v>
      </c>
      <c r="B60" s="73">
        <f t="shared" ref="B60" si="54">IF(B52=0,0,B52/B$47)</f>
        <v>0.11446076952062995</v>
      </c>
      <c r="C60" s="73">
        <f t="shared" ref="C60:W60" si="55">IF(C52=0,0,C52/C$47)</f>
        <v>9.0560704518085899E-2</v>
      </c>
      <c r="D60" s="73">
        <f t="shared" si="55"/>
        <v>0.12752612714257644</v>
      </c>
      <c r="E60" s="73">
        <f t="shared" si="55"/>
        <v>0.11923816445133643</v>
      </c>
      <c r="F60" s="73">
        <f t="shared" si="55"/>
        <v>0.12775096542557579</v>
      </c>
      <c r="G60" s="73">
        <f t="shared" si="55"/>
        <v>0.11074793546791652</v>
      </c>
      <c r="H60" s="73">
        <f t="shared" si="55"/>
        <v>9.1494916511604407E-2</v>
      </c>
      <c r="I60" s="73">
        <f t="shared" si="55"/>
        <v>0.1094398495266293</v>
      </c>
      <c r="J60" s="73">
        <f t="shared" si="55"/>
        <v>0.12647234083943157</v>
      </c>
      <c r="K60" s="73">
        <f t="shared" si="55"/>
        <v>0.13308218061580129</v>
      </c>
      <c r="L60" s="73">
        <f t="shared" si="55"/>
        <v>0.13144660908916925</v>
      </c>
      <c r="M60" s="73">
        <f t="shared" si="55"/>
        <v>0.14082460266749203</v>
      </c>
      <c r="N60" s="73">
        <f t="shared" si="55"/>
        <v>0.14798186216496775</v>
      </c>
      <c r="O60" s="73">
        <f t="shared" si="55"/>
        <v>0.16201210337006605</v>
      </c>
      <c r="P60" s="73">
        <f t="shared" si="55"/>
        <v>0.17244548264534376</v>
      </c>
      <c r="Q60" s="73">
        <f t="shared" si="55"/>
        <v>0.17856644906152594</v>
      </c>
      <c r="R60" s="73">
        <f t="shared" si="55"/>
        <v>0.17371217390688831</v>
      </c>
      <c r="S60" s="73">
        <f t="shared" si="55"/>
        <v>0.1694855921733821</v>
      </c>
      <c r="T60" s="73">
        <f t="shared" si="55"/>
        <v>0.17232842295791434</v>
      </c>
      <c r="U60" s="73">
        <f t="shared" si="55"/>
        <v>0.17688897485203567</v>
      </c>
      <c r="V60" s="73">
        <f t="shared" si="55"/>
        <v>0.17346030072368934</v>
      </c>
      <c r="W60" s="73">
        <f t="shared" si="55"/>
        <v>0.16970768752439697</v>
      </c>
      <c r="X60" s="73">
        <f t="shared" ref="X60:Y60" si="56">IF(X52=0,0,X52/X$47)</f>
        <v>0.17386214511515871</v>
      </c>
      <c r="Y60" s="73">
        <f t="shared" si="56"/>
        <v>0.16847841994791221</v>
      </c>
      <c r="DA60" s="116"/>
    </row>
    <row r="61" spans="1:105" ht="12" customHeight="1" x14ac:dyDescent="0.25">
      <c r="A61" s="69" t="s">
        <v>33</v>
      </c>
      <c r="B61" s="70">
        <f t="shared" ref="B61" si="57">IF(B53=0,0,B53/B$47)</f>
        <v>0.14083989197688879</v>
      </c>
      <c r="C61" s="70">
        <f t="shared" ref="C61:W61" si="58">IF(C53=0,0,C53/C$47)</f>
        <v>0.11312786514211343</v>
      </c>
      <c r="D61" s="70">
        <f t="shared" si="58"/>
        <v>0.22545711083109934</v>
      </c>
      <c r="E61" s="70">
        <f t="shared" si="58"/>
        <v>0.14831782544006114</v>
      </c>
      <c r="F61" s="70">
        <f t="shared" si="58"/>
        <v>0.14069369171621451</v>
      </c>
      <c r="G61" s="70">
        <f t="shared" si="58"/>
        <v>0.12309705707373038</v>
      </c>
      <c r="H61" s="70">
        <f t="shared" si="58"/>
        <v>0.10566406972209105</v>
      </c>
      <c r="I61" s="70">
        <f t="shared" si="58"/>
        <v>0.12913360483103678</v>
      </c>
      <c r="J61" s="70">
        <f t="shared" si="58"/>
        <v>0.16267492195776909</v>
      </c>
      <c r="K61" s="70">
        <f t="shared" si="58"/>
        <v>0.17845707031306587</v>
      </c>
      <c r="L61" s="70">
        <f t="shared" si="58"/>
        <v>0.17501230067367457</v>
      </c>
      <c r="M61" s="70">
        <f t="shared" si="58"/>
        <v>0.18822200542924078</v>
      </c>
      <c r="N61" s="70">
        <f t="shared" si="58"/>
        <v>0.19648852762700283</v>
      </c>
      <c r="O61" s="70">
        <f t="shared" si="58"/>
        <v>0.2064301948994744</v>
      </c>
      <c r="P61" s="70">
        <f t="shared" si="58"/>
        <v>0.21864965117758087</v>
      </c>
      <c r="Q61" s="70">
        <f t="shared" si="58"/>
        <v>0.22312418917202004</v>
      </c>
      <c r="R61" s="70">
        <f t="shared" si="58"/>
        <v>0.22447607626577731</v>
      </c>
      <c r="S61" s="70">
        <f t="shared" si="58"/>
        <v>0.22119655959475201</v>
      </c>
      <c r="T61" s="70">
        <f t="shared" si="58"/>
        <v>0.22336685376264276</v>
      </c>
      <c r="U61" s="70">
        <f t="shared" si="58"/>
        <v>0.22727303076244515</v>
      </c>
      <c r="V61" s="70">
        <f t="shared" si="58"/>
        <v>0.24345092853154204</v>
      </c>
      <c r="W61" s="70">
        <f t="shared" si="58"/>
        <v>0.22779320062735214</v>
      </c>
      <c r="X61" s="70">
        <f t="shared" ref="X61:Y61" si="59">IF(X53=0,0,X53/X$47)</f>
        <v>0.22088993501120252</v>
      </c>
      <c r="Y61" s="70">
        <f t="shared" si="59"/>
        <v>0.20784758041172549</v>
      </c>
      <c r="DA61" s="113"/>
    </row>
    <row r="62" spans="1:105" s="2" customFormat="1" ht="12" customHeight="1" x14ac:dyDescent="0.25">
      <c r="DA62" s="7"/>
    </row>
    <row r="63" spans="1:105" s="2" customFormat="1" ht="12.95" customHeight="1" x14ac:dyDescent="0.25">
      <c r="A63" s="47" t="s">
        <v>54</v>
      </c>
      <c r="B63" s="48"/>
      <c r="C63" s="48"/>
      <c r="D63" s="48"/>
      <c r="E63" s="48"/>
      <c r="F63" s="48"/>
      <c r="G63" s="48"/>
      <c r="H63" s="48"/>
      <c r="I63" s="48"/>
      <c r="J63" s="48"/>
      <c r="K63" s="48"/>
      <c r="L63" s="48"/>
      <c r="M63" s="48"/>
      <c r="N63" s="48"/>
      <c r="O63" s="48"/>
      <c r="P63" s="48"/>
      <c r="Q63" s="48"/>
      <c r="R63" s="48"/>
      <c r="S63" s="48"/>
      <c r="T63" s="48"/>
      <c r="U63" s="48"/>
      <c r="V63" s="48"/>
      <c r="W63" s="48"/>
      <c r="X63" s="48"/>
      <c r="Y63" s="48"/>
      <c r="DA63" s="97"/>
    </row>
    <row r="64" spans="1:105" s="2" customFormat="1" ht="12" customHeight="1" x14ac:dyDescent="0.25">
      <c r="DA64" s="7"/>
    </row>
    <row r="65" spans="1:105" ht="12.95" customHeight="1" x14ac:dyDescent="0.25">
      <c r="A65" s="79" t="s">
        <v>53</v>
      </c>
      <c r="B65" s="80">
        <v>869.48848054144935</v>
      </c>
      <c r="C65" s="80">
        <v>1645.0980619481959</v>
      </c>
      <c r="D65" s="80">
        <v>957.00336662311804</v>
      </c>
      <c r="E65" s="80">
        <v>1885.5166975814477</v>
      </c>
      <c r="F65" s="80">
        <v>3038.4570756839821</v>
      </c>
      <c r="G65" s="80">
        <v>3262.8269449729896</v>
      </c>
      <c r="H65" s="80">
        <v>4550.7442463086672</v>
      </c>
      <c r="I65" s="80">
        <v>3858.5579198097253</v>
      </c>
      <c r="J65" s="80">
        <v>2765.3593114936502</v>
      </c>
      <c r="K65" s="80">
        <v>2576.476072219948</v>
      </c>
      <c r="L65" s="80">
        <v>2631.3223680036617</v>
      </c>
      <c r="M65" s="80">
        <v>2560.7860253701037</v>
      </c>
      <c r="N65" s="80">
        <v>2494.3138703667782</v>
      </c>
      <c r="O65" s="80">
        <v>2434.1722395018201</v>
      </c>
      <c r="P65" s="80">
        <v>2424.3160007712172</v>
      </c>
      <c r="Q65" s="80">
        <v>2416.51632807132</v>
      </c>
      <c r="R65" s="80">
        <v>2445.1249419428004</v>
      </c>
      <c r="S65" s="80">
        <v>2788.7330322583025</v>
      </c>
      <c r="T65" s="80">
        <v>2842.7295704234402</v>
      </c>
      <c r="U65" s="80">
        <v>2840.8308477708706</v>
      </c>
      <c r="V65" s="80">
        <v>2665.2492810172594</v>
      </c>
      <c r="W65" s="80">
        <v>3082.5978336277994</v>
      </c>
      <c r="X65" s="80">
        <v>3233.4457184541543</v>
      </c>
      <c r="Y65" s="80">
        <v>3409.6610199339443</v>
      </c>
      <c r="DA65" s="103" t="s">
        <v>219</v>
      </c>
    </row>
    <row r="66" spans="1:105" ht="12" customHeight="1" x14ac:dyDescent="0.25">
      <c r="A66" s="58" t="s">
        <v>29</v>
      </c>
      <c r="B66" s="59">
        <v>15.280637207855708</v>
      </c>
      <c r="C66" s="59">
        <v>31.334061476737595</v>
      </c>
      <c r="D66" s="59">
        <v>18.53079305600065</v>
      </c>
      <c r="E66" s="59">
        <v>11.710758197035029</v>
      </c>
      <c r="F66" s="59">
        <v>4.6382710898358166</v>
      </c>
      <c r="G66" s="59">
        <v>1.5637006591106277</v>
      </c>
      <c r="H66" s="59">
        <v>12.284307976255537</v>
      </c>
      <c r="I66" s="59">
        <v>5.9510154301516254</v>
      </c>
      <c r="J66" s="59">
        <v>1.6395648222735832</v>
      </c>
      <c r="K66" s="59">
        <v>0.78185251946968026</v>
      </c>
      <c r="L66" s="59">
        <v>2.2832825552403291</v>
      </c>
      <c r="M66" s="59">
        <v>2.9687115484112256</v>
      </c>
      <c r="N66" s="59">
        <v>1.7105652390553228</v>
      </c>
      <c r="O66" s="59">
        <v>2.5105707678493316</v>
      </c>
      <c r="P66" s="59">
        <v>1.6734910927686122</v>
      </c>
      <c r="Q66" s="59">
        <v>1.8196050785972882</v>
      </c>
      <c r="R66" s="59">
        <v>3.6236087151422174</v>
      </c>
      <c r="S66" s="59">
        <v>0</v>
      </c>
      <c r="T66" s="59">
        <v>2.6686617482281978</v>
      </c>
      <c r="U66" s="59">
        <v>1.6561910649391836</v>
      </c>
      <c r="V66" s="59">
        <v>0.31682493312885096</v>
      </c>
      <c r="W66" s="59">
        <v>0.5620041626661475</v>
      </c>
      <c r="X66" s="59">
        <v>0.57594776126185443</v>
      </c>
      <c r="Y66" s="59">
        <v>0.24124734951893789</v>
      </c>
      <c r="DA66" s="104" t="s">
        <v>220</v>
      </c>
    </row>
    <row r="67" spans="1:105" ht="12" customHeight="1" x14ac:dyDescent="0.25">
      <c r="A67" s="60" t="s">
        <v>28</v>
      </c>
      <c r="B67" s="55">
        <f>SUM(B68:B69)</f>
        <v>303.15998333359352</v>
      </c>
      <c r="C67" s="55">
        <f t="shared" ref="C67:W67" si="60">SUM(C68:C69)</f>
        <v>397.4094104714581</v>
      </c>
      <c r="D67" s="55">
        <f t="shared" si="60"/>
        <v>723.03174356711736</v>
      </c>
      <c r="E67" s="55">
        <f t="shared" si="60"/>
        <v>786.4541309844127</v>
      </c>
      <c r="F67" s="55">
        <f t="shared" si="60"/>
        <v>1447.8526645941465</v>
      </c>
      <c r="G67" s="55">
        <f t="shared" si="60"/>
        <v>1425.3458643138788</v>
      </c>
      <c r="H67" s="55">
        <f t="shared" si="60"/>
        <v>789.42596833241157</v>
      </c>
      <c r="I67" s="55">
        <f t="shared" si="60"/>
        <v>1314.1065943795745</v>
      </c>
      <c r="J67" s="55">
        <f t="shared" si="60"/>
        <v>865.95211667137664</v>
      </c>
      <c r="K67" s="55">
        <f t="shared" si="60"/>
        <v>393.61739970047802</v>
      </c>
      <c r="L67" s="55">
        <f t="shared" si="60"/>
        <v>431.46183544842125</v>
      </c>
      <c r="M67" s="55">
        <f t="shared" si="60"/>
        <v>782.2354838216927</v>
      </c>
      <c r="N67" s="55">
        <f t="shared" si="60"/>
        <v>698.08772512772282</v>
      </c>
      <c r="O67" s="55">
        <f t="shared" si="60"/>
        <v>588.59318873397058</v>
      </c>
      <c r="P67" s="55">
        <f t="shared" si="60"/>
        <v>570.85360807844836</v>
      </c>
      <c r="Q67" s="55">
        <f t="shared" si="60"/>
        <v>623.56359019272259</v>
      </c>
      <c r="R67" s="55">
        <f t="shared" si="60"/>
        <v>625.54542882765816</v>
      </c>
      <c r="S67" s="55">
        <f t="shared" si="60"/>
        <v>823.47885389830208</v>
      </c>
      <c r="T67" s="55">
        <f t="shared" si="60"/>
        <v>897.51787415521198</v>
      </c>
      <c r="U67" s="55">
        <f t="shared" si="60"/>
        <v>903.89151394593171</v>
      </c>
      <c r="V67" s="55">
        <f t="shared" si="60"/>
        <v>845.17150516413028</v>
      </c>
      <c r="W67" s="55">
        <f t="shared" si="60"/>
        <v>1293.776369665133</v>
      </c>
      <c r="X67" s="55">
        <f t="shared" ref="X67:Y67" si="61">SUM(X68:X69)</f>
        <v>1350.6681931728926</v>
      </c>
      <c r="Y67" s="55">
        <f t="shared" si="61"/>
        <v>1369.7197115044255</v>
      </c>
      <c r="DA67" s="101"/>
    </row>
    <row r="68" spans="1:105" ht="12" customHeight="1" x14ac:dyDescent="0.25">
      <c r="A68" s="61" t="s">
        <v>52</v>
      </c>
      <c r="B68" s="55">
        <v>59.692650479999998</v>
      </c>
      <c r="C68" s="55">
        <v>32.830980479999994</v>
      </c>
      <c r="D68" s="55">
        <v>20.892359520000003</v>
      </c>
      <c r="E68" s="55">
        <v>89.538975720000025</v>
      </c>
      <c r="F68" s="55">
        <v>194.00100048000002</v>
      </c>
      <c r="G68" s="55">
        <v>239.95319688000004</v>
      </c>
      <c r="H68" s="55">
        <v>97.204262760000006</v>
      </c>
      <c r="I68" s="55">
        <v>288.55135295999997</v>
      </c>
      <c r="J68" s="55">
        <v>66.822294239999991</v>
      </c>
      <c r="K68" s="55">
        <v>36.453955320000006</v>
      </c>
      <c r="L68" s="55">
        <v>57.710225160000014</v>
      </c>
      <c r="M68" s="55">
        <v>36.448503480000007</v>
      </c>
      <c r="N68" s="55">
        <v>45.560799719999999</v>
      </c>
      <c r="O68" s="55">
        <v>51.635512440000007</v>
      </c>
      <c r="P68" s="55">
        <v>66.822294239999991</v>
      </c>
      <c r="Q68" s="55">
        <v>85.046659560000009</v>
      </c>
      <c r="R68" s="55">
        <v>78.971946840000015</v>
      </c>
      <c r="S68" s="55">
        <v>78.33885192000001</v>
      </c>
      <c r="T68" s="55">
        <v>80.422590600000021</v>
      </c>
      <c r="U68" s="55">
        <v>78.812707680000003</v>
      </c>
      <c r="V68" s="55">
        <v>70.908448320000005</v>
      </c>
      <c r="W68" s="55">
        <v>70.152232679999997</v>
      </c>
      <c r="X68" s="55">
        <v>68.563702800000002</v>
      </c>
      <c r="Y68" s="55">
        <v>59.979326400000012</v>
      </c>
      <c r="DA68" s="101" t="s">
        <v>221</v>
      </c>
    </row>
    <row r="69" spans="1:105" ht="12" customHeight="1" x14ac:dyDescent="0.25">
      <c r="A69" s="61" t="s">
        <v>163</v>
      </c>
      <c r="B69" s="55">
        <v>243.46733285359352</v>
      </c>
      <c r="C69" s="55">
        <v>364.57842999145811</v>
      </c>
      <c r="D69" s="55">
        <v>702.13938404711735</v>
      </c>
      <c r="E69" s="55">
        <v>696.91515526441265</v>
      </c>
      <c r="F69" s="55">
        <v>1253.8516641141464</v>
      </c>
      <c r="G69" s="55">
        <v>1185.3926674338788</v>
      </c>
      <c r="H69" s="55">
        <v>692.22170557241157</v>
      </c>
      <c r="I69" s="55">
        <v>1025.5552414195745</v>
      </c>
      <c r="J69" s="55">
        <v>799.12982243137662</v>
      </c>
      <c r="K69" s="55">
        <v>357.16344438047804</v>
      </c>
      <c r="L69" s="55">
        <v>373.75161028842126</v>
      </c>
      <c r="M69" s="55">
        <v>745.7869803416927</v>
      </c>
      <c r="N69" s="55">
        <v>652.52692540772284</v>
      </c>
      <c r="O69" s="55">
        <v>536.95767629397062</v>
      </c>
      <c r="P69" s="55">
        <v>504.03131383844834</v>
      </c>
      <c r="Q69" s="55">
        <v>538.51693063272262</v>
      </c>
      <c r="R69" s="55">
        <v>546.57348198765817</v>
      </c>
      <c r="S69" s="55">
        <v>745.14000197830205</v>
      </c>
      <c r="T69" s="55">
        <v>817.09528355521195</v>
      </c>
      <c r="U69" s="55">
        <v>825.07880626593169</v>
      </c>
      <c r="V69" s="55">
        <v>774.26305684413023</v>
      </c>
      <c r="W69" s="55">
        <v>1223.624136985133</v>
      </c>
      <c r="X69" s="55">
        <v>1282.1044903728925</v>
      </c>
      <c r="Y69" s="55">
        <v>1309.7403851044255</v>
      </c>
      <c r="DA69" s="101" t="s">
        <v>222</v>
      </c>
    </row>
    <row r="70" spans="1:105" ht="12" customHeight="1" x14ac:dyDescent="0.25">
      <c r="A70" s="60" t="s">
        <v>149</v>
      </c>
      <c r="B70" s="55">
        <v>551.04786000000013</v>
      </c>
      <c r="C70" s="55">
        <v>1216.3545900000001</v>
      </c>
      <c r="D70" s="55">
        <v>215.44083000000001</v>
      </c>
      <c r="E70" s="55">
        <v>1085.63598</v>
      </c>
      <c r="F70" s="55">
        <v>1584.6791400000002</v>
      </c>
      <c r="G70" s="55">
        <v>1835.9173800000001</v>
      </c>
      <c r="H70" s="55">
        <v>3749.0339700000004</v>
      </c>
      <c r="I70" s="55">
        <v>2538.500309999999</v>
      </c>
      <c r="J70" s="55">
        <v>1897.7676300000001</v>
      </c>
      <c r="K70" s="55">
        <v>2182.0768200000002</v>
      </c>
      <c r="L70" s="55">
        <v>2197.5772500000003</v>
      </c>
      <c r="M70" s="55">
        <v>1775.5818300000001</v>
      </c>
      <c r="N70" s="55">
        <v>1794.5155800000002</v>
      </c>
      <c r="O70" s="55">
        <v>1842.8850000000002</v>
      </c>
      <c r="P70" s="55">
        <v>1822.1841000000002</v>
      </c>
      <c r="Q70" s="55">
        <v>1763.00982</v>
      </c>
      <c r="R70" s="55">
        <v>1790.9307900000001</v>
      </c>
      <c r="S70" s="55">
        <v>1948.8172611600003</v>
      </c>
      <c r="T70" s="55">
        <v>1929.8968405200001</v>
      </c>
      <c r="U70" s="55">
        <v>1922.4917751600001</v>
      </c>
      <c r="V70" s="55">
        <v>1810.39104972</v>
      </c>
      <c r="W70" s="55">
        <v>1778.6243574000002</v>
      </c>
      <c r="X70" s="55">
        <v>1867.04385912</v>
      </c>
      <c r="Y70" s="55">
        <v>2028.9069226800002</v>
      </c>
      <c r="DA70" s="101" t="s">
        <v>223</v>
      </c>
    </row>
    <row r="71" spans="1:105" ht="12" customHeight="1" x14ac:dyDescent="0.25">
      <c r="A71" s="60" t="s">
        <v>51</v>
      </c>
      <c r="B71" s="55">
        <f>SUM(B72:B76)</f>
        <v>0</v>
      </c>
      <c r="C71" s="55">
        <f t="shared" ref="C71:W71" si="62">SUM(C72:C76)</f>
        <v>0</v>
      </c>
      <c r="D71" s="55">
        <f t="shared" si="62"/>
        <v>0</v>
      </c>
      <c r="E71" s="55">
        <f t="shared" si="62"/>
        <v>1.7158283999999999</v>
      </c>
      <c r="F71" s="55">
        <f t="shared" si="62"/>
        <v>1.2869999999999999</v>
      </c>
      <c r="G71" s="55">
        <f t="shared" si="62"/>
        <v>0</v>
      </c>
      <c r="H71" s="55">
        <f t="shared" si="62"/>
        <v>0</v>
      </c>
      <c r="I71" s="55">
        <f t="shared" si="62"/>
        <v>0</v>
      </c>
      <c r="J71" s="55">
        <f t="shared" si="62"/>
        <v>0</v>
      </c>
      <c r="K71" s="55">
        <f t="shared" si="62"/>
        <v>0</v>
      </c>
      <c r="L71" s="55">
        <f t="shared" si="62"/>
        <v>0</v>
      </c>
      <c r="M71" s="55">
        <f t="shared" si="62"/>
        <v>0</v>
      </c>
      <c r="N71" s="55">
        <f t="shared" si="62"/>
        <v>0</v>
      </c>
      <c r="O71" s="55">
        <f t="shared" si="62"/>
        <v>0.18348000000000003</v>
      </c>
      <c r="P71" s="55">
        <f t="shared" si="62"/>
        <v>29.604801600000002</v>
      </c>
      <c r="Q71" s="55">
        <f t="shared" si="62"/>
        <v>28.123312800000001</v>
      </c>
      <c r="R71" s="55">
        <f t="shared" si="62"/>
        <v>25.025114399999996</v>
      </c>
      <c r="S71" s="55">
        <f t="shared" si="62"/>
        <v>16.4369172</v>
      </c>
      <c r="T71" s="55">
        <f t="shared" si="62"/>
        <v>12.646193999999998</v>
      </c>
      <c r="U71" s="55">
        <f t="shared" si="62"/>
        <v>12.791367600000001</v>
      </c>
      <c r="V71" s="55">
        <f t="shared" si="62"/>
        <v>9.3699011999999975</v>
      </c>
      <c r="W71" s="55">
        <f t="shared" si="62"/>
        <v>9.6351024000000027</v>
      </c>
      <c r="X71" s="55">
        <f t="shared" ref="X71:Y71" si="63">SUM(X72:X76)</f>
        <v>15.157718400000002</v>
      </c>
      <c r="Y71" s="55">
        <f t="shared" si="63"/>
        <v>10.793138400000002</v>
      </c>
      <c r="DA71" s="101"/>
    </row>
    <row r="72" spans="1:105" ht="12" customHeight="1" x14ac:dyDescent="0.25">
      <c r="A72" s="61" t="s">
        <v>164</v>
      </c>
      <c r="B72" s="55">
        <v>0</v>
      </c>
      <c r="C72" s="55">
        <v>0</v>
      </c>
      <c r="D72" s="55">
        <v>0</v>
      </c>
      <c r="E72" s="55">
        <v>1.7158283999999999</v>
      </c>
      <c r="F72" s="55">
        <v>1.2869999999999999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0.18348000000000003</v>
      </c>
      <c r="P72" s="55">
        <v>29.604801600000002</v>
      </c>
      <c r="Q72" s="55">
        <v>28.123312800000001</v>
      </c>
      <c r="R72" s="55">
        <v>25.025114399999996</v>
      </c>
      <c r="S72" s="55">
        <v>16.4369172</v>
      </c>
      <c r="T72" s="55">
        <v>12.646193999999998</v>
      </c>
      <c r="U72" s="55">
        <v>12.791367600000001</v>
      </c>
      <c r="V72" s="55">
        <v>9.3699011999999975</v>
      </c>
      <c r="W72" s="55">
        <v>9.6351024000000027</v>
      </c>
      <c r="X72" s="55">
        <v>15.157718400000002</v>
      </c>
      <c r="Y72" s="55">
        <v>10.793138400000002</v>
      </c>
      <c r="DA72" s="101" t="s">
        <v>224</v>
      </c>
    </row>
    <row r="73" spans="1:105" ht="12" customHeight="1" x14ac:dyDescent="0.25">
      <c r="A73" s="61" t="s">
        <v>50</v>
      </c>
      <c r="B73" s="55">
        <v>0</v>
      </c>
      <c r="C73" s="55">
        <v>0</v>
      </c>
      <c r="D73" s="55">
        <v>0</v>
      </c>
      <c r="E73" s="55">
        <v>0</v>
      </c>
      <c r="F73" s="55">
        <v>0</v>
      </c>
      <c r="G73" s="55">
        <v>0</v>
      </c>
      <c r="H73" s="55">
        <v>0</v>
      </c>
      <c r="I73" s="55">
        <v>0</v>
      </c>
      <c r="J73" s="55">
        <v>0</v>
      </c>
      <c r="K73" s="55">
        <v>0</v>
      </c>
      <c r="L73" s="55">
        <v>0</v>
      </c>
      <c r="M73" s="55">
        <v>0</v>
      </c>
      <c r="N73" s="55">
        <v>0</v>
      </c>
      <c r="O73" s="55">
        <v>0</v>
      </c>
      <c r="P73" s="55">
        <v>0</v>
      </c>
      <c r="Q73" s="55">
        <v>0</v>
      </c>
      <c r="R73" s="55">
        <v>0</v>
      </c>
      <c r="S73" s="55">
        <v>0</v>
      </c>
      <c r="T73" s="55">
        <v>0</v>
      </c>
      <c r="U73" s="55">
        <v>0</v>
      </c>
      <c r="V73" s="55">
        <v>0</v>
      </c>
      <c r="W73" s="55">
        <v>0</v>
      </c>
      <c r="X73" s="55">
        <v>0</v>
      </c>
      <c r="Y73" s="55">
        <v>0</v>
      </c>
      <c r="DA73" s="101" t="s">
        <v>225</v>
      </c>
    </row>
    <row r="74" spans="1:105" ht="12" customHeight="1" x14ac:dyDescent="0.25">
      <c r="A74" s="61" t="s">
        <v>49</v>
      </c>
      <c r="B74" s="55">
        <v>0</v>
      </c>
      <c r="C74" s="55">
        <v>0</v>
      </c>
      <c r="D74" s="55">
        <v>0</v>
      </c>
      <c r="E74" s="55">
        <v>0</v>
      </c>
      <c r="F74" s="55">
        <v>0</v>
      </c>
      <c r="G74" s="55">
        <v>0</v>
      </c>
      <c r="H74" s="55">
        <v>0</v>
      </c>
      <c r="I74" s="55">
        <v>0</v>
      </c>
      <c r="J74" s="55">
        <v>0</v>
      </c>
      <c r="K74" s="55">
        <v>0</v>
      </c>
      <c r="L74" s="55">
        <v>0</v>
      </c>
      <c r="M74" s="55">
        <v>0</v>
      </c>
      <c r="N74" s="55">
        <v>0</v>
      </c>
      <c r="O74" s="55">
        <v>0</v>
      </c>
      <c r="P74" s="55">
        <v>0</v>
      </c>
      <c r="Q74" s="55">
        <v>0</v>
      </c>
      <c r="R74" s="55">
        <v>0</v>
      </c>
      <c r="S74" s="55">
        <v>0</v>
      </c>
      <c r="T74" s="55">
        <v>0</v>
      </c>
      <c r="U74" s="55">
        <v>0</v>
      </c>
      <c r="V74" s="55">
        <v>0</v>
      </c>
      <c r="W74" s="55">
        <v>0</v>
      </c>
      <c r="X74" s="55">
        <v>0</v>
      </c>
      <c r="Y74" s="55">
        <v>0</v>
      </c>
      <c r="DA74" s="101" t="s">
        <v>226</v>
      </c>
    </row>
    <row r="75" spans="1:105" ht="12" customHeight="1" x14ac:dyDescent="0.25">
      <c r="A75" s="61" t="s">
        <v>26</v>
      </c>
      <c r="B75" s="55">
        <v>0</v>
      </c>
      <c r="C75" s="55">
        <v>0</v>
      </c>
      <c r="D75" s="55">
        <v>0</v>
      </c>
      <c r="E75" s="55">
        <v>0</v>
      </c>
      <c r="F75" s="55">
        <v>0</v>
      </c>
      <c r="G75" s="55">
        <v>0</v>
      </c>
      <c r="H75" s="55">
        <v>0</v>
      </c>
      <c r="I75" s="55">
        <v>0</v>
      </c>
      <c r="J75" s="55">
        <v>0</v>
      </c>
      <c r="K75" s="55">
        <v>0</v>
      </c>
      <c r="L75" s="55">
        <v>0</v>
      </c>
      <c r="M75" s="55">
        <v>0</v>
      </c>
      <c r="N75" s="55">
        <v>0</v>
      </c>
      <c r="O75" s="55">
        <v>0</v>
      </c>
      <c r="P75" s="55">
        <v>0</v>
      </c>
      <c r="Q75" s="55">
        <v>0</v>
      </c>
      <c r="R75" s="55">
        <v>0</v>
      </c>
      <c r="S75" s="55">
        <v>0</v>
      </c>
      <c r="T75" s="55">
        <v>0</v>
      </c>
      <c r="U75" s="55">
        <v>0</v>
      </c>
      <c r="V75" s="55">
        <v>0</v>
      </c>
      <c r="W75" s="55">
        <v>0</v>
      </c>
      <c r="X75" s="55">
        <v>0</v>
      </c>
      <c r="Y75" s="55">
        <v>0</v>
      </c>
      <c r="DA75" s="101" t="s">
        <v>227</v>
      </c>
    </row>
    <row r="76" spans="1:105" ht="12" customHeight="1" x14ac:dyDescent="0.25">
      <c r="A76" s="61" t="s">
        <v>25</v>
      </c>
      <c r="B76" s="55">
        <v>0</v>
      </c>
      <c r="C76" s="55">
        <v>0</v>
      </c>
      <c r="D76" s="55">
        <v>0</v>
      </c>
      <c r="E76" s="55">
        <v>0</v>
      </c>
      <c r="F76" s="55">
        <v>0</v>
      </c>
      <c r="G76" s="55">
        <v>0</v>
      </c>
      <c r="H76" s="55">
        <v>0</v>
      </c>
      <c r="I76" s="55">
        <v>0</v>
      </c>
      <c r="J76" s="55">
        <v>0</v>
      </c>
      <c r="K76" s="55">
        <v>0</v>
      </c>
      <c r="L76" s="55">
        <v>0</v>
      </c>
      <c r="M76" s="55">
        <v>0</v>
      </c>
      <c r="N76" s="55">
        <v>0</v>
      </c>
      <c r="O76" s="55">
        <v>0</v>
      </c>
      <c r="P76" s="55">
        <v>0</v>
      </c>
      <c r="Q76" s="55">
        <v>0</v>
      </c>
      <c r="R76" s="55">
        <v>0</v>
      </c>
      <c r="S76" s="55">
        <v>0</v>
      </c>
      <c r="T76" s="55">
        <v>0</v>
      </c>
      <c r="U76" s="55">
        <v>0</v>
      </c>
      <c r="V76" s="55">
        <v>0</v>
      </c>
      <c r="W76" s="55">
        <v>0</v>
      </c>
      <c r="X76" s="55">
        <v>0</v>
      </c>
      <c r="Y76" s="55">
        <v>0</v>
      </c>
      <c r="DA76" s="101" t="s">
        <v>228</v>
      </c>
    </row>
    <row r="77" spans="1:105" ht="12" customHeight="1" x14ac:dyDescent="0.25">
      <c r="A77" s="61" t="s">
        <v>151</v>
      </c>
      <c r="B77" s="55"/>
      <c r="C77" s="55"/>
      <c r="D77" s="55"/>
      <c r="E77" s="55"/>
      <c r="F77" s="55"/>
      <c r="G77" s="55"/>
      <c r="H77" s="55"/>
      <c r="I77" s="55"/>
      <c r="J77" s="55"/>
      <c r="K77" s="55"/>
      <c r="L77" s="55"/>
      <c r="M77" s="55"/>
      <c r="N77" s="55"/>
      <c r="O77" s="55"/>
      <c r="P77" s="55"/>
      <c r="Q77" s="55"/>
      <c r="R77" s="55"/>
      <c r="S77" s="55"/>
      <c r="T77" s="55"/>
      <c r="U77" s="55"/>
      <c r="V77" s="55"/>
      <c r="W77" s="55"/>
      <c r="X77" s="55"/>
      <c r="Y77" s="55"/>
      <c r="DA77" s="101" t="s">
        <v>229</v>
      </c>
    </row>
    <row r="78" spans="1:105" ht="12" customHeight="1" x14ac:dyDescent="0.25">
      <c r="A78" s="60" t="s">
        <v>162</v>
      </c>
      <c r="B78" s="55">
        <v>0</v>
      </c>
      <c r="C78" s="55">
        <v>0</v>
      </c>
      <c r="D78" s="55">
        <v>0</v>
      </c>
      <c r="E78" s="55">
        <v>0</v>
      </c>
      <c r="F78" s="55">
        <v>0</v>
      </c>
      <c r="G78" s="55">
        <v>0</v>
      </c>
      <c r="H78" s="55">
        <v>0</v>
      </c>
      <c r="I78" s="55">
        <v>0</v>
      </c>
      <c r="J78" s="55">
        <v>0</v>
      </c>
      <c r="K78" s="55">
        <v>0</v>
      </c>
      <c r="L78" s="55">
        <v>0</v>
      </c>
      <c r="M78" s="55">
        <v>0</v>
      </c>
      <c r="N78" s="55">
        <v>0</v>
      </c>
      <c r="O78" s="55">
        <v>0</v>
      </c>
      <c r="P78" s="55">
        <v>0</v>
      </c>
      <c r="Q78" s="55">
        <v>0</v>
      </c>
      <c r="R78" s="55">
        <v>0</v>
      </c>
      <c r="S78" s="55">
        <v>0</v>
      </c>
      <c r="T78" s="55">
        <v>0</v>
      </c>
      <c r="U78" s="55">
        <v>0</v>
      </c>
      <c r="V78" s="55">
        <v>0</v>
      </c>
      <c r="W78" s="55">
        <v>0</v>
      </c>
      <c r="X78" s="55">
        <v>0</v>
      </c>
      <c r="Y78" s="55">
        <v>0</v>
      </c>
      <c r="DA78" s="101" t="s">
        <v>230</v>
      </c>
    </row>
    <row r="79" spans="1:105" ht="12" customHeight="1" x14ac:dyDescent="0.25">
      <c r="A79" s="62" t="s">
        <v>24</v>
      </c>
      <c r="B79" s="63">
        <v>0</v>
      </c>
      <c r="C79" s="63">
        <v>0</v>
      </c>
      <c r="D79" s="63">
        <v>0</v>
      </c>
      <c r="E79" s="63">
        <v>0</v>
      </c>
      <c r="F79" s="63">
        <v>0</v>
      </c>
      <c r="G79" s="63">
        <v>0</v>
      </c>
      <c r="H79" s="63">
        <v>0</v>
      </c>
      <c r="I79" s="63">
        <v>0</v>
      </c>
      <c r="J79" s="63">
        <v>0</v>
      </c>
      <c r="K79" s="63">
        <v>0</v>
      </c>
      <c r="L79" s="63">
        <v>0</v>
      </c>
      <c r="M79" s="63">
        <v>0</v>
      </c>
      <c r="N79" s="63">
        <v>0</v>
      </c>
      <c r="O79" s="63">
        <v>0</v>
      </c>
      <c r="P79" s="63">
        <v>0</v>
      </c>
      <c r="Q79" s="63">
        <v>0</v>
      </c>
      <c r="R79" s="63">
        <v>0</v>
      </c>
      <c r="S79" s="63">
        <v>0</v>
      </c>
      <c r="T79" s="63">
        <v>0</v>
      </c>
      <c r="U79" s="63">
        <v>0</v>
      </c>
      <c r="V79" s="63">
        <v>0</v>
      </c>
      <c r="W79" s="63">
        <v>0</v>
      </c>
      <c r="X79" s="63">
        <v>0</v>
      </c>
      <c r="Y79" s="63">
        <v>0</v>
      </c>
      <c r="DA79" s="105" t="s">
        <v>231</v>
      </c>
    </row>
    <row r="80" spans="1:105" s="2" customFormat="1" ht="12" customHeight="1" x14ac:dyDescent="0.25">
      <c r="DA80" s="7"/>
    </row>
    <row r="81" spans="1:105" ht="12.95" customHeight="1" x14ac:dyDescent="0.25">
      <c r="A81" s="81" t="s">
        <v>48</v>
      </c>
      <c r="B81" s="82">
        <f t="shared" ref="B81" si="64">B82+B87</f>
        <v>869.48848054144923</v>
      </c>
      <c r="C81" s="82">
        <f t="shared" ref="C81:W81" si="65">C82+C87</f>
        <v>1645.0980619481954</v>
      </c>
      <c r="D81" s="82">
        <f t="shared" si="65"/>
        <v>957.00336662311804</v>
      </c>
      <c r="E81" s="82">
        <f t="shared" si="65"/>
        <v>1885.5166975814482</v>
      </c>
      <c r="F81" s="82">
        <f t="shared" si="65"/>
        <v>3038.457075683983</v>
      </c>
      <c r="G81" s="82">
        <f t="shared" si="65"/>
        <v>3262.8269449729901</v>
      </c>
      <c r="H81" s="82">
        <f t="shared" si="65"/>
        <v>4550.7442463086663</v>
      </c>
      <c r="I81" s="82">
        <f t="shared" si="65"/>
        <v>3858.5579198097244</v>
      </c>
      <c r="J81" s="82">
        <f t="shared" si="65"/>
        <v>2765.3593114936511</v>
      </c>
      <c r="K81" s="82">
        <f t="shared" si="65"/>
        <v>2576.4760722199485</v>
      </c>
      <c r="L81" s="82">
        <f t="shared" si="65"/>
        <v>2631.3223680036626</v>
      </c>
      <c r="M81" s="82">
        <f t="shared" si="65"/>
        <v>2560.7860253701028</v>
      </c>
      <c r="N81" s="82">
        <f t="shared" si="65"/>
        <v>2494.3138703667796</v>
      </c>
      <c r="O81" s="82">
        <f t="shared" si="65"/>
        <v>2434.1722395018201</v>
      </c>
      <c r="P81" s="82">
        <f t="shared" si="65"/>
        <v>2424.3160007712172</v>
      </c>
      <c r="Q81" s="82">
        <f t="shared" si="65"/>
        <v>2416.51632807132</v>
      </c>
      <c r="R81" s="82">
        <f t="shared" si="65"/>
        <v>2445.1249419428</v>
      </c>
      <c r="S81" s="82">
        <f t="shared" si="65"/>
        <v>2788.733032258302</v>
      </c>
      <c r="T81" s="82">
        <f t="shared" si="65"/>
        <v>2842.7295704234402</v>
      </c>
      <c r="U81" s="82">
        <f t="shared" si="65"/>
        <v>2840.8308477708715</v>
      </c>
      <c r="V81" s="82">
        <f t="shared" si="65"/>
        <v>2665.2492810172589</v>
      </c>
      <c r="W81" s="82">
        <f t="shared" si="65"/>
        <v>3082.5978336277994</v>
      </c>
      <c r="X81" s="82">
        <f t="shared" ref="X81:Y81" si="66">X82+X87</f>
        <v>3233.4457184541548</v>
      </c>
      <c r="Y81" s="82">
        <f t="shared" si="66"/>
        <v>3409.6610199339448</v>
      </c>
      <c r="DA81" s="107" t="s">
        <v>232</v>
      </c>
    </row>
    <row r="82" spans="1:105" ht="12" customHeight="1" x14ac:dyDescent="0.25">
      <c r="A82" s="77" t="s">
        <v>36</v>
      </c>
      <c r="B82" s="64">
        <f t="shared" ref="B82" si="67">SUM(B83:B86)</f>
        <v>869.48848054144923</v>
      </c>
      <c r="C82" s="64">
        <f t="shared" ref="C82:W82" si="68">SUM(C83:C86)</f>
        <v>1645.0980619481954</v>
      </c>
      <c r="D82" s="64">
        <f t="shared" si="68"/>
        <v>957.00336662311804</v>
      </c>
      <c r="E82" s="64">
        <f t="shared" si="68"/>
        <v>1885.5166975814482</v>
      </c>
      <c r="F82" s="64">
        <f t="shared" si="68"/>
        <v>3038.457075683983</v>
      </c>
      <c r="G82" s="64">
        <f t="shared" si="68"/>
        <v>3262.8269449729901</v>
      </c>
      <c r="H82" s="64">
        <f t="shared" si="68"/>
        <v>4550.7442463086663</v>
      </c>
      <c r="I82" s="64">
        <f t="shared" si="68"/>
        <v>3858.5579198097244</v>
      </c>
      <c r="J82" s="64">
        <f t="shared" si="68"/>
        <v>2765.3593114936511</v>
      </c>
      <c r="K82" s="64">
        <f t="shared" si="68"/>
        <v>2576.4760722199485</v>
      </c>
      <c r="L82" s="64">
        <f t="shared" si="68"/>
        <v>2631.3223680036626</v>
      </c>
      <c r="M82" s="64">
        <f t="shared" si="68"/>
        <v>2560.7860253701028</v>
      </c>
      <c r="N82" s="64">
        <f t="shared" si="68"/>
        <v>2494.3138703667796</v>
      </c>
      <c r="O82" s="64">
        <f t="shared" si="68"/>
        <v>2434.1722395018201</v>
      </c>
      <c r="P82" s="64">
        <f t="shared" si="68"/>
        <v>2424.3160007712172</v>
      </c>
      <c r="Q82" s="64">
        <f t="shared" si="68"/>
        <v>2416.51632807132</v>
      </c>
      <c r="R82" s="64">
        <f t="shared" si="68"/>
        <v>2445.1249419428</v>
      </c>
      <c r="S82" s="64">
        <f t="shared" si="68"/>
        <v>2788.733032258302</v>
      </c>
      <c r="T82" s="64">
        <f t="shared" si="68"/>
        <v>2842.7295704234402</v>
      </c>
      <c r="U82" s="64">
        <f t="shared" si="68"/>
        <v>2840.8308477708715</v>
      </c>
      <c r="V82" s="64">
        <f t="shared" si="68"/>
        <v>2665.2492810172589</v>
      </c>
      <c r="W82" s="64">
        <f t="shared" si="68"/>
        <v>3082.5978336277994</v>
      </c>
      <c r="X82" s="64">
        <f t="shared" ref="X82:Y82" si="69">SUM(X83:X86)</f>
        <v>3233.4457184541548</v>
      </c>
      <c r="Y82" s="64">
        <f t="shared" si="69"/>
        <v>3409.6610199339448</v>
      </c>
      <c r="DA82" s="108" t="s">
        <v>233</v>
      </c>
    </row>
    <row r="83" spans="1:105" ht="12" customHeight="1" x14ac:dyDescent="0.25">
      <c r="A83" s="61" t="s">
        <v>32</v>
      </c>
      <c r="B83" s="65">
        <v>682.1389436030455</v>
      </c>
      <c r="C83" s="65">
        <v>1451.7570321764615</v>
      </c>
      <c r="D83" s="65">
        <v>759.74916480156094</v>
      </c>
      <c r="E83" s="65">
        <v>1450.3868983852426</v>
      </c>
      <c r="F83" s="65">
        <v>2258.237963130804</v>
      </c>
      <c r="G83" s="65">
        <v>2454.5684487269141</v>
      </c>
      <c r="H83" s="65">
        <v>3764.2321335592587</v>
      </c>
      <c r="I83" s="65">
        <v>3016.4587365880079</v>
      </c>
      <c r="J83" s="65">
        <v>2161.4178205189428</v>
      </c>
      <c r="K83" s="65">
        <v>1927.109935950567</v>
      </c>
      <c r="L83" s="65">
        <v>1968.4287611156806</v>
      </c>
      <c r="M83" s="65">
        <v>1947.9468004001978</v>
      </c>
      <c r="N83" s="65">
        <v>1871.5140800486038</v>
      </c>
      <c r="O83" s="65">
        <v>1762.7538240669635</v>
      </c>
      <c r="P83" s="65">
        <v>1706.964948457631</v>
      </c>
      <c r="Q83" s="65">
        <v>1619.4517947400666</v>
      </c>
      <c r="R83" s="65">
        <v>1636.9555276701101</v>
      </c>
      <c r="S83" s="65">
        <v>1884.8583208642401</v>
      </c>
      <c r="T83" s="65">
        <v>1937.4516698675375</v>
      </c>
      <c r="U83" s="65">
        <v>1934.658684182747</v>
      </c>
      <c r="V83" s="65">
        <v>1793.8108395379631</v>
      </c>
      <c r="W83" s="65">
        <v>2127.0447525624736</v>
      </c>
      <c r="X83" s="65">
        <v>2286.9408951465284</v>
      </c>
      <c r="Y83" s="65">
        <v>2483.7197547091955</v>
      </c>
      <c r="DA83" s="109" t="s">
        <v>234</v>
      </c>
    </row>
    <row r="84" spans="1:105" ht="12" customHeight="1" x14ac:dyDescent="0.25">
      <c r="A84" s="61" t="s">
        <v>31</v>
      </c>
      <c r="B84" s="65">
        <v>0</v>
      </c>
      <c r="C84" s="65">
        <v>0</v>
      </c>
      <c r="D84" s="65">
        <v>0</v>
      </c>
      <c r="E84" s="65">
        <v>0</v>
      </c>
      <c r="F84" s="65">
        <v>0</v>
      </c>
      <c r="G84" s="65">
        <v>0</v>
      </c>
      <c r="H84" s="65">
        <v>0</v>
      </c>
      <c r="I84" s="65">
        <v>0</v>
      </c>
      <c r="J84" s="65">
        <v>0</v>
      </c>
      <c r="K84" s="65">
        <v>0</v>
      </c>
      <c r="L84" s="65">
        <v>0</v>
      </c>
      <c r="M84" s="65">
        <v>0</v>
      </c>
      <c r="N84" s="65">
        <v>0</v>
      </c>
      <c r="O84" s="65">
        <v>0</v>
      </c>
      <c r="P84" s="65">
        <v>0</v>
      </c>
      <c r="Q84" s="65">
        <v>0</v>
      </c>
      <c r="R84" s="65">
        <v>0</v>
      </c>
      <c r="S84" s="65">
        <v>0</v>
      </c>
      <c r="T84" s="65">
        <v>0</v>
      </c>
      <c r="U84" s="65">
        <v>0</v>
      </c>
      <c r="V84" s="65">
        <v>0</v>
      </c>
      <c r="W84" s="65">
        <v>0</v>
      </c>
      <c r="X84" s="65">
        <v>0</v>
      </c>
      <c r="Y84" s="65">
        <v>0</v>
      </c>
      <c r="DA84" s="109" t="s">
        <v>235</v>
      </c>
    </row>
    <row r="85" spans="1:105" ht="12" customHeight="1" x14ac:dyDescent="0.25">
      <c r="A85" s="61" t="s">
        <v>35</v>
      </c>
      <c r="B85" s="65">
        <v>46.841397457980214</v>
      </c>
      <c r="C85" s="65">
        <v>53.435844527237158</v>
      </c>
      <c r="D85" s="65">
        <v>100.97663705848115</v>
      </c>
      <c r="E85" s="65">
        <v>175.27207316037919</v>
      </c>
      <c r="F85" s="65">
        <v>275.45705734057293</v>
      </c>
      <c r="G85" s="65">
        <v>279.44618384935774</v>
      </c>
      <c r="H85" s="65">
        <v>284.34696803006585</v>
      </c>
      <c r="I85" s="65">
        <v>252.46277214409824</v>
      </c>
      <c r="J85" s="65">
        <v>223.94782236780918</v>
      </c>
      <c r="K85" s="65">
        <v>303.72674287835991</v>
      </c>
      <c r="L85" s="65">
        <v>303.64914129621224</v>
      </c>
      <c r="M85" s="65">
        <v>281.86344224074605</v>
      </c>
      <c r="N85" s="65">
        <v>292.89086410909744</v>
      </c>
      <c r="O85" s="65">
        <v>331.62642747022574</v>
      </c>
      <c r="P85" s="65">
        <v>363.99510666014993</v>
      </c>
      <c r="Q85" s="65">
        <v>394.94118793485711</v>
      </c>
      <c r="R85" s="65">
        <v>409.92085421203211</v>
      </c>
      <c r="S85" s="65">
        <v>467.69832069748395</v>
      </c>
      <c r="T85" s="65">
        <v>469.28394242832564</v>
      </c>
      <c r="U85" s="65">
        <v>462.64676646212217</v>
      </c>
      <c r="V85" s="65">
        <v>448.71151219870438</v>
      </c>
      <c r="W85" s="65">
        <v>523.13977956523456</v>
      </c>
      <c r="X85" s="65">
        <v>512.37724589417871</v>
      </c>
      <c r="Y85" s="65">
        <v>493.22160119612545</v>
      </c>
      <c r="DA85" s="109" t="s">
        <v>236</v>
      </c>
    </row>
    <row r="86" spans="1:105" ht="12" customHeight="1" x14ac:dyDescent="0.25">
      <c r="A86" s="66" t="s">
        <v>34</v>
      </c>
      <c r="B86" s="67">
        <v>140.50813948042358</v>
      </c>
      <c r="C86" s="67">
        <v>139.90518524449681</v>
      </c>
      <c r="D86" s="67">
        <v>96.277564763075901</v>
      </c>
      <c r="E86" s="67">
        <v>259.85772603582632</v>
      </c>
      <c r="F86" s="67">
        <v>504.76205521260601</v>
      </c>
      <c r="G86" s="67">
        <v>528.81231239671843</v>
      </c>
      <c r="H86" s="67">
        <v>502.16514471934204</v>
      </c>
      <c r="I86" s="67">
        <v>589.63641107761805</v>
      </c>
      <c r="J86" s="67">
        <v>379.99366860689884</v>
      </c>
      <c r="K86" s="67">
        <v>345.6393933910216</v>
      </c>
      <c r="L86" s="67">
        <v>359.2444655917696</v>
      </c>
      <c r="M86" s="67">
        <v>330.97578272915865</v>
      </c>
      <c r="N86" s="67">
        <v>329.9089262090784</v>
      </c>
      <c r="O86" s="67">
        <v>339.79198796463123</v>
      </c>
      <c r="P86" s="67">
        <v>353.35594565343632</v>
      </c>
      <c r="Q86" s="67">
        <v>402.12334539639653</v>
      </c>
      <c r="R86" s="67">
        <v>398.24856006065789</v>
      </c>
      <c r="S86" s="67">
        <v>436.17639069657798</v>
      </c>
      <c r="T86" s="67">
        <v>435.99395812757706</v>
      </c>
      <c r="U86" s="67">
        <v>443.5253971260023</v>
      </c>
      <c r="V86" s="67">
        <v>422.72692928059132</v>
      </c>
      <c r="W86" s="67">
        <v>432.41330150009139</v>
      </c>
      <c r="X86" s="67">
        <v>434.12757741344802</v>
      </c>
      <c r="Y86" s="67">
        <v>432.7196640286237</v>
      </c>
      <c r="DA86" s="110" t="s">
        <v>237</v>
      </c>
    </row>
    <row r="87" spans="1:105" ht="12" customHeight="1" x14ac:dyDescent="0.25">
      <c r="A87" s="78" t="s">
        <v>33</v>
      </c>
      <c r="B87" s="68">
        <v>0</v>
      </c>
      <c r="C87" s="68">
        <v>0</v>
      </c>
      <c r="D87" s="68">
        <v>0</v>
      </c>
      <c r="E87" s="68">
        <v>0</v>
      </c>
      <c r="F87" s="68">
        <v>0</v>
      </c>
      <c r="G87" s="68">
        <v>0</v>
      </c>
      <c r="H87" s="68">
        <v>0</v>
      </c>
      <c r="I87" s="68">
        <v>0</v>
      </c>
      <c r="J87" s="68">
        <v>0</v>
      </c>
      <c r="K87" s="68">
        <v>0</v>
      </c>
      <c r="L87" s="68">
        <v>0</v>
      </c>
      <c r="M87" s="68">
        <v>0</v>
      </c>
      <c r="N87" s="68">
        <v>0</v>
      </c>
      <c r="O87" s="68">
        <v>0</v>
      </c>
      <c r="P87" s="68">
        <v>0</v>
      </c>
      <c r="Q87" s="68">
        <v>0</v>
      </c>
      <c r="R87" s="68">
        <v>0</v>
      </c>
      <c r="S87" s="68">
        <v>0</v>
      </c>
      <c r="T87" s="68">
        <v>0</v>
      </c>
      <c r="U87" s="68">
        <v>0</v>
      </c>
      <c r="V87" s="68">
        <v>0</v>
      </c>
      <c r="W87" s="68">
        <v>0</v>
      </c>
      <c r="X87" s="68">
        <v>0</v>
      </c>
      <c r="Y87" s="68">
        <v>0</v>
      </c>
      <c r="DA87" s="111" t="s">
        <v>238</v>
      </c>
    </row>
    <row r="88" spans="1:105" s="2" customFormat="1" ht="12" customHeight="1" x14ac:dyDescent="0.25">
      <c r="DA88" s="7"/>
    </row>
    <row r="89" spans="1:105" ht="12.95" customHeight="1" x14ac:dyDescent="0.25">
      <c r="A89" s="79" t="s">
        <v>47</v>
      </c>
      <c r="B89" s="83">
        <f t="shared" ref="B89" si="70">IF(B81=0,0,B81/B$81)</f>
        <v>1</v>
      </c>
      <c r="C89" s="83">
        <f t="shared" ref="C89:W89" si="71">IF(C81=0,0,C81/C$81)</f>
        <v>1</v>
      </c>
      <c r="D89" s="83">
        <f t="shared" si="71"/>
        <v>1</v>
      </c>
      <c r="E89" s="83">
        <f t="shared" si="71"/>
        <v>1</v>
      </c>
      <c r="F89" s="83">
        <f t="shared" si="71"/>
        <v>1</v>
      </c>
      <c r="G89" s="83">
        <f t="shared" si="71"/>
        <v>1</v>
      </c>
      <c r="H89" s="83">
        <f t="shared" si="71"/>
        <v>1</v>
      </c>
      <c r="I89" s="83">
        <f t="shared" si="71"/>
        <v>1</v>
      </c>
      <c r="J89" s="83">
        <f t="shared" si="71"/>
        <v>1</v>
      </c>
      <c r="K89" s="83">
        <f t="shared" si="71"/>
        <v>1</v>
      </c>
      <c r="L89" s="83">
        <f t="shared" si="71"/>
        <v>1</v>
      </c>
      <c r="M89" s="83">
        <f t="shared" si="71"/>
        <v>1</v>
      </c>
      <c r="N89" s="83">
        <f t="shared" si="71"/>
        <v>1</v>
      </c>
      <c r="O89" s="83">
        <f t="shared" si="71"/>
        <v>1</v>
      </c>
      <c r="P89" s="83">
        <f t="shared" si="71"/>
        <v>1</v>
      </c>
      <c r="Q89" s="83">
        <f t="shared" si="71"/>
        <v>1</v>
      </c>
      <c r="R89" s="83">
        <f t="shared" si="71"/>
        <v>1</v>
      </c>
      <c r="S89" s="83">
        <f t="shared" si="71"/>
        <v>1</v>
      </c>
      <c r="T89" s="83">
        <f t="shared" si="71"/>
        <v>1</v>
      </c>
      <c r="U89" s="83">
        <f t="shared" si="71"/>
        <v>1</v>
      </c>
      <c r="V89" s="83">
        <f t="shared" si="71"/>
        <v>1</v>
      </c>
      <c r="W89" s="83">
        <f t="shared" si="71"/>
        <v>1</v>
      </c>
      <c r="X89" s="83">
        <f t="shared" ref="X89:Y89" si="72">IF(X81=0,0,X81/X$81)</f>
        <v>1</v>
      </c>
      <c r="Y89" s="83">
        <f t="shared" si="72"/>
        <v>1</v>
      </c>
      <c r="DA89" s="112"/>
    </row>
    <row r="90" spans="1:105" ht="12" customHeight="1" x14ac:dyDescent="0.25">
      <c r="A90" s="69" t="s">
        <v>36</v>
      </c>
      <c r="B90" s="70">
        <f t="shared" ref="B90" si="73">IF(B82=0,0,B82/B$81)</f>
        <v>1</v>
      </c>
      <c r="C90" s="70">
        <f t="shared" ref="C90:W90" si="74">IF(C82=0,0,C82/C$81)</f>
        <v>1</v>
      </c>
      <c r="D90" s="70">
        <f t="shared" si="74"/>
        <v>1</v>
      </c>
      <c r="E90" s="70">
        <f t="shared" si="74"/>
        <v>1</v>
      </c>
      <c r="F90" s="70">
        <f t="shared" si="74"/>
        <v>1</v>
      </c>
      <c r="G90" s="70">
        <f t="shared" si="74"/>
        <v>1</v>
      </c>
      <c r="H90" s="70">
        <f t="shared" si="74"/>
        <v>1</v>
      </c>
      <c r="I90" s="70">
        <f t="shared" si="74"/>
        <v>1</v>
      </c>
      <c r="J90" s="70">
        <f t="shared" si="74"/>
        <v>1</v>
      </c>
      <c r="K90" s="70">
        <f t="shared" si="74"/>
        <v>1</v>
      </c>
      <c r="L90" s="70">
        <f t="shared" si="74"/>
        <v>1</v>
      </c>
      <c r="M90" s="70">
        <f t="shared" si="74"/>
        <v>1</v>
      </c>
      <c r="N90" s="70">
        <f t="shared" si="74"/>
        <v>1</v>
      </c>
      <c r="O90" s="70">
        <f t="shared" si="74"/>
        <v>1</v>
      </c>
      <c r="P90" s="70">
        <f t="shared" si="74"/>
        <v>1</v>
      </c>
      <c r="Q90" s="70">
        <f t="shared" si="74"/>
        <v>1</v>
      </c>
      <c r="R90" s="70">
        <f t="shared" si="74"/>
        <v>1</v>
      </c>
      <c r="S90" s="70">
        <f t="shared" si="74"/>
        <v>1</v>
      </c>
      <c r="T90" s="70">
        <f t="shared" si="74"/>
        <v>1</v>
      </c>
      <c r="U90" s="70">
        <f t="shared" si="74"/>
        <v>1</v>
      </c>
      <c r="V90" s="70">
        <f t="shared" si="74"/>
        <v>1</v>
      </c>
      <c r="W90" s="70">
        <f t="shared" si="74"/>
        <v>1</v>
      </c>
      <c r="X90" s="70">
        <f t="shared" ref="X90:Y90" si="75">IF(X82=0,0,X82/X$81)</f>
        <v>1</v>
      </c>
      <c r="Y90" s="70">
        <f t="shared" si="75"/>
        <v>1</v>
      </c>
      <c r="DA90" s="113"/>
    </row>
    <row r="91" spans="1:105" ht="12" customHeight="1" x14ac:dyDescent="0.25">
      <c r="A91" s="61" t="s">
        <v>32</v>
      </c>
      <c r="B91" s="71">
        <f t="shared" ref="B91" si="76">IF(B83=0,0,B83/B$81)</f>
        <v>0.78452901777176265</v>
      </c>
      <c r="C91" s="71">
        <f t="shared" ref="C91:W91" si="77">IF(C83=0,0,C83/C$81)</f>
        <v>0.88247446505239258</v>
      </c>
      <c r="D91" s="71">
        <f t="shared" si="77"/>
        <v>0.79388348181303869</v>
      </c>
      <c r="E91" s="71">
        <f t="shared" si="77"/>
        <v>0.76922516795828622</v>
      </c>
      <c r="F91" s="71">
        <f t="shared" si="77"/>
        <v>0.74321864909757041</v>
      </c>
      <c r="G91" s="71">
        <f t="shared" si="77"/>
        <v>0.75228275667780875</v>
      </c>
      <c r="H91" s="71">
        <f t="shared" si="77"/>
        <v>0.82716846516097087</v>
      </c>
      <c r="I91" s="71">
        <f t="shared" si="77"/>
        <v>0.781758055542356</v>
      </c>
      <c r="J91" s="71">
        <f t="shared" si="77"/>
        <v>0.78160469474453143</v>
      </c>
      <c r="K91" s="71">
        <f t="shared" si="77"/>
        <v>0.74796345160315292</v>
      </c>
      <c r="L91" s="71">
        <f t="shared" si="77"/>
        <v>0.74807586673961668</v>
      </c>
      <c r="M91" s="71">
        <f t="shared" si="77"/>
        <v>0.76068315786699392</v>
      </c>
      <c r="N91" s="71">
        <f t="shared" si="77"/>
        <v>0.75031218094994778</v>
      </c>
      <c r="O91" s="71">
        <f t="shared" si="77"/>
        <v>0.72416971792749152</v>
      </c>
      <c r="P91" s="71">
        <f t="shared" si="77"/>
        <v>0.70410167152904801</v>
      </c>
      <c r="Q91" s="71">
        <f t="shared" si="77"/>
        <v>0.67015967404308419</v>
      </c>
      <c r="R91" s="71">
        <f t="shared" si="77"/>
        <v>0.66947725230329114</v>
      </c>
      <c r="S91" s="71">
        <f t="shared" si="77"/>
        <v>0.67588338469885423</v>
      </c>
      <c r="T91" s="71">
        <f t="shared" si="77"/>
        <v>0.68154624696817134</v>
      </c>
      <c r="U91" s="71">
        <f t="shared" si="77"/>
        <v>0.68101861316411183</v>
      </c>
      <c r="V91" s="71">
        <f t="shared" si="77"/>
        <v>0.67303679708837982</v>
      </c>
      <c r="W91" s="71">
        <f t="shared" si="77"/>
        <v>0.69001694913255374</v>
      </c>
      <c r="X91" s="71">
        <f t="shared" ref="X91:Y91" si="78">IF(X83=0,0,X83/X$81)</f>
        <v>0.70727672405147679</v>
      </c>
      <c r="Y91" s="71">
        <f t="shared" si="78"/>
        <v>0.72843597653508452</v>
      </c>
      <c r="DA91" s="114"/>
    </row>
    <row r="92" spans="1:105" ht="12" customHeight="1" x14ac:dyDescent="0.25">
      <c r="A92" s="61" t="s">
        <v>31</v>
      </c>
      <c r="B92" s="72">
        <f t="shared" ref="B92" si="79">IF(B84=0,0,B84/B$81)</f>
        <v>0</v>
      </c>
      <c r="C92" s="72">
        <f t="shared" ref="C92:W92" si="80">IF(C84=0,0,C84/C$81)</f>
        <v>0</v>
      </c>
      <c r="D92" s="72">
        <f t="shared" si="80"/>
        <v>0</v>
      </c>
      <c r="E92" s="72">
        <f t="shared" si="80"/>
        <v>0</v>
      </c>
      <c r="F92" s="72">
        <f t="shared" si="80"/>
        <v>0</v>
      </c>
      <c r="G92" s="72">
        <f t="shared" si="80"/>
        <v>0</v>
      </c>
      <c r="H92" s="72">
        <f t="shared" si="80"/>
        <v>0</v>
      </c>
      <c r="I92" s="72">
        <f t="shared" si="80"/>
        <v>0</v>
      </c>
      <c r="J92" s="72">
        <f t="shared" si="80"/>
        <v>0</v>
      </c>
      <c r="K92" s="72">
        <f t="shared" si="80"/>
        <v>0</v>
      </c>
      <c r="L92" s="72">
        <f t="shared" si="80"/>
        <v>0</v>
      </c>
      <c r="M92" s="72">
        <f t="shared" si="80"/>
        <v>0</v>
      </c>
      <c r="N92" s="72">
        <f t="shared" si="80"/>
        <v>0</v>
      </c>
      <c r="O92" s="72">
        <f t="shared" si="80"/>
        <v>0</v>
      </c>
      <c r="P92" s="72">
        <f t="shared" si="80"/>
        <v>0</v>
      </c>
      <c r="Q92" s="72">
        <f t="shared" si="80"/>
        <v>0</v>
      </c>
      <c r="R92" s="72">
        <f t="shared" si="80"/>
        <v>0</v>
      </c>
      <c r="S92" s="72">
        <f t="shared" si="80"/>
        <v>0</v>
      </c>
      <c r="T92" s="72">
        <f t="shared" si="80"/>
        <v>0</v>
      </c>
      <c r="U92" s="72">
        <f t="shared" si="80"/>
        <v>0</v>
      </c>
      <c r="V92" s="72">
        <f t="shared" si="80"/>
        <v>0</v>
      </c>
      <c r="W92" s="72">
        <f t="shared" si="80"/>
        <v>0</v>
      </c>
      <c r="X92" s="72">
        <f t="shared" ref="X92:Y92" si="81">IF(X84=0,0,X84/X$81)</f>
        <v>0</v>
      </c>
      <c r="Y92" s="72">
        <f t="shared" si="81"/>
        <v>0</v>
      </c>
      <c r="DA92" s="115"/>
    </row>
    <row r="93" spans="1:105" ht="12" customHeight="1" x14ac:dyDescent="0.25">
      <c r="A93" s="61" t="s">
        <v>35</v>
      </c>
      <c r="B93" s="72">
        <f t="shared" ref="B93" si="82">IF(B85=0,0,B85/B$81)</f>
        <v>5.3872361171261367E-2</v>
      </c>
      <c r="C93" s="72">
        <f t="shared" ref="C93:W93" si="83">IF(C85=0,0,C85/C$81)</f>
        <v>3.2481859752455211E-2</v>
      </c>
      <c r="D93" s="72">
        <f t="shared" si="83"/>
        <v>0.10551335614919234</v>
      </c>
      <c r="E93" s="72">
        <f t="shared" si="83"/>
        <v>9.2957051711714159E-2</v>
      </c>
      <c r="F93" s="72">
        <f t="shared" si="83"/>
        <v>9.0656886202206813E-2</v>
      </c>
      <c r="G93" s="72">
        <f t="shared" si="83"/>
        <v>8.5645419926391783E-2</v>
      </c>
      <c r="H93" s="72">
        <f t="shared" si="83"/>
        <v>6.2483618643415027E-2</v>
      </c>
      <c r="I93" s="72">
        <f t="shared" si="83"/>
        <v>6.5429307371015918E-2</v>
      </c>
      <c r="J93" s="72">
        <f t="shared" si="83"/>
        <v>8.0983263707184741E-2</v>
      </c>
      <c r="K93" s="72">
        <f t="shared" si="83"/>
        <v>0.11788455796395667</v>
      </c>
      <c r="L93" s="72">
        <f t="shared" si="83"/>
        <v>0.11539792500855205</v>
      </c>
      <c r="M93" s="72">
        <f t="shared" si="83"/>
        <v>0.11006911137763226</v>
      </c>
      <c r="N93" s="72">
        <f t="shared" si="83"/>
        <v>0.11742341955787181</v>
      </c>
      <c r="O93" s="72">
        <f t="shared" si="83"/>
        <v>0.13623786439126293</v>
      </c>
      <c r="P93" s="72">
        <f t="shared" si="83"/>
        <v>0.15014342459661065</v>
      </c>
      <c r="Q93" s="72">
        <f t="shared" si="83"/>
        <v>0.1634341069195544</v>
      </c>
      <c r="R93" s="72">
        <f t="shared" si="83"/>
        <v>0.16764822409701696</v>
      </c>
      <c r="S93" s="72">
        <f t="shared" si="83"/>
        <v>0.16770996552464693</v>
      </c>
      <c r="T93" s="72">
        <f t="shared" si="83"/>
        <v>0.16508216163467959</v>
      </c>
      <c r="U93" s="72">
        <f t="shared" si="83"/>
        <v>0.16285614711102897</v>
      </c>
      <c r="V93" s="72">
        <f t="shared" si="83"/>
        <v>0.16835630175179803</v>
      </c>
      <c r="W93" s="72">
        <f t="shared" si="83"/>
        <v>0.16970743762236737</v>
      </c>
      <c r="X93" s="72">
        <f t="shared" ref="X93:Y93" si="84">IF(X85=0,0,X85/X$81)</f>
        <v>0.15846168159555063</v>
      </c>
      <c r="Y93" s="72">
        <f t="shared" si="84"/>
        <v>0.14465414547446145</v>
      </c>
      <c r="DA93" s="115"/>
    </row>
    <row r="94" spans="1:105" ht="12" customHeight="1" x14ac:dyDescent="0.25">
      <c r="A94" s="61" t="s">
        <v>34</v>
      </c>
      <c r="B94" s="73">
        <f t="shared" ref="B94" si="85">IF(B86=0,0,B86/B$81)</f>
        <v>0.16159862105697609</v>
      </c>
      <c r="C94" s="73">
        <f t="shared" ref="C94:W94" si="86">IF(C86=0,0,C86/C$81)</f>
        <v>8.5043675195152255E-2</v>
      </c>
      <c r="D94" s="73">
        <f t="shared" si="86"/>
        <v>0.1006031620377689</v>
      </c>
      <c r="E94" s="73">
        <f t="shared" si="86"/>
        <v>0.13781778032999961</v>
      </c>
      <c r="F94" s="73">
        <f t="shared" si="86"/>
        <v>0.1661244647002228</v>
      </c>
      <c r="G94" s="73">
        <f t="shared" si="86"/>
        <v>0.16207182339579948</v>
      </c>
      <c r="H94" s="73">
        <f t="shared" si="86"/>
        <v>0.11034791619561415</v>
      </c>
      <c r="I94" s="73">
        <f t="shared" si="86"/>
        <v>0.15281263708662809</v>
      </c>
      <c r="J94" s="73">
        <f t="shared" si="86"/>
        <v>0.13741204154828371</v>
      </c>
      <c r="K94" s="73">
        <f t="shared" si="86"/>
        <v>0.13415199043289042</v>
      </c>
      <c r="L94" s="73">
        <f t="shared" si="86"/>
        <v>0.13652620825183118</v>
      </c>
      <c r="M94" s="73">
        <f t="shared" si="86"/>
        <v>0.12924773075537371</v>
      </c>
      <c r="N94" s="73">
        <f t="shared" si="86"/>
        <v>0.13226439949218038</v>
      </c>
      <c r="O94" s="73">
        <f t="shared" si="86"/>
        <v>0.13959241768124567</v>
      </c>
      <c r="P94" s="73">
        <f t="shared" si="86"/>
        <v>0.14575490387434131</v>
      </c>
      <c r="Q94" s="73">
        <f t="shared" si="86"/>
        <v>0.16640621903736147</v>
      </c>
      <c r="R94" s="73">
        <f t="shared" si="86"/>
        <v>0.1628745235996919</v>
      </c>
      <c r="S94" s="73">
        <f t="shared" si="86"/>
        <v>0.15640664977649887</v>
      </c>
      <c r="T94" s="73">
        <f t="shared" si="86"/>
        <v>0.15337159139714909</v>
      </c>
      <c r="U94" s="73">
        <f t="shared" si="86"/>
        <v>0.1561252397248592</v>
      </c>
      <c r="V94" s="73">
        <f t="shared" si="86"/>
        <v>0.15860690115982209</v>
      </c>
      <c r="W94" s="73">
        <f t="shared" si="86"/>
        <v>0.14027561324507895</v>
      </c>
      <c r="X94" s="73">
        <f t="shared" ref="X94:Y94" si="87">IF(X86=0,0,X86/X$81)</f>
        <v>0.13426159435297266</v>
      </c>
      <c r="Y94" s="73">
        <f t="shared" si="87"/>
        <v>0.12690987799045395</v>
      </c>
      <c r="DA94" s="116"/>
    </row>
    <row r="95" spans="1:105" ht="12" customHeight="1" x14ac:dyDescent="0.25">
      <c r="A95" s="69" t="s">
        <v>33</v>
      </c>
      <c r="B95" s="70">
        <f t="shared" ref="B95" si="88">IF(B87=0,0,B87/B$81)</f>
        <v>0</v>
      </c>
      <c r="C95" s="70">
        <f t="shared" ref="C95:W95" si="89">IF(C87=0,0,C87/C$81)</f>
        <v>0</v>
      </c>
      <c r="D95" s="70">
        <f t="shared" si="89"/>
        <v>0</v>
      </c>
      <c r="E95" s="70">
        <f t="shared" si="89"/>
        <v>0</v>
      </c>
      <c r="F95" s="70">
        <f t="shared" si="89"/>
        <v>0</v>
      </c>
      <c r="G95" s="70">
        <f t="shared" si="89"/>
        <v>0</v>
      </c>
      <c r="H95" s="70">
        <f t="shared" si="89"/>
        <v>0</v>
      </c>
      <c r="I95" s="70">
        <f t="shared" si="89"/>
        <v>0</v>
      </c>
      <c r="J95" s="70">
        <f t="shared" si="89"/>
        <v>0</v>
      </c>
      <c r="K95" s="70">
        <f t="shared" si="89"/>
        <v>0</v>
      </c>
      <c r="L95" s="70">
        <f t="shared" si="89"/>
        <v>0</v>
      </c>
      <c r="M95" s="70">
        <f t="shared" si="89"/>
        <v>0</v>
      </c>
      <c r="N95" s="70">
        <f t="shared" si="89"/>
        <v>0</v>
      </c>
      <c r="O95" s="70">
        <f t="shared" si="89"/>
        <v>0</v>
      </c>
      <c r="P95" s="70">
        <f t="shared" si="89"/>
        <v>0</v>
      </c>
      <c r="Q95" s="70">
        <f t="shared" si="89"/>
        <v>0</v>
      </c>
      <c r="R95" s="70">
        <f t="shared" si="89"/>
        <v>0</v>
      </c>
      <c r="S95" s="70">
        <f t="shared" si="89"/>
        <v>0</v>
      </c>
      <c r="T95" s="70">
        <f t="shared" si="89"/>
        <v>0</v>
      </c>
      <c r="U95" s="70">
        <f t="shared" si="89"/>
        <v>0</v>
      </c>
      <c r="V95" s="70">
        <f t="shared" si="89"/>
        <v>0</v>
      </c>
      <c r="W95" s="70">
        <f t="shared" si="89"/>
        <v>0</v>
      </c>
      <c r="X95" s="70">
        <f t="shared" ref="X95:Y95" si="90">IF(X87=0,0,X87/X$81)</f>
        <v>0</v>
      </c>
      <c r="Y95" s="70">
        <f t="shared" si="90"/>
        <v>0</v>
      </c>
      <c r="DA95" s="113"/>
    </row>
    <row r="96" spans="1:105" s="2" customFormat="1" ht="12" customHeight="1" x14ac:dyDescent="0.25">
      <c r="DA96" s="7"/>
    </row>
    <row r="97" spans="1:105" s="2" customFormat="1" ht="12.95" customHeight="1" x14ac:dyDescent="0.25">
      <c r="A97" s="47" t="s">
        <v>46</v>
      </c>
      <c r="B97" s="48"/>
      <c r="C97" s="48"/>
      <c r="D97" s="48"/>
      <c r="E97" s="48"/>
      <c r="F97" s="48"/>
      <c r="G97" s="48"/>
      <c r="H97" s="48"/>
      <c r="I97" s="48"/>
      <c r="J97" s="48"/>
      <c r="K97" s="48"/>
      <c r="L97" s="48"/>
      <c r="M97" s="48"/>
      <c r="N97" s="48"/>
      <c r="O97" s="48"/>
      <c r="P97" s="48"/>
      <c r="Q97" s="48"/>
      <c r="R97" s="48"/>
      <c r="S97" s="48"/>
      <c r="T97" s="48"/>
      <c r="U97" s="48"/>
      <c r="V97" s="48"/>
      <c r="W97" s="48"/>
      <c r="X97" s="48"/>
      <c r="Y97" s="48"/>
      <c r="DA97" s="97"/>
    </row>
    <row r="98" spans="1:105" s="2" customFormat="1" ht="12" customHeight="1" x14ac:dyDescent="0.25">
      <c r="DA98" s="7"/>
    </row>
    <row r="99" spans="1:105" ht="12.95" customHeight="1" x14ac:dyDescent="0.25">
      <c r="A99" s="81" t="s">
        <v>45</v>
      </c>
      <c r="B99" s="82">
        <f t="shared" ref="B99:B105" si="91">B47*11630*1000/B$8</f>
        <v>437880.36180611048</v>
      </c>
      <c r="C99" s="82">
        <f t="shared" ref="C99:W99" si="92">C47*11630*1000/C$8</f>
        <v>535063.68645856506</v>
      </c>
      <c r="D99" s="82">
        <f t="shared" si="92"/>
        <v>273403.9481748718</v>
      </c>
      <c r="E99" s="82">
        <f t="shared" si="92"/>
        <v>423331.54042945924</v>
      </c>
      <c r="F99" s="82">
        <f t="shared" si="92"/>
        <v>459221.63969111553</v>
      </c>
      <c r="G99" s="82">
        <f t="shared" si="92"/>
        <v>540900.43883921276</v>
      </c>
      <c r="H99" s="82">
        <f t="shared" si="92"/>
        <v>654790.77848809445</v>
      </c>
      <c r="I99" s="82">
        <f t="shared" si="92"/>
        <v>565241.53336005099</v>
      </c>
      <c r="J99" s="82">
        <f t="shared" si="92"/>
        <v>468898.66644006647</v>
      </c>
      <c r="K99" s="82">
        <f t="shared" si="92"/>
        <v>439148.8942951741</v>
      </c>
      <c r="L99" s="82">
        <f t="shared" si="92"/>
        <v>448097.85090148792</v>
      </c>
      <c r="M99" s="82">
        <f t="shared" si="92"/>
        <v>411581.91782025225</v>
      </c>
      <c r="N99" s="82">
        <f t="shared" si="92"/>
        <v>395058.6775014021</v>
      </c>
      <c r="O99" s="82">
        <f t="shared" si="92"/>
        <v>371969.19786475942</v>
      </c>
      <c r="P99" s="82">
        <f t="shared" si="92"/>
        <v>352564.99657069816</v>
      </c>
      <c r="Q99" s="82">
        <f t="shared" si="92"/>
        <v>346338.69277997804</v>
      </c>
      <c r="R99" s="82">
        <f t="shared" si="92"/>
        <v>342818.31213127752</v>
      </c>
      <c r="S99" s="82">
        <f t="shared" si="92"/>
        <v>344191.53667779226</v>
      </c>
      <c r="T99" s="82">
        <f t="shared" si="92"/>
        <v>338483.73018840433</v>
      </c>
      <c r="U99" s="82">
        <f t="shared" si="92"/>
        <v>328015.89449315262</v>
      </c>
      <c r="V99" s="82">
        <f t="shared" si="92"/>
        <v>301631.51201328874</v>
      </c>
      <c r="W99" s="82">
        <f t="shared" si="92"/>
        <v>322520.53150963277</v>
      </c>
      <c r="X99" s="82">
        <f t="shared" ref="X99:Y99" si="93">X47*11630*1000/X$8</f>
        <v>328131.86864876578</v>
      </c>
      <c r="Y99" s="82">
        <f t="shared" si="93"/>
        <v>343410.03479039384</v>
      </c>
      <c r="DA99" s="107"/>
    </row>
    <row r="100" spans="1:105" ht="12" customHeight="1" x14ac:dyDescent="0.25">
      <c r="A100" s="77" t="s">
        <v>36</v>
      </c>
      <c r="B100" s="64">
        <f t="shared" si="91"/>
        <v>376209.33895053691</v>
      </c>
      <c r="C100" s="64">
        <f t="shared" ref="C100:W100" si="94">C48*11630*1000/C$8</f>
        <v>474533.07389443857</v>
      </c>
      <c r="D100" s="64">
        <f t="shared" si="94"/>
        <v>211763.08392954958</v>
      </c>
      <c r="E100" s="64">
        <f t="shared" si="94"/>
        <v>360543.92691277049</v>
      </c>
      <c r="F100" s="64">
        <f t="shared" si="94"/>
        <v>394612.05188699928</v>
      </c>
      <c r="G100" s="64">
        <f t="shared" si="94"/>
        <v>474317.18664821633</v>
      </c>
      <c r="H100" s="64">
        <f t="shared" si="94"/>
        <v>585602.92001654615</v>
      </c>
      <c r="I100" s="64">
        <f t="shared" si="94"/>
        <v>492249.8565570449</v>
      </c>
      <c r="J100" s="64">
        <f t="shared" si="94"/>
        <v>392620.61247082666</v>
      </c>
      <c r="K100" s="64">
        <f t="shared" si="94"/>
        <v>360779.66918803507</v>
      </c>
      <c r="L100" s="64">
        <f t="shared" si="94"/>
        <v>369675.21508828935</v>
      </c>
      <c r="M100" s="64">
        <f t="shared" si="94"/>
        <v>334113.14384971146</v>
      </c>
      <c r="N100" s="64">
        <f t="shared" si="94"/>
        <v>317434.17963288072</v>
      </c>
      <c r="O100" s="64">
        <f t="shared" si="94"/>
        <v>295183.52385293605</v>
      </c>
      <c r="P100" s="64">
        <f t="shared" si="94"/>
        <v>275476.78305308998</v>
      </c>
      <c r="Q100" s="64">
        <f t="shared" si="94"/>
        <v>269062.1527745481</v>
      </c>
      <c r="R100" s="64">
        <f t="shared" si="94"/>
        <v>265863.80255199189</v>
      </c>
      <c r="S100" s="64">
        <f t="shared" si="94"/>
        <v>268057.55292303371</v>
      </c>
      <c r="T100" s="64">
        <f t="shared" si="94"/>
        <v>262877.68432637723</v>
      </c>
      <c r="U100" s="64">
        <f t="shared" si="94"/>
        <v>253466.72801343937</v>
      </c>
      <c r="V100" s="64">
        <f t="shared" si="94"/>
        <v>228199.04033928059</v>
      </c>
      <c r="W100" s="64">
        <f t="shared" si="94"/>
        <v>249052.54736901875</v>
      </c>
      <c r="X100" s="64">
        <f t="shared" ref="X100:Y100" si="95">X48*11630*1000/X$8</f>
        <v>255650.84150783552</v>
      </c>
      <c r="Y100" s="64">
        <f t="shared" si="95"/>
        <v>272033.08997010399</v>
      </c>
      <c r="DA100" s="108"/>
    </row>
    <row r="101" spans="1:105" ht="12" customHeight="1" x14ac:dyDescent="0.25">
      <c r="A101" s="61" t="s">
        <v>32</v>
      </c>
      <c r="B101" s="65">
        <f t="shared" si="91"/>
        <v>291705.91807933856</v>
      </c>
      <c r="C101" s="65">
        <f t="shared" ref="C101:W101" si="96">C49*11630*1000/C$8</f>
        <v>388009.88727784588</v>
      </c>
      <c r="D101" s="65">
        <f t="shared" si="96"/>
        <v>155693.22244507578</v>
      </c>
      <c r="E101" s="65">
        <f t="shared" si="96"/>
        <v>267138.70695516653</v>
      </c>
      <c r="F101" s="65">
        <f t="shared" si="96"/>
        <v>286546.96455910272</v>
      </c>
      <c r="G101" s="65">
        <f t="shared" si="96"/>
        <v>365738.70563218539</v>
      </c>
      <c r="H101" s="65">
        <f t="shared" si="96"/>
        <v>476127.74064193579</v>
      </c>
      <c r="I101" s="65">
        <f t="shared" si="96"/>
        <v>379967.91113727313</v>
      </c>
      <c r="J101" s="65">
        <f t="shared" si="96"/>
        <v>284614.13608960266</v>
      </c>
      <c r="K101" s="65">
        <f t="shared" si="96"/>
        <v>253236.21618200213</v>
      </c>
      <c r="L101" s="65">
        <f t="shared" si="96"/>
        <v>263395.56515974802</v>
      </c>
      <c r="M101" s="65">
        <f t="shared" si="96"/>
        <v>228108.44217676725</v>
      </c>
      <c r="N101" s="65">
        <f t="shared" si="96"/>
        <v>210920.63729800747</v>
      </c>
      <c r="O101" s="65">
        <f t="shared" si="96"/>
        <v>186988.14922139409</v>
      </c>
      <c r="P101" s="65">
        <f t="shared" si="96"/>
        <v>166527.26051212009</v>
      </c>
      <c r="Q101" s="65">
        <f t="shared" si="96"/>
        <v>158512.43150655046</v>
      </c>
      <c r="R101" s="65">
        <f t="shared" si="96"/>
        <v>158899.88070490074</v>
      </c>
      <c r="S101" s="65">
        <f t="shared" si="96"/>
        <v>162985.1380867188</v>
      </c>
      <c r="T101" s="65">
        <f t="shared" si="96"/>
        <v>159855.31912094721</v>
      </c>
      <c r="U101" s="65">
        <f t="shared" si="96"/>
        <v>153255.67029934609</v>
      </c>
      <c r="V101" s="65">
        <f t="shared" si="96"/>
        <v>136634.51486113772</v>
      </c>
      <c r="W101" s="65">
        <f t="shared" si="96"/>
        <v>151297.52443875431</v>
      </c>
      <c r="X101" s="65">
        <f t="shared" ref="X101:Y101" si="97">X49*11630*1000/X$8</f>
        <v>155588.46408741642</v>
      </c>
      <c r="Y101" s="65">
        <f t="shared" si="97"/>
        <v>170646.13276689296</v>
      </c>
      <c r="DA101" s="109"/>
    </row>
    <row r="102" spans="1:105" ht="12" customHeight="1" x14ac:dyDescent="0.25">
      <c r="A102" s="61" t="s">
        <v>31</v>
      </c>
      <c r="B102" s="65">
        <f t="shared" si="91"/>
        <v>16.144636320678572</v>
      </c>
      <c r="C102" s="65">
        <f t="shared" ref="C102:W102" si="98">C50*11630*1000/C$8</f>
        <v>162.39142814238193</v>
      </c>
      <c r="D102" s="65">
        <f t="shared" si="98"/>
        <v>323.66643501105216</v>
      </c>
      <c r="E102" s="65">
        <f t="shared" si="98"/>
        <v>445.60306537659238</v>
      </c>
      <c r="F102" s="65">
        <f t="shared" si="98"/>
        <v>507.93207491961715</v>
      </c>
      <c r="G102" s="65">
        <f t="shared" si="98"/>
        <v>589.33590801395576</v>
      </c>
      <c r="H102" s="65">
        <f t="shared" si="98"/>
        <v>749.8580327600821</v>
      </c>
      <c r="I102" s="65">
        <f t="shared" si="98"/>
        <v>1164.7989751472894</v>
      </c>
      <c r="J102" s="65">
        <f t="shared" si="98"/>
        <v>1050.261454533395</v>
      </c>
      <c r="K102" s="65">
        <f t="shared" si="98"/>
        <v>1094.3458994397552</v>
      </c>
      <c r="L102" s="65">
        <f t="shared" si="98"/>
        <v>1344.4526335017758</v>
      </c>
      <c r="M102" s="65">
        <f t="shared" si="98"/>
        <v>1217.8962780729541</v>
      </c>
      <c r="N102" s="65">
        <f t="shared" si="98"/>
        <v>1948.2423420823191</v>
      </c>
      <c r="O102" s="65">
        <f t="shared" si="98"/>
        <v>1338.2076597822083</v>
      </c>
      <c r="P102" s="65">
        <f t="shared" si="98"/>
        <v>1278.0658826578856</v>
      </c>
      <c r="Q102" s="65">
        <f t="shared" si="98"/>
        <v>1656.4655652351885</v>
      </c>
      <c r="R102" s="65">
        <f t="shared" si="98"/>
        <v>1364.9210210618155</v>
      </c>
      <c r="S102" s="65">
        <f t="shared" si="98"/>
        <v>1429.9057075239848</v>
      </c>
      <c r="T102" s="65">
        <f t="shared" si="98"/>
        <v>1227.3425641783635</v>
      </c>
      <c r="U102" s="65">
        <f t="shared" si="98"/>
        <v>1363.6854845614471</v>
      </c>
      <c r="V102" s="65">
        <f t="shared" si="98"/>
        <v>1206.1373051386104</v>
      </c>
      <c r="W102" s="65">
        <f t="shared" si="98"/>
        <v>1367.4654456683256</v>
      </c>
      <c r="X102" s="65">
        <f t="shared" ref="X102:Y102" si="99">X50*11630*1000/X$8</f>
        <v>1415.1403828262955</v>
      </c>
      <c r="Y102" s="65">
        <f t="shared" si="99"/>
        <v>1449.7544184673031</v>
      </c>
      <c r="DA102" s="109"/>
    </row>
    <row r="103" spans="1:105" ht="12" customHeight="1" x14ac:dyDescent="0.25">
      <c r="A103" s="61" t="s">
        <v>35</v>
      </c>
      <c r="B103" s="65">
        <f t="shared" si="91"/>
        <v>34367.153064578306</v>
      </c>
      <c r="C103" s="65">
        <f t="shared" ref="C103:W103" si="100">C51*11630*1000/C$8</f>
        <v>37905.050780718339</v>
      </c>
      <c r="D103" s="65">
        <f t="shared" si="100"/>
        <v>20880.048393231653</v>
      </c>
      <c r="E103" s="65">
        <f t="shared" si="100"/>
        <v>42482.341057061938</v>
      </c>
      <c r="F103" s="65">
        <f t="shared" si="100"/>
        <v>48891.147438121021</v>
      </c>
      <c r="G103" s="65">
        <f t="shared" si="100"/>
        <v>48085.538212884152</v>
      </c>
      <c r="H103" s="65">
        <f t="shared" si="100"/>
        <v>48815.293731513622</v>
      </c>
      <c r="I103" s="65">
        <f t="shared" si="100"/>
        <v>49257.198087499368</v>
      </c>
      <c r="J103" s="65">
        <f t="shared" si="100"/>
        <v>47653.50296552763</v>
      </c>
      <c r="K103" s="65">
        <f t="shared" si="100"/>
        <v>48006.214638773403</v>
      </c>
      <c r="L103" s="65">
        <f t="shared" si="100"/>
        <v>46034.254253894811</v>
      </c>
      <c r="M103" s="65">
        <f t="shared" si="100"/>
        <v>46825.945352709874</v>
      </c>
      <c r="N103" s="65">
        <f t="shared" si="100"/>
        <v>46103.781231703979</v>
      </c>
      <c r="O103" s="65">
        <f t="shared" si="100"/>
        <v>46593.654836813737</v>
      </c>
      <c r="P103" s="65">
        <f t="shared" si="100"/>
        <v>46873.215660824011</v>
      </c>
      <c r="Q103" s="65">
        <f t="shared" si="100"/>
        <v>47048.785160431013</v>
      </c>
      <c r="R103" s="65">
        <f t="shared" si="100"/>
        <v>46047.286570614888</v>
      </c>
      <c r="S103" s="65">
        <f t="shared" si="100"/>
        <v>45307.002713888949</v>
      </c>
      <c r="T103" s="65">
        <f t="shared" si="100"/>
        <v>43464.655220971792</v>
      </c>
      <c r="U103" s="65">
        <f t="shared" si="100"/>
        <v>40824.976917464548</v>
      </c>
      <c r="V103" s="65">
        <f t="shared" si="100"/>
        <v>38037.295391438085</v>
      </c>
      <c r="W103" s="65">
        <f t="shared" si="100"/>
        <v>41653.343902956927</v>
      </c>
      <c r="X103" s="65">
        <f t="shared" ref="X103:Y103" si="101">X51*11630*1000/X$8</f>
        <v>41597.526473672871</v>
      </c>
      <c r="Y103" s="65">
        <f t="shared" si="101"/>
        <v>42080.022729000601</v>
      </c>
      <c r="DA103" s="109"/>
    </row>
    <row r="104" spans="1:105" ht="12" customHeight="1" x14ac:dyDescent="0.25">
      <c r="A104" s="66" t="s">
        <v>34</v>
      </c>
      <c r="B104" s="67">
        <f t="shared" si="91"/>
        <v>50120.123170299266</v>
      </c>
      <c r="C104" s="67">
        <f t="shared" ref="C104:W104" si="102">C52*11630*1000/C$8</f>
        <v>48455.744407731872</v>
      </c>
      <c r="D104" s="67">
        <f t="shared" si="102"/>
        <v>34866.146656231082</v>
      </c>
      <c r="E104" s="67">
        <f t="shared" si="102"/>
        <v>50477.275835165434</v>
      </c>
      <c r="F104" s="67">
        <f t="shared" si="102"/>
        <v>58666.007814855933</v>
      </c>
      <c r="G104" s="67">
        <f t="shared" si="102"/>
        <v>59903.606895132863</v>
      </c>
      <c r="H104" s="67">
        <f t="shared" si="102"/>
        <v>59910.02761033667</v>
      </c>
      <c r="I104" s="67">
        <f t="shared" si="102"/>
        <v>61859.948357125191</v>
      </c>
      <c r="J104" s="67">
        <f t="shared" si="102"/>
        <v>59302.711961163019</v>
      </c>
      <c r="K104" s="67">
        <f t="shared" si="102"/>
        <v>58442.892467819787</v>
      </c>
      <c r="L104" s="67">
        <f t="shared" si="102"/>
        <v>58900.943041144717</v>
      </c>
      <c r="M104" s="67">
        <f t="shared" si="102"/>
        <v>57960.860042161396</v>
      </c>
      <c r="N104" s="67">
        <f t="shared" si="102"/>
        <v>58461.518761086932</v>
      </c>
      <c r="O104" s="67">
        <f t="shared" si="102"/>
        <v>60263.512134945966</v>
      </c>
      <c r="P104" s="67">
        <f t="shared" si="102"/>
        <v>60798.240997487999</v>
      </c>
      <c r="Q104" s="67">
        <f t="shared" si="102"/>
        <v>61844.47054233143</v>
      </c>
      <c r="R104" s="67">
        <f t="shared" si="102"/>
        <v>59551.714255414401</v>
      </c>
      <c r="S104" s="67">
        <f t="shared" si="102"/>
        <v>58335.506414901982</v>
      </c>
      <c r="T104" s="67">
        <f t="shared" si="102"/>
        <v>58330.367420279901</v>
      </c>
      <c r="U104" s="67">
        <f t="shared" si="102"/>
        <v>58022.395312067267</v>
      </c>
      <c r="V104" s="67">
        <f t="shared" si="102"/>
        <v>52321.092781566185</v>
      </c>
      <c r="W104" s="67">
        <f t="shared" si="102"/>
        <v>54734.213581639175</v>
      </c>
      <c r="X104" s="67">
        <f t="shared" ref="X104:Y104" si="103">X52*11630*1000/X$8</f>
        <v>57049.710563919922</v>
      </c>
      <c r="Y104" s="67">
        <f t="shared" si="103"/>
        <v>57857.180055743127</v>
      </c>
      <c r="DA104" s="110"/>
    </row>
    <row r="105" spans="1:105" ht="12" customHeight="1" x14ac:dyDescent="0.25">
      <c r="A105" s="78" t="s">
        <v>33</v>
      </c>
      <c r="B105" s="68">
        <f t="shared" si="91"/>
        <v>61671.022855573581</v>
      </c>
      <c r="C105" s="68">
        <f t="shared" ref="C105:W105" si="104">C53*11630*1000/C$8</f>
        <v>60530.612564126619</v>
      </c>
      <c r="D105" s="68">
        <f t="shared" si="104"/>
        <v>61640.864245322206</v>
      </c>
      <c r="E105" s="68">
        <f t="shared" si="104"/>
        <v>62787.613516688703</v>
      </c>
      <c r="F105" s="68">
        <f t="shared" si="104"/>
        <v>64609.58780411636</v>
      </c>
      <c r="G105" s="68">
        <f t="shared" si="104"/>
        <v>66583.252190996369</v>
      </c>
      <c r="H105" s="68">
        <f t="shared" si="104"/>
        <v>69187.858471548287</v>
      </c>
      <c r="I105" s="68">
        <f t="shared" si="104"/>
        <v>72991.676803006121</v>
      </c>
      <c r="J105" s="68">
        <f t="shared" si="104"/>
        <v>76278.053969239802</v>
      </c>
      <c r="K105" s="68">
        <f t="shared" si="104"/>
        <v>78369.22510713902</v>
      </c>
      <c r="L105" s="68">
        <f t="shared" si="104"/>
        <v>78422.635813198605</v>
      </c>
      <c r="M105" s="68">
        <f t="shared" si="104"/>
        <v>77468.773970540846</v>
      </c>
      <c r="N105" s="68">
        <f t="shared" si="104"/>
        <v>77624.497868521459</v>
      </c>
      <c r="O105" s="68">
        <f t="shared" si="104"/>
        <v>76785.674011823445</v>
      </c>
      <c r="P105" s="68">
        <f t="shared" si="104"/>
        <v>77088.213517608136</v>
      </c>
      <c r="Q105" s="68">
        <f t="shared" si="104"/>
        <v>77276.540005429939</v>
      </c>
      <c r="R105" s="68">
        <f t="shared" si="104"/>
        <v>76954.509579285703</v>
      </c>
      <c r="S105" s="68">
        <f t="shared" si="104"/>
        <v>76133.983754758534</v>
      </c>
      <c r="T105" s="68">
        <f t="shared" si="104"/>
        <v>75606.045862027138</v>
      </c>
      <c r="U105" s="68">
        <f t="shared" si="104"/>
        <v>74549.16647971324</v>
      </c>
      <c r="V105" s="68">
        <f t="shared" si="104"/>
        <v>73432.471674008135</v>
      </c>
      <c r="W105" s="68">
        <f t="shared" si="104"/>
        <v>73467.984140614033</v>
      </c>
      <c r="X105" s="68">
        <f t="shared" ref="X105:Y105" si="105">X53*11630*1000/X$8</f>
        <v>72481.027140930324</v>
      </c>
      <c r="Y105" s="68">
        <f t="shared" si="105"/>
        <v>71376.944820289835</v>
      </c>
      <c r="DA105" s="111"/>
    </row>
    <row r="106" spans="1:105" s="2" customFormat="1" ht="12" customHeight="1" x14ac:dyDescent="0.25">
      <c r="DA106" s="7"/>
    </row>
    <row r="107" spans="1:105" ht="12.95" customHeight="1" x14ac:dyDescent="0.25">
      <c r="A107" s="84" t="s">
        <v>44</v>
      </c>
      <c r="B107" s="85">
        <f t="shared" ref="B107" si="106">SUM(B108:B111)</f>
        <v>242803.24397337335</v>
      </c>
      <c r="C107" s="85">
        <f t="shared" ref="C107:W107" si="107">SUM(C108:C111)</f>
        <v>282220.92867542722</v>
      </c>
      <c r="D107" s="85">
        <f t="shared" si="107"/>
        <v>122988.887902061</v>
      </c>
      <c r="E107" s="85">
        <f t="shared" si="107"/>
        <v>207008.26703561845</v>
      </c>
      <c r="F107" s="85">
        <f t="shared" si="107"/>
        <v>214970.42031755269</v>
      </c>
      <c r="G107" s="85">
        <f t="shared" si="107"/>
        <v>272395.34422899911</v>
      </c>
      <c r="H107" s="85">
        <f t="shared" si="107"/>
        <v>331167.08922759723</v>
      </c>
      <c r="I107" s="85">
        <f t="shared" si="107"/>
        <v>282678.63015479682</v>
      </c>
      <c r="J107" s="85">
        <f t="shared" si="107"/>
        <v>234687.10276302474</v>
      </c>
      <c r="K107" s="85">
        <f t="shared" si="107"/>
        <v>218176.27129263119</v>
      </c>
      <c r="L107" s="85">
        <f t="shared" si="107"/>
        <v>227214.48124135152</v>
      </c>
      <c r="M107" s="85">
        <f t="shared" si="107"/>
        <v>208625.32271727739</v>
      </c>
      <c r="N107" s="85">
        <f t="shared" si="107"/>
        <v>202231.83325945362</v>
      </c>
      <c r="O107" s="85">
        <f t="shared" si="107"/>
        <v>190227.85134536537</v>
      </c>
      <c r="P107" s="85">
        <f t="shared" si="107"/>
        <v>178915.7705427343</v>
      </c>
      <c r="Q107" s="85">
        <f t="shared" si="107"/>
        <v>177284.89687376714</v>
      </c>
      <c r="R107" s="85">
        <f t="shared" si="107"/>
        <v>177202.29589184333</v>
      </c>
      <c r="S107" s="85">
        <f t="shared" si="107"/>
        <v>181283.84809371395</v>
      </c>
      <c r="T107" s="85">
        <f t="shared" si="107"/>
        <v>180874.71667029499</v>
      </c>
      <c r="U107" s="85">
        <f t="shared" si="107"/>
        <v>177704.22110933741</v>
      </c>
      <c r="V107" s="85">
        <f t="shared" si="107"/>
        <v>162449.41857551414</v>
      </c>
      <c r="W107" s="85">
        <f t="shared" si="107"/>
        <v>179418.86536824144</v>
      </c>
      <c r="X107" s="85">
        <f t="shared" ref="X107:Y107" si="108">SUM(X108:X111)</f>
        <v>187104.73647777707</v>
      </c>
      <c r="Y107" s="85">
        <f t="shared" si="108"/>
        <v>212428.58731020184</v>
      </c>
      <c r="DA107" s="117"/>
    </row>
    <row r="108" spans="1:105" ht="12" customHeight="1" x14ac:dyDescent="0.25">
      <c r="A108" s="61" t="s">
        <v>32</v>
      </c>
      <c r="B108" s="65">
        <v>186191.75938090088</v>
      </c>
      <c r="C108" s="65">
        <v>224229.13202645461</v>
      </c>
      <c r="D108" s="65">
        <v>85896.055318189668</v>
      </c>
      <c r="E108" s="65">
        <v>147740.45895756723</v>
      </c>
      <c r="F108" s="65">
        <v>150321.30170004899</v>
      </c>
      <c r="G108" s="65">
        <v>206022.96653118762</v>
      </c>
      <c r="H108" s="65">
        <v>262601.65403041081</v>
      </c>
      <c r="I108" s="65">
        <v>211808.90561832965</v>
      </c>
      <c r="J108" s="65">
        <v>162512.76084036793</v>
      </c>
      <c r="K108" s="65">
        <v>145709.32909044137</v>
      </c>
      <c r="L108" s="65">
        <v>154411.76297219284</v>
      </c>
      <c r="M108" s="65">
        <v>134959.54986845847</v>
      </c>
      <c r="N108" s="65">
        <v>125926.36584878596</v>
      </c>
      <c r="O108" s="65">
        <v>113199.95104064305</v>
      </c>
      <c r="P108" s="65">
        <v>100956.06757761053</v>
      </c>
      <c r="Q108" s="65">
        <v>96862.319731758558</v>
      </c>
      <c r="R108" s="65">
        <v>98954.0042990972</v>
      </c>
      <c r="S108" s="65">
        <v>103631.08942005792</v>
      </c>
      <c r="T108" s="65">
        <v>103884.32481311043</v>
      </c>
      <c r="U108" s="65">
        <v>101146.23052884312</v>
      </c>
      <c r="V108" s="65">
        <v>91764.552065947166</v>
      </c>
      <c r="W108" s="65">
        <v>102543.01528700009</v>
      </c>
      <c r="X108" s="65">
        <v>106869.34687871739</v>
      </c>
      <c r="Y108" s="65">
        <v>129848.81591425033</v>
      </c>
      <c r="DA108" s="109"/>
    </row>
    <row r="109" spans="1:105" ht="12" customHeight="1" x14ac:dyDescent="0.25">
      <c r="A109" s="61" t="s">
        <v>31</v>
      </c>
      <c r="B109" s="65">
        <v>26.739996649054966</v>
      </c>
      <c r="C109" s="65">
        <v>334.98433193691505</v>
      </c>
      <c r="D109" s="65">
        <v>688.55693673793905</v>
      </c>
      <c r="E109" s="65">
        <v>967.56851659394783</v>
      </c>
      <c r="F109" s="65">
        <v>1128.7381624141328</v>
      </c>
      <c r="G109" s="65">
        <v>1335.4438178841551</v>
      </c>
      <c r="H109" s="65">
        <v>1742.1558801598069</v>
      </c>
      <c r="I109" s="65">
        <v>2773.089286409886</v>
      </c>
      <c r="J109" s="65">
        <v>2565.9736468583269</v>
      </c>
      <c r="K109" s="65">
        <v>2740.9901886670232</v>
      </c>
      <c r="L109" s="65">
        <v>3458.3059403353377</v>
      </c>
      <c r="M109" s="65">
        <v>3247.7041177270085</v>
      </c>
      <c r="N109" s="65">
        <v>5378.841167934318</v>
      </c>
      <c r="O109" s="65">
        <v>3816.9652894801402</v>
      </c>
      <c r="P109" s="65">
        <v>3777.5269855503748</v>
      </c>
      <c r="Q109" s="65">
        <v>5057.9971558742236</v>
      </c>
      <c r="R109" s="65">
        <v>4295.4510668349321</v>
      </c>
      <c r="S109" s="65">
        <v>4639.3175493382187</v>
      </c>
      <c r="T109" s="65">
        <v>4094.832292821709</v>
      </c>
      <c r="U109" s="65">
        <v>4666.850735895915</v>
      </c>
      <c r="V109" s="65">
        <v>4224.4130419834628</v>
      </c>
      <c r="W109" s="65">
        <v>4889.7157882804277</v>
      </c>
      <c r="X109" s="65">
        <v>5141.1849591951777</v>
      </c>
      <c r="Y109" s="65">
        <v>5332.1347000644428</v>
      </c>
      <c r="DA109" s="109"/>
    </row>
    <row r="110" spans="1:105" ht="12" customHeight="1" x14ac:dyDescent="0.25">
      <c r="A110" s="61" t="s">
        <v>35</v>
      </c>
      <c r="B110" s="65">
        <v>20865.918980589246</v>
      </c>
      <c r="C110" s="65">
        <v>22905.537727643448</v>
      </c>
      <c r="D110" s="65">
        <v>11176.652461155621</v>
      </c>
      <c r="E110" s="65">
        <v>24140.64258485951</v>
      </c>
      <c r="F110" s="65">
        <v>27482.991940086707</v>
      </c>
      <c r="G110" s="65">
        <v>27647.934633429384</v>
      </c>
      <c r="H110" s="65">
        <v>28515.876923782838</v>
      </c>
      <c r="I110" s="65">
        <v>29277.795472431</v>
      </c>
      <c r="J110" s="65">
        <v>28830.151626848179</v>
      </c>
      <c r="K110" s="65">
        <v>28782.600231343073</v>
      </c>
      <c r="L110" s="65">
        <v>27924.022053143122</v>
      </c>
      <c r="M110" s="65">
        <v>29015.802491574716</v>
      </c>
      <c r="N110" s="65">
        <v>28901.693737322777</v>
      </c>
      <c r="O110" s="65">
        <v>29542.632645640155</v>
      </c>
      <c r="P110" s="65">
        <v>29972.425022047904</v>
      </c>
      <c r="Q110" s="65">
        <v>30628.879910677042</v>
      </c>
      <c r="R110" s="65">
        <v>30656.80382708905</v>
      </c>
      <c r="S110" s="65">
        <v>30790.99692970527</v>
      </c>
      <c r="T110" s="65">
        <v>30193.625464059762</v>
      </c>
      <c r="U110" s="65">
        <v>28991.496582358948</v>
      </c>
      <c r="V110" s="65">
        <v>27559.541089899234</v>
      </c>
      <c r="W110" s="65">
        <v>30590.215142081961</v>
      </c>
      <c r="X110" s="65">
        <v>31172.515485295193</v>
      </c>
      <c r="Y110" s="65">
        <v>32133.601363447397</v>
      </c>
      <c r="DA110" s="109"/>
    </row>
    <row r="111" spans="1:105" ht="12" customHeight="1" x14ac:dyDescent="0.25">
      <c r="A111" s="74" t="s">
        <v>34</v>
      </c>
      <c r="B111" s="68">
        <v>35718.825615234142</v>
      </c>
      <c r="C111" s="68">
        <v>34751.274589392226</v>
      </c>
      <c r="D111" s="68">
        <v>25227.62318597778</v>
      </c>
      <c r="E111" s="68">
        <v>34159.596976597764</v>
      </c>
      <c r="F111" s="68">
        <v>36037.388515002844</v>
      </c>
      <c r="G111" s="68">
        <v>37388.9992464979</v>
      </c>
      <c r="H111" s="68">
        <v>38307.402393243734</v>
      </c>
      <c r="I111" s="68">
        <v>38818.839777626294</v>
      </c>
      <c r="J111" s="68">
        <v>40778.216648950285</v>
      </c>
      <c r="K111" s="68">
        <v>40943.351782179736</v>
      </c>
      <c r="L111" s="68">
        <v>41420.390275680234</v>
      </c>
      <c r="M111" s="68">
        <v>41402.266239517186</v>
      </c>
      <c r="N111" s="68">
        <v>42024.93250541055</v>
      </c>
      <c r="O111" s="68">
        <v>43668.302369602017</v>
      </c>
      <c r="P111" s="68">
        <v>44209.750957525473</v>
      </c>
      <c r="Q111" s="68">
        <v>44735.700075457316</v>
      </c>
      <c r="R111" s="68">
        <v>43296.03669882215</v>
      </c>
      <c r="S111" s="68">
        <v>42222.444194612559</v>
      </c>
      <c r="T111" s="68">
        <v>42701.934100303108</v>
      </c>
      <c r="U111" s="68">
        <v>42899.643262239413</v>
      </c>
      <c r="V111" s="68">
        <v>38900.912377684261</v>
      </c>
      <c r="W111" s="68">
        <v>41395.919150878952</v>
      </c>
      <c r="X111" s="68">
        <v>43921.689154569329</v>
      </c>
      <c r="Y111" s="68">
        <v>45114.035332439664</v>
      </c>
      <c r="DA111" s="111"/>
    </row>
    <row r="112" spans="1:105" s="2" customFormat="1" ht="12" customHeight="1" x14ac:dyDescent="0.25">
      <c r="DA112" s="7"/>
    </row>
    <row r="113" spans="1:105" ht="12.95" customHeight="1" x14ac:dyDescent="0.25">
      <c r="A113" s="81" t="s">
        <v>43</v>
      </c>
      <c r="B113" s="82">
        <f t="shared" ref="B113" si="109">B81*1000000/B$8</f>
        <v>26477.770907695511</v>
      </c>
      <c r="C113" s="82">
        <f t="shared" ref="C113:W113" si="110">C81*1000000/C$8</f>
        <v>46055.457702557862</v>
      </c>
      <c r="D113" s="82">
        <f t="shared" si="110"/>
        <v>25755.632012833194</v>
      </c>
      <c r="E113" s="82">
        <f t="shared" si="110"/>
        <v>47306.521804371063</v>
      </c>
      <c r="F113" s="82">
        <f t="shared" si="110"/>
        <v>71381.174989497275</v>
      </c>
      <c r="G113" s="82">
        <f t="shared" si="110"/>
        <v>71068.273261308306</v>
      </c>
      <c r="H113" s="82">
        <f t="shared" si="110"/>
        <v>93518.418809820447</v>
      </c>
      <c r="I113" s="82">
        <f t="shared" si="110"/>
        <v>77166.591934540367</v>
      </c>
      <c r="J113" s="82">
        <f t="shared" si="110"/>
        <v>53662.837781508955</v>
      </c>
      <c r="K113" s="82">
        <f t="shared" si="110"/>
        <v>48921.494673659225</v>
      </c>
      <c r="L113" s="82">
        <f t="shared" si="110"/>
        <v>48024.67797664769</v>
      </c>
      <c r="M113" s="82">
        <f t="shared" si="110"/>
        <v>44956.844928681072</v>
      </c>
      <c r="N113" s="82">
        <f t="shared" si="110"/>
        <v>42695.858601286578</v>
      </c>
      <c r="O113" s="82">
        <f t="shared" si="110"/>
        <v>39793.079697218833</v>
      </c>
      <c r="P113" s="82">
        <f t="shared" si="110"/>
        <v>38042.893018261049</v>
      </c>
      <c r="Q113" s="82">
        <f t="shared" si="110"/>
        <v>36069.912113186598</v>
      </c>
      <c r="R113" s="82">
        <f t="shared" si="110"/>
        <v>35123.596156757296</v>
      </c>
      <c r="S113" s="82">
        <f t="shared" si="110"/>
        <v>38417.88753713444</v>
      </c>
      <c r="T113" s="82">
        <f t="shared" si="110"/>
        <v>38080.241437961973</v>
      </c>
      <c r="U113" s="82">
        <f t="shared" si="110"/>
        <v>37181.066362237703</v>
      </c>
      <c r="V113" s="82">
        <f t="shared" si="110"/>
        <v>34196.384260065141</v>
      </c>
      <c r="W113" s="82">
        <f t="shared" si="110"/>
        <v>38868.156929986857</v>
      </c>
      <c r="X113" s="82">
        <f t="shared" ref="X113:Y113" si="111">X81*1000000/X$8</f>
        <v>40124.470099478465</v>
      </c>
      <c r="Y113" s="82">
        <f t="shared" si="111"/>
        <v>41675.442133331919</v>
      </c>
      <c r="DA113" s="107"/>
    </row>
    <row r="114" spans="1:105" ht="12" customHeight="1" x14ac:dyDescent="0.25">
      <c r="A114" s="77" t="s">
        <v>36</v>
      </c>
      <c r="B114" s="64">
        <f t="shared" ref="B114" si="112">B82*1000000/B$8</f>
        <v>26477.770907695511</v>
      </c>
      <c r="C114" s="64">
        <f t="shared" ref="C114:W114" si="113">C82*1000000/C$8</f>
        <v>46055.457702557862</v>
      </c>
      <c r="D114" s="64">
        <f t="shared" si="113"/>
        <v>25755.632012833194</v>
      </c>
      <c r="E114" s="64">
        <f t="shared" si="113"/>
        <v>47306.521804371063</v>
      </c>
      <c r="F114" s="64">
        <f t="shared" si="113"/>
        <v>71381.174989497275</v>
      </c>
      <c r="G114" s="64">
        <f t="shared" si="113"/>
        <v>71068.273261308306</v>
      </c>
      <c r="H114" s="64">
        <f t="shared" si="113"/>
        <v>93518.418809820447</v>
      </c>
      <c r="I114" s="64">
        <f t="shared" si="113"/>
        <v>77166.591934540367</v>
      </c>
      <c r="J114" s="64">
        <f t="shared" si="113"/>
        <v>53662.837781508955</v>
      </c>
      <c r="K114" s="64">
        <f t="shared" si="113"/>
        <v>48921.494673659225</v>
      </c>
      <c r="L114" s="64">
        <f t="shared" si="113"/>
        <v>48024.67797664769</v>
      </c>
      <c r="M114" s="64">
        <f t="shared" si="113"/>
        <v>44956.844928681072</v>
      </c>
      <c r="N114" s="64">
        <f t="shared" si="113"/>
        <v>42695.858601286578</v>
      </c>
      <c r="O114" s="64">
        <f t="shared" si="113"/>
        <v>39793.079697218833</v>
      </c>
      <c r="P114" s="64">
        <f t="shared" si="113"/>
        <v>38042.893018261049</v>
      </c>
      <c r="Q114" s="64">
        <f t="shared" si="113"/>
        <v>36069.912113186598</v>
      </c>
      <c r="R114" s="64">
        <f t="shared" si="113"/>
        <v>35123.596156757296</v>
      </c>
      <c r="S114" s="64">
        <f t="shared" si="113"/>
        <v>38417.88753713444</v>
      </c>
      <c r="T114" s="64">
        <f t="shared" si="113"/>
        <v>38080.241437961973</v>
      </c>
      <c r="U114" s="64">
        <f t="shared" si="113"/>
        <v>37181.066362237703</v>
      </c>
      <c r="V114" s="64">
        <f t="shared" si="113"/>
        <v>34196.384260065141</v>
      </c>
      <c r="W114" s="64">
        <f t="shared" si="113"/>
        <v>38868.156929986857</v>
      </c>
      <c r="X114" s="64">
        <f t="shared" ref="X114:Y114" si="114">X82*1000000/X$8</f>
        <v>40124.470099478465</v>
      </c>
      <c r="Y114" s="64">
        <f t="shared" si="114"/>
        <v>41675.442133331919</v>
      </c>
      <c r="DA114" s="108"/>
    </row>
    <row r="115" spans="1:105" ht="12" customHeight="1" x14ac:dyDescent="0.25">
      <c r="A115" s="61" t="s">
        <v>32</v>
      </c>
      <c r="B115" s="65">
        <f t="shared" ref="B115" si="115">B83*1000000/B$8</f>
        <v>20772.579603000111</v>
      </c>
      <c r="C115" s="65">
        <f t="shared" ref="C115:W115" si="116">C83*1000000/C$8</f>
        <v>40642.765398807845</v>
      </c>
      <c r="D115" s="65">
        <f t="shared" si="116"/>
        <v>20446.970818643375</v>
      </c>
      <c r="E115" s="65">
        <f t="shared" si="116"/>
        <v>36389.367180489658</v>
      </c>
      <c r="F115" s="65">
        <f t="shared" si="116"/>
        <v>53051.820446691447</v>
      </c>
      <c r="G115" s="65">
        <f t="shared" si="116"/>
        <v>53463.43652134882</v>
      </c>
      <c r="H115" s="65">
        <f t="shared" si="116"/>
        <v>77355.486951200044</v>
      </c>
      <c r="I115" s="65">
        <f t="shared" si="116"/>
        <v>60325.604863576722</v>
      </c>
      <c r="J115" s="65">
        <f t="shared" si="116"/>
        <v>41943.12594334162</v>
      </c>
      <c r="K115" s="65">
        <f t="shared" si="116"/>
        <v>36591.490013695417</v>
      </c>
      <c r="L115" s="65">
        <f t="shared" si="116"/>
        <v>35926.102602271698</v>
      </c>
      <c r="M115" s="65">
        <f t="shared" si="116"/>
        <v>34197.914768085866</v>
      </c>
      <c r="N115" s="65">
        <f t="shared" si="116"/>
        <v>32035.222784661921</v>
      </c>
      <c r="O115" s="65">
        <f t="shared" si="116"/>
        <v>28816.943299801151</v>
      </c>
      <c r="P115" s="65">
        <f t="shared" si="116"/>
        <v>26786.064563958353</v>
      </c>
      <c r="Q115" s="65">
        <f t="shared" si="116"/>
        <v>24172.600544535824</v>
      </c>
      <c r="R115" s="65">
        <f t="shared" si="116"/>
        <v>23514.448646036311</v>
      </c>
      <c r="S115" s="65">
        <f t="shared" si="116"/>
        <v>25966.01186157835</v>
      </c>
      <c r="T115" s="65">
        <f t="shared" si="116"/>
        <v>25953.44563568482</v>
      </c>
      <c r="U115" s="65">
        <f t="shared" si="116"/>
        <v>25320.998249973931</v>
      </c>
      <c r="V115" s="65">
        <f t="shared" si="116"/>
        <v>23015.424934397724</v>
      </c>
      <c r="W115" s="65">
        <f t="shared" si="116"/>
        <v>26819.687063234855</v>
      </c>
      <c r="X115" s="65">
        <f t="shared" ref="X115:Y115" si="117">X83*1000000/X$8</f>
        <v>28379.103766260556</v>
      </c>
      <c r="Y115" s="65">
        <f t="shared" si="117"/>
        <v>30357.891387925047</v>
      </c>
      <c r="DA115" s="109"/>
    </row>
    <row r="116" spans="1:105" ht="12" customHeight="1" x14ac:dyDescent="0.25">
      <c r="A116" s="61" t="s">
        <v>31</v>
      </c>
      <c r="B116" s="65">
        <f t="shared" ref="B116" si="118">B84*1000000/B$8</f>
        <v>0</v>
      </c>
      <c r="C116" s="65">
        <f t="shared" ref="C116:W116" si="119">C84*1000000/C$8</f>
        <v>0</v>
      </c>
      <c r="D116" s="65">
        <f t="shared" si="119"/>
        <v>0</v>
      </c>
      <c r="E116" s="65">
        <f t="shared" si="119"/>
        <v>0</v>
      </c>
      <c r="F116" s="65">
        <f t="shared" si="119"/>
        <v>0</v>
      </c>
      <c r="G116" s="65">
        <f t="shared" si="119"/>
        <v>0</v>
      </c>
      <c r="H116" s="65">
        <f t="shared" si="119"/>
        <v>0</v>
      </c>
      <c r="I116" s="65">
        <f t="shared" si="119"/>
        <v>0</v>
      </c>
      <c r="J116" s="65">
        <f t="shared" si="119"/>
        <v>0</v>
      </c>
      <c r="K116" s="65">
        <f t="shared" si="119"/>
        <v>0</v>
      </c>
      <c r="L116" s="65">
        <f t="shared" si="119"/>
        <v>0</v>
      </c>
      <c r="M116" s="65">
        <f t="shared" si="119"/>
        <v>0</v>
      </c>
      <c r="N116" s="65">
        <f t="shared" si="119"/>
        <v>0</v>
      </c>
      <c r="O116" s="65">
        <f t="shared" si="119"/>
        <v>0</v>
      </c>
      <c r="P116" s="65">
        <f t="shared" si="119"/>
        <v>0</v>
      </c>
      <c r="Q116" s="65">
        <f t="shared" si="119"/>
        <v>0</v>
      </c>
      <c r="R116" s="65">
        <f t="shared" si="119"/>
        <v>0</v>
      </c>
      <c r="S116" s="65">
        <f t="shared" si="119"/>
        <v>0</v>
      </c>
      <c r="T116" s="65">
        <f t="shared" si="119"/>
        <v>0</v>
      </c>
      <c r="U116" s="65">
        <f t="shared" si="119"/>
        <v>0</v>
      </c>
      <c r="V116" s="65">
        <f t="shared" si="119"/>
        <v>0</v>
      </c>
      <c r="W116" s="65">
        <f t="shared" si="119"/>
        <v>0</v>
      </c>
      <c r="X116" s="65">
        <f t="shared" ref="X116:Y116" si="120">X84*1000000/X$8</f>
        <v>0</v>
      </c>
      <c r="Y116" s="65">
        <f t="shared" si="120"/>
        <v>0</v>
      </c>
      <c r="DA116" s="109"/>
    </row>
    <row r="117" spans="1:105" ht="12" customHeight="1" x14ac:dyDescent="0.25">
      <c r="A117" s="61" t="s">
        <v>35</v>
      </c>
      <c r="B117" s="65">
        <f t="shared" ref="B117" si="121">B85*1000000/B$8</f>
        <v>1426.4200373492895</v>
      </c>
      <c r="C117" s="65">
        <f t="shared" ref="C117:W117" si="122">C85*1000000/C$8</f>
        <v>1495.9669179296177</v>
      </c>
      <c r="D117" s="65">
        <f t="shared" si="122"/>
        <v>2717.5631734176081</v>
      </c>
      <c r="E117" s="65">
        <f t="shared" si="122"/>
        <v>4397.4747936702543</v>
      </c>
      <c r="F117" s="65">
        <f t="shared" si="122"/>
        <v>6471.1950580026669</v>
      </c>
      <c r="G117" s="65">
        <f t="shared" si="122"/>
        <v>6086.6721069083105</v>
      </c>
      <c r="H117" s="65">
        <f t="shared" si="122"/>
        <v>5843.3692170479908</v>
      </c>
      <c r="I117" s="65">
        <f t="shared" si="122"/>
        <v>5048.9566624587997</v>
      </c>
      <c r="J117" s="65">
        <f t="shared" si="122"/>
        <v>4345.7917433358161</v>
      </c>
      <c r="K117" s="65">
        <f t="shared" si="122"/>
        <v>5767.0887745403779</v>
      </c>
      <c r="L117" s="65">
        <f t="shared" si="122"/>
        <v>5541.9481877090511</v>
      </c>
      <c r="M117" s="65">
        <f t="shared" si="122"/>
        <v>4948.3599716419394</v>
      </c>
      <c r="N117" s="65">
        <f t="shared" si="122"/>
        <v>5013.4937179224435</v>
      </c>
      <c r="O117" s="65">
        <f t="shared" si="122"/>
        <v>5421.3241955004169</v>
      </c>
      <c r="P117" s="65">
        <f t="shared" si="122"/>
        <v>5711.8902393242033</v>
      </c>
      <c r="Q117" s="65">
        <f t="shared" si="122"/>
        <v>5895.053872885469</v>
      </c>
      <c r="R117" s="65">
        <f t="shared" si="122"/>
        <v>5888.4085195811713</v>
      </c>
      <c r="S117" s="65">
        <f t="shared" si="122"/>
        <v>6443.0625943825798</v>
      </c>
      <c r="T117" s="65">
        <f t="shared" si="122"/>
        <v>6286.368572149262</v>
      </c>
      <c r="U117" s="65">
        <f t="shared" si="122"/>
        <v>6055.1652132335139</v>
      </c>
      <c r="V117" s="65">
        <f t="shared" si="122"/>
        <v>5757.1767873079625</v>
      </c>
      <c r="W117" s="65">
        <f t="shared" si="122"/>
        <v>6596.2153176921302</v>
      </c>
      <c r="X117" s="65">
        <f t="shared" ref="X117:Y117" si="123">X85*1000000/X$8</f>
        <v>6358.1910050937468</v>
      </c>
      <c r="Y117" s="65">
        <f t="shared" si="123"/>
        <v>6028.5254690674956</v>
      </c>
      <c r="DA117" s="109"/>
    </row>
    <row r="118" spans="1:105" ht="12" customHeight="1" x14ac:dyDescent="0.25">
      <c r="A118" s="66" t="s">
        <v>34</v>
      </c>
      <c r="B118" s="67">
        <f t="shared" ref="B118" si="124">B86*1000000/B$8</f>
        <v>4278.7712673461128</v>
      </c>
      <c r="C118" s="67">
        <f t="shared" ref="C118:W118" si="125">C86*1000000/C$8</f>
        <v>3916.725385820404</v>
      </c>
      <c r="D118" s="67">
        <f t="shared" si="125"/>
        <v>2591.0980207722055</v>
      </c>
      <c r="E118" s="67">
        <f t="shared" si="125"/>
        <v>6519.6798302111474</v>
      </c>
      <c r="F118" s="67">
        <f t="shared" si="125"/>
        <v>11858.159484803167</v>
      </c>
      <c r="G118" s="67">
        <f t="shared" si="125"/>
        <v>11518.164633051179</v>
      </c>
      <c r="H118" s="67">
        <f t="shared" si="125"/>
        <v>10319.562641572413</v>
      </c>
      <c r="I118" s="67">
        <f t="shared" si="125"/>
        <v>11792.030408504839</v>
      </c>
      <c r="J118" s="67">
        <f t="shared" si="125"/>
        <v>7373.9200948315183</v>
      </c>
      <c r="K118" s="67">
        <f t="shared" si="125"/>
        <v>6562.915885423432</v>
      </c>
      <c r="L118" s="67">
        <f t="shared" si="125"/>
        <v>6556.6271866669322</v>
      </c>
      <c r="M118" s="67">
        <f t="shared" si="125"/>
        <v>5810.5701889532593</v>
      </c>
      <c r="N118" s="67">
        <f t="shared" si="125"/>
        <v>5647.1420987022148</v>
      </c>
      <c r="O118" s="67">
        <f t="shared" si="125"/>
        <v>5554.8122019172688</v>
      </c>
      <c r="P118" s="67">
        <f t="shared" si="125"/>
        <v>5544.9382149784888</v>
      </c>
      <c r="Q118" s="67">
        <f t="shared" si="125"/>
        <v>6002.2576957653064</v>
      </c>
      <c r="R118" s="67">
        <f t="shared" si="125"/>
        <v>5720.738991139815</v>
      </c>
      <c r="S118" s="67">
        <f t="shared" si="125"/>
        <v>6008.8130811735064</v>
      </c>
      <c r="T118" s="67">
        <f t="shared" si="125"/>
        <v>5840.4272301278888</v>
      </c>
      <c r="U118" s="67">
        <f t="shared" si="125"/>
        <v>5804.9028990302604</v>
      </c>
      <c r="V118" s="67">
        <f t="shared" si="125"/>
        <v>5423.7825383594472</v>
      </c>
      <c r="W118" s="67">
        <f t="shared" si="125"/>
        <v>5452.2545490598704</v>
      </c>
      <c r="X118" s="67">
        <f t="shared" ref="X118:Y118" si="126">X86*1000000/X$8</f>
        <v>5387.1753281241581</v>
      </c>
      <c r="Y118" s="67">
        <f t="shared" si="126"/>
        <v>5289.0252763393773</v>
      </c>
      <c r="DA118" s="110"/>
    </row>
    <row r="119" spans="1:105" ht="12" customHeight="1" x14ac:dyDescent="0.25">
      <c r="A119" s="78" t="s">
        <v>33</v>
      </c>
      <c r="B119" s="68">
        <f t="shared" ref="B119" si="127">B87*1000000/B$8</f>
        <v>0</v>
      </c>
      <c r="C119" s="68">
        <f t="shared" ref="C119:W119" si="128">C87*1000000/C$8</f>
        <v>0</v>
      </c>
      <c r="D119" s="68">
        <f t="shared" si="128"/>
        <v>0</v>
      </c>
      <c r="E119" s="68">
        <f t="shared" si="128"/>
        <v>0</v>
      </c>
      <c r="F119" s="68">
        <f t="shared" si="128"/>
        <v>0</v>
      </c>
      <c r="G119" s="68">
        <f t="shared" si="128"/>
        <v>0</v>
      </c>
      <c r="H119" s="68">
        <f t="shared" si="128"/>
        <v>0</v>
      </c>
      <c r="I119" s="68">
        <f t="shared" si="128"/>
        <v>0</v>
      </c>
      <c r="J119" s="68">
        <f t="shared" si="128"/>
        <v>0</v>
      </c>
      <c r="K119" s="68">
        <f t="shared" si="128"/>
        <v>0</v>
      </c>
      <c r="L119" s="68">
        <f t="shared" si="128"/>
        <v>0</v>
      </c>
      <c r="M119" s="68">
        <f t="shared" si="128"/>
        <v>0</v>
      </c>
      <c r="N119" s="68">
        <f t="shared" si="128"/>
        <v>0</v>
      </c>
      <c r="O119" s="68">
        <f t="shared" si="128"/>
        <v>0</v>
      </c>
      <c r="P119" s="68">
        <f t="shared" si="128"/>
        <v>0</v>
      </c>
      <c r="Q119" s="68">
        <f t="shared" si="128"/>
        <v>0</v>
      </c>
      <c r="R119" s="68">
        <f t="shared" si="128"/>
        <v>0</v>
      </c>
      <c r="S119" s="68">
        <f t="shared" si="128"/>
        <v>0</v>
      </c>
      <c r="T119" s="68">
        <f t="shared" si="128"/>
        <v>0</v>
      </c>
      <c r="U119" s="68">
        <f t="shared" si="128"/>
        <v>0</v>
      </c>
      <c r="V119" s="68">
        <f t="shared" si="128"/>
        <v>0</v>
      </c>
      <c r="W119" s="68">
        <f t="shared" si="128"/>
        <v>0</v>
      </c>
      <c r="X119" s="68">
        <f t="shared" ref="X119:Y119" si="129">X87*1000000/X$8</f>
        <v>0</v>
      </c>
      <c r="Y119" s="68">
        <f t="shared" si="129"/>
        <v>0</v>
      </c>
      <c r="DA119" s="111"/>
    </row>
    <row r="121" spans="1:105" ht="12.95" customHeight="1" x14ac:dyDescent="0.25">
      <c r="A121" s="79" t="s">
        <v>30</v>
      </c>
      <c r="B121" s="86">
        <f t="shared" ref="B121" si="130">IF(B107=0,"",B107/B100)</f>
        <v>0.64539398370782208</v>
      </c>
      <c r="C121" s="86">
        <f t="shared" ref="C121:W121" si="131">IF(C107=0,"",C107/C100)</f>
        <v>0.59473394838271731</v>
      </c>
      <c r="D121" s="86">
        <f t="shared" si="131"/>
        <v>0.58078530790086891</v>
      </c>
      <c r="E121" s="86">
        <f t="shared" si="131"/>
        <v>0.57415546784595195</v>
      </c>
      <c r="F121" s="86">
        <f t="shared" si="131"/>
        <v>0.54476395054226934</v>
      </c>
      <c r="G121" s="86">
        <f t="shared" si="131"/>
        <v>0.57428942466515498</v>
      </c>
      <c r="H121" s="86">
        <f t="shared" si="131"/>
        <v>0.56551475053819766</v>
      </c>
      <c r="I121" s="86">
        <f t="shared" si="131"/>
        <v>0.57425843073260152</v>
      </c>
      <c r="J121" s="86">
        <f t="shared" si="131"/>
        <v>0.5977452413567893</v>
      </c>
      <c r="K121" s="86">
        <f t="shared" si="131"/>
        <v>0.60473549350398603</v>
      </c>
      <c r="L121" s="86">
        <f t="shared" si="131"/>
        <v>0.61463271533388031</v>
      </c>
      <c r="M121" s="86">
        <f t="shared" si="131"/>
        <v>0.62441519155295444</v>
      </c>
      <c r="N121" s="86">
        <f t="shared" si="131"/>
        <v>0.6370827284362981</v>
      </c>
      <c r="O121" s="86">
        <f t="shared" si="131"/>
        <v>0.64443925887997444</v>
      </c>
      <c r="P121" s="86">
        <f t="shared" si="131"/>
        <v>0.64947676736973359</v>
      </c>
      <c r="Q121" s="86">
        <f t="shared" si="131"/>
        <v>0.65889942173441707</v>
      </c>
      <c r="R121" s="86">
        <f t="shared" si="131"/>
        <v>0.66651531419810317</v>
      </c>
      <c r="S121" s="86">
        <f t="shared" si="131"/>
        <v>0.6762870365595155</v>
      </c>
      <c r="T121" s="86">
        <f t="shared" si="131"/>
        <v>0.68805656567534657</v>
      </c>
      <c r="U121" s="86">
        <f t="shared" si="131"/>
        <v>0.70109486362216</v>
      </c>
      <c r="V121" s="86">
        <f t="shared" si="131"/>
        <v>0.7118759935799398</v>
      </c>
      <c r="W121" s="86">
        <f t="shared" si="131"/>
        <v>0.7204056624339531</v>
      </c>
      <c r="X121" s="86">
        <f t="shared" ref="X121:Y121" si="132">IF(X107=0,"",X107/X100)</f>
        <v>0.73187608291929851</v>
      </c>
      <c r="Y121" s="86">
        <f t="shared" si="132"/>
        <v>0.78089245441996558</v>
      </c>
      <c r="DA121" s="119" t="s">
        <v>239</v>
      </c>
    </row>
    <row r="122" spans="1:105" ht="12" customHeight="1" x14ac:dyDescent="0.25">
      <c r="A122" s="61" t="s">
        <v>32</v>
      </c>
      <c r="B122" s="75">
        <f t="shared" ref="B122" si="133">IF(B108=0,"",B108/B101)</f>
        <v>0.63828584831885449</v>
      </c>
      <c r="C122" s="75">
        <f t="shared" ref="C122:W122" si="134">IF(C108=0,"",C108/C101)</f>
        <v>0.57789540776802095</v>
      </c>
      <c r="D122" s="75">
        <f t="shared" si="134"/>
        <v>0.55170067116114452</v>
      </c>
      <c r="E122" s="75">
        <f t="shared" si="134"/>
        <v>0.55304774303022386</v>
      </c>
      <c r="F122" s="75">
        <f t="shared" si="134"/>
        <v>0.52459568689321767</v>
      </c>
      <c r="G122" s="75">
        <f t="shared" si="134"/>
        <v>0.56330643532812186</v>
      </c>
      <c r="H122" s="75">
        <f t="shared" si="134"/>
        <v>0.55153613540005042</v>
      </c>
      <c r="I122" s="75">
        <f t="shared" si="134"/>
        <v>0.55743892947267393</v>
      </c>
      <c r="J122" s="75">
        <f t="shared" si="134"/>
        <v>0.57099328611424072</v>
      </c>
      <c r="K122" s="75">
        <f t="shared" si="134"/>
        <v>0.57538898380048198</v>
      </c>
      <c r="L122" s="75">
        <f t="shared" si="134"/>
        <v>0.58623524233805124</v>
      </c>
      <c r="M122" s="75">
        <f t="shared" si="134"/>
        <v>0.59164644929657961</v>
      </c>
      <c r="N122" s="75">
        <f t="shared" si="134"/>
        <v>0.59703198066325758</v>
      </c>
      <c r="O122" s="75">
        <f t="shared" si="134"/>
        <v>0.60538569696528854</v>
      </c>
      <c r="P122" s="75">
        <f t="shared" si="134"/>
        <v>0.60624348990754462</v>
      </c>
      <c r="Q122" s="75">
        <f t="shared" si="134"/>
        <v>0.61107080883908949</v>
      </c>
      <c r="R122" s="75">
        <f t="shared" si="134"/>
        <v>0.62274435864976263</v>
      </c>
      <c r="S122" s="75">
        <f t="shared" si="134"/>
        <v>0.63583152817847344</v>
      </c>
      <c r="T122" s="75">
        <f t="shared" si="134"/>
        <v>0.64986467378361745</v>
      </c>
      <c r="U122" s="75">
        <f t="shared" si="134"/>
        <v>0.65998360994591332</v>
      </c>
      <c r="V122" s="75">
        <f t="shared" si="134"/>
        <v>0.67160594202136914</v>
      </c>
      <c r="W122" s="75">
        <f t="shared" si="134"/>
        <v>0.67775739006562408</v>
      </c>
      <c r="X122" s="75">
        <f t="shared" ref="X122:Y122" si="135">IF(X108=0,"",X108/X101)</f>
        <v>0.68687191885044585</v>
      </c>
      <c r="Y122" s="75">
        <f t="shared" si="135"/>
        <v>0.76092445699679101</v>
      </c>
      <c r="DA122" s="120" t="s">
        <v>240</v>
      </c>
    </row>
    <row r="123" spans="1:105" ht="12" customHeight="1" x14ac:dyDescent="0.25">
      <c r="A123" s="61" t="s">
        <v>31</v>
      </c>
      <c r="B123" s="76">
        <f t="shared" ref="B123" si="136">IF(B109=0,"",B109/B102)</f>
        <v>1.6562774235307807</v>
      </c>
      <c r="C123" s="76">
        <f t="shared" ref="C123:W123" si="137">IF(C109=0,"",C109/C102)</f>
        <v>2.062820284105185</v>
      </c>
      <c r="D123" s="76">
        <f t="shared" si="137"/>
        <v>2.1273658997554907</v>
      </c>
      <c r="E123" s="76">
        <f t="shared" si="137"/>
        <v>2.1713686277634263</v>
      </c>
      <c r="F123" s="76">
        <f t="shared" si="137"/>
        <v>2.2222226517054695</v>
      </c>
      <c r="G123" s="76">
        <f t="shared" si="137"/>
        <v>2.2660146780883599</v>
      </c>
      <c r="H123" s="76">
        <f t="shared" si="137"/>
        <v>2.323314286235314</v>
      </c>
      <c r="I123" s="76">
        <f t="shared" si="137"/>
        <v>2.3807449573513124</v>
      </c>
      <c r="J123" s="76">
        <f t="shared" si="137"/>
        <v>2.4431760641909164</v>
      </c>
      <c r="K123" s="76">
        <f t="shared" si="137"/>
        <v>2.504683564922443</v>
      </c>
      <c r="L123" s="76">
        <f t="shared" si="137"/>
        <v>2.5722780067958189</v>
      </c>
      <c r="M123" s="76">
        <f t="shared" si="137"/>
        <v>2.666650827495562</v>
      </c>
      <c r="N123" s="76">
        <f t="shared" si="137"/>
        <v>2.7608686310478752</v>
      </c>
      <c r="O123" s="76">
        <f t="shared" si="137"/>
        <v>2.8522966981831104</v>
      </c>
      <c r="P123" s="76">
        <f t="shared" si="137"/>
        <v>2.955659044504475</v>
      </c>
      <c r="Q123" s="76">
        <f t="shared" si="137"/>
        <v>3.0534876559031146</v>
      </c>
      <c r="R123" s="76">
        <f t="shared" si="137"/>
        <v>3.1470326858131057</v>
      </c>
      <c r="S123" s="76">
        <f t="shared" si="137"/>
        <v>3.2444919444175309</v>
      </c>
      <c r="T123" s="76">
        <f t="shared" si="137"/>
        <v>3.3363401647876261</v>
      </c>
      <c r="U123" s="76">
        <f t="shared" si="137"/>
        <v>3.4222339305728884</v>
      </c>
      <c r="V123" s="76">
        <f t="shared" si="137"/>
        <v>3.5024312936726467</v>
      </c>
      <c r="W123" s="76">
        <f t="shared" si="137"/>
        <v>3.5757508928429718</v>
      </c>
      <c r="X123" s="76">
        <f t="shared" ref="X123:Y123" si="138">IF(X109=0,"",X109/X102)</f>
        <v>3.6329858306546847</v>
      </c>
      <c r="Y123" s="76">
        <f t="shared" si="138"/>
        <v>3.6779571989176181</v>
      </c>
      <c r="DA123" s="121" t="s">
        <v>241</v>
      </c>
    </row>
    <row r="124" spans="1:105" ht="12" customHeight="1" x14ac:dyDescent="0.25">
      <c r="A124" s="61" t="s">
        <v>35</v>
      </c>
      <c r="B124" s="76">
        <f t="shared" ref="B124" si="139">IF(B110=0,"",B110/B103)</f>
        <v>0.60714714836520534</v>
      </c>
      <c r="C124" s="76">
        <f t="shared" ref="C124:W124" si="140">IF(C110=0,"",C110/C103)</f>
        <v>0.60428721914007066</v>
      </c>
      <c r="D124" s="76">
        <f t="shared" si="140"/>
        <v>0.53527904967780515</v>
      </c>
      <c r="E124" s="76">
        <f t="shared" si="140"/>
        <v>0.56825123060977245</v>
      </c>
      <c r="F124" s="76">
        <f t="shared" si="140"/>
        <v>0.56212613898805508</v>
      </c>
      <c r="G124" s="76">
        <f t="shared" si="140"/>
        <v>0.57497400800686749</v>
      </c>
      <c r="H124" s="76">
        <f t="shared" si="140"/>
        <v>0.58415866717142961</v>
      </c>
      <c r="I124" s="76">
        <f t="shared" si="140"/>
        <v>0.59438613256934736</v>
      </c>
      <c r="J124" s="76">
        <f t="shared" si="140"/>
        <v>0.60499543229180452</v>
      </c>
      <c r="K124" s="76">
        <f t="shared" si="140"/>
        <v>0.59955987881819151</v>
      </c>
      <c r="L124" s="76">
        <f t="shared" si="140"/>
        <v>0.60659225408828166</v>
      </c>
      <c r="M124" s="76">
        <f t="shared" si="140"/>
        <v>0.61965225203713981</v>
      </c>
      <c r="N124" s="76">
        <f t="shared" si="140"/>
        <v>0.62688336976248016</v>
      </c>
      <c r="O124" s="76">
        <f t="shared" si="140"/>
        <v>0.63404840743032809</v>
      </c>
      <c r="P124" s="76">
        <f t="shared" si="140"/>
        <v>0.63943607451490558</v>
      </c>
      <c r="Q124" s="76">
        <f t="shared" si="140"/>
        <v>0.65100256693634151</v>
      </c>
      <c r="R124" s="76">
        <f t="shared" si="140"/>
        <v>0.66576786842968316</v>
      </c>
      <c r="S124" s="76">
        <f t="shared" si="140"/>
        <v>0.67960789911768382</v>
      </c>
      <c r="T124" s="76">
        <f t="shared" si="140"/>
        <v>0.69467076893989188</v>
      </c>
      <c r="U124" s="76">
        <f t="shared" si="140"/>
        <v>0.71014116287121898</v>
      </c>
      <c r="V124" s="76">
        <f t="shared" si="140"/>
        <v>0.72453997599689179</v>
      </c>
      <c r="W124" s="76">
        <f t="shared" si="140"/>
        <v>0.7343999851092482</v>
      </c>
      <c r="X124" s="76">
        <f t="shared" ref="X124:Y124" si="141">IF(X110=0,"",X110/X103)</f>
        <v>0.749383872741191</v>
      </c>
      <c r="Y124" s="76">
        <f t="shared" si="141"/>
        <v>0.76363079864264538</v>
      </c>
      <c r="DA124" s="121" t="s">
        <v>242</v>
      </c>
    </row>
    <row r="125" spans="1:105" ht="12" customHeight="1" x14ac:dyDescent="0.25">
      <c r="A125" s="74" t="s">
        <v>34</v>
      </c>
      <c r="B125" s="56">
        <f t="shared" ref="B125" si="142">IF(B111=0,"",B111/B104)</f>
        <v>0.71266436225361862</v>
      </c>
      <c r="C125" s="56">
        <f t="shared" ref="C125:W125" si="143">IF(C111=0,"",C111/C104)</f>
        <v>0.71717553850740379</v>
      </c>
      <c r="D125" s="56">
        <f t="shared" si="143"/>
        <v>0.72355638937431133</v>
      </c>
      <c r="E125" s="56">
        <f t="shared" si="143"/>
        <v>0.67673218119271372</v>
      </c>
      <c r="F125" s="56">
        <f t="shared" si="143"/>
        <v>0.61428056650340424</v>
      </c>
      <c r="G125" s="56">
        <f t="shared" si="143"/>
        <v>0.62415272108657849</v>
      </c>
      <c r="H125" s="56">
        <f t="shared" si="143"/>
        <v>0.63941553561618303</v>
      </c>
      <c r="I125" s="56">
        <f t="shared" si="143"/>
        <v>0.62752784004151274</v>
      </c>
      <c r="J125" s="56">
        <f t="shared" si="143"/>
        <v>0.68762819271495856</v>
      </c>
      <c r="K125" s="56">
        <f t="shared" si="143"/>
        <v>0.70057024991917083</v>
      </c>
      <c r="L125" s="56">
        <f t="shared" si="143"/>
        <v>0.7032211733307292</v>
      </c>
      <c r="M125" s="56">
        <f t="shared" si="143"/>
        <v>0.71431421496162584</v>
      </c>
      <c r="N125" s="56">
        <f t="shared" si="143"/>
        <v>0.71884777193614613</v>
      </c>
      <c r="O125" s="56">
        <f t="shared" si="143"/>
        <v>0.72462259205565582</v>
      </c>
      <c r="P125" s="56">
        <f t="shared" si="143"/>
        <v>0.72715509909821385</v>
      </c>
      <c r="Q125" s="56">
        <f t="shared" si="143"/>
        <v>0.72335812212728923</v>
      </c>
      <c r="R125" s="56">
        <f t="shared" si="143"/>
        <v>0.72703258403490378</v>
      </c>
      <c r="S125" s="56">
        <f t="shared" si="143"/>
        <v>0.72378636596230361</v>
      </c>
      <c r="T125" s="56">
        <f t="shared" si="143"/>
        <v>0.73207037755529025</v>
      </c>
      <c r="U125" s="56">
        <f t="shared" si="143"/>
        <v>0.7393635342268835</v>
      </c>
      <c r="V125" s="56">
        <f t="shared" si="143"/>
        <v>0.74350343828043797</v>
      </c>
      <c r="W125" s="56">
        <f t="shared" si="143"/>
        <v>0.75630791861354874</v>
      </c>
      <c r="X125" s="56">
        <f t="shared" ref="X125:Y125" si="144">IF(X111=0,"",X111/X104)</f>
        <v>0.76988452211967617</v>
      </c>
      <c r="Y125" s="56">
        <f t="shared" si="144"/>
        <v>0.7797482575019048</v>
      </c>
      <c r="DA125" s="122" t="s">
        <v>243</v>
      </c>
    </row>
    <row r="126" spans="1:105" s="2" customFormat="1" ht="12" customHeight="1" x14ac:dyDescent="0.25">
      <c r="DA126" s="7"/>
    </row>
    <row r="127" spans="1:105" s="2" customFormat="1" ht="6.6" customHeight="1" x14ac:dyDescent="0.25">
      <c r="A127" s="30"/>
      <c r="B127" s="31"/>
      <c r="C127" s="31"/>
      <c r="D127" s="31"/>
      <c r="E127" s="31"/>
      <c r="F127" s="31"/>
      <c r="G127" s="31"/>
      <c r="H127" s="31"/>
      <c r="I127" s="31"/>
      <c r="J127" s="31"/>
      <c r="K127" s="31"/>
      <c r="L127" s="31"/>
      <c r="M127" s="31"/>
      <c r="N127" s="31"/>
      <c r="O127" s="31"/>
      <c r="P127" s="31"/>
      <c r="Q127" s="31"/>
      <c r="R127" s="31"/>
      <c r="S127" s="31"/>
      <c r="T127" s="31"/>
      <c r="U127" s="31"/>
      <c r="V127" s="31"/>
      <c r="W127" s="31"/>
      <c r="X127" s="31"/>
      <c r="Y127" s="31"/>
      <c r="DA127" s="32"/>
    </row>
    <row r="128" spans="1:105" s="2" customFormat="1" ht="12" customHeight="1" x14ac:dyDescent="0.25">
      <c r="DA128" s="7"/>
    </row>
    <row r="129" spans="1:105" ht="12.95" customHeight="1" x14ac:dyDescent="0.25">
      <c r="A129" s="81" t="s">
        <v>42</v>
      </c>
      <c r="B129" s="82">
        <f t="shared" ref="B129" si="145">IF(B99=0,0,B99/B$26)</f>
        <v>486.53373534012286</v>
      </c>
      <c r="C129" s="82">
        <f t="shared" ref="C129:W129" si="146">IF(C99=0,0,C99/C$26)</f>
        <v>594.51520717618348</v>
      </c>
      <c r="D129" s="82">
        <f t="shared" si="146"/>
        <v>303.78216463874645</v>
      </c>
      <c r="E129" s="82">
        <f t="shared" si="146"/>
        <v>470.36837825495473</v>
      </c>
      <c r="F129" s="82">
        <f t="shared" si="146"/>
        <v>510.24626632346178</v>
      </c>
      <c r="G129" s="82">
        <f t="shared" si="146"/>
        <v>601.00048759912522</v>
      </c>
      <c r="H129" s="82">
        <f t="shared" si="146"/>
        <v>727.54530943121608</v>
      </c>
      <c r="I129" s="82">
        <f t="shared" si="146"/>
        <v>628.04614817783443</v>
      </c>
      <c r="J129" s="82">
        <f t="shared" si="146"/>
        <v>520.99851826674046</v>
      </c>
      <c r="K129" s="82">
        <f t="shared" si="146"/>
        <v>487.94321588352682</v>
      </c>
      <c r="L129" s="82">
        <f t="shared" si="146"/>
        <v>497.88650100165324</v>
      </c>
      <c r="M129" s="82">
        <f t="shared" si="146"/>
        <v>457.31324202250249</v>
      </c>
      <c r="N129" s="82">
        <f t="shared" si="146"/>
        <v>438.95408611266907</v>
      </c>
      <c r="O129" s="82">
        <f t="shared" si="146"/>
        <v>413.29910873862156</v>
      </c>
      <c r="P129" s="82">
        <f t="shared" si="146"/>
        <v>391.73888507855355</v>
      </c>
      <c r="Q129" s="82">
        <f t="shared" si="146"/>
        <v>384.82076975553116</v>
      </c>
      <c r="R129" s="82">
        <f t="shared" si="146"/>
        <v>380.90923570141945</v>
      </c>
      <c r="S129" s="82">
        <f t="shared" si="146"/>
        <v>382.4350407531025</v>
      </c>
      <c r="T129" s="82">
        <f t="shared" si="146"/>
        <v>376.09303354267144</v>
      </c>
      <c r="U129" s="82">
        <f t="shared" si="146"/>
        <v>364.4621049923918</v>
      </c>
      <c r="V129" s="82">
        <f t="shared" si="146"/>
        <v>335.14612445920966</v>
      </c>
      <c r="W129" s="82">
        <f t="shared" si="146"/>
        <v>358.35614612181422</v>
      </c>
      <c r="X129" s="82">
        <f t="shared" ref="X129:Y129" si="147">IF(X99=0,0,X99/X$26)</f>
        <v>364.5909651652953</v>
      </c>
      <c r="Y129" s="82">
        <f t="shared" si="147"/>
        <v>381.56670532265986</v>
      </c>
      <c r="DA129" s="107"/>
    </row>
    <row r="130" spans="1:105" ht="12" customHeight="1" x14ac:dyDescent="0.25">
      <c r="A130" s="77" t="s">
        <v>36</v>
      </c>
      <c r="B130" s="64">
        <f t="shared" ref="B130" si="148">IF(B100=0,0,B100/B$26)</f>
        <v>418.01037661170778</v>
      </c>
      <c r="C130" s="64">
        <f t="shared" ref="C130:W130" si="149">IF(C100=0,0,C100/C$26)</f>
        <v>527.25897099382064</v>
      </c>
      <c r="D130" s="64">
        <f t="shared" si="149"/>
        <v>235.29231547727733</v>
      </c>
      <c r="E130" s="64">
        <f t="shared" si="149"/>
        <v>400.60436323641164</v>
      </c>
      <c r="F130" s="64">
        <f t="shared" si="149"/>
        <v>438.45783542999925</v>
      </c>
      <c r="G130" s="64">
        <f t="shared" si="149"/>
        <v>527.01909627579585</v>
      </c>
      <c r="H130" s="64">
        <f t="shared" si="149"/>
        <v>650.66991112949574</v>
      </c>
      <c r="I130" s="64">
        <f t="shared" si="149"/>
        <v>546.94428506338318</v>
      </c>
      <c r="J130" s="64">
        <f t="shared" si="149"/>
        <v>436.24512496758513</v>
      </c>
      <c r="K130" s="64">
        <f t="shared" si="149"/>
        <v>400.86629909781681</v>
      </c>
      <c r="L130" s="64">
        <f t="shared" si="149"/>
        <v>410.75023898698817</v>
      </c>
      <c r="M130" s="64">
        <f t="shared" si="149"/>
        <v>371.23682649967941</v>
      </c>
      <c r="N130" s="64">
        <f t="shared" si="149"/>
        <v>352.70464403653421</v>
      </c>
      <c r="O130" s="64">
        <f t="shared" si="149"/>
        <v>327.98169316992892</v>
      </c>
      <c r="P130" s="64">
        <f t="shared" si="149"/>
        <v>306.08531450343332</v>
      </c>
      <c r="Q130" s="64">
        <f t="shared" si="149"/>
        <v>298.95794752727568</v>
      </c>
      <c r="R130" s="64">
        <f t="shared" si="149"/>
        <v>295.40422505776877</v>
      </c>
      <c r="S130" s="64">
        <f t="shared" si="149"/>
        <v>297.84172547003743</v>
      </c>
      <c r="T130" s="64">
        <f t="shared" si="149"/>
        <v>292.08631591819687</v>
      </c>
      <c r="U130" s="64">
        <f t="shared" si="149"/>
        <v>281.62969779271043</v>
      </c>
      <c r="V130" s="64">
        <f t="shared" si="149"/>
        <v>253.55448926586729</v>
      </c>
      <c r="W130" s="64">
        <f t="shared" si="149"/>
        <v>276.72505263224309</v>
      </c>
      <c r="X130" s="64">
        <f t="shared" ref="X130:Y130" si="150">IF(X100=0,0,X100/X$26)</f>
        <v>284.05649056426171</v>
      </c>
      <c r="Y130" s="64">
        <f t="shared" si="150"/>
        <v>302.25898885567113</v>
      </c>
      <c r="DA130" s="108"/>
    </row>
    <row r="131" spans="1:105" ht="12" customHeight="1" x14ac:dyDescent="0.25">
      <c r="A131" s="61" t="s">
        <v>32</v>
      </c>
      <c r="B131" s="65">
        <f t="shared" ref="B131" si="151">IF(B101=0,0,B101/B$26)</f>
        <v>324.11768675482068</v>
      </c>
      <c r="C131" s="65">
        <f t="shared" ref="C131:W131" si="152">IF(C101=0,0,C101/C$26)</f>
        <v>431.12209697538435</v>
      </c>
      <c r="D131" s="65">
        <f t="shared" si="152"/>
        <v>172.99246938341753</v>
      </c>
      <c r="E131" s="65">
        <f t="shared" si="152"/>
        <v>296.82078550574062</v>
      </c>
      <c r="F131" s="65">
        <f t="shared" si="152"/>
        <v>318.38551617678087</v>
      </c>
      <c r="G131" s="65">
        <f t="shared" si="152"/>
        <v>406.37633959131705</v>
      </c>
      <c r="H131" s="65">
        <f t="shared" si="152"/>
        <v>529.03082293548425</v>
      </c>
      <c r="I131" s="65">
        <f t="shared" si="152"/>
        <v>422.18656793030345</v>
      </c>
      <c r="J131" s="65">
        <f t="shared" si="152"/>
        <v>316.23792898844738</v>
      </c>
      <c r="K131" s="65">
        <f t="shared" si="152"/>
        <v>281.37357353555797</v>
      </c>
      <c r="L131" s="65">
        <f t="shared" si="152"/>
        <v>292.6617390663867</v>
      </c>
      <c r="M131" s="65">
        <f t="shared" si="152"/>
        <v>253.4538246408525</v>
      </c>
      <c r="N131" s="65">
        <f t="shared" si="152"/>
        <v>234.35626366445277</v>
      </c>
      <c r="O131" s="65">
        <f t="shared" si="152"/>
        <v>207.76461024599345</v>
      </c>
      <c r="P131" s="65">
        <f t="shared" si="152"/>
        <v>185.03028945791124</v>
      </c>
      <c r="Q131" s="65">
        <f t="shared" si="152"/>
        <v>176.12492389616719</v>
      </c>
      <c r="R131" s="65">
        <f t="shared" si="152"/>
        <v>176.55542300544528</v>
      </c>
      <c r="S131" s="65">
        <f t="shared" si="152"/>
        <v>181.09459787413201</v>
      </c>
      <c r="T131" s="65">
        <f t="shared" si="152"/>
        <v>177.61702124549689</v>
      </c>
      <c r="U131" s="65">
        <f t="shared" si="152"/>
        <v>170.28407811038454</v>
      </c>
      <c r="V131" s="65">
        <f t="shared" si="152"/>
        <v>151.81612762348635</v>
      </c>
      <c r="W131" s="65">
        <f t="shared" si="152"/>
        <v>168.1083604875048</v>
      </c>
      <c r="X131" s="65">
        <f t="shared" ref="X131:Y131" si="153">IF(X101=0,0,X101/X$26)</f>
        <v>172.87607120824046</v>
      </c>
      <c r="Y131" s="65">
        <f t="shared" si="153"/>
        <v>189.60681418543663</v>
      </c>
      <c r="DA131" s="109"/>
    </row>
    <row r="132" spans="1:105" ht="12" customHeight="1" x14ac:dyDescent="0.25">
      <c r="A132" s="61" t="s">
        <v>31</v>
      </c>
      <c r="B132" s="65">
        <f t="shared" ref="B132" si="154">IF(B102=0,0,B102/B$26)</f>
        <v>1.7938484800753975E-2</v>
      </c>
      <c r="C132" s="65">
        <f t="shared" ref="C132:W132" si="155">IF(C102=0,0,C102/C$26)</f>
        <v>0.18043492015820217</v>
      </c>
      <c r="D132" s="65">
        <f t="shared" si="155"/>
        <v>0.35962937223450242</v>
      </c>
      <c r="E132" s="65">
        <f t="shared" si="155"/>
        <v>0.49511451708510262</v>
      </c>
      <c r="F132" s="65">
        <f t="shared" si="155"/>
        <v>0.56436897213290804</v>
      </c>
      <c r="G132" s="65">
        <f t="shared" si="155"/>
        <v>0.65481767557106185</v>
      </c>
      <c r="H132" s="65">
        <f t="shared" si="155"/>
        <v>0.83317559195564672</v>
      </c>
      <c r="I132" s="65">
        <f t="shared" si="155"/>
        <v>1.2942210834969883</v>
      </c>
      <c r="J132" s="65">
        <f t="shared" si="155"/>
        <v>1.1669571717037721</v>
      </c>
      <c r="K132" s="65">
        <f t="shared" si="155"/>
        <v>1.2159398882663948</v>
      </c>
      <c r="L132" s="65">
        <f t="shared" si="155"/>
        <v>1.4938362594464176</v>
      </c>
      <c r="M132" s="65">
        <f t="shared" si="155"/>
        <v>1.3532180867477268</v>
      </c>
      <c r="N132" s="65">
        <f t="shared" si="155"/>
        <v>2.1647137134247991</v>
      </c>
      <c r="O132" s="65">
        <f t="shared" si="155"/>
        <v>1.4868973997580093</v>
      </c>
      <c r="P132" s="65">
        <f t="shared" si="155"/>
        <v>1.4200732029532064</v>
      </c>
      <c r="Q132" s="65">
        <f t="shared" si="155"/>
        <v>1.8405172947057651</v>
      </c>
      <c r="R132" s="65">
        <f t="shared" si="155"/>
        <v>1.5165789122909061</v>
      </c>
      <c r="S132" s="65">
        <f t="shared" si="155"/>
        <v>1.5887841194710943</v>
      </c>
      <c r="T132" s="65">
        <f t="shared" si="155"/>
        <v>1.3637139601981816</v>
      </c>
      <c r="U132" s="65">
        <f t="shared" si="155"/>
        <v>1.5152060939571634</v>
      </c>
      <c r="V132" s="65">
        <f t="shared" si="155"/>
        <v>1.3401525612651224</v>
      </c>
      <c r="W132" s="65">
        <f t="shared" si="155"/>
        <v>1.5194060507425842</v>
      </c>
      <c r="X132" s="65">
        <f t="shared" ref="X132:Y132" si="156">IF(X102=0,0,X102/X$26)</f>
        <v>1.5723782031403284</v>
      </c>
      <c r="Y132" s="65">
        <f t="shared" si="156"/>
        <v>1.610838242741448</v>
      </c>
      <c r="DA132" s="109"/>
    </row>
    <row r="133" spans="1:105" ht="12" customHeight="1" x14ac:dyDescent="0.25">
      <c r="A133" s="61" t="s">
        <v>35</v>
      </c>
      <c r="B133" s="65">
        <f t="shared" ref="B133" si="157">IF(B103=0,0,B103/B$26)</f>
        <v>38.185725627309239</v>
      </c>
      <c r="C133" s="65">
        <f t="shared" ref="C133:W133" si="158">IF(C103=0,0,C103/C$26)</f>
        <v>42.116723089687049</v>
      </c>
      <c r="D133" s="65">
        <f t="shared" si="158"/>
        <v>23.200053770257391</v>
      </c>
      <c r="E133" s="65">
        <f t="shared" si="158"/>
        <v>47.202601174513262</v>
      </c>
      <c r="F133" s="65">
        <f t="shared" si="158"/>
        <v>54.323497153467805</v>
      </c>
      <c r="G133" s="65">
        <f t="shared" si="158"/>
        <v>53.428375792093497</v>
      </c>
      <c r="H133" s="65">
        <f t="shared" si="158"/>
        <v>54.239215257237355</v>
      </c>
      <c r="I133" s="65">
        <f t="shared" si="158"/>
        <v>54.730220097221519</v>
      </c>
      <c r="J133" s="65">
        <f t="shared" si="158"/>
        <v>52.948336628364025</v>
      </c>
      <c r="K133" s="65">
        <f t="shared" si="158"/>
        <v>53.340238487526008</v>
      </c>
      <c r="L133" s="65">
        <f t="shared" si="158"/>
        <v>51.149171393216456</v>
      </c>
      <c r="M133" s="65">
        <f t="shared" si="158"/>
        <v>52.028828169677638</v>
      </c>
      <c r="N133" s="65">
        <f t="shared" si="158"/>
        <v>51.226423590782204</v>
      </c>
      <c r="O133" s="65">
        <f t="shared" si="158"/>
        <v>51.770727596459707</v>
      </c>
      <c r="P133" s="65">
        <f t="shared" si="158"/>
        <v>52.081350734248907</v>
      </c>
      <c r="Q133" s="65">
        <f t="shared" si="158"/>
        <v>52.27642795603446</v>
      </c>
      <c r="R133" s="65">
        <f t="shared" si="158"/>
        <v>51.163651745127652</v>
      </c>
      <c r="S133" s="65">
        <f t="shared" si="158"/>
        <v>50.341114126543275</v>
      </c>
      <c r="T133" s="65">
        <f t="shared" si="158"/>
        <v>48.294061356635318</v>
      </c>
      <c r="U133" s="65">
        <f t="shared" si="158"/>
        <v>45.361085463849498</v>
      </c>
      <c r="V133" s="65">
        <f t="shared" si="158"/>
        <v>42.263661546042314</v>
      </c>
      <c r="W133" s="65">
        <f t="shared" si="158"/>
        <v>46.281493225507703</v>
      </c>
      <c r="X133" s="65">
        <f t="shared" ref="X133:Y133" si="159">IF(X103=0,0,X103/X$26)</f>
        <v>46.219473859636523</v>
      </c>
      <c r="Y133" s="65">
        <f t="shared" si="159"/>
        <v>46.755580810000673</v>
      </c>
      <c r="DA133" s="109"/>
    </row>
    <row r="134" spans="1:105" ht="12" customHeight="1" x14ac:dyDescent="0.25">
      <c r="A134" s="66" t="s">
        <v>34</v>
      </c>
      <c r="B134" s="67">
        <f t="shared" ref="B134" si="160">IF(B104=0,0,B104/B$26)</f>
        <v>55.689025744776977</v>
      </c>
      <c r="C134" s="67">
        <f t="shared" ref="C134:W134" si="161">IF(C104=0,0,C104/C$26)</f>
        <v>53.839716008590976</v>
      </c>
      <c r="D134" s="67">
        <f t="shared" si="161"/>
        <v>38.740162951367871</v>
      </c>
      <c r="E134" s="67">
        <f t="shared" si="161"/>
        <v>56.085862039072701</v>
      </c>
      <c r="F134" s="67">
        <f t="shared" si="161"/>
        <v>65.184453127617715</v>
      </c>
      <c r="G134" s="67">
        <f t="shared" si="161"/>
        <v>66.559563216814283</v>
      </c>
      <c r="H134" s="67">
        <f t="shared" si="161"/>
        <v>66.566697344818522</v>
      </c>
      <c r="I134" s="67">
        <f t="shared" si="161"/>
        <v>68.733275952361325</v>
      </c>
      <c r="J134" s="67">
        <f t="shared" si="161"/>
        <v>65.891902179070016</v>
      </c>
      <c r="K134" s="67">
        <f t="shared" si="161"/>
        <v>64.936547186466441</v>
      </c>
      <c r="L134" s="67">
        <f t="shared" si="161"/>
        <v>65.445492267938576</v>
      </c>
      <c r="M134" s="67">
        <f t="shared" si="161"/>
        <v>64.400955602401552</v>
      </c>
      <c r="N134" s="67">
        <f t="shared" si="161"/>
        <v>64.957243067874373</v>
      </c>
      <c r="O134" s="67">
        <f t="shared" si="161"/>
        <v>66.959457927717736</v>
      </c>
      <c r="P134" s="67">
        <f t="shared" si="161"/>
        <v>67.553601108320009</v>
      </c>
      <c r="Q134" s="67">
        <f t="shared" si="161"/>
        <v>68.716078380368259</v>
      </c>
      <c r="R134" s="67">
        <f t="shared" si="161"/>
        <v>66.168571394904887</v>
      </c>
      <c r="S134" s="67">
        <f t="shared" si="161"/>
        <v>64.817229349891093</v>
      </c>
      <c r="T134" s="67">
        <f t="shared" si="161"/>
        <v>64.811519355866551</v>
      </c>
      <c r="U134" s="67">
        <f t="shared" si="161"/>
        <v>64.46932812451918</v>
      </c>
      <c r="V134" s="67">
        <f t="shared" si="161"/>
        <v>58.13454753507353</v>
      </c>
      <c r="W134" s="67">
        <f t="shared" si="161"/>
        <v>60.815792868487982</v>
      </c>
      <c r="X134" s="67">
        <f t="shared" ref="X134:Y134" si="162">IF(X104=0,0,X104/X$26)</f>
        <v>63.388567293244357</v>
      </c>
      <c r="Y134" s="67">
        <f t="shared" si="162"/>
        <v>64.28575561749237</v>
      </c>
      <c r="DA134" s="110"/>
    </row>
    <row r="135" spans="1:105" ht="12" customHeight="1" x14ac:dyDescent="0.25">
      <c r="A135" s="78" t="s">
        <v>33</v>
      </c>
      <c r="B135" s="68">
        <f t="shared" ref="B135" si="163">IF(B105=0,0,B105/B$26)</f>
        <v>68.523358728415104</v>
      </c>
      <c r="C135" s="68">
        <f t="shared" ref="C135:W135" si="164">IF(C105=0,0,C105/C$26)</f>
        <v>67.256236182362912</v>
      </c>
      <c r="D135" s="68">
        <f t="shared" si="164"/>
        <v>68.489849161469124</v>
      </c>
      <c r="E135" s="68">
        <f t="shared" si="164"/>
        <v>69.764015018543006</v>
      </c>
      <c r="F135" s="68">
        <f t="shared" si="164"/>
        <v>71.788430893462632</v>
      </c>
      <c r="G135" s="68">
        <f t="shared" si="164"/>
        <v>73.981391323329291</v>
      </c>
      <c r="H135" s="68">
        <f t="shared" si="164"/>
        <v>76.875398301720324</v>
      </c>
      <c r="I135" s="68">
        <f t="shared" si="164"/>
        <v>81.101863114451248</v>
      </c>
      <c r="J135" s="68">
        <f t="shared" si="164"/>
        <v>84.75339329915532</v>
      </c>
      <c r="K135" s="68">
        <f t="shared" si="164"/>
        <v>87.07691678571004</v>
      </c>
      <c r="L135" s="68">
        <f t="shared" si="164"/>
        <v>87.136262014665121</v>
      </c>
      <c r="M135" s="68">
        <f t="shared" si="164"/>
        <v>86.076415522823169</v>
      </c>
      <c r="N135" s="68">
        <f t="shared" si="164"/>
        <v>86.249442076134969</v>
      </c>
      <c r="O135" s="68">
        <f t="shared" si="164"/>
        <v>85.317415568692709</v>
      </c>
      <c r="P135" s="68">
        <f t="shared" si="164"/>
        <v>85.653570575120156</v>
      </c>
      <c r="Q135" s="68">
        <f t="shared" si="164"/>
        <v>85.862822228255482</v>
      </c>
      <c r="R135" s="68">
        <f t="shared" si="164"/>
        <v>85.505010643650778</v>
      </c>
      <c r="S135" s="68">
        <f t="shared" si="164"/>
        <v>84.593315283065039</v>
      </c>
      <c r="T135" s="68">
        <f t="shared" si="164"/>
        <v>84.006717624474589</v>
      </c>
      <c r="U135" s="68">
        <f t="shared" si="164"/>
        <v>82.832407199681384</v>
      </c>
      <c r="V135" s="68">
        <f t="shared" si="164"/>
        <v>81.591635193342356</v>
      </c>
      <c r="W135" s="68">
        <f t="shared" si="164"/>
        <v>81.631093489571157</v>
      </c>
      <c r="X135" s="68">
        <f t="shared" ref="X135:Y135" si="165">IF(X105=0,0,X105/X$26)</f>
        <v>80.534474601033693</v>
      </c>
      <c r="Y135" s="68">
        <f t="shared" si="165"/>
        <v>79.307716466988708</v>
      </c>
      <c r="DA135" s="111"/>
    </row>
    <row r="136" spans="1:105" s="2" customFormat="1" ht="12" customHeight="1" x14ac:dyDescent="0.25">
      <c r="DA136" s="7"/>
    </row>
    <row r="137" spans="1:105" ht="12.95" customHeight="1" x14ac:dyDescent="0.25">
      <c r="A137" s="84" t="s">
        <v>41</v>
      </c>
      <c r="B137" s="85">
        <f t="shared" ref="B137" si="166">IF(B107=0,0,B107/B$26)</f>
        <v>269.78138219263712</v>
      </c>
      <c r="C137" s="85">
        <f t="shared" ref="C137:W137" si="167">IF(C107=0,0,C107/C$26)</f>
        <v>313.57880963936361</v>
      </c>
      <c r="D137" s="85">
        <f t="shared" si="167"/>
        <v>136.65431989117889</v>
      </c>
      <c r="E137" s="85">
        <f t="shared" si="167"/>
        <v>230.00918559513161</v>
      </c>
      <c r="F137" s="85">
        <f t="shared" si="167"/>
        <v>238.85602257505857</v>
      </c>
      <c r="G137" s="85">
        <f t="shared" si="167"/>
        <v>302.66149358777676</v>
      </c>
      <c r="H137" s="85">
        <f t="shared" si="167"/>
        <v>367.96343247510805</v>
      </c>
      <c r="I137" s="85">
        <f t="shared" si="167"/>
        <v>314.08736683866312</v>
      </c>
      <c r="J137" s="85">
        <f t="shared" si="167"/>
        <v>260.76344751447192</v>
      </c>
      <c r="K137" s="85">
        <f t="shared" si="167"/>
        <v>242.41807921403469</v>
      </c>
      <c r="L137" s="85">
        <f t="shared" si="167"/>
        <v>252.4605347126128</v>
      </c>
      <c r="M137" s="85">
        <f t="shared" si="167"/>
        <v>231.80591413030822</v>
      </c>
      <c r="N137" s="85">
        <f t="shared" si="167"/>
        <v>224.70203695494848</v>
      </c>
      <c r="O137" s="85">
        <f t="shared" si="167"/>
        <v>211.36427927262818</v>
      </c>
      <c r="P137" s="85">
        <f t="shared" si="167"/>
        <v>198.79530060303813</v>
      </c>
      <c r="Q137" s="85">
        <f t="shared" si="167"/>
        <v>196.98321874863015</v>
      </c>
      <c r="R137" s="85">
        <f t="shared" si="167"/>
        <v>196.89143987982592</v>
      </c>
      <c r="S137" s="85">
        <f t="shared" si="167"/>
        <v>201.4264978819044</v>
      </c>
      <c r="T137" s="85">
        <f t="shared" si="167"/>
        <v>200.97190741143885</v>
      </c>
      <c r="U137" s="85">
        <f t="shared" si="167"/>
        <v>197.44913456593045</v>
      </c>
      <c r="V137" s="85">
        <f t="shared" si="167"/>
        <v>180.49935397279347</v>
      </c>
      <c r="W137" s="85">
        <f t="shared" si="167"/>
        <v>199.35429485360163</v>
      </c>
      <c r="X137" s="85">
        <f t="shared" ref="X137:Y137" si="168">IF(X107=0,0,X107/X$26)</f>
        <v>207.89415164197453</v>
      </c>
      <c r="Y137" s="85">
        <f t="shared" si="168"/>
        <v>236.03176367800208</v>
      </c>
      <c r="DA137" s="117"/>
    </row>
    <row r="138" spans="1:105" ht="12" customHeight="1" x14ac:dyDescent="0.25">
      <c r="A138" s="61" t="s">
        <v>32</v>
      </c>
      <c r="B138" s="65">
        <f t="shared" ref="B138" si="169">IF(B108=0,0,B108/B$26)</f>
        <v>206.87973264544547</v>
      </c>
      <c r="C138" s="65">
        <f t="shared" ref="C138:W138" si="170">IF(C108=0,0,C108/C$26)</f>
        <v>249.14348002939403</v>
      </c>
      <c r="D138" s="65">
        <f t="shared" si="170"/>
        <v>95.440061464655187</v>
      </c>
      <c r="E138" s="65">
        <f t="shared" si="170"/>
        <v>164.15606550840803</v>
      </c>
      <c r="F138" s="65">
        <f t="shared" si="170"/>
        <v>167.02366855561002</v>
      </c>
      <c r="G138" s="65">
        <f t="shared" si="170"/>
        <v>228.91440725687511</v>
      </c>
      <c r="H138" s="65">
        <f t="shared" si="170"/>
        <v>291.77961558934533</v>
      </c>
      <c r="I138" s="65">
        <f t="shared" si="170"/>
        <v>235.34322846481072</v>
      </c>
      <c r="J138" s="65">
        <f t="shared" si="170"/>
        <v>180.56973426707546</v>
      </c>
      <c r="K138" s="65">
        <f t="shared" si="170"/>
        <v>161.89925454493488</v>
      </c>
      <c r="L138" s="65">
        <f t="shared" si="170"/>
        <v>171.5686255246587</v>
      </c>
      <c r="M138" s="65">
        <f t="shared" si="170"/>
        <v>149.95505540939831</v>
      </c>
      <c r="N138" s="65">
        <f t="shared" si="170"/>
        <v>139.91818427642886</v>
      </c>
      <c r="O138" s="65">
        <f t="shared" si="170"/>
        <v>125.77772337849228</v>
      </c>
      <c r="P138" s="65">
        <f t="shared" si="170"/>
        <v>112.17340841956728</v>
      </c>
      <c r="Q138" s="65">
        <f t="shared" si="170"/>
        <v>107.62479970195395</v>
      </c>
      <c r="R138" s="65">
        <f t="shared" si="170"/>
        <v>109.94889366566356</v>
      </c>
      <c r="S138" s="65">
        <f t="shared" si="170"/>
        <v>115.14565491117547</v>
      </c>
      <c r="T138" s="65">
        <f t="shared" si="170"/>
        <v>115.42702757012269</v>
      </c>
      <c r="U138" s="65">
        <f t="shared" si="170"/>
        <v>112.38470058760348</v>
      </c>
      <c r="V138" s="65">
        <f t="shared" si="170"/>
        <v>101.96061340660795</v>
      </c>
      <c r="W138" s="65">
        <f t="shared" si="170"/>
        <v>113.93668365222234</v>
      </c>
      <c r="X138" s="65">
        <f t="shared" ref="X138:Y138" si="171">IF(X108=0,0,X108/X$26)</f>
        <v>118.74371875413044</v>
      </c>
      <c r="Y138" s="65">
        <f t="shared" si="171"/>
        <v>144.27646212694484</v>
      </c>
      <c r="DA138" s="109"/>
    </row>
    <row r="139" spans="1:105" ht="12" customHeight="1" x14ac:dyDescent="0.25">
      <c r="A139" s="61" t="s">
        <v>31</v>
      </c>
      <c r="B139" s="65">
        <f t="shared" ref="B139" si="172">IF(B109=0,0,B109/B$26)</f>
        <v>2.9711107387838859E-2</v>
      </c>
      <c r="C139" s="65">
        <f t="shared" ref="C139:W139" si="173">IF(C109=0,0,C109/C$26)</f>
        <v>0.37220481326323901</v>
      </c>
      <c r="D139" s="65">
        <f t="shared" si="173"/>
        <v>0.76506326304215455</v>
      </c>
      <c r="E139" s="65">
        <f t="shared" si="173"/>
        <v>1.0750761295488309</v>
      </c>
      <c r="F139" s="65">
        <f t="shared" si="173"/>
        <v>1.2541535137934812</v>
      </c>
      <c r="G139" s="65">
        <f t="shared" si="173"/>
        <v>1.4838264643157277</v>
      </c>
      <c r="H139" s="65">
        <f t="shared" si="173"/>
        <v>1.9357287557331189</v>
      </c>
      <c r="I139" s="65">
        <f t="shared" si="173"/>
        <v>3.0812103182332065</v>
      </c>
      <c r="J139" s="65">
        <f t="shared" si="173"/>
        <v>2.8510818298425851</v>
      </c>
      <c r="K139" s="65">
        <f t="shared" si="173"/>
        <v>3.0455446540744706</v>
      </c>
      <c r="L139" s="65">
        <f t="shared" si="173"/>
        <v>3.8425621559281531</v>
      </c>
      <c r="M139" s="65">
        <f t="shared" si="173"/>
        <v>3.608560130807787</v>
      </c>
      <c r="N139" s="65">
        <f t="shared" si="173"/>
        <v>5.9764901865936872</v>
      </c>
      <c r="O139" s="65">
        <f t="shared" si="173"/>
        <v>4.2410725438668226</v>
      </c>
      <c r="P139" s="65">
        <f t="shared" si="173"/>
        <v>4.1972522061670841</v>
      </c>
      <c r="Q139" s="65">
        <f t="shared" si="173"/>
        <v>5.6199968398602484</v>
      </c>
      <c r="R139" s="65">
        <f t="shared" si="173"/>
        <v>4.772723407594369</v>
      </c>
      <c r="S139" s="65">
        <f t="shared" si="173"/>
        <v>5.1547972770424648</v>
      </c>
      <c r="T139" s="65">
        <f t="shared" si="173"/>
        <v>4.5498136586907876</v>
      </c>
      <c r="U139" s="65">
        <f t="shared" si="173"/>
        <v>5.1853897065510166</v>
      </c>
      <c r="V139" s="65">
        <f t="shared" si="173"/>
        <v>4.6937922688705136</v>
      </c>
      <c r="W139" s="65">
        <f t="shared" si="173"/>
        <v>5.4330175425338094</v>
      </c>
      <c r="X139" s="65">
        <f t="shared" ref="X139:Y139" si="174">IF(X109=0,0,X109/X$26)</f>
        <v>5.7124277324390862</v>
      </c>
      <c r="Y139" s="65">
        <f t="shared" si="174"/>
        <v>5.9245941111827145</v>
      </c>
      <c r="DA139" s="109"/>
    </row>
    <row r="140" spans="1:105" ht="12" customHeight="1" x14ac:dyDescent="0.25">
      <c r="A140" s="61" t="s">
        <v>35</v>
      </c>
      <c r="B140" s="65">
        <f t="shared" ref="B140" si="175">IF(B110=0,0,B110/B$26)</f>
        <v>23.184354422876947</v>
      </c>
      <c r="C140" s="65">
        <f t="shared" ref="C140:W140" si="176">IF(C110=0,0,C110/C$26)</f>
        <v>25.450597475159391</v>
      </c>
      <c r="D140" s="65">
        <f t="shared" si="176"/>
        <v>12.418502734617357</v>
      </c>
      <c r="E140" s="65">
        <f t="shared" si="176"/>
        <v>26.822936205399454</v>
      </c>
      <c r="F140" s="65">
        <f t="shared" si="176"/>
        <v>30.536657711207457</v>
      </c>
      <c r="G140" s="65">
        <f t="shared" si="176"/>
        <v>30.719927370477091</v>
      </c>
      <c r="H140" s="65">
        <f t="shared" si="176"/>
        <v>31.684307693092041</v>
      </c>
      <c r="I140" s="65">
        <f t="shared" si="176"/>
        <v>32.530883858256665</v>
      </c>
      <c r="J140" s="65">
        <f t="shared" si="176"/>
        <v>32.033501807609085</v>
      </c>
      <c r="K140" s="65">
        <f t="shared" si="176"/>
        <v>31.98066692371453</v>
      </c>
      <c r="L140" s="65">
        <f t="shared" si="176"/>
        <v>31.026691170159026</v>
      </c>
      <c r="M140" s="65">
        <f t="shared" si="176"/>
        <v>32.239780546194126</v>
      </c>
      <c r="N140" s="65">
        <f t="shared" si="176"/>
        <v>32.112993041469757</v>
      </c>
      <c r="O140" s="65">
        <f t="shared" si="176"/>
        <v>32.82514738404462</v>
      </c>
      <c r="P140" s="65">
        <f t="shared" si="176"/>
        <v>33.302694468942121</v>
      </c>
      <c r="Q140" s="65">
        <f t="shared" si="176"/>
        <v>34.032088789641158</v>
      </c>
      <c r="R140" s="65">
        <f t="shared" si="176"/>
        <v>34.063115363432281</v>
      </c>
      <c r="S140" s="65">
        <f t="shared" si="176"/>
        <v>34.212218810783632</v>
      </c>
      <c r="T140" s="65">
        <f t="shared" si="176"/>
        <v>33.548472737844179</v>
      </c>
      <c r="U140" s="65">
        <f t="shared" si="176"/>
        <v>32.212773980398829</v>
      </c>
      <c r="V140" s="65">
        <f t="shared" si="176"/>
        <v>30.621712322110255</v>
      </c>
      <c r="W140" s="65">
        <f t="shared" si="176"/>
        <v>33.989127935646628</v>
      </c>
      <c r="X140" s="65">
        <f t="shared" ref="X140:Y140" si="177">IF(X110=0,0,X110/X$26)</f>
        <v>34.636128316994657</v>
      </c>
      <c r="Y140" s="65">
        <f t="shared" si="177"/>
        <v>35.704001514941559</v>
      </c>
      <c r="DA140" s="109"/>
    </row>
    <row r="141" spans="1:105" ht="12" customHeight="1" x14ac:dyDescent="0.25">
      <c r="A141" s="74" t="s">
        <v>34</v>
      </c>
      <c r="B141" s="68">
        <f t="shared" ref="B141" si="178">IF(B111=0,0,B111/B$26)</f>
        <v>39.687584016926834</v>
      </c>
      <c r="C141" s="68">
        <f t="shared" ref="C141:W141" si="179">IF(C111=0,0,C111/C$26)</f>
        <v>38.612527321546921</v>
      </c>
      <c r="D141" s="68">
        <f t="shared" si="179"/>
        <v>28.030692428864199</v>
      </c>
      <c r="E141" s="68">
        <f t="shared" si="179"/>
        <v>37.955107751775294</v>
      </c>
      <c r="F141" s="68">
        <f t="shared" si="179"/>
        <v>40.041542794447608</v>
      </c>
      <c r="G141" s="68">
        <f t="shared" si="179"/>
        <v>41.543332496108775</v>
      </c>
      <c r="H141" s="68">
        <f t="shared" si="179"/>
        <v>42.563780436937485</v>
      </c>
      <c r="I141" s="68">
        <f t="shared" si="179"/>
        <v>43.132044197362546</v>
      </c>
      <c r="J141" s="68">
        <f t="shared" si="179"/>
        <v>45.309129609944755</v>
      </c>
      <c r="K141" s="68">
        <f t="shared" si="179"/>
        <v>45.492613091310822</v>
      </c>
      <c r="L141" s="68">
        <f t="shared" si="179"/>
        <v>46.02265586186693</v>
      </c>
      <c r="M141" s="68">
        <f t="shared" si="179"/>
        <v>46.002518043907983</v>
      </c>
      <c r="N141" s="68">
        <f t="shared" si="179"/>
        <v>46.694369450456172</v>
      </c>
      <c r="O141" s="68">
        <f t="shared" si="179"/>
        <v>48.520335966224465</v>
      </c>
      <c r="P141" s="68">
        <f t="shared" si="179"/>
        <v>49.121945508361641</v>
      </c>
      <c r="Q141" s="68">
        <f t="shared" si="179"/>
        <v>49.706333417174797</v>
      </c>
      <c r="R141" s="68">
        <f t="shared" si="179"/>
        <v>48.106707443135726</v>
      </c>
      <c r="S141" s="68">
        <f t="shared" si="179"/>
        <v>46.913826882902846</v>
      </c>
      <c r="T141" s="68">
        <f t="shared" si="179"/>
        <v>47.446593444781222</v>
      </c>
      <c r="U141" s="68">
        <f t="shared" si="179"/>
        <v>47.666270291377124</v>
      </c>
      <c r="V141" s="68">
        <f t="shared" si="179"/>
        <v>43.22323597520473</v>
      </c>
      <c r="W141" s="68">
        <f t="shared" si="179"/>
        <v>45.995465723198841</v>
      </c>
      <c r="X141" s="68">
        <f t="shared" ref="X141:Y141" si="180">IF(X111=0,0,X111/X$26)</f>
        <v>48.801876838410365</v>
      </c>
      <c r="Y141" s="68">
        <f t="shared" si="180"/>
        <v>50.126705924932963</v>
      </c>
      <c r="DA141" s="111"/>
    </row>
    <row r="142" spans="1:105" s="2" customFormat="1" ht="12" customHeight="1" x14ac:dyDescent="0.25">
      <c r="DA142" s="7"/>
    </row>
    <row r="143" spans="1:105" ht="12.95" customHeight="1" x14ac:dyDescent="0.25">
      <c r="A143" s="81" t="s">
        <v>40</v>
      </c>
      <c r="B143" s="82">
        <f t="shared" ref="B143" si="181">IF(B113=0,0,B113/B$26)</f>
        <v>29.41974545299502</v>
      </c>
      <c r="C143" s="82">
        <f t="shared" ref="C143:W143" si="182">IF(C113=0,0,C113/C$26)</f>
        <v>51.172730780619851</v>
      </c>
      <c r="D143" s="82">
        <f t="shared" si="182"/>
        <v>28.617368903147995</v>
      </c>
      <c r="E143" s="82">
        <f t="shared" si="182"/>
        <v>52.562802004856735</v>
      </c>
      <c r="F143" s="82">
        <f t="shared" si="182"/>
        <v>79.31241665499698</v>
      </c>
      <c r="G143" s="82">
        <f t="shared" si="182"/>
        <v>78.964748068120329</v>
      </c>
      <c r="H143" s="82">
        <f t="shared" si="182"/>
        <v>103.90935423313383</v>
      </c>
      <c r="I143" s="82">
        <f t="shared" si="182"/>
        <v>85.740657705044853</v>
      </c>
      <c r="J143" s="82">
        <f t="shared" si="182"/>
        <v>59.625375312787718</v>
      </c>
      <c r="K143" s="82">
        <f t="shared" si="182"/>
        <v>54.357216304065815</v>
      </c>
      <c r="L143" s="82">
        <f t="shared" si="182"/>
        <v>53.360753307386325</v>
      </c>
      <c r="M143" s="82">
        <f t="shared" si="182"/>
        <v>49.95204992075675</v>
      </c>
      <c r="N143" s="82">
        <f t="shared" si="182"/>
        <v>47.439842890318424</v>
      </c>
      <c r="O143" s="82">
        <f t="shared" si="182"/>
        <v>44.214532996909817</v>
      </c>
      <c r="P143" s="82">
        <f t="shared" si="182"/>
        <v>42.269881131401171</v>
      </c>
      <c r="Q143" s="82">
        <f t="shared" si="182"/>
        <v>40.077680125762889</v>
      </c>
      <c r="R143" s="82">
        <f t="shared" si="182"/>
        <v>39.026217951952553</v>
      </c>
      <c r="S143" s="82">
        <f t="shared" si="182"/>
        <v>42.686541707927155</v>
      </c>
      <c r="T143" s="82">
        <f t="shared" si="182"/>
        <v>42.311379375513297</v>
      </c>
      <c r="U143" s="82">
        <f t="shared" si="182"/>
        <v>41.312295958041894</v>
      </c>
      <c r="V143" s="82">
        <f t="shared" si="182"/>
        <v>37.995982511183485</v>
      </c>
      <c r="W143" s="82">
        <f t="shared" si="182"/>
        <v>43.186841033318736</v>
      </c>
      <c r="X143" s="82">
        <f t="shared" ref="X143:Y143" si="183">IF(X113=0,0,X113/X$26)</f>
        <v>44.582744554976074</v>
      </c>
      <c r="Y143" s="82">
        <f t="shared" si="183"/>
        <v>46.30604681481325</v>
      </c>
      <c r="DA143" s="107"/>
    </row>
    <row r="144" spans="1:105" ht="12" customHeight="1" x14ac:dyDescent="0.25">
      <c r="A144" s="77" t="s">
        <v>36</v>
      </c>
      <c r="B144" s="64">
        <f t="shared" ref="B144" si="184">IF(B114=0,0,B114/B$26)</f>
        <v>29.41974545299502</v>
      </c>
      <c r="C144" s="64">
        <f t="shared" ref="C144:W144" si="185">IF(C114=0,0,C114/C$26)</f>
        <v>51.172730780619851</v>
      </c>
      <c r="D144" s="64">
        <f t="shared" si="185"/>
        <v>28.617368903147995</v>
      </c>
      <c r="E144" s="64">
        <f t="shared" si="185"/>
        <v>52.562802004856735</v>
      </c>
      <c r="F144" s="64">
        <f t="shared" si="185"/>
        <v>79.31241665499698</v>
      </c>
      <c r="G144" s="64">
        <f t="shared" si="185"/>
        <v>78.964748068120329</v>
      </c>
      <c r="H144" s="64">
        <f t="shared" si="185"/>
        <v>103.90935423313383</v>
      </c>
      <c r="I144" s="64">
        <f t="shared" si="185"/>
        <v>85.740657705044853</v>
      </c>
      <c r="J144" s="64">
        <f t="shared" si="185"/>
        <v>59.625375312787718</v>
      </c>
      <c r="K144" s="64">
        <f t="shared" si="185"/>
        <v>54.357216304065815</v>
      </c>
      <c r="L144" s="64">
        <f t="shared" si="185"/>
        <v>53.360753307386325</v>
      </c>
      <c r="M144" s="64">
        <f t="shared" si="185"/>
        <v>49.95204992075675</v>
      </c>
      <c r="N144" s="64">
        <f t="shared" si="185"/>
        <v>47.439842890318424</v>
      </c>
      <c r="O144" s="64">
        <f t="shared" si="185"/>
        <v>44.214532996909817</v>
      </c>
      <c r="P144" s="64">
        <f t="shared" si="185"/>
        <v>42.269881131401171</v>
      </c>
      <c r="Q144" s="64">
        <f t="shared" si="185"/>
        <v>40.077680125762889</v>
      </c>
      <c r="R144" s="64">
        <f t="shared" si="185"/>
        <v>39.026217951952553</v>
      </c>
      <c r="S144" s="64">
        <f t="shared" si="185"/>
        <v>42.686541707927155</v>
      </c>
      <c r="T144" s="64">
        <f t="shared" si="185"/>
        <v>42.311379375513297</v>
      </c>
      <c r="U144" s="64">
        <f t="shared" si="185"/>
        <v>41.312295958041894</v>
      </c>
      <c r="V144" s="64">
        <f t="shared" si="185"/>
        <v>37.995982511183485</v>
      </c>
      <c r="W144" s="64">
        <f t="shared" si="185"/>
        <v>43.186841033318736</v>
      </c>
      <c r="X144" s="64">
        <f t="shared" ref="X144:Y144" si="186">IF(X114=0,0,X114/X$26)</f>
        <v>44.582744554976074</v>
      </c>
      <c r="Y144" s="64">
        <f t="shared" si="186"/>
        <v>46.30604681481325</v>
      </c>
      <c r="DA144" s="108"/>
    </row>
    <row r="145" spans="1:105" ht="12" customHeight="1" x14ac:dyDescent="0.25">
      <c r="A145" s="61" t="s">
        <v>32</v>
      </c>
      <c r="B145" s="65">
        <f t="shared" ref="B145" si="187">IF(B115=0,0,B115/B$26)</f>
        <v>23.080644003333461</v>
      </c>
      <c r="C145" s="65">
        <f t="shared" ref="C145:W145" si="188">IF(C115=0,0,C115/C$26)</f>
        <v>45.158628220897612</v>
      </c>
      <c r="D145" s="65">
        <f t="shared" si="188"/>
        <v>22.718856465159305</v>
      </c>
      <c r="E145" s="65">
        <f t="shared" si="188"/>
        <v>40.432630200544068</v>
      </c>
      <c r="F145" s="65">
        <f t="shared" si="188"/>
        <v>58.946467162990501</v>
      </c>
      <c r="G145" s="65">
        <f t="shared" si="188"/>
        <v>59.403818357054234</v>
      </c>
      <c r="H145" s="65">
        <f t="shared" si="188"/>
        <v>85.950541056888937</v>
      </c>
      <c r="I145" s="65">
        <f t="shared" si="188"/>
        <v>67.028449848418575</v>
      </c>
      <c r="J145" s="65">
        <f t="shared" si="188"/>
        <v>46.603473270379574</v>
      </c>
      <c r="K145" s="65">
        <f t="shared" si="188"/>
        <v>40.657211126328242</v>
      </c>
      <c r="L145" s="65">
        <f t="shared" si="188"/>
        <v>39.917891780301886</v>
      </c>
      <c r="M145" s="65">
        <f t="shared" si="188"/>
        <v>37.997683075650961</v>
      </c>
      <c r="N145" s="65">
        <f t="shared" si="188"/>
        <v>35.594691982957691</v>
      </c>
      <c r="O145" s="65">
        <f t="shared" si="188"/>
        <v>32.018825888667948</v>
      </c>
      <c r="P145" s="65">
        <f t="shared" si="188"/>
        <v>29.76229395995373</v>
      </c>
      <c r="Q145" s="65">
        <f t="shared" si="188"/>
        <v>26.858445049484249</v>
      </c>
      <c r="R145" s="65">
        <f t="shared" si="188"/>
        <v>26.127165162262568</v>
      </c>
      <c r="S145" s="65">
        <f t="shared" si="188"/>
        <v>28.851124290642613</v>
      </c>
      <c r="T145" s="65">
        <f t="shared" si="188"/>
        <v>28.837161817427575</v>
      </c>
      <c r="U145" s="65">
        <f t="shared" si="188"/>
        <v>28.134442499971033</v>
      </c>
      <c r="V145" s="65">
        <f t="shared" si="188"/>
        <v>25.572694371553023</v>
      </c>
      <c r="W145" s="65">
        <f t="shared" si="188"/>
        <v>29.799652292483177</v>
      </c>
      <c r="X145" s="65">
        <f t="shared" ref="X145:Y145" si="189">IF(X115=0,0,X115/X$26)</f>
        <v>31.532337518067283</v>
      </c>
      <c r="Y145" s="65">
        <f t="shared" si="189"/>
        <v>33.730990431027834</v>
      </c>
      <c r="DA145" s="109"/>
    </row>
    <row r="146" spans="1:105" ht="12" customHeight="1" x14ac:dyDescent="0.25">
      <c r="A146" s="61" t="s">
        <v>31</v>
      </c>
      <c r="B146" s="65">
        <f t="shared" ref="B146" si="190">IF(B116=0,0,B116/B$26)</f>
        <v>0</v>
      </c>
      <c r="C146" s="65">
        <f t="shared" ref="C146:W146" si="191">IF(C116=0,0,C116/C$26)</f>
        <v>0</v>
      </c>
      <c r="D146" s="65">
        <f t="shared" si="191"/>
        <v>0</v>
      </c>
      <c r="E146" s="65">
        <f t="shared" si="191"/>
        <v>0</v>
      </c>
      <c r="F146" s="65">
        <f t="shared" si="191"/>
        <v>0</v>
      </c>
      <c r="G146" s="65">
        <f t="shared" si="191"/>
        <v>0</v>
      </c>
      <c r="H146" s="65">
        <f t="shared" si="191"/>
        <v>0</v>
      </c>
      <c r="I146" s="65">
        <f t="shared" si="191"/>
        <v>0</v>
      </c>
      <c r="J146" s="65">
        <f t="shared" si="191"/>
        <v>0</v>
      </c>
      <c r="K146" s="65">
        <f t="shared" si="191"/>
        <v>0</v>
      </c>
      <c r="L146" s="65">
        <f t="shared" si="191"/>
        <v>0</v>
      </c>
      <c r="M146" s="65">
        <f t="shared" si="191"/>
        <v>0</v>
      </c>
      <c r="N146" s="65">
        <f t="shared" si="191"/>
        <v>0</v>
      </c>
      <c r="O146" s="65">
        <f t="shared" si="191"/>
        <v>0</v>
      </c>
      <c r="P146" s="65">
        <f t="shared" si="191"/>
        <v>0</v>
      </c>
      <c r="Q146" s="65">
        <f t="shared" si="191"/>
        <v>0</v>
      </c>
      <c r="R146" s="65">
        <f t="shared" si="191"/>
        <v>0</v>
      </c>
      <c r="S146" s="65">
        <f t="shared" si="191"/>
        <v>0</v>
      </c>
      <c r="T146" s="65">
        <f t="shared" si="191"/>
        <v>0</v>
      </c>
      <c r="U146" s="65">
        <f t="shared" si="191"/>
        <v>0</v>
      </c>
      <c r="V146" s="65">
        <f t="shared" si="191"/>
        <v>0</v>
      </c>
      <c r="W146" s="65">
        <f t="shared" si="191"/>
        <v>0</v>
      </c>
      <c r="X146" s="65">
        <f t="shared" ref="X146:Y146" si="192">IF(X116=0,0,X116/X$26)</f>
        <v>0</v>
      </c>
      <c r="Y146" s="65">
        <f t="shared" si="192"/>
        <v>0</v>
      </c>
      <c r="DA146" s="109"/>
    </row>
    <row r="147" spans="1:105" ht="12" customHeight="1" x14ac:dyDescent="0.25">
      <c r="A147" s="61" t="s">
        <v>35</v>
      </c>
      <c r="B147" s="65">
        <f t="shared" ref="B147" si="193">IF(B117=0,0,B117/B$26)</f>
        <v>1.5849111526103221</v>
      </c>
      <c r="C147" s="65">
        <f t="shared" ref="C147:W147" si="194">IF(C117=0,0,C117/C$26)</f>
        <v>1.6621854643662421</v>
      </c>
      <c r="D147" s="65">
        <f t="shared" si="194"/>
        <v>3.0195146371306758</v>
      </c>
      <c r="E147" s="65">
        <f t="shared" si="194"/>
        <v>4.8860831040780601</v>
      </c>
      <c r="F147" s="65">
        <f t="shared" si="194"/>
        <v>7.1902167311140754</v>
      </c>
      <c r="G147" s="65">
        <f t="shared" si="194"/>
        <v>6.7629690076758999</v>
      </c>
      <c r="H147" s="65">
        <f t="shared" si="194"/>
        <v>6.4926324633866566</v>
      </c>
      <c r="I147" s="65">
        <f t="shared" si="194"/>
        <v>5.6099518471764442</v>
      </c>
      <c r="J147" s="65">
        <f t="shared" si="194"/>
        <v>4.8286574925953509</v>
      </c>
      <c r="K147" s="65">
        <f t="shared" si="194"/>
        <v>6.4078764161559763</v>
      </c>
      <c r="L147" s="65">
        <f t="shared" si="194"/>
        <v>6.1577202085656122</v>
      </c>
      <c r="M147" s="65">
        <f t="shared" si="194"/>
        <v>5.4981777462688219</v>
      </c>
      <c r="N147" s="65">
        <f t="shared" si="194"/>
        <v>5.570548575469382</v>
      </c>
      <c r="O147" s="65">
        <f t="shared" si="194"/>
        <v>6.0236935505560183</v>
      </c>
      <c r="P147" s="65">
        <f t="shared" si="194"/>
        <v>6.3465447103602264</v>
      </c>
      <c r="Q147" s="65">
        <f t="shared" si="194"/>
        <v>6.5500598587616325</v>
      </c>
      <c r="R147" s="65">
        <f t="shared" si="194"/>
        <v>6.5426761328679683</v>
      </c>
      <c r="S147" s="65">
        <f t="shared" si="194"/>
        <v>7.1589584382028661</v>
      </c>
      <c r="T147" s="65">
        <f t="shared" si="194"/>
        <v>6.9848539690547344</v>
      </c>
      <c r="U147" s="65">
        <f t="shared" si="194"/>
        <v>6.7279613480372378</v>
      </c>
      <c r="V147" s="65">
        <f t="shared" si="194"/>
        <v>6.396863097008846</v>
      </c>
      <c r="W147" s="65">
        <f t="shared" si="194"/>
        <v>7.3291281307690346</v>
      </c>
      <c r="X147" s="65">
        <f t="shared" ref="X147:Y147" si="195">IF(X117=0,0,X117/X$26)</f>
        <v>7.0646566723263851</v>
      </c>
      <c r="Y147" s="65">
        <f t="shared" si="195"/>
        <v>6.6983616322972184</v>
      </c>
      <c r="DA147" s="109"/>
    </row>
    <row r="148" spans="1:105" ht="12" customHeight="1" x14ac:dyDescent="0.25">
      <c r="A148" s="66" t="s">
        <v>34</v>
      </c>
      <c r="B148" s="67">
        <f t="shared" ref="B148" si="196">IF(B118=0,0,B118/B$26)</f>
        <v>4.7541902970512373</v>
      </c>
      <c r="C148" s="67">
        <f t="shared" ref="C148:W148" si="197">IF(C118=0,0,C118/C$26)</f>
        <v>4.3519170953560051</v>
      </c>
      <c r="D148" s="67">
        <f t="shared" si="197"/>
        <v>2.8789978008580062</v>
      </c>
      <c r="E148" s="67">
        <f t="shared" si="197"/>
        <v>7.2440887002346086</v>
      </c>
      <c r="F148" s="67">
        <f t="shared" si="197"/>
        <v>13.17573276089241</v>
      </c>
      <c r="G148" s="67">
        <f t="shared" si="197"/>
        <v>12.797960703390197</v>
      </c>
      <c r="H148" s="67">
        <f t="shared" si="197"/>
        <v>11.466180712858236</v>
      </c>
      <c r="I148" s="67">
        <f t="shared" si="197"/>
        <v>13.102256009449821</v>
      </c>
      <c r="J148" s="67">
        <f t="shared" si="197"/>
        <v>8.1932445498127979</v>
      </c>
      <c r="K148" s="67">
        <f t="shared" si="197"/>
        <v>7.2921287615815924</v>
      </c>
      <c r="L148" s="67">
        <f t="shared" si="197"/>
        <v>7.2851413185188134</v>
      </c>
      <c r="M148" s="67">
        <f t="shared" si="197"/>
        <v>6.4561890988369548</v>
      </c>
      <c r="N148" s="67">
        <f t="shared" si="197"/>
        <v>6.2746023318913506</v>
      </c>
      <c r="O148" s="67">
        <f t="shared" si="197"/>
        <v>6.1720135576858546</v>
      </c>
      <c r="P148" s="67">
        <f t="shared" si="197"/>
        <v>6.1610424610872103</v>
      </c>
      <c r="Q148" s="67">
        <f t="shared" si="197"/>
        <v>6.6691752175170071</v>
      </c>
      <c r="R148" s="67">
        <f t="shared" si="197"/>
        <v>6.3563766568220164</v>
      </c>
      <c r="S148" s="67">
        <f t="shared" si="197"/>
        <v>6.6764589790816737</v>
      </c>
      <c r="T148" s="67">
        <f t="shared" si="197"/>
        <v>6.4893635890309866</v>
      </c>
      <c r="U148" s="67">
        <f t="shared" si="197"/>
        <v>6.4498921100336224</v>
      </c>
      <c r="V148" s="67">
        <f t="shared" si="197"/>
        <v>6.0264250426216073</v>
      </c>
      <c r="W148" s="67">
        <f t="shared" si="197"/>
        <v>6.0580606100665237</v>
      </c>
      <c r="X148" s="67">
        <f t="shared" ref="X148:Y148" si="198">IF(X118=0,0,X118/X$26)</f>
        <v>5.9857503645823975</v>
      </c>
      <c r="Y148" s="67">
        <f t="shared" si="198"/>
        <v>5.8766947514881975</v>
      </c>
      <c r="DA148" s="110"/>
    </row>
    <row r="149" spans="1:105" ht="12" customHeight="1" x14ac:dyDescent="0.25">
      <c r="A149" s="78" t="s">
        <v>33</v>
      </c>
      <c r="B149" s="68">
        <f t="shared" ref="B149" si="199">IF(B119=0,0,B119/B$26)</f>
        <v>0</v>
      </c>
      <c r="C149" s="68">
        <f t="shared" ref="C149:W149" si="200">IF(C119=0,0,C119/C$26)</f>
        <v>0</v>
      </c>
      <c r="D149" s="68">
        <f t="shared" si="200"/>
        <v>0</v>
      </c>
      <c r="E149" s="68">
        <f t="shared" si="200"/>
        <v>0</v>
      </c>
      <c r="F149" s="68">
        <f t="shared" si="200"/>
        <v>0</v>
      </c>
      <c r="G149" s="68">
        <f t="shared" si="200"/>
        <v>0</v>
      </c>
      <c r="H149" s="68">
        <f t="shared" si="200"/>
        <v>0</v>
      </c>
      <c r="I149" s="68">
        <f t="shared" si="200"/>
        <v>0</v>
      </c>
      <c r="J149" s="68">
        <f t="shared" si="200"/>
        <v>0</v>
      </c>
      <c r="K149" s="68">
        <f t="shared" si="200"/>
        <v>0</v>
      </c>
      <c r="L149" s="68">
        <f t="shared" si="200"/>
        <v>0</v>
      </c>
      <c r="M149" s="68">
        <f t="shared" si="200"/>
        <v>0</v>
      </c>
      <c r="N149" s="68">
        <f t="shared" si="200"/>
        <v>0</v>
      </c>
      <c r="O149" s="68">
        <f t="shared" si="200"/>
        <v>0</v>
      </c>
      <c r="P149" s="68">
        <f t="shared" si="200"/>
        <v>0</v>
      </c>
      <c r="Q149" s="68">
        <f t="shared" si="200"/>
        <v>0</v>
      </c>
      <c r="R149" s="68">
        <f t="shared" si="200"/>
        <v>0</v>
      </c>
      <c r="S149" s="68">
        <f t="shared" si="200"/>
        <v>0</v>
      </c>
      <c r="T149" s="68">
        <f t="shared" si="200"/>
        <v>0</v>
      </c>
      <c r="U149" s="68">
        <f t="shared" si="200"/>
        <v>0</v>
      </c>
      <c r="V149" s="68">
        <f t="shared" si="200"/>
        <v>0</v>
      </c>
      <c r="W149" s="68">
        <f t="shared" si="200"/>
        <v>0</v>
      </c>
      <c r="X149" s="68">
        <f t="shared" ref="X149:Y149" si="201">IF(X119=0,0,X119/X$26)</f>
        <v>0</v>
      </c>
      <c r="Y149" s="68">
        <f t="shared" si="201"/>
        <v>0</v>
      </c>
      <c r="DA149" s="111"/>
    </row>
    <row r="151" spans="1:105" s="2" customFormat="1" ht="6.6" customHeight="1" x14ac:dyDescent="0.25">
      <c r="A151" s="30"/>
      <c r="B151" s="31"/>
      <c r="C151" s="31"/>
      <c r="D151" s="31"/>
      <c r="E151" s="31"/>
      <c r="F151" s="31"/>
      <c r="G151" s="31"/>
      <c r="H151" s="31"/>
      <c r="I151" s="31"/>
      <c r="J151" s="31"/>
      <c r="K151" s="31"/>
      <c r="L151" s="31"/>
      <c r="M151" s="31"/>
      <c r="N151" s="31"/>
      <c r="O151" s="31"/>
      <c r="P151" s="31"/>
      <c r="Q151" s="31"/>
      <c r="R151" s="31"/>
      <c r="S151" s="31"/>
      <c r="T151" s="31"/>
      <c r="U151" s="31"/>
      <c r="V151" s="31"/>
      <c r="W151" s="31"/>
      <c r="X151" s="31"/>
      <c r="Y151" s="31"/>
      <c r="DA151" s="32"/>
    </row>
    <row r="152" spans="1:105" s="2" customFormat="1" ht="12" customHeight="1" x14ac:dyDescent="0.25">
      <c r="DA152" s="7"/>
    </row>
    <row r="153" spans="1:105" ht="12.95" customHeight="1" x14ac:dyDescent="0.25">
      <c r="A153" s="81" t="s">
        <v>39</v>
      </c>
      <c r="B153" s="82">
        <f t="shared" ref="B153" si="202">IF(B99=0,0,B99/B$23)</f>
        <v>4529.2001080776372</v>
      </c>
      <c r="C153" s="82">
        <f t="shared" ref="C153:W153" si="203">IF(C99=0,0,C99/C$23)</f>
        <v>6001.1433488758594</v>
      </c>
      <c r="D153" s="82">
        <f t="shared" si="203"/>
        <v>3103.1813577734242</v>
      </c>
      <c r="E153" s="82">
        <f t="shared" si="203"/>
        <v>5256.6857963790026</v>
      </c>
      <c r="F153" s="82">
        <f t="shared" si="203"/>
        <v>5639.4680423758209</v>
      </c>
      <c r="G153" s="82">
        <f t="shared" si="203"/>
        <v>7108.6526602037957</v>
      </c>
      <c r="H153" s="82">
        <f t="shared" si="203"/>
        <v>8604.4355888839928</v>
      </c>
      <c r="I153" s="82">
        <f t="shared" si="203"/>
        <v>7553.7186635700809</v>
      </c>
      <c r="J153" s="82">
        <f t="shared" si="203"/>
        <v>6438.4061050968066</v>
      </c>
      <c r="K153" s="82">
        <f t="shared" si="203"/>
        <v>6199.3743579637285</v>
      </c>
      <c r="L153" s="82">
        <f t="shared" si="203"/>
        <v>6771.0287427194744</v>
      </c>
      <c r="M153" s="82">
        <f t="shared" si="203"/>
        <v>6333.1649809620958</v>
      </c>
      <c r="N153" s="82">
        <f t="shared" si="203"/>
        <v>6159.4688424296182</v>
      </c>
      <c r="O153" s="82">
        <f t="shared" si="203"/>
        <v>6081.7448736722918</v>
      </c>
      <c r="P153" s="82">
        <f t="shared" si="203"/>
        <v>5911.1018256977532</v>
      </c>
      <c r="Q153" s="82">
        <f t="shared" si="203"/>
        <v>5775.2150186393956</v>
      </c>
      <c r="R153" s="82">
        <f t="shared" si="203"/>
        <v>5839.7376273189984</v>
      </c>
      <c r="S153" s="82">
        <f t="shared" si="203"/>
        <v>5929.9531735452429</v>
      </c>
      <c r="T153" s="82">
        <f t="shared" si="203"/>
        <v>5972.0077475300623</v>
      </c>
      <c r="U153" s="82">
        <f t="shared" si="203"/>
        <v>5807.0706773581396</v>
      </c>
      <c r="V153" s="82">
        <f t="shared" si="203"/>
        <v>5451.2384423063431</v>
      </c>
      <c r="W153" s="82">
        <f t="shared" si="203"/>
        <v>5881.1319487224864</v>
      </c>
      <c r="X153" s="82">
        <f t="shared" ref="X153:Y153" si="204">IF(X99=0,0,X99/X$23)</f>
        <v>5973.9809139131157</v>
      </c>
      <c r="Y153" s="82">
        <f t="shared" si="204"/>
        <v>6501.7822298890051</v>
      </c>
      <c r="DA153" s="107"/>
    </row>
    <row r="154" spans="1:105" ht="12" customHeight="1" x14ac:dyDescent="0.25">
      <c r="A154" s="77" t="s">
        <v>36</v>
      </c>
      <c r="B154" s="64">
        <f t="shared" ref="B154" si="205">IF(B100=0,0,B100/B$23)</f>
        <v>3891.3080541142695</v>
      </c>
      <c r="C154" s="64">
        <f t="shared" ref="C154:W154" si="206">IF(C100=0,0,C100/C$23)</f>
        <v>5322.2468134057417</v>
      </c>
      <c r="D154" s="64">
        <f t="shared" si="206"/>
        <v>2403.5470544649002</v>
      </c>
      <c r="E154" s="64">
        <f t="shared" si="206"/>
        <v>4477.0255900384127</v>
      </c>
      <c r="F154" s="64">
        <f t="shared" si="206"/>
        <v>4846.030464178355</v>
      </c>
      <c r="G154" s="64">
        <f t="shared" si="206"/>
        <v>6233.5984379733636</v>
      </c>
      <c r="H154" s="64">
        <f t="shared" si="206"/>
        <v>7695.255906900913</v>
      </c>
      <c r="I154" s="64">
        <f t="shared" si="206"/>
        <v>6578.2797426637953</v>
      </c>
      <c r="J154" s="64">
        <f t="shared" si="206"/>
        <v>5391.0388944177594</v>
      </c>
      <c r="K154" s="64">
        <f t="shared" si="206"/>
        <v>5093.0521722675776</v>
      </c>
      <c r="L154" s="64">
        <f t="shared" si="206"/>
        <v>5586.0154245285621</v>
      </c>
      <c r="M154" s="64">
        <f t="shared" si="206"/>
        <v>5141.1239675311717</v>
      </c>
      <c r="N154" s="64">
        <f t="shared" si="206"/>
        <v>4949.2038786162238</v>
      </c>
      <c r="O154" s="64">
        <f t="shared" si="206"/>
        <v>4826.2890940712423</v>
      </c>
      <c r="P154" s="64">
        <f t="shared" si="206"/>
        <v>4618.6414734337777</v>
      </c>
      <c r="Q154" s="64">
        <f t="shared" si="206"/>
        <v>4486.6248503114084</v>
      </c>
      <c r="R154" s="64">
        <f t="shared" si="206"/>
        <v>4528.856238316811</v>
      </c>
      <c r="S154" s="64">
        <f t="shared" si="206"/>
        <v>4618.2679329990533</v>
      </c>
      <c r="T154" s="64">
        <f t="shared" si="206"/>
        <v>4638.0591663181458</v>
      </c>
      <c r="U154" s="64">
        <f t="shared" si="206"/>
        <v>4487.2801246632298</v>
      </c>
      <c r="V154" s="64">
        <f t="shared" si="206"/>
        <v>4124.1293818800268</v>
      </c>
      <c r="W154" s="64">
        <f t="shared" si="206"/>
        <v>4541.4500788112146</v>
      </c>
      <c r="X154" s="64">
        <f t="shared" ref="X154:Y154" si="207">IF(X100=0,0,X100/X$23)</f>
        <v>4654.3886580806848</v>
      </c>
      <c r="Y154" s="64">
        <f t="shared" si="207"/>
        <v>5150.4025250426221</v>
      </c>
      <c r="DA154" s="108"/>
    </row>
    <row r="155" spans="1:105" ht="12" customHeight="1" x14ac:dyDescent="0.25">
      <c r="A155" s="61" t="s">
        <v>32</v>
      </c>
      <c r="B155" s="65">
        <f t="shared" ref="B155" si="208">IF(B101=0,0,B101/B$23)</f>
        <v>3017.2498950223294</v>
      </c>
      <c r="C155" s="65">
        <f t="shared" ref="C155:W155" si="209">IF(C101=0,0,C101/C$23)</f>
        <v>4351.823929123686</v>
      </c>
      <c r="D155" s="65">
        <f t="shared" si="209"/>
        <v>1767.1445809341653</v>
      </c>
      <c r="E155" s="65">
        <f t="shared" si="209"/>
        <v>3317.1736863492047</v>
      </c>
      <c r="F155" s="65">
        <f t="shared" si="209"/>
        <v>3518.9379367178822</v>
      </c>
      <c r="G155" s="65">
        <f t="shared" si="209"/>
        <v>4806.6321194177708</v>
      </c>
      <c r="H155" s="65">
        <f t="shared" si="209"/>
        <v>6256.6710024443155</v>
      </c>
      <c r="I155" s="65">
        <f t="shared" si="209"/>
        <v>5077.7774323372296</v>
      </c>
      <c r="J155" s="65">
        <f t="shared" si="209"/>
        <v>3908.0115226353964</v>
      </c>
      <c r="K155" s="65">
        <f t="shared" si="209"/>
        <v>3574.8834290614204</v>
      </c>
      <c r="L155" s="65">
        <f t="shared" si="209"/>
        <v>3980.0658244923802</v>
      </c>
      <c r="M155" s="65">
        <f t="shared" si="209"/>
        <v>3509.9899565719802</v>
      </c>
      <c r="N155" s="65">
        <f t="shared" si="209"/>
        <v>3288.5218516883851</v>
      </c>
      <c r="O155" s="65">
        <f t="shared" si="209"/>
        <v>3057.2806148807827</v>
      </c>
      <c r="P155" s="65">
        <f t="shared" si="209"/>
        <v>2791.9946767723141</v>
      </c>
      <c r="Q155" s="65">
        <f t="shared" si="209"/>
        <v>2643.2027208096019</v>
      </c>
      <c r="R155" s="65">
        <f t="shared" si="209"/>
        <v>2706.7795957573285</v>
      </c>
      <c r="S155" s="65">
        <f t="shared" si="209"/>
        <v>2808.0127889455084</v>
      </c>
      <c r="T155" s="65">
        <f t="shared" si="209"/>
        <v>2820.3931803245405</v>
      </c>
      <c r="U155" s="65">
        <f t="shared" si="209"/>
        <v>2713.1810502944318</v>
      </c>
      <c r="V155" s="65">
        <f t="shared" si="209"/>
        <v>2469.3286022585635</v>
      </c>
      <c r="W155" s="65">
        <f t="shared" si="209"/>
        <v>2758.8963114207299</v>
      </c>
      <c r="X155" s="65">
        <f t="shared" ref="X155:Y155" si="210">IF(X101=0,0,X101/X$23)</f>
        <v>2832.6493208686334</v>
      </c>
      <c r="Y155" s="65">
        <f t="shared" si="210"/>
        <v>3230.8432521497784</v>
      </c>
      <c r="DA155" s="109"/>
    </row>
    <row r="156" spans="1:105" ht="12" customHeight="1" x14ac:dyDescent="0.25">
      <c r="A156" s="61" t="s">
        <v>31</v>
      </c>
      <c r="B156" s="65">
        <f t="shared" ref="B156" si="211">IF(B102=0,0,B102/B$23)</f>
        <v>0.16699147745947426</v>
      </c>
      <c r="C156" s="65">
        <f t="shared" ref="C156:W156" si="212">IF(C102=0,0,C102/C$23)</f>
        <v>1.8213425122554538</v>
      </c>
      <c r="D156" s="65">
        <f t="shared" si="212"/>
        <v>3.6736691403624486</v>
      </c>
      <c r="E156" s="65">
        <f t="shared" si="212"/>
        <v>5.533240689346643</v>
      </c>
      <c r="F156" s="65">
        <f t="shared" si="212"/>
        <v>6.2376561917542421</v>
      </c>
      <c r="G156" s="65">
        <f t="shared" si="212"/>
        <v>7.7452040513177627</v>
      </c>
      <c r="H156" s="65">
        <f t="shared" si="212"/>
        <v>9.8536896909104872</v>
      </c>
      <c r="I156" s="65">
        <f t="shared" si="212"/>
        <v>15.566024855913801</v>
      </c>
      <c r="J156" s="65">
        <f t="shared" si="212"/>
        <v>14.421047114835346</v>
      </c>
      <c r="K156" s="65">
        <f t="shared" si="212"/>
        <v>15.448655332761758</v>
      </c>
      <c r="L156" s="65">
        <f t="shared" si="212"/>
        <v>20.315490034936001</v>
      </c>
      <c r="M156" s="65">
        <f t="shared" si="212"/>
        <v>18.740225760122488</v>
      </c>
      <c r="N156" s="65">
        <f t="shared" si="212"/>
        <v>30.375583899218515</v>
      </c>
      <c r="O156" s="65">
        <f t="shared" si="212"/>
        <v>21.879869681436595</v>
      </c>
      <c r="P156" s="65">
        <f t="shared" si="212"/>
        <v>21.428042051321775</v>
      </c>
      <c r="Q156" s="65">
        <f t="shared" si="212"/>
        <v>27.621646121655328</v>
      </c>
      <c r="R156" s="65">
        <f t="shared" si="212"/>
        <v>23.250743507426904</v>
      </c>
      <c r="S156" s="65">
        <f t="shared" si="212"/>
        <v>24.635335226560219</v>
      </c>
      <c r="T156" s="65">
        <f t="shared" si="212"/>
        <v>21.654509946657694</v>
      </c>
      <c r="U156" s="65">
        <f t="shared" si="212"/>
        <v>24.142177630666662</v>
      </c>
      <c r="V156" s="65">
        <f t="shared" si="212"/>
        <v>21.79792820911133</v>
      </c>
      <c r="W156" s="65">
        <f t="shared" si="212"/>
        <v>24.935605443940009</v>
      </c>
      <c r="X156" s="65">
        <f t="shared" ref="X156:Y156" si="213">IF(X102=0,0,X102/X$23)</f>
        <v>25.764098050961405</v>
      </c>
      <c r="Y156" s="65">
        <f t="shared" si="213"/>
        <v>27.448200578783588</v>
      </c>
      <c r="DA156" s="109"/>
    </row>
    <row r="157" spans="1:105" ht="12" customHeight="1" x14ac:dyDescent="0.25">
      <c r="A157" s="61" t="s">
        <v>35</v>
      </c>
      <c r="B157" s="65">
        <f t="shared" ref="B157" si="214">IF(B103=0,0,B103/B$23)</f>
        <v>355.47543793099294</v>
      </c>
      <c r="C157" s="65">
        <f t="shared" ref="C157:W157" si="215">IF(C103=0,0,C103/C$23)</f>
        <v>425.13377218157552</v>
      </c>
      <c r="D157" s="65">
        <f t="shared" si="215"/>
        <v>236.9921040124855</v>
      </c>
      <c r="E157" s="65">
        <f t="shared" si="215"/>
        <v>527.52109754221772</v>
      </c>
      <c r="F157" s="65">
        <f t="shared" si="215"/>
        <v>600.40738436852519</v>
      </c>
      <c r="G157" s="65">
        <f t="shared" si="215"/>
        <v>631.95250842819178</v>
      </c>
      <c r="H157" s="65">
        <f t="shared" si="215"/>
        <v>641.46909893126804</v>
      </c>
      <c r="I157" s="65">
        <f t="shared" si="215"/>
        <v>658.25845156305218</v>
      </c>
      <c r="J157" s="65">
        <f t="shared" si="215"/>
        <v>654.32603328104778</v>
      </c>
      <c r="K157" s="65">
        <f t="shared" si="215"/>
        <v>677.69382986189896</v>
      </c>
      <c r="L157" s="65">
        <f t="shared" si="215"/>
        <v>695.60534172546954</v>
      </c>
      <c r="M157" s="65">
        <f t="shared" si="215"/>
        <v>720.52834312740708</v>
      </c>
      <c r="N157" s="65">
        <f t="shared" si="215"/>
        <v>718.8167737787868</v>
      </c>
      <c r="O157" s="65">
        <f t="shared" si="215"/>
        <v>761.81233036525805</v>
      </c>
      <c r="P157" s="65">
        <f t="shared" si="215"/>
        <v>785.87594731192019</v>
      </c>
      <c r="Q157" s="65">
        <f t="shared" si="215"/>
        <v>784.54084493491962</v>
      </c>
      <c r="R157" s="65">
        <f t="shared" si="215"/>
        <v>784.39238076461754</v>
      </c>
      <c r="S157" s="65">
        <f t="shared" si="215"/>
        <v>780.578183648243</v>
      </c>
      <c r="T157" s="65">
        <f t="shared" si="215"/>
        <v>766.86479902264693</v>
      </c>
      <c r="U157" s="65">
        <f t="shared" si="215"/>
        <v>722.7501177269329</v>
      </c>
      <c r="V157" s="65">
        <f t="shared" si="215"/>
        <v>687.429391893358</v>
      </c>
      <c r="W157" s="65">
        <f t="shared" si="215"/>
        <v>759.54485890300123</v>
      </c>
      <c r="X157" s="65">
        <f t="shared" ref="X157:Y157" si="216">IF(X103=0,0,X103/X$23)</f>
        <v>757.32610259113892</v>
      </c>
      <c r="Y157" s="65">
        <f t="shared" si="216"/>
        <v>796.70107537694696</v>
      </c>
      <c r="DA157" s="109"/>
    </row>
    <row r="158" spans="1:105" ht="12" customHeight="1" x14ac:dyDescent="0.25">
      <c r="A158" s="66" t="s">
        <v>34</v>
      </c>
      <c r="B158" s="67">
        <f t="shared" ref="B158" si="217">IF(B104=0,0,B104/B$23)</f>
        <v>518.41572968348669</v>
      </c>
      <c r="C158" s="67">
        <f t="shared" ref="C158:W158" si="218">IF(C104=0,0,C104/C$23)</f>
        <v>543.46776958822318</v>
      </c>
      <c r="D158" s="67">
        <f t="shared" si="218"/>
        <v>395.73670037788673</v>
      </c>
      <c r="E158" s="67">
        <f t="shared" si="218"/>
        <v>626.79756545764383</v>
      </c>
      <c r="F158" s="67">
        <f t="shared" si="218"/>
        <v>720.44748690019321</v>
      </c>
      <c r="G158" s="67">
        <f t="shared" si="218"/>
        <v>787.26860607608319</v>
      </c>
      <c r="H158" s="67">
        <f t="shared" si="218"/>
        <v>787.26211583441875</v>
      </c>
      <c r="I158" s="67">
        <f t="shared" si="218"/>
        <v>826.67783390760098</v>
      </c>
      <c r="J158" s="67">
        <f t="shared" si="218"/>
        <v>814.28029138648037</v>
      </c>
      <c r="K158" s="67">
        <f t="shared" si="218"/>
        <v>825.026258011496</v>
      </c>
      <c r="L158" s="67">
        <f t="shared" si="218"/>
        <v>890.02876827577575</v>
      </c>
      <c r="M158" s="67">
        <f t="shared" si="218"/>
        <v>891.86544207166219</v>
      </c>
      <c r="N158" s="67">
        <f t="shared" si="218"/>
        <v>911.48966924983324</v>
      </c>
      <c r="O158" s="67">
        <f t="shared" si="218"/>
        <v>985.31627914376486</v>
      </c>
      <c r="P158" s="67">
        <f t="shared" si="218"/>
        <v>1019.3428072982215</v>
      </c>
      <c r="Q158" s="67">
        <f t="shared" si="218"/>
        <v>1031.2596384452313</v>
      </c>
      <c r="R158" s="67">
        <f t="shared" si="218"/>
        <v>1014.4335182874372</v>
      </c>
      <c r="S158" s="67">
        <f t="shared" si="218"/>
        <v>1005.0416251787418</v>
      </c>
      <c r="T158" s="67">
        <f t="shared" si="218"/>
        <v>1029.1466770243019</v>
      </c>
      <c r="U158" s="67">
        <f t="shared" si="218"/>
        <v>1027.2067790111978</v>
      </c>
      <c r="V158" s="67">
        <f t="shared" si="218"/>
        <v>945.57345951899424</v>
      </c>
      <c r="W158" s="67">
        <f t="shared" si="218"/>
        <v>998.07330304354343</v>
      </c>
      <c r="X158" s="67">
        <f t="shared" ref="X158:Y158" si="219">IF(X104=0,0,X104/X$23)</f>
        <v>1038.6491365699508</v>
      </c>
      <c r="Y158" s="67">
        <f t="shared" si="219"/>
        <v>1095.4099969371132</v>
      </c>
      <c r="DA158" s="110"/>
    </row>
    <row r="159" spans="1:105" ht="12" customHeight="1" x14ac:dyDescent="0.25">
      <c r="A159" s="78" t="s">
        <v>33</v>
      </c>
      <c r="B159" s="68">
        <f t="shared" ref="B159" si="220">IF(B105=0,0,B105/B$23)</f>
        <v>637.8920539633674</v>
      </c>
      <c r="C159" s="68">
        <f t="shared" ref="C159:W159" si="221">IF(C105=0,0,C105/C$23)</f>
        <v>678.89653547011926</v>
      </c>
      <c r="D159" s="68">
        <f t="shared" si="221"/>
        <v>699.63430330852418</v>
      </c>
      <c r="E159" s="68">
        <f t="shared" si="221"/>
        <v>779.66020634058953</v>
      </c>
      <c r="F159" s="68">
        <f t="shared" si="221"/>
        <v>793.4375781974677</v>
      </c>
      <c r="G159" s="68">
        <f t="shared" si="221"/>
        <v>875.05422223043183</v>
      </c>
      <c r="H159" s="68">
        <f t="shared" si="221"/>
        <v>909.17968198307972</v>
      </c>
      <c r="I159" s="68">
        <f t="shared" si="221"/>
        <v>975.43892090628617</v>
      </c>
      <c r="J159" s="68">
        <f t="shared" si="221"/>
        <v>1047.3672106790468</v>
      </c>
      <c r="K159" s="68">
        <f t="shared" si="221"/>
        <v>1106.3221856961507</v>
      </c>
      <c r="L159" s="68">
        <f t="shared" si="221"/>
        <v>1185.0133181909134</v>
      </c>
      <c r="M159" s="68">
        <f t="shared" si="221"/>
        <v>1192.0410134309252</v>
      </c>
      <c r="N159" s="68">
        <f t="shared" si="221"/>
        <v>1210.2649638133953</v>
      </c>
      <c r="O159" s="68">
        <f t="shared" si="221"/>
        <v>1255.4557796010506</v>
      </c>
      <c r="P159" s="68">
        <f t="shared" si="221"/>
        <v>1292.460352263975</v>
      </c>
      <c r="Q159" s="68">
        <f t="shared" si="221"/>
        <v>1288.5901683279876</v>
      </c>
      <c r="R159" s="68">
        <f t="shared" si="221"/>
        <v>1310.8813890021888</v>
      </c>
      <c r="S159" s="68">
        <f t="shared" si="221"/>
        <v>1311.6852405461889</v>
      </c>
      <c r="T159" s="68">
        <f t="shared" si="221"/>
        <v>1333.9485812119171</v>
      </c>
      <c r="U159" s="68">
        <f t="shared" si="221"/>
        <v>1319.7905526949096</v>
      </c>
      <c r="V159" s="68">
        <f t="shared" si="221"/>
        <v>1327.1090604263163</v>
      </c>
      <c r="W159" s="68">
        <f t="shared" si="221"/>
        <v>1339.6818699112721</v>
      </c>
      <c r="X159" s="68">
        <f t="shared" ref="X159:Y159" si="222">IF(X105=0,0,X105/X$23)</f>
        <v>1319.5922558324326</v>
      </c>
      <c r="Y159" s="68">
        <f t="shared" si="222"/>
        <v>1351.379704846383</v>
      </c>
      <c r="DA159" s="111"/>
    </row>
    <row r="160" spans="1:105" s="2" customFormat="1" ht="12" customHeight="1" x14ac:dyDescent="0.25">
      <c r="DA160" s="7"/>
    </row>
    <row r="161" spans="1:105" ht="12.95" customHeight="1" x14ac:dyDescent="0.25">
      <c r="A161" s="84" t="s">
        <v>38</v>
      </c>
      <c r="B161" s="85">
        <f t="shared" ref="B161" si="223">IF(B107=0,0,B107/B$23)</f>
        <v>2511.4268068791416</v>
      </c>
      <c r="C161" s="85">
        <f t="shared" ref="C161:W161" si="224">IF(C107=0,0,C107/C$23)</f>
        <v>3165.3208616041325</v>
      </c>
      <c r="D161" s="85">
        <f t="shared" si="224"/>
        <v>1395.9448160816237</v>
      </c>
      <c r="E161" s="85">
        <f t="shared" si="224"/>
        <v>2570.5087222068041</v>
      </c>
      <c r="F161" s="85">
        <f t="shared" si="224"/>
        <v>2639.9427001139879</v>
      </c>
      <c r="G161" s="85">
        <f t="shared" si="224"/>
        <v>3579.889660537332</v>
      </c>
      <c r="H161" s="85">
        <f t="shared" si="224"/>
        <v>4351.7807245186614</v>
      </c>
      <c r="I161" s="85">
        <f t="shared" si="224"/>
        <v>3777.6326019421731</v>
      </c>
      <c r="J161" s="85">
        <f t="shared" si="224"/>
        <v>3222.4678451075824</v>
      </c>
      <c r="K161" s="85">
        <f t="shared" si="224"/>
        <v>3079.9494188377812</v>
      </c>
      <c r="L161" s="85">
        <f t="shared" si="224"/>
        <v>3433.3478282749279</v>
      </c>
      <c r="M161" s="85">
        <f t="shared" si="224"/>
        <v>3210.1959069834616</v>
      </c>
      <c r="N161" s="85">
        <f t="shared" si="224"/>
        <v>3153.0523105763332</v>
      </c>
      <c r="O161" s="85">
        <f t="shared" si="224"/>
        <v>3110.2501669237749</v>
      </c>
      <c r="P161" s="85">
        <f t="shared" si="224"/>
        <v>2999.7003338055533</v>
      </c>
      <c r="Q161" s="85">
        <f t="shared" si="224"/>
        <v>2956.2345194094523</v>
      </c>
      <c r="R161" s="85">
        <f t="shared" si="224"/>
        <v>3018.5520386397684</v>
      </c>
      <c r="S161" s="85">
        <f t="shared" si="224"/>
        <v>3123.2747344457689</v>
      </c>
      <c r="T161" s="85">
        <f t="shared" si="224"/>
        <v>3191.2470613759247</v>
      </c>
      <c r="U161" s="85">
        <f t="shared" si="224"/>
        <v>3146.0090470351961</v>
      </c>
      <c r="V161" s="85">
        <f t="shared" si="224"/>
        <v>2935.8687013780668</v>
      </c>
      <c r="W161" s="85">
        <f t="shared" si="224"/>
        <v>3271.6863524367218</v>
      </c>
      <c r="X161" s="85">
        <f t="shared" ref="X161:Y161" si="225">IF(X107=0,0,X107/X$23)</f>
        <v>3406.4357394601016</v>
      </c>
      <c r="Y161" s="85">
        <f t="shared" si="225"/>
        <v>4021.9104690313216</v>
      </c>
      <c r="DA161" s="117"/>
    </row>
    <row r="162" spans="1:105" ht="12" customHeight="1" x14ac:dyDescent="0.25">
      <c r="A162" s="61" t="s">
        <v>32</v>
      </c>
      <c r="B162" s="65">
        <f t="shared" ref="B162" si="226">IF(B108=0,0,B108/B$23)</f>
        <v>1925.8679088343022</v>
      </c>
      <c r="C162" s="65">
        <f t="shared" ref="C162:W162" si="227">IF(C108=0,0,C108/C$23)</f>
        <v>2514.8990640555639</v>
      </c>
      <c r="D162" s="65">
        <f t="shared" si="227"/>
        <v>974.93485134015839</v>
      </c>
      <c r="E162" s="65">
        <f t="shared" si="227"/>
        <v>1834.5554204746754</v>
      </c>
      <c r="F162" s="65">
        <f t="shared" si="227"/>
        <v>1846.0196640471197</v>
      </c>
      <c r="G162" s="65">
        <f t="shared" si="227"/>
        <v>2707.6068051228799</v>
      </c>
      <c r="H162" s="65">
        <f t="shared" si="227"/>
        <v>3450.7801451576975</v>
      </c>
      <c r="I162" s="65">
        <f t="shared" si="227"/>
        <v>2830.5508159825686</v>
      </c>
      <c r="J162" s="65">
        <f t="shared" si="227"/>
        <v>2231.4483414819024</v>
      </c>
      <c r="K162" s="65">
        <f t="shared" si="227"/>
        <v>2056.9485434528333</v>
      </c>
      <c r="L162" s="65">
        <f t="shared" si="227"/>
        <v>2333.254853142686</v>
      </c>
      <c r="M162" s="65">
        <f t="shared" si="227"/>
        <v>2076.6730948724676</v>
      </c>
      <c r="N162" s="65">
        <f t="shared" si="227"/>
        <v>1963.35271456792</v>
      </c>
      <c r="O162" s="65">
        <f t="shared" si="227"/>
        <v>1850.8339558580685</v>
      </c>
      <c r="P162" s="65">
        <f t="shared" si="227"/>
        <v>1692.6285966497348</v>
      </c>
      <c r="Q162" s="65">
        <f t="shared" si="227"/>
        <v>1615.1840245308053</v>
      </c>
      <c r="R162" s="65">
        <f t="shared" si="227"/>
        <v>1685.6317233661609</v>
      </c>
      <c r="S162" s="65">
        <f t="shared" si="227"/>
        <v>1785.4230627399197</v>
      </c>
      <c r="T162" s="65">
        <f t="shared" si="227"/>
        <v>1832.8738940731469</v>
      </c>
      <c r="U162" s="65">
        <f t="shared" si="227"/>
        <v>1790.6550240101637</v>
      </c>
      <c r="V162" s="65">
        <f t="shared" si="227"/>
        <v>1658.4157620801732</v>
      </c>
      <c r="W162" s="65">
        <f t="shared" si="227"/>
        <v>1869.862363490191</v>
      </c>
      <c r="X162" s="65">
        <f t="shared" ref="X162:Y162" si="228">IF(X108=0,0,X108/X$23)</f>
        <v>1945.6672744554503</v>
      </c>
      <c r="Y162" s="65">
        <f t="shared" si="228"/>
        <v>2458.4276472838164</v>
      </c>
      <c r="DA162" s="109"/>
    </row>
    <row r="163" spans="1:105" ht="12" customHeight="1" x14ac:dyDescent="0.25">
      <c r="A163" s="61" t="s">
        <v>31</v>
      </c>
      <c r="B163" s="65">
        <f t="shared" ref="B163" si="229">IF(B109=0,0,B109/B$23)</f>
        <v>0.27658421403817646</v>
      </c>
      <c r="C163" s="65">
        <f t="shared" ref="C163:W163" si="230">IF(C109=0,0,C109/C$23)</f>
        <v>3.7571022785836474</v>
      </c>
      <c r="D163" s="65">
        <f t="shared" si="230"/>
        <v>7.8152384561911408</v>
      </c>
      <c r="E163" s="65">
        <f t="shared" si="230"/>
        <v>12.014705242711376</v>
      </c>
      <c r="F163" s="65">
        <f t="shared" si="230"/>
        <v>13.861460882867151</v>
      </c>
      <c r="G163" s="65">
        <f t="shared" si="230"/>
        <v>17.550746065075479</v>
      </c>
      <c r="H163" s="65">
        <f t="shared" si="230"/>
        <v>22.893218031021974</v>
      </c>
      <c r="I163" s="65">
        <f t="shared" si="230"/>
        <v>37.058735181721971</v>
      </c>
      <c r="J163" s="65">
        <f t="shared" si="230"/>
        <v>35.233157131535194</v>
      </c>
      <c r="K163" s="65">
        <f t="shared" si="230"/>
        <v>38.693993112119827</v>
      </c>
      <c r="L163" s="65">
        <f t="shared" si="230"/>
        <v>52.257088214145504</v>
      </c>
      <c r="M163" s="65">
        <f t="shared" si="230"/>
        <v>49.973638530684283</v>
      </c>
      <c r="N163" s="65">
        <f t="shared" si="230"/>
        <v>83.862996737115296</v>
      </c>
      <c r="O163" s="65">
        <f t="shared" si="230"/>
        <v>62.407880049038354</v>
      </c>
      <c r="P163" s="65">
        <f t="shared" si="230"/>
        <v>63.333986295011435</v>
      </c>
      <c r="Q163" s="65">
        <f t="shared" si="230"/>
        <v>84.342355468198676</v>
      </c>
      <c r="R163" s="65">
        <f t="shared" si="230"/>
        <v>73.170849787329331</v>
      </c>
      <c r="S163" s="65">
        <f t="shared" si="230"/>
        <v>79.929146690600049</v>
      </c>
      <c r="T163" s="65">
        <f t="shared" si="230"/>
        <v>72.246811283827213</v>
      </c>
      <c r="U163" s="65">
        <f t="shared" si="230"/>
        <v>82.620179445585237</v>
      </c>
      <c r="V163" s="65">
        <f t="shared" si="230"/>
        <v>76.345745896821271</v>
      </c>
      <c r="W163" s="65">
        <f t="shared" si="230"/>
        <v>89.163513429748548</v>
      </c>
      <c r="X163" s="65">
        <f t="shared" ref="X163:Y163" si="231">IF(X109=0,0,X109/X$23)</f>
        <v>93.600603158740753</v>
      </c>
      <c r="Y163" s="65">
        <f t="shared" si="231"/>
        <v>100.95330691607184</v>
      </c>
      <c r="DA163" s="109"/>
    </row>
    <row r="164" spans="1:105" ht="12" customHeight="1" x14ac:dyDescent="0.25">
      <c r="A164" s="61" t="s">
        <v>35</v>
      </c>
      <c r="B164" s="65">
        <f t="shared" ref="B164" si="232">IF(B110=0,0,B110/B$23)</f>
        <v>215.82589845367488</v>
      </c>
      <c r="C164" s="65">
        <f t="shared" ref="C164:W164" si="233">IF(C110=0,0,C110/C$23)</f>
        <v>256.90290495413262</v>
      </c>
      <c r="D164" s="65">
        <f t="shared" si="233"/>
        <v>126.85690821694679</v>
      </c>
      <c r="E164" s="65">
        <f t="shared" si="233"/>
        <v>299.76451285098301</v>
      </c>
      <c r="F164" s="65">
        <f t="shared" si="233"/>
        <v>337.50468479499619</v>
      </c>
      <c r="G164" s="65">
        <f t="shared" si="233"/>
        <v>363.35626664095111</v>
      </c>
      <c r="H164" s="65">
        <f t="shared" si="233"/>
        <v>374.71973386334741</v>
      </c>
      <c r="I164" s="65">
        <f t="shared" si="233"/>
        <v>391.25969525564966</v>
      </c>
      <c r="J164" s="65">
        <f t="shared" si="233"/>
        <v>395.86426136464922</v>
      </c>
      <c r="K164" s="65">
        <f t="shared" si="233"/>
        <v>406.31803050783628</v>
      </c>
      <c r="L164" s="65">
        <f t="shared" si="233"/>
        <v>421.94881219310201</v>
      </c>
      <c r="M164" s="65">
        <f t="shared" si="233"/>
        <v>446.47701047548685</v>
      </c>
      <c r="N164" s="65">
        <f t="shared" si="233"/>
        <v>450.61428138824027</v>
      </c>
      <c r="O164" s="65">
        <f t="shared" si="233"/>
        <v>483.02589482887885</v>
      </c>
      <c r="P164" s="65">
        <f t="shared" si="233"/>
        <v>502.51743080481708</v>
      </c>
      <c r="Q164" s="65">
        <f t="shared" si="233"/>
        <v>510.73810391903891</v>
      </c>
      <c r="R164" s="65">
        <f t="shared" si="233"/>
        <v>522.22324335414385</v>
      </c>
      <c r="S164" s="65">
        <f t="shared" si="233"/>
        <v>530.48709948628004</v>
      </c>
      <c r="T164" s="65">
        <f t="shared" si="233"/>
        <v>532.71855960999778</v>
      </c>
      <c r="U164" s="65">
        <f t="shared" si="233"/>
        <v>513.25460906791454</v>
      </c>
      <c r="V164" s="65">
        <f t="shared" si="233"/>
        <v>498.07007510197155</v>
      </c>
      <c r="W164" s="65">
        <f t="shared" si="233"/>
        <v>557.80973306817009</v>
      </c>
      <c r="X164" s="65">
        <f t="shared" ref="X164:Y164" si="234">IF(X110=0,0,X110/X$23)</f>
        <v>567.5279676877401</v>
      </c>
      <c r="Y164" s="65">
        <f t="shared" si="234"/>
        <v>608.38547846955237</v>
      </c>
      <c r="DA164" s="109"/>
    </row>
    <row r="165" spans="1:105" ht="12" customHeight="1" x14ac:dyDescent="0.25">
      <c r="A165" s="74" t="s">
        <v>34</v>
      </c>
      <c r="B165" s="68">
        <f t="shared" ref="B165" si="235">IF(B111=0,0,B111/B$23)</f>
        <v>369.45641537712635</v>
      </c>
      <c r="C165" s="68">
        <f t="shared" ref="C165:W165" si="236">IF(C111=0,0,C111/C$23)</f>
        <v>389.76179031585167</v>
      </c>
      <c r="D165" s="68">
        <f t="shared" si="236"/>
        <v>286.33781806832741</v>
      </c>
      <c r="E165" s="68">
        <f t="shared" si="236"/>
        <v>424.17408363843407</v>
      </c>
      <c r="F165" s="68">
        <f t="shared" si="236"/>
        <v>442.55689038900459</v>
      </c>
      <c r="G165" s="68">
        <f t="shared" si="236"/>
        <v>491.37584270842495</v>
      </c>
      <c r="H165" s="68">
        <f t="shared" si="236"/>
        <v>503.38762746659438</v>
      </c>
      <c r="I165" s="68">
        <f t="shared" si="236"/>
        <v>518.76335552223327</v>
      </c>
      <c r="J165" s="68">
        <f t="shared" si="236"/>
        <v>559.92208512949537</v>
      </c>
      <c r="K165" s="68">
        <f t="shared" si="236"/>
        <v>577.98885176499209</v>
      </c>
      <c r="L165" s="68">
        <f t="shared" si="236"/>
        <v>625.8870747249947</v>
      </c>
      <c r="M165" s="68">
        <f t="shared" si="236"/>
        <v>637.07216310482272</v>
      </c>
      <c r="N165" s="68">
        <f t="shared" si="236"/>
        <v>655.22231788305737</v>
      </c>
      <c r="O165" s="68">
        <f t="shared" si="236"/>
        <v>713.98243618778906</v>
      </c>
      <c r="P165" s="68">
        <f t="shared" si="236"/>
        <v>741.22032005598976</v>
      </c>
      <c r="Q165" s="68">
        <f t="shared" si="236"/>
        <v>745.97003549140959</v>
      </c>
      <c r="R165" s="68">
        <f t="shared" si="236"/>
        <v>737.52622213213431</v>
      </c>
      <c r="S165" s="68">
        <f t="shared" si="236"/>
        <v>727.43542552896929</v>
      </c>
      <c r="T165" s="68">
        <f t="shared" si="236"/>
        <v>753.40779640895312</v>
      </c>
      <c r="U165" s="68">
        <f t="shared" si="236"/>
        <v>759.47923451153258</v>
      </c>
      <c r="V165" s="68">
        <f t="shared" si="236"/>
        <v>703.03711829910071</v>
      </c>
      <c r="W165" s="68">
        <f t="shared" si="236"/>
        <v>754.85074244861198</v>
      </c>
      <c r="X165" s="68">
        <f t="shared" ref="X165:Y165" si="237">IF(X111=0,0,X111/X$23)</f>
        <v>799.63989415817082</v>
      </c>
      <c r="Y165" s="68">
        <f t="shared" si="237"/>
        <v>854.14403636188092</v>
      </c>
      <c r="DA165" s="111"/>
    </row>
    <row r="166" spans="1:105" s="2" customFormat="1" ht="12" customHeight="1" x14ac:dyDescent="0.25">
      <c r="DA166" s="7"/>
    </row>
    <row r="167" spans="1:105" ht="12.95" customHeight="1" x14ac:dyDescent="0.25">
      <c r="A167" s="81" t="s">
        <v>37</v>
      </c>
      <c r="B167" s="82">
        <f t="shared" ref="B167" si="238">IF(B113=0,0,B113/B$23)</f>
        <v>273.87189131329507</v>
      </c>
      <c r="C167" s="82">
        <f t="shared" ref="C167:W167" si="239">IF(C113=0,0,C113/C$23)</f>
        <v>516.54674138036773</v>
      </c>
      <c r="D167" s="82">
        <f t="shared" si="239"/>
        <v>292.33080814464307</v>
      </c>
      <c r="E167" s="82">
        <f t="shared" si="239"/>
        <v>587.42497899602722</v>
      </c>
      <c r="F167" s="82">
        <f t="shared" si="239"/>
        <v>876.59600590963657</v>
      </c>
      <c r="G167" s="82">
        <f t="shared" si="239"/>
        <v>933.99752246321339</v>
      </c>
      <c r="H167" s="82">
        <f t="shared" si="239"/>
        <v>1228.9012574082974</v>
      </c>
      <c r="I167" s="82">
        <f t="shared" si="239"/>
        <v>1031.2312370873467</v>
      </c>
      <c r="J167" s="82">
        <f t="shared" si="239"/>
        <v>736.83967798924891</v>
      </c>
      <c r="K167" s="82">
        <f t="shared" si="239"/>
        <v>690.61464932048887</v>
      </c>
      <c r="L167" s="82">
        <f t="shared" si="239"/>
        <v>725.68184445771169</v>
      </c>
      <c r="M167" s="82">
        <f t="shared" si="239"/>
        <v>691.76779549681305</v>
      </c>
      <c r="N167" s="82">
        <f t="shared" si="239"/>
        <v>665.68291176054959</v>
      </c>
      <c r="O167" s="82">
        <f t="shared" si="239"/>
        <v>650.62204033406044</v>
      </c>
      <c r="P167" s="82">
        <f t="shared" si="239"/>
        <v>637.82683069042002</v>
      </c>
      <c r="Q167" s="82">
        <f t="shared" si="239"/>
        <v>601.46758794119023</v>
      </c>
      <c r="R167" s="82">
        <f t="shared" si="239"/>
        <v>598.312805428047</v>
      </c>
      <c r="S167" s="82">
        <f t="shared" si="239"/>
        <v>661.88807639102424</v>
      </c>
      <c r="T167" s="82">
        <f t="shared" si="239"/>
        <v>671.86537080745916</v>
      </c>
      <c r="U167" s="82">
        <f t="shared" si="239"/>
        <v>658.23968853303495</v>
      </c>
      <c r="V167" s="82">
        <f t="shared" si="239"/>
        <v>618.01448801587424</v>
      </c>
      <c r="W167" s="82">
        <f t="shared" si="239"/>
        <v>708.75723303239602</v>
      </c>
      <c r="X167" s="82">
        <f t="shared" ref="X167:Y167" si="240">IF(X113=0,0,X113/X$23)</f>
        <v>730.50758386330688</v>
      </c>
      <c r="Y167" s="82">
        <f t="shared" si="240"/>
        <v>789.0411509106101</v>
      </c>
      <c r="DA167" s="107"/>
    </row>
    <row r="168" spans="1:105" ht="12" customHeight="1" x14ac:dyDescent="0.25">
      <c r="A168" s="77" t="s">
        <v>36</v>
      </c>
      <c r="B168" s="64">
        <f t="shared" ref="B168" si="241">IF(B114=0,0,B114/B$23)</f>
        <v>273.87189131329507</v>
      </c>
      <c r="C168" s="64">
        <f t="shared" ref="C168:W168" si="242">IF(C114=0,0,C114/C$23)</f>
        <v>516.54674138036773</v>
      </c>
      <c r="D168" s="64">
        <f t="shared" si="242"/>
        <v>292.33080814464307</v>
      </c>
      <c r="E168" s="64">
        <f t="shared" si="242"/>
        <v>587.42497899602722</v>
      </c>
      <c r="F168" s="64">
        <f t="shared" si="242"/>
        <v>876.59600590963657</v>
      </c>
      <c r="G168" s="64">
        <f t="shared" si="242"/>
        <v>933.99752246321339</v>
      </c>
      <c r="H168" s="64">
        <f t="shared" si="242"/>
        <v>1228.9012574082974</v>
      </c>
      <c r="I168" s="64">
        <f t="shared" si="242"/>
        <v>1031.2312370873467</v>
      </c>
      <c r="J168" s="64">
        <f t="shared" si="242"/>
        <v>736.83967798924891</v>
      </c>
      <c r="K168" s="64">
        <f t="shared" si="242"/>
        <v>690.61464932048887</v>
      </c>
      <c r="L168" s="64">
        <f t="shared" si="242"/>
        <v>725.68184445771169</v>
      </c>
      <c r="M168" s="64">
        <f t="shared" si="242"/>
        <v>691.76779549681305</v>
      </c>
      <c r="N168" s="64">
        <f t="shared" si="242"/>
        <v>665.68291176054959</v>
      </c>
      <c r="O168" s="64">
        <f t="shared" si="242"/>
        <v>650.62204033406044</v>
      </c>
      <c r="P168" s="64">
        <f t="shared" si="242"/>
        <v>637.82683069042002</v>
      </c>
      <c r="Q168" s="64">
        <f t="shared" si="242"/>
        <v>601.46758794119023</v>
      </c>
      <c r="R168" s="64">
        <f t="shared" si="242"/>
        <v>598.312805428047</v>
      </c>
      <c r="S168" s="64">
        <f t="shared" si="242"/>
        <v>661.88807639102424</v>
      </c>
      <c r="T168" s="64">
        <f t="shared" si="242"/>
        <v>671.86537080745916</v>
      </c>
      <c r="U168" s="64">
        <f t="shared" si="242"/>
        <v>658.23968853303495</v>
      </c>
      <c r="V168" s="64">
        <f t="shared" si="242"/>
        <v>618.01448801587424</v>
      </c>
      <c r="W168" s="64">
        <f t="shared" si="242"/>
        <v>708.75723303239602</v>
      </c>
      <c r="X168" s="64">
        <f t="shared" ref="X168:Y168" si="243">IF(X114=0,0,X114/X$23)</f>
        <v>730.50758386330688</v>
      </c>
      <c r="Y168" s="64">
        <f t="shared" si="243"/>
        <v>789.0411509106101</v>
      </c>
      <c r="DA168" s="108"/>
    </row>
    <row r="169" spans="1:105" ht="12" customHeight="1" x14ac:dyDescent="0.25">
      <c r="A169" s="61" t="s">
        <v>32</v>
      </c>
      <c r="B169" s="65">
        <f t="shared" ref="B169" si="244">IF(B115=0,0,B115/B$23)</f>
        <v>214.86044588731431</v>
      </c>
      <c r="C169" s="65">
        <f t="shared" ref="C169:W169" si="245">IF(C115=0,0,C115/C$23)</f>
        <v>455.83930927419664</v>
      </c>
      <c r="D169" s="65">
        <f t="shared" si="245"/>
        <v>232.07659981108861</v>
      </c>
      <c r="E169" s="65">
        <f t="shared" si="245"/>
        <v>451.86207813111179</v>
      </c>
      <c r="F169" s="65">
        <f t="shared" si="245"/>
        <v>651.50249931648602</v>
      </c>
      <c r="G169" s="65">
        <f t="shared" si="245"/>
        <v>702.63023092886976</v>
      </c>
      <c r="H169" s="65">
        <f t="shared" si="245"/>
        <v>1016.5083669248086</v>
      </c>
      <c r="I169" s="65">
        <f t="shared" si="245"/>
        <v>806.17332671994234</v>
      </c>
      <c r="J169" s="65">
        <f t="shared" si="245"/>
        <v>575.91735159044583</v>
      </c>
      <c r="K169" s="65">
        <f t="shared" si="245"/>
        <v>516.55451683345393</v>
      </c>
      <c r="L169" s="65">
        <f t="shared" si="245"/>
        <v>542.8650747699063</v>
      </c>
      <c r="M169" s="65">
        <f t="shared" si="245"/>
        <v>526.21611118920453</v>
      </c>
      <c r="N169" s="65">
        <f t="shared" si="245"/>
        <v>499.46999734416966</v>
      </c>
      <c r="O169" s="65">
        <f t="shared" si="245"/>
        <v>471.16077942612549</v>
      </c>
      <c r="P169" s="65">
        <f t="shared" si="245"/>
        <v>449.09493763519976</v>
      </c>
      <c r="Q169" s="65">
        <f t="shared" si="245"/>
        <v>403.07932268214807</v>
      </c>
      <c r="R169" s="65">
        <f t="shared" si="245"/>
        <v>400.55681299584256</v>
      </c>
      <c r="S169" s="65">
        <f t="shared" si="245"/>
        <v>447.35915336297921</v>
      </c>
      <c r="T169" s="65">
        <f t="shared" si="245"/>
        <v>457.90732194170255</v>
      </c>
      <c r="U169" s="65">
        <f t="shared" si="245"/>
        <v>448.2734798143444</v>
      </c>
      <c r="V169" s="65">
        <f t="shared" si="245"/>
        <v>415.94649156841882</v>
      </c>
      <c r="W169" s="65">
        <f t="shared" si="245"/>
        <v>489.05450361264434</v>
      </c>
      <c r="X169" s="65">
        <f t="shared" ref="X169:Y169" si="246">IF(X115=0,0,X115/X$23)</f>
        <v>516.67101080959901</v>
      </c>
      <c r="Y169" s="65">
        <f t="shared" si="246"/>
        <v>574.76596128993731</v>
      </c>
      <c r="DA169" s="109"/>
    </row>
    <row r="170" spans="1:105" ht="12" customHeight="1" x14ac:dyDescent="0.25">
      <c r="A170" s="61" t="s">
        <v>31</v>
      </c>
      <c r="B170" s="65">
        <f t="shared" ref="B170" si="247">IF(B116=0,0,B116/B$23)</f>
        <v>0</v>
      </c>
      <c r="C170" s="65">
        <f t="shared" ref="C170:W170" si="248">IF(C116=0,0,C116/C$23)</f>
        <v>0</v>
      </c>
      <c r="D170" s="65">
        <f t="shared" si="248"/>
        <v>0</v>
      </c>
      <c r="E170" s="65">
        <f t="shared" si="248"/>
        <v>0</v>
      </c>
      <c r="F170" s="65">
        <f t="shared" si="248"/>
        <v>0</v>
      </c>
      <c r="G170" s="65">
        <f t="shared" si="248"/>
        <v>0</v>
      </c>
      <c r="H170" s="65">
        <f t="shared" si="248"/>
        <v>0</v>
      </c>
      <c r="I170" s="65">
        <f t="shared" si="248"/>
        <v>0</v>
      </c>
      <c r="J170" s="65">
        <f t="shared" si="248"/>
        <v>0</v>
      </c>
      <c r="K170" s="65">
        <f t="shared" si="248"/>
        <v>0</v>
      </c>
      <c r="L170" s="65">
        <f t="shared" si="248"/>
        <v>0</v>
      </c>
      <c r="M170" s="65">
        <f t="shared" si="248"/>
        <v>0</v>
      </c>
      <c r="N170" s="65">
        <f t="shared" si="248"/>
        <v>0</v>
      </c>
      <c r="O170" s="65">
        <f t="shared" si="248"/>
        <v>0</v>
      </c>
      <c r="P170" s="65">
        <f t="shared" si="248"/>
        <v>0</v>
      </c>
      <c r="Q170" s="65">
        <f t="shared" si="248"/>
        <v>0</v>
      </c>
      <c r="R170" s="65">
        <f t="shared" si="248"/>
        <v>0</v>
      </c>
      <c r="S170" s="65">
        <f t="shared" si="248"/>
        <v>0</v>
      </c>
      <c r="T170" s="65">
        <f t="shared" si="248"/>
        <v>0</v>
      </c>
      <c r="U170" s="65">
        <f t="shared" si="248"/>
        <v>0</v>
      </c>
      <c r="V170" s="65">
        <f t="shared" si="248"/>
        <v>0</v>
      </c>
      <c r="W170" s="65">
        <f t="shared" si="248"/>
        <v>0</v>
      </c>
      <c r="X170" s="65">
        <f t="shared" ref="X170:Y170" si="249">IF(X116=0,0,X116/X$23)</f>
        <v>0</v>
      </c>
      <c r="Y170" s="65">
        <f t="shared" si="249"/>
        <v>0</v>
      </c>
      <c r="DA170" s="109"/>
    </row>
    <row r="171" spans="1:105" ht="12" customHeight="1" x14ac:dyDescent="0.25">
      <c r="A171" s="61" t="s">
        <v>35</v>
      </c>
      <c r="B171" s="65">
        <f t="shared" ref="B171" si="250">IF(B117=0,0,B117/B$23)</f>
        <v>14.754125443486272</v>
      </c>
      <c r="C171" s="65">
        <f t="shared" ref="C171:W171" si="251">IF(C117=0,0,C117/C$23)</f>
        <v>16.778398809104861</v>
      </c>
      <c r="D171" s="65">
        <f t="shared" si="251"/>
        <v>30.844804673146939</v>
      </c>
      <c r="E171" s="65">
        <f t="shared" si="251"/>
        <v>54.605294149286308</v>
      </c>
      <c r="F171" s="65">
        <f t="shared" si="251"/>
        <v>79.469464353058953</v>
      </c>
      <c r="G171" s="65">
        <f t="shared" si="251"/>
        <v>79.992610021571451</v>
      </c>
      <c r="H171" s="65">
        <f t="shared" si="251"/>
        <v>76.786197518313259</v>
      </c>
      <c r="I171" s="65">
        <f t="shared" si="251"/>
        <v>67.472745581980988</v>
      </c>
      <c r="J171" s="65">
        <f t="shared" si="251"/>
        <v>59.67168195252043</v>
      </c>
      <c r="K171" s="65">
        <f t="shared" si="251"/>
        <v>81.412802658578769</v>
      </c>
      <c r="L171" s="65">
        <f t="shared" si="251"/>
        <v>83.742179066798741</v>
      </c>
      <c r="M171" s="65">
        <f t="shared" si="251"/>
        <v>76.142266529997855</v>
      </c>
      <c r="N171" s="65">
        <f t="shared" si="251"/>
        <v>78.166763840164776</v>
      </c>
      <c r="O171" s="65">
        <f t="shared" si="251"/>
        <v>88.639357300998512</v>
      </c>
      <c r="P171" s="65">
        <f t="shared" si="251"/>
        <v>95.765504659462209</v>
      </c>
      <c r="Q171" s="65">
        <f t="shared" si="251"/>
        <v>98.300318076226972</v>
      </c>
      <c r="R171" s="65">
        <f t="shared" si="251"/>
        <v>100.30607928451614</v>
      </c>
      <c r="S171" s="65">
        <f t="shared" si="251"/>
        <v>111.00522647271356</v>
      </c>
      <c r="T171" s="65">
        <f t="shared" si="251"/>
        <v>110.91298774038091</v>
      </c>
      <c r="U171" s="65">
        <f t="shared" si="251"/>
        <v>107.19837955005383</v>
      </c>
      <c r="V171" s="65">
        <f t="shared" si="251"/>
        <v>104.04663363138347</v>
      </c>
      <c r="W171" s="65">
        <f t="shared" si="251"/>
        <v>120.28137391424704</v>
      </c>
      <c r="X171" s="65">
        <f t="shared" ref="X171:Y171" si="252">IF(X117=0,0,X117/X$23)</f>
        <v>115.75746015728231</v>
      </c>
      <c r="Y171" s="65">
        <f t="shared" si="252"/>
        <v>114.13807342915989</v>
      </c>
      <c r="DA171" s="109"/>
    </row>
    <row r="172" spans="1:105" ht="12" customHeight="1" x14ac:dyDescent="0.25">
      <c r="A172" s="66" t="s">
        <v>34</v>
      </c>
      <c r="B172" s="67">
        <f t="shared" ref="B172" si="253">IF(B118=0,0,B118/B$23)</f>
        <v>44.257319982494515</v>
      </c>
      <c r="C172" s="67">
        <f t="shared" ref="C172:W172" si="254">IF(C118=0,0,C118/C$23)</f>
        <v>43.929033297066312</v>
      </c>
      <c r="D172" s="67">
        <f t="shared" si="254"/>
        <v>29.409403660407456</v>
      </c>
      <c r="E172" s="67">
        <f t="shared" si="254"/>
        <v>80.957606715629112</v>
      </c>
      <c r="F172" s="67">
        <f t="shared" si="254"/>
        <v>145.62404224009174</v>
      </c>
      <c r="G172" s="67">
        <f t="shared" si="254"/>
        <v>151.37468151277218</v>
      </c>
      <c r="H172" s="67">
        <f t="shared" si="254"/>
        <v>135.60669296517565</v>
      </c>
      <c r="I172" s="67">
        <f t="shared" si="254"/>
        <v>157.58516478542322</v>
      </c>
      <c r="J172" s="67">
        <f t="shared" si="254"/>
        <v>101.25064444628268</v>
      </c>
      <c r="K172" s="67">
        <f t="shared" si="254"/>
        <v>92.647329828456193</v>
      </c>
      <c r="L172" s="67">
        <f t="shared" si="254"/>
        <v>99.074590621006507</v>
      </c>
      <c r="M172" s="67">
        <f t="shared" si="254"/>
        <v>89.409417777610514</v>
      </c>
      <c r="N172" s="67">
        <f t="shared" si="254"/>
        <v>88.046150576215211</v>
      </c>
      <c r="O172" s="67">
        <f t="shared" si="254"/>
        <v>90.821903606936431</v>
      </c>
      <c r="P172" s="67">
        <f t="shared" si="254"/>
        <v>92.966388395757917</v>
      </c>
      <c r="Q172" s="67">
        <f t="shared" si="254"/>
        <v>100.08794718281516</v>
      </c>
      <c r="R172" s="67">
        <f t="shared" si="254"/>
        <v>97.449913147688335</v>
      </c>
      <c r="S172" s="67">
        <f t="shared" si="254"/>
        <v>103.52369655533145</v>
      </c>
      <c r="T172" s="67">
        <f t="shared" si="254"/>
        <v>103.04506112537568</v>
      </c>
      <c r="U172" s="67">
        <f t="shared" si="254"/>
        <v>102.76782916863674</v>
      </c>
      <c r="V172" s="67">
        <f t="shared" si="254"/>
        <v>98.021362816071814</v>
      </c>
      <c r="W172" s="67">
        <f t="shared" si="254"/>
        <v>99.421355505504664</v>
      </c>
      <c r="X172" s="67">
        <f t="shared" ref="X172:Y172" si="255">IF(X118=0,0,X118/X$23)</f>
        <v>98.079112896425457</v>
      </c>
      <c r="Y172" s="67">
        <f t="shared" si="255"/>
        <v>100.13711619151289</v>
      </c>
      <c r="DA172" s="110"/>
    </row>
    <row r="173" spans="1:105" ht="12" customHeight="1" x14ac:dyDescent="0.25">
      <c r="A173" s="78" t="s">
        <v>33</v>
      </c>
      <c r="B173" s="68">
        <f t="shared" ref="B173" si="256">IF(B119=0,0,B119/B$23)</f>
        <v>0</v>
      </c>
      <c r="C173" s="68">
        <f t="shared" ref="C173:W173" si="257">IF(C119=0,0,C119/C$23)</f>
        <v>0</v>
      </c>
      <c r="D173" s="68">
        <f t="shared" si="257"/>
        <v>0</v>
      </c>
      <c r="E173" s="68">
        <f t="shared" si="257"/>
        <v>0</v>
      </c>
      <c r="F173" s="68">
        <f t="shared" si="257"/>
        <v>0</v>
      </c>
      <c r="G173" s="68">
        <f t="shared" si="257"/>
        <v>0</v>
      </c>
      <c r="H173" s="68">
        <f t="shared" si="257"/>
        <v>0</v>
      </c>
      <c r="I173" s="68">
        <f t="shared" si="257"/>
        <v>0</v>
      </c>
      <c r="J173" s="68">
        <f t="shared" si="257"/>
        <v>0</v>
      </c>
      <c r="K173" s="68">
        <f t="shared" si="257"/>
        <v>0</v>
      </c>
      <c r="L173" s="68">
        <f t="shared" si="257"/>
        <v>0</v>
      </c>
      <c r="M173" s="68">
        <f t="shared" si="257"/>
        <v>0</v>
      </c>
      <c r="N173" s="68">
        <f t="shared" si="257"/>
        <v>0</v>
      </c>
      <c r="O173" s="68">
        <f t="shared" si="257"/>
        <v>0</v>
      </c>
      <c r="P173" s="68">
        <f t="shared" si="257"/>
        <v>0</v>
      </c>
      <c r="Q173" s="68">
        <f t="shared" si="257"/>
        <v>0</v>
      </c>
      <c r="R173" s="68">
        <f t="shared" si="257"/>
        <v>0</v>
      </c>
      <c r="S173" s="68">
        <f t="shared" si="257"/>
        <v>0</v>
      </c>
      <c r="T173" s="68">
        <f t="shared" si="257"/>
        <v>0</v>
      </c>
      <c r="U173" s="68">
        <f t="shared" si="257"/>
        <v>0</v>
      </c>
      <c r="V173" s="68">
        <f t="shared" si="257"/>
        <v>0</v>
      </c>
      <c r="W173" s="68">
        <f t="shared" si="257"/>
        <v>0</v>
      </c>
      <c r="X173" s="68">
        <f t="shared" ref="X173:Y173" si="258">IF(X119=0,0,X119/X$23)</f>
        <v>0</v>
      </c>
      <c r="Y173" s="68">
        <f t="shared" si="258"/>
        <v>0</v>
      </c>
      <c r="DA173" s="111"/>
    </row>
  </sheetData>
  <pageMargins left="0.39370078740157483" right="0.39370078740157483" top="0.39370078740157483" bottom="0.39370078740157483" header="0.31496062992125984" footer="0.31496062992125984"/>
  <pageSetup paperSize="9" scale="39" orientation="portrait" horizontalDpi="1200" verticalDpi="1200" r:id="rId1"/>
  <headerFooter alignWithMargins="0"/>
  <ignoredErrors>
    <ignoredError sqref="B31:Y31 B33:Y33 B37:Y37 B48:Y48 B67:Y67 B82:Y82" formulaRange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1">
    <tabColor theme="6" tint="0.39997558519241921"/>
    <pageSetUpPr fitToPage="1"/>
  </sheetPr>
  <dimension ref="A1:DA33"/>
  <sheetViews>
    <sheetView showGridLines="0" zoomScaleNormal="100" workbookViewId="0">
      <pane xSplit="1" ySplit="1" topLeftCell="G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40.7109375" style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12.95" customHeight="1" x14ac:dyDescent="0.25">
      <c r="A1" s="28" t="s">
        <v>244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X1" s="27">
        <v>2022</v>
      </c>
      <c r="Y1" s="27">
        <v>2023</v>
      </c>
      <c r="DA1" s="87" t="s">
        <v>150</v>
      </c>
    </row>
    <row r="2" spans="1:105" s="2" customFormat="1" ht="12" customHeight="1" x14ac:dyDescent="0.25">
      <c r="DA2" s="7"/>
    </row>
    <row r="3" spans="1:105" ht="12.95" customHeight="1" x14ac:dyDescent="0.25">
      <c r="A3" s="123" t="s">
        <v>79</v>
      </c>
      <c r="B3" s="124">
        <f t="shared" ref="B3:Y3" si="0">B4</f>
        <v>32838.432040694956</v>
      </c>
      <c r="C3" s="124">
        <f t="shared" si="0"/>
        <v>35719.937310639922</v>
      </c>
      <c r="D3" s="124">
        <f t="shared" si="0"/>
        <v>37157.052335049455</v>
      </c>
      <c r="E3" s="124">
        <f t="shared" si="0"/>
        <v>39857.436684495973</v>
      </c>
      <c r="F3" s="124">
        <f t="shared" si="0"/>
        <v>42566.644162568744</v>
      </c>
      <c r="G3" s="124">
        <f t="shared" si="0"/>
        <v>45911.161130593711</v>
      </c>
      <c r="H3" s="124">
        <f t="shared" si="0"/>
        <v>48661.475506371477</v>
      </c>
      <c r="I3" s="124">
        <f t="shared" si="0"/>
        <v>50002.958833310928</v>
      </c>
      <c r="J3" s="124">
        <f t="shared" si="0"/>
        <v>51532.110969474903</v>
      </c>
      <c r="K3" s="124">
        <f t="shared" si="0"/>
        <v>52665.522372258973</v>
      </c>
      <c r="L3" s="124">
        <f t="shared" si="0"/>
        <v>54791.046579909605</v>
      </c>
      <c r="M3" s="124">
        <f t="shared" si="0"/>
        <v>56960.981791148806</v>
      </c>
      <c r="N3" s="124">
        <f t="shared" si="0"/>
        <v>58420.510842979464</v>
      </c>
      <c r="O3" s="124">
        <f t="shared" si="0"/>
        <v>61170.742702579686</v>
      </c>
      <c r="P3" s="124">
        <f t="shared" si="0"/>
        <v>63725.858062569445</v>
      </c>
      <c r="Q3" s="124">
        <f t="shared" si="0"/>
        <v>66995.348380343843</v>
      </c>
      <c r="R3" s="124">
        <f t="shared" si="0"/>
        <v>69614.880293867405</v>
      </c>
      <c r="S3" s="124">
        <f t="shared" si="0"/>
        <v>72589.442341480521</v>
      </c>
      <c r="T3" s="124">
        <f t="shared" si="0"/>
        <v>74651.038519664944</v>
      </c>
      <c r="U3" s="124">
        <f t="shared" si="0"/>
        <v>76405.308553928699</v>
      </c>
      <c r="V3" s="124">
        <f t="shared" si="0"/>
        <v>77939.505555555559</v>
      </c>
      <c r="W3" s="124">
        <f t="shared" si="0"/>
        <v>79309.081703577482</v>
      </c>
      <c r="X3" s="124">
        <f t="shared" si="0"/>
        <v>80585.381200988966</v>
      </c>
      <c r="Y3" s="124">
        <f t="shared" si="0"/>
        <v>81814.63340029947</v>
      </c>
      <c r="DA3" s="168" t="s">
        <v>245</v>
      </c>
    </row>
    <row r="4" spans="1:105" ht="12.95" customHeight="1" x14ac:dyDescent="0.25">
      <c r="A4" s="129" t="s">
        <v>32</v>
      </c>
      <c r="B4" s="139">
        <f t="shared" ref="B4:Q4" si="1">SUM(B5:B14)</f>
        <v>32838.432040694956</v>
      </c>
      <c r="C4" s="139">
        <f t="shared" si="1"/>
        <v>35719.937310639922</v>
      </c>
      <c r="D4" s="139">
        <f t="shared" si="1"/>
        <v>37157.052335049455</v>
      </c>
      <c r="E4" s="139">
        <f t="shared" si="1"/>
        <v>39857.436684495973</v>
      </c>
      <c r="F4" s="139">
        <f t="shared" si="1"/>
        <v>42566.644162568744</v>
      </c>
      <c r="G4" s="139">
        <f t="shared" si="1"/>
        <v>45911.161130593711</v>
      </c>
      <c r="H4" s="139">
        <f t="shared" si="1"/>
        <v>48661.475506371477</v>
      </c>
      <c r="I4" s="139">
        <f t="shared" si="1"/>
        <v>50002.958833310928</v>
      </c>
      <c r="J4" s="139">
        <f t="shared" si="1"/>
        <v>51532.110969474903</v>
      </c>
      <c r="K4" s="139">
        <f t="shared" si="1"/>
        <v>52665.522372258973</v>
      </c>
      <c r="L4" s="139">
        <f t="shared" si="1"/>
        <v>54791.046579909605</v>
      </c>
      <c r="M4" s="139">
        <f t="shared" si="1"/>
        <v>56960.981791148806</v>
      </c>
      <c r="N4" s="139">
        <f t="shared" si="1"/>
        <v>58420.510842979464</v>
      </c>
      <c r="O4" s="139">
        <f t="shared" si="1"/>
        <v>61170.742702579686</v>
      </c>
      <c r="P4" s="139">
        <f t="shared" si="1"/>
        <v>63725.858062569445</v>
      </c>
      <c r="Q4" s="139">
        <f t="shared" si="1"/>
        <v>66995.348380343843</v>
      </c>
      <c r="R4" s="139">
        <f t="shared" ref="R4:W4" si="2">SUM(R5:R14)</f>
        <v>69614.880293867405</v>
      </c>
      <c r="S4" s="139">
        <f t="shared" si="2"/>
        <v>72589.442341480521</v>
      </c>
      <c r="T4" s="139">
        <f t="shared" si="2"/>
        <v>74651.038519664944</v>
      </c>
      <c r="U4" s="139">
        <f t="shared" si="2"/>
        <v>76405.308553928699</v>
      </c>
      <c r="V4" s="139">
        <f t="shared" si="2"/>
        <v>77939.505555555559</v>
      </c>
      <c r="W4" s="139">
        <f t="shared" si="2"/>
        <v>79309.081703577482</v>
      </c>
      <c r="X4" s="139">
        <f t="shared" ref="X4:Y4" si="3">SUM(X5:X14)</f>
        <v>80585.381200988966</v>
      </c>
      <c r="Y4" s="139">
        <f t="shared" si="3"/>
        <v>81814.63340029947</v>
      </c>
      <c r="DA4" s="169" t="s">
        <v>246</v>
      </c>
    </row>
    <row r="5" spans="1:105" ht="12" customHeight="1" x14ac:dyDescent="0.25">
      <c r="A5" s="131" t="s">
        <v>29</v>
      </c>
      <c r="B5" s="140">
        <v>212.06720846622054</v>
      </c>
      <c r="C5" s="140">
        <v>203.61603116520911</v>
      </c>
      <c r="D5" s="140">
        <v>190.83217267753537</v>
      </c>
      <c r="E5" s="140">
        <v>136.49207464581042</v>
      </c>
      <c r="F5" s="140">
        <v>80.446910514495499</v>
      </c>
      <c r="G5" s="140">
        <v>42.020279900370397</v>
      </c>
      <c r="H5" s="140">
        <v>42.691571856075328</v>
      </c>
      <c r="I5" s="140">
        <v>33.693663098116176</v>
      </c>
      <c r="J5" s="140">
        <v>24.009119899032957</v>
      </c>
      <c r="K5" s="140">
        <v>17.981975525890903</v>
      </c>
      <c r="L5" s="140">
        <v>21.365305531314238</v>
      </c>
      <c r="M5" s="140">
        <v>28.295908538912471</v>
      </c>
      <c r="N5" s="140">
        <v>29.571741011391595</v>
      </c>
      <c r="O5" s="140">
        <v>34.026878567063726</v>
      </c>
      <c r="P5" s="140">
        <v>36.454852995888459</v>
      </c>
      <c r="Q5" s="140">
        <v>37.825884580738737</v>
      </c>
      <c r="R5" s="140">
        <v>42.496159140985604</v>
      </c>
      <c r="S5" s="140">
        <v>0</v>
      </c>
      <c r="T5" s="140">
        <v>34.732619719604273</v>
      </c>
      <c r="U5" s="140">
        <v>26.070011749577812</v>
      </c>
      <c r="V5" s="140">
        <v>17.920183911459883</v>
      </c>
      <c r="W5" s="140">
        <v>11.780186141396198</v>
      </c>
      <c r="X5" s="140">
        <v>9.2447601014973397</v>
      </c>
      <c r="Y5" s="140">
        <v>6.187600743296497</v>
      </c>
      <c r="DA5" s="170" t="s">
        <v>247</v>
      </c>
    </row>
    <row r="6" spans="1:105" ht="12" customHeight="1" x14ac:dyDescent="0.25">
      <c r="A6" s="131" t="s">
        <v>52</v>
      </c>
      <c r="B6" s="140">
        <v>0</v>
      </c>
      <c r="C6" s="140">
        <v>0</v>
      </c>
      <c r="D6" s="140">
        <v>0</v>
      </c>
      <c r="E6" s="140">
        <v>0</v>
      </c>
      <c r="F6" s="140">
        <v>0</v>
      </c>
      <c r="G6" s="140">
        <v>0</v>
      </c>
      <c r="H6" s="140">
        <v>0</v>
      </c>
      <c r="I6" s="140">
        <v>0</v>
      </c>
      <c r="J6" s="140">
        <v>0</v>
      </c>
      <c r="K6" s="140">
        <v>0</v>
      </c>
      <c r="L6" s="140">
        <v>0</v>
      </c>
      <c r="M6" s="140">
        <v>0</v>
      </c>
      <c r="N6" s="140">
        <v>0</v>
      </c>
      <c r="O6" s="140">
        <v>0</v>
      </c>
      <c r="P6" s="140">
        <v>0</v>
      </c>
      <c r="Q6" s="140">
        <v>0</v>
      </c>
      <c r="R6" s="140">
        <v>0</v>
      </c>
      <c r="S6" s="140">
        <v>0</v>
      </c>
      <c r="T6" s="140">
        <v>0</v>
      </c>
      <c r="U6" s="140">
        <v>0</v>
      </c>
      <c r="V6" s="140">
        <v>0</v>
      </c>
      <c r="W6" s="140">
        <v>0</v>
      </c>
      <c r="X6" s="140">
        <v>0</v>
      </c>
      <c r="Y6" s="140">
        <v>0</v>
      </c>
      <c r="DA6" s="170" t="s">
        <v>248</v>
      </c>
    </row>
    <row r="7" spans="1:105" ht="12" customHeight="1" x14ac:dyDescent="0.25">
      <c r="A7" s="131" t="s">
        <v>161</v>
      </c>
      <c r="B7" s="140">
        <v>2393.1999938326603</v>
      </c>
      <c r="C7" s="140">
        <v>5335.7219018929754</v>
      </c>
      <c r="D7" s="140">
        <v>9102.0404945812097</v>
      </c>
      <c r="E7" s="140">
        <v>9800.153922974223</v>
      </c>
      <c r="F7" s="140">
        <v>10915.331588086332</v>
      </c>
      <c r="G7" s="140">
        <v>9240.9854194269592</v>
      </c>
      <c r="H7" s="140">
        <v>7759.2620423776134</v>
      </c>
      <c r="I7" s="140">
        <v>7432.3937339308732</v>
      </c>
      <c r="J7" s="140">
        <v>6785.4774023206592</v>
      </c>
      <c r="K7" s="140">
        <v>5922.4653274263728</v>
      </c>
      <c r="L7" s="140">
        <v>6103.0553607677493</v>
      </c>
      <c r="M7" s="140">
        <v>7718.3032970085551</v>
      </c>
      <c r="N7" s="140">
        <v>8324.7450199894774</v>
      </c>
      <c r="O7" s="140">
        <v>8384.5435935045371</v>
      </c>
      <c r="P7" s="140">
        <v>8465.5767408697939</v>
      </c>
      <c r="Q7" s="140">
        <v>9428.3243488551143</v>
      </c>
      <c r="R7" s="140">
        <v>10968.300964253713</v>
      </c>
      <c r="S7" s="140">
        <v>13257.346455631723</v>
      </c>
      <c r="T7" s="140">
        <v>15096.805318077033</v>
      </c>
      <c r="U7" s="140">
        <v>17106.452316592291</v>
      </c>
      <c r="V7" s="140">
        <v>19219.459893405194</v>
      </c>
      <c r="W7" s="140">
        <v>22092.892368512392</v>
      </c>
      <c r="X7" s="140">
        <v>23013.346642241104</v>
      </c>
      <c r="Y7" s="140">
        <v>22531.770094479787</v>
      </c>
      <c r="DA7" s="170" t="s">
        <v>249</v>
      </c>
    </row>
    <row r="8" spans="1:105" ht="12" customHeight="1" x14ac:dyDescent="0.25">
      <c r="A8" s="131" t="s">
        <v>73</v>
      </c>
      <c r="B8" s="140">
        <v>0</v>
      </c>
      <c r="C8" s="140">
        <v>0</v>
      </c>
      <c r="D8" s="140">
        <v>0</v>
      </c>
      <c r="E8" s="140">
        <v>0</v>
      </c>
      <c r="F8" s="140">
        <v>0</v>
      </c>
      <c r="G8" s="140">
        <v>0</v>
      </c>
      <c r="H8" s="140">
        <v>0</v>
      </c>
      <c r="I8" s="140">
        <v>0</v>
      </c>
      <c r="J8" s="140">
        <v>0</v>
      </c>
      <c r="K8" s="140">
        <v>0</v>
      </c>
      <c r="L8" s="140">
        <v>0</v>
      </c>
      <c r="M8" s="140">
        <v>0</v>
      </c>
      <c r="N8" s="140">
        <v>0</v>
      </c>
      <c r="O8" s="140">
        <v>0</v>
      </c>
      <c r="P8" s="140">
        <v>0</v>
      </c>
      <c r="Q8" s="140">
        <v>0</v>
      </c>
      <c r="R8" s="140">
        <v>0</v>
      </c>
      <c r="S8" s="140">
        <v>0</v>
      </c>
      <c r="T8" s="140">
        <v>0</v>
      </c>
      <c r="U8" s="140">
        <v>0</v>
      </c>
      <c r="V8" s="140">
        <v>0</v>
      </c>
      <c r="W8" s="140">
        <v>0</v>
      </c>
      <c r="X8" s="140">
        <v>0</v>
      </c>
      <c r="Y8" s="140">
        <v>0</v>
      </c>
      <c r="DA8" s="170" t="s">
        <v>250</v>
      </c>
    </row>
    <row r="9" spans="1:105" ht="12" customHeight="1" x14ac:dyDescent="0.25">
      <c r="A9" s="131" t="s">
        <v>78</v>
      </c>
      <c r="B9" s="140">
        <v>7439.4757787254839</v>
      </c>
      <c r="C9" s="140">
        <v>7896.4392967569274</v>
      </c>
      <c r="D9" s="140">
        <v>8805.4625697702704</v>
      </c>
      <c r="E9" s="140">
        <v>12728.015591136224</v>
      </c>
      <c r="F9" s="140">
        <v>17026.240421490693</v>
      </c>
      <c r="G9" s="140">
        <v>21147.896964052277</v>
      </c>
      <c r="H9" s="140">
        <v>25742.133296662254</v>
      </c>
      <c r="I9" s="140">
        <v>25728.552240907789</v>
      </c>
      <c r="J9" s="140">
        <v>26154.35677062377</v>
      </c>
      <c r="K9" s="140">
        <v>26760.041657268252</v>
      </c>
      <c r="L9" s="140">
        <v>27312.986337347655</v>
      </c>
      <c r="M9" s="140">
        <v>27598.651891487505</v>
      </c>
      <c r="N9" s="140">
        <v>28649.148875694784</v>
      </c>
      <c r="O9" s="140">
        <v>31616.935873493647</v>
      </c>
      <c r="P9" s="140">
        <v>33905.296867159166</v>
      </c>
      <c r="Q9" s="140">
        <v>35150.930353453652</v>
      </c>
      <c r="R9" s="140">
        <v>35666.733465639634</v>
      </c>
      <c r="S9" s="140">
        <v>37219.918119568116</v>
      </c>
      <c r="T9" s="140">
        <v>38540.694498235702</v>
      </c>
      <c r="U9" s="140">
        <v>39521.032705607118</v>
      </c>
      <c r="V9" s="140">
        <v>40038.038654866818</v>
      </c>
      <c r="W9" s="140">
        <v>39785.879881466521</v>
      </c>
      <c r="X9" s="140">
        <v>41052.360672252471</v>
      </c>
      <c r="Y9" s="140">
        <v>38458.468737706738</v>
      </c>
      <c r="DA9" s="170" t="s">
        <v>251</v>
      </c>
    </row>
    <row r="10" spans="1:105" ht="12" customHeight="1" x14ac:dyDescent="0.25">
      <c r="A10" s="131" t="s">
        <v>128</v>
      </c>
      <c r="B10" s="140">
        <v>0</v>
      </c>
      <c r="C10" s="140">
        <v>4243.8595517695094</v>
      </c>
      <c r="D10" s="140">
        <v>6336.3512576368848</v>
      </c>
      <c r="E10" s="140">
        <v>6110.9120224190574</v>
      </c>
      <c r="F10" s="140">
        <v>5477.725513190373</v>
      </c>
      <c r="G10" s="140">
        <v>4850.8086709064264</v>
      </c>
      <c r="H10" s="140">
        <v>4411.5269760884366</v>
      </c>
      <c r="I10" s="140">
        <v>4382.6598779438254</v>
      </c>
      <c r="J10" s="140">
        <v>4547.1917386471068</v>
      </c>
      <c r="K10" s="140">
        <v>4446.7752376421922</v>
      </c>
      <c r="L10" s="140">
        <v>4069.2835438317124</v>
      </c>
      <c r="M10" s="140">
        <v>3177.6986707629021</v>
      </c>
      <c r="N10" s="140">
        <v>2784.5389942029469</v>
      </c>
      <c r="O10" s="140">
        <v>2929.3346485828092</v>
      </c>
      <c r="P10" s="140">
        <v>3921.1239150433717</v>
      </c>
      <c r="Q10" s="140">
        <v>5566.6195483957399</v>
      </c>
      <c r="R10" s="140">
        <v>6480.6261146334637</v>
      </c>
      <c r="S10" s="140">
        <v>6433.4739454576793</v>
      </c>
      <c r="T10" s="140">
        <v>6093.8678634502003</v>
      </c>
      <c r="U10" s="140">
        <v>5874.5443298466234</v>
      </c>
      <c r="V10" s="140">
        <v>5589.3823859977047</v>
      </c>
      <c r="W10" s="140">
        <v>5226.7326925457483</v>
      </c>
      <c r="X10" s="140">
        <v>4595.2890424192901</v>
      </c>
      <c r="Y10" s="140">
        <v>3934.0261074714858</v>
      </c>
      <c r="DA10" s="170" t="s">
        <v>252</v>
      </c>
    </row>
    <row r="11" spans="1:105" ht="12" customHeight="1" x14ac:dyDescent="0.25">
      <c r="A11" s="131" t="s">
        <v>25</v>
      </c>
      <c r="B11" s="140">
        <v>168.65976845488299</v>
      </c>
      <c r="C11" s="140">
        <v>313.91114626600756</v>
      </c>
      <c r="D11" s="140">
        <v>533.75486738721099</v>
      </c>
      <c r="E11" s="140">
        <v>534.08558920712733</v>
      </c>
      <c r="F11" s="140">
        <v>456.87193763268789</v>
      </c>
      <c r="G11" s="140">
        <v>391.65865061661293</v>
      </c>
      <c r="H11" s="140">
        <v>359.97259919999038</v>
      </c>
      <c r="I11" s="140">
        <v>457.99182261547969</v>
      </c>
      <c r="J11" s="140">
        <v>595.5371698985532</v>
      </c>
      <c r="K11" s="140">
        <v>625.3884651575928</v>
      </c>
      <c r="L11" s="140">
        <v>523.44980143054102</v>
      </c>
      <c r="M11" s="140">
        <v>602.34696291785986</v>
      </c>
      <c r="N11" s="140">
        <v>767.34482426071247</v>
      </c>
      <c r="O11" s="140">
        <v>1068.0468654203416</v>
      </c>
      <c r="P11" s="140">
        <v>1339.4642178473221</v>
      </c>
      <c r="Q11" s="140">
        <v>1553.3789282544494</v>
      </c>
      <c r="R11" s="140">
        <v>1755.4318657977324</v>
      </c>
      <c r="S11" s="140">
        <v>1899.824119839707</v>
      </c>
      <c r="T11" s="140">
        <v>1821.033605395404</v>
      </c>
      <c r="U11" s="140">
        <v>1560.2389635490285</v>
      </c>
      <c r="V11" s="140">
        <v>1020.169141789327</v>
      </c>
      <c r="W11" s="140">
        <v>743.57077009094485</v>
      </c>
      <c r="X11" s="140">
        <v>678.35259875914267</v>
      </c>
      <c r="Y11" s="140">
        <v>627.61434520790669</v>
      </c>
      <c r="DA11" s="170" t="s">
        <v>253</v>
      </c>
    </row>
    <row r="12" spans="1:105" ht="12" customHeight="1" x14ac:dyDescent="0.25">
      <c r="A12" s="131" t="s">
        <v>162</v>
      </c>
      <c r="B12" s="140">
        <v>16315.084404089355</v>
      </c>
      <c r="C12" s="140">
        <v>12694.418421613263</v>
      </c>
      <c r="D12" s="140">
        <v>9076.8655539709762</v>
      </c>
      <c r="E12" s="140">
        <v>7530.3821672746299</v>
      </c>
      <c r="F12" s="140">
        <v>7039.0056014481615</v>
      </c>
      <c r="G12" s="140">
        <v>8428.6252628427319</v>
      </c>
      <c r="H12" s="140">
        <v>8465.6260331976082</v>
      </c>
      <c r="I12" s="140">
        <v>9212.8241270742801</v>
      </c>
      <c r="J12" s="140">
        <v>10098.23078326943</v>
      </c>
      <c r="K12" s="140">
        <v>10724.419381645912</v>
      </c>
      <c r="L12" s="140">
        <v>11667.642520230547</v>
      </c>
      <c r="M12" s="140">
        <v>12944.275032145595</v>
      </c>
      <c r="N12" s="140">
        <v>14071.752216220928</v>
      </c>
      <c r="O12" s="140">
        <v>14644.997188883721</v>
      </c>
      <c r="P12" s="140">
        <v>14490.420851283399</v>
      </c>
      <c r="Q12" s="140">
        <v>14327.912335411944</v>
      </c>
      <c r="R12" s="140">
        <v>14023.591689860952</v>
      </c>
      <c r="S12" s="140">
        <v>13218.413517543613</v>
      </c>
      <c r="T12" s="140">
        <v>12512.239877384885</v>
      </c>
      <c r="U12" s="140">
        <v>11771.7212241488</v>
      </c>
      <c r="V12" s="140">
        <v>11427.739126535171</v>
      </c>
      <c r="W12" s="140">
        <v>10564.885597844061</v>
      </c>
      <c r="X12" s="140">
        <v>9859.1953231949501</v>
      </c>
      <c r="Y12" s="140">
        <v>8349.4909069658352</v>
      </c>
      <c r="DA12" s="170" t="s">
        <v>254</v>
      </c>
    </row>
    <row r="13" spans="1:105" ht="12" customHeight="1" x14ac:dyDescent="0.25">
      <c r="A13" s="131" t="s">
        <v>77</v>
      </c>
      <c r="B13" s="140">
        <v>0</v>
      </c>
      <c r="C13" s="140">
        <v>0</v>
      </c>
      <c r="D13" s="140">
        <v>0</v>
      </c>
      <c r="E13" s="140">
        <v>0</v>
      </c>
      <c r="F13" s="140">
        <v>0</v>
      </c>
      <c r="G13" s="140">
        <v>0</v>
      </c>
      <c r="H13" s="140">
        <v>0</v>
      </c>
      <c r="I13" s="140">
        <v>0</v>
      </c>
      <c r="J13" s="140">
        <v>0</v>
      </c>
      <c r="K13" s="140">
        <v>0</v>
      </c>
      <c r="L13" s="140">
        <v>0</v>
      </c>
      <c r="M13" s="140">
        <v>0</v>
      </c>
      <c r="N13" s="140">
        <v>0</v>
      </c>
      <c r="O13" s="140">
        <v>0</v>
      </c>
      <c r="P13" s="140">
        <v>0</v>
      </c>
      <c r="Q13" s="140">
        <v>0</v>
      </c>
      <c r="R13" s="140">
        <v>0</v>
      </c>
      <c r="S13" s="140">
        <v>0</v>
      </c>
      <c r="T13" s="140">
        <v>0</v>
      </c>
      <c r="U13" s="140">
        <v>0</v>
      </c>
      <c r="V13" s="140">
        <v>0</v>
      </c>
      <c r="W13" s="140">
        <v>0</v>
      </c>
      <c r="X13" s="140">
        <v>0</v>
      </c>
      <c r="Y13" s="140">
        <v>5979.003364012342</v>
      </c>
      <c r="DA13" s="170" t="s">
        <v>255</v>
      </c>
    </row>
    <row r="14" spans="1:105" ht="12" customHeight="1" x14ac:dyDescent="0.25">
      <c r="A14" s="60" t="s">
        <v>76</v>
      </c>
      <c r="B14" s="141">
        <v>6309.9448871263558</v>
      </c>
      <c r="C14" s="141">
        <v>5031.97096117603</v>
      </c>
      <c r="D14" s="141">
        <v>3111.7454190253679</v>
      </c>
      <c r="E14" s="141">
        <v>3017.3953168389053</v>
      </c>
      <c r="F14" s="141">
        <v>1571.0221902060064</v>
      </c>
      <c r="G14" s="141">
        <v>1809.1658828483273</v>
      </c>
      <c r="H14" s="141">
        <v>1880.2629869894968</v>
      </c>
      <c r="I14" s="141">
        <v>2754.8433677405624</v>
      </c>
      <c r="J14" s="141">
        <v>3327.3079848163579</v>
      </c>
      <c r="K14" s="141">
        <v>4168.4503275927564</v>
      </c>
      <c r="L14" s="141">
        <v>5093.2637107700884</v>
      </c>
      <c r="M14" s="141">
        <v>4891.4100282874761</v>
      </c>
      <c r="N14" s="141">
        <v>3793.4091715992199</v>
      </c>
      <c r="O14" s="141">
        <v>2492.8576541275615</v>
      </c>
      <c r="P14" s="141">
        <v>1567.5206173704978</v>
      </c>
      <c r="Q14" s="141">
        <v>930.35698139220017</v>
      </c>
      <c r="R14" s="141">
        <v>677.70003454091773</v>
      </c>
      <c r="S14" s="141">
        <v>560.4661834396843</v>
      </c>
      <c r="T14" s="141">
        <v>551.66473740211939</v>
      </c>
      <c r="U14" s="141">
        <v>545.24900243526349</v>
      </c>
      <c r="V14" s="141">
        <v>626.79616904987836</v>
      </c>
      <c r="W14" s="141">
        <v>883.34020697642404</v>
      </c>
      <c r="X14" s="141">
        <v>1377.5921620205249</v>
      </c>
      <c r="Y14" s="141">
        <v>1928.0722437120796</v>
      </c>
      <c r="DA14" s="171" t="s">
        <v>256</v>
      </c>
    </row>
    <row r="15" spans="1:105" ht="12" hidden="1" customHeight="1" x14ac:dyDescent="0.25">
      <c r="A15" s="142" t="s">
        <v>75</v>
      </c>
      <c r="B15" s="143">
        <f t="shared" ref="B15:Q15" si="4">SUM(B5:B12)</f>
        <v>26528.487153568603</v>
      </c>
      <c r="C15" s="143">
        <f t="shared" si="4"/>
        <v>30687.966349463892</v>
      </c>
      <c r="D15" s="143">
        <f t="shared" si="4"/>
        <v>34045.306916024085</v>
      </c>
      <c r="E15" s="143">
        <f t="shared" si="4"/>
        <v>36840.041367657068</v>
      </c>
      <c r="F15" s="143">
        <f t="shared" si="4"/>
        <v>40995.621972362736</v>
      </c>
      <c r="G15" s="143">
        <f t="shared" si="4"/>
        <v>44101.995247745384</v>
      </c>
      <c r="H15" s="143">
        <f t="shared" si="4"/>
        <v>46781.212519381981</v>
      </c>
      <c r="I15" s="143">
        <f t="shared" si="4"/>
        <v>47248.115465570365</v>
      </c>
      <c r="J15" s="143">
        <f t="shared" si="4"/>
        <v>48204.802984658549</v>
      </c>
      <c r="K15" s="143">
        <f t="shared" si="4"/>
        <v>48497.072044666216</v>
      </c>
      <c r="L15" s="143">
        <f t="shared" si="4"/>
        <v>49697.782869139519</v>
      </c>
      <c r="M15" s="143">
        <f t="shared" si="4"/>
        <v>52069.571762861327</v>
      </c>
      <c r="N15" s="143">
        <f t="shared" si="4"/>
        <v>54627.101671380246</v>
      </c>
      <c r="O15" s="143">
        <f t="shared" si="4"/>
        <v>58677.885048452124</v>
      </c>
      <c r="P15" s="143">
        <f t="shared" si="4"/>
        <v>62158.337445198944</v>
      </c>
      <c r="Q15" s="143">
        <f t="shared" si="4"/>
        <v>66064.99139895165</v>
      </c>
      <c r="R15" s="143">
        <f t="shared" ref="R15:W15" si="5">SUM(R5:R12)</f>
        <v>68937.180259326487</v>
      </c>
      <c r="S15" s="143">
        <f t="shared" si="5"/>
        <v>72028.976158040838</v>
      </c>
      <c r="T15" s="143">
        <f t="shared" si="5"/>
        <v>74099.373782262832</v>
      </c>
      <c r="U15" s="143">
        <f t="shared" si="5"/>
        <v>75860.059551493439</v>
      </c>
      <c r="V15" s="143">
        <f t="shared" si="5"/>
        <v>77312.709386505681</v>
      </c>
      <c r="W15" s="143">
        <f t="shared" si="5"/>
        <v>78425.741496601055</v>
      </c>
      <c r="X15" s="143">
        <f t="shared" ref="X15:Y15" si="6">SUM(X5:X12)</f>
        <v>79207.789038968447</v>
      </c>
      <c r="Y15" s="143">
        <f t="shared" si="6"/>
        <v>73907.55779257504</v>
      </c>
      <c r="DA15" s="172"/>
    </row>
    <row r="16" spans="1:105" ht="12.95" customHeight="1" x14ac:dyDescent="0.25">
      <c r="A16" s="129" t="s">
        <v>74</v>
      </c>
      <c r="B16" s="139">
        <f t="shared" ref="B16:Q16" si="7">SUM(B17:B18)</f>
        <v>30.499952655268483</v>
      </c>
      <c r="C16" s="139">
        <f t="shared" si="7"/>
        <v>430.66696156755887</v>
      </c>
      <c r="D16" s="139">
        <f t="shared" si="7"/>
        <v>961.59413796146498</v>
      </c>
      <c r="E16" s="139">
        <f t="shared" si="7"/>
        <v>1432.3279659332393</v>
      </c>
      <c r="F16" s="139">
        <f t="shared" si="7"/>
        <v>2041.5088802922035</v>
      </c>
      <c r="G16" s="139">
        <f t="shared" si="7"/>
        <v>2581.9330293025801</v>
      </c>
      <c r="H16" s="139">
        <f t="shared" si="7"/>
        <v>3335.6180404747583</v>
      </c>
      <c r="I16" s="139">
        <f t="shared" si="7"/>
        <v>4114.0235818259207</v>
      </c>
      <c r="J16" s="139">
        <f t="shared" si="7"/>
        <v>4955.5768772325855</v>
      </c>
      <c r="K16" s="139">
        <f t="shared" si="7"/>
        <v>5689.4010600107795</v>
      </c>
      <c r="L16" s="139">
        <f t="shared" si="7"/>
        <v>6319.1051834792916</v>
      </c>
      <c r="M16" s="139">
        <f t="shared" si="7"/>
        <v>7192.4880549889185</v>
      </c>
      <c r="N16" s="139">
        <f t="shared" si="7"/>
        <v>8023.5455061968878</v>
      </c>
      <c r="O16" s="139">
        <f t="shared" si="7"/>
        <v>8744.6701172924422</v>
      </c>
      <c r="P16" s="139">
        <f t="shared" si="7"/>
        <v>9583.9496150214818</v>
      </c>
      <c r="Q16" s="139">
        <f t="shared" si="7"/>
        <v>10259.014756477112</v>
      </c>
      <c r="R16" s="139">
        <f t="shared" ref="R16:W16" si="8">SUM(R17:R18)</f>
        <v>10587.348120828306</v>
      </c>
      <c r="S16" s="139">
        <f t="shared" si="8"/>
        <v>11048.802317333018</v>
      </c>
      <c r="T16" s="139">
        <f t="shared" si="8"/>
        <v>11433.512303945025</v>
      </c>
      <c r="U16" s="139">
        <f t="shared" si="8"/>
        <v>11873.693187278999</v>
      </c>
      <c r="V16" s="139">
        <f t="shared" si="8"/>
        <v>12333.198199078541</v>
      </c>
      <c r="W16" s="139">
        <f t="shared" si="8"/>
        <v>12715.227613045052</v>
      </c>
      <c r="X16" s="139">
        <f t="shared" ref="X16:Y16" si="9">SUM(X17:X18)</f>
        <v>12920.731236281314</v>
      </c>
      <c r="Y16" s="139">
        <f t="shared" si="9"/>
        <v>13045.409726238642</v>
      </c>
      <c r="DA16" s="169" t="s">
        <v>257</v>
      </c>
    </row>
    <row r="17" spans="1:105" ht="12.95" customHeight="1" x14ac:dyDescent="0.25">
      <c r="A17" s="131" t="s">
        <v>73</v>
      </c>
      <c r="B17" s="140">
        <v>0</v>
      </c>
      <c r="C17" s="140">
        <v>0</v>
      </c>
      <c r="D17" s="140">
        <v>0</v>
      </c>
      <c r="E17" s="140">
        <v>0</v>
      </c>
      <c r="F17" s="140">
        <v>0</v>
      </c>
      <c r="G17" s="140">
        <v>0</v>
      </c>
      <c r="H17" s="140">
        <v>0</v>
      </c>
      <c r="I17" s="140">
        <v>0</v>
      </c>
      <c r="J17" s="140">
        <v>0</v>
      </c>
      <c r="K17" s="140">
        <v>0</v>
      </c>
      <c r="L17" s="140">
        <v>0</v>
      </c>
      <c r="M17" s="140">
        <v>0</v>
      </c>
      <c r="N17" s="140">
        <v>0</v>
      </c>
      <c r="O17" s="140">
        <v>0</v>
      </c>
      <c r="P17" s="140">
        <v>0</v>
      </c>
      <c r="Q17" s="140">
        <v>0</v>
      </c>
      <c r="R17" s="140">
        <v>0</v>
      </c>
      <c r="S17" s="140">
        <v>0</v>
      </c>
      <c r="T17" s="140">
        <v>0</v>
      </c>
      <c r="U17" s="140">
        <v>0</v>
      </c>
      <c r="V17" s="140">
        <v>0</v>
      </c>
      <c r="W17" s="140">
        <v>0</v>
      </c>
      <c r="X17" s="140">
        <v>0</v>
      </c>
      <c r="Y17" s="140">
        <v>0</v>
      </c>
      <c r="DA17" s="170" t="s">
        <v>258</v>
      </c>
    </row>
    <row r="18" spans="1:105" ht="12" customHeight="1" x14ac:dyDescent="0.25">
      <c r="A18" s="131" t="s">
        <v>72</v>
      </c>
      <c r="B18" s="140">
        <v>30.499952655268483</v>
      </c>
      <c r="C18" s="140">
        <v>430.66696156755887</v>
      </c>
      <c r="D18" s="140">
        <v>961.59413796146498</v>
      </c>
      <c r="E18" s="140">
        <v>1432.3279659332393</v>
      </c>
      <c r="F18" s="140">
        <v>2041.5088802922035</v>
      </c>
      <c r="G18" s="140">
        <v>2581.9330293025801</v>
      </c>
      <c r="H18" s="140">
        <v>3335.6180404747583</v>
      </c>
      <c r="I18" s="140">
        <v>4114.0235818259207</v>
      </c>
      <c r="J18" s="140">
        <v>4955.5768772325855</v>
      </c>
      <c r="K18" s="140">
        <v>5689.4010600107795</v>
      </c>
      <c r="L18" s="140">
        <v>6319.1051834792916</v>
      </c>
      <c r="M18" s="140">
        <v>7192.4880549889185</v>
      </c>
      <c r="N18" s="140">
        <v>8023.5455061968878</v>
      </c>
      <c r="O18" s="140">
        <v>8744.6701172924422</v>
      </c>
      <c r="P18" s="140">
        <v>9583.9496150214818</v>
      </c>
      <c r="Q18" s="140">
        <v>10259.014756477112</v>
      </c>
      <c r="R18" s="140">
        <v>10587.348120828306</v>
      </c>
      <c r="S18" s="140">
        <v>11048.802317333018</v>
      </c>
      <c r="T18" s="140">
        <v>11433.512303945025</v>
      </c>
      <c r="U18" s="140">
        <v>11873.693187278999</v>
      </c>
      <c r="V18" s="140">
        <v>12333.198199078541</v>
      </c>
      <c r="W18" s="140">
        <v>12715.227613045052</v>
      </c>
      <c r="X18" s="140">
        <v>12920.731236281314</v>
      </c>
      <c r="Y18" s="140">
        <v>13045.409726238642</v>
      </c>
      <c r="DA18" s="170" t="s">
        <v>259</v>
      </c>
    </row>
    <row r="19" spans="1:105" ht="12.95" customHeight="1" x14ac:dyDescent="0.25">
      <c r="A19" s="129" t="s">
        <v>35</v>
      </c>
      <c r="B19" s="139">
        <f t="shared" ref="B19:Q19" si="10">SUM(B20:B26)</f>
        <v>32838.432040694963</v>
      </c>
      <c r="C19" s="139">
        <f t="shared" si="10"/>
        <v>35719.937310639922</v>
      </c>
      <c r="D19" s="139">
        <f t="shared" si="10"/>
        <v>37157.052335049455</v>
      </c>
      <c r="E19" s="139">
        <f t="shared" si="10"/>
        <v>39857.436684495973</v>
      </c>
      <c r="F19" s="139">
        <f t="shared" si="10"/>
        <v>42566.644162568758</v>
      </c>
      <c r="G19" s="139">
        <f t="shared" si="10"/>
        <v>45911.161130593697</v>
      </c>
      <c r="H19" s="139">
        <f t="shared" si="10"/>
        <v>48661.475506371469</v>
      </c>
      <c r="I19" s="139">
        <f t="shared" si="10"/>
        <v>50002.95883331092</v>
      </c>
      <c r="J19" s="139">
        <f t="shared" si="10"/>
        <v>51532.110969474925</v>
      </c>
      <c r="K19" s="139">
        <f t="shared" si="10"/>
        <v>52665.522372258973</v>
      </c>
      <c r="L19" s="139">
        <f t="shared" si="10"/>
        <v>54791.04657990962</v>
      </c>
      <c r="M19" s="139">
        <f t="shared" si="10"/>
        <v>56960.981791148799</v>
      </c>
      <c r="N19" s="139">
        <f t="shared" si="10"/>
        <v>58420.510842979449</v>
      </c>
      <c r="O19" s="139">
        <f t="shared" si="10"/>
        <v>61170.742702579686</v>
      </c>
      <c r="P19" s="139">
        <f t="shared" si="10"/>
        <v>63725.858062569445</v>
      </c>
      <c r="Q19" s="139">
        <f t="shared" si="10"/>
        <v>66995.348380343858</v>
      </c>
      <c r="R19" s="139">
        <f t="shared" ref="R19:W19" si="11">SUM(R20:R26)</f>
        <v>69614.880293867376</v>
      </c>
      <c r="S19" s="139">
        <f t="shared" si="11"/>
        <v>72589.442341480477</v>
      </c>
      <c r="T19" s="139">
        <f t="shared" si="11"/>
        <v>74651.038519664959</v>
      </c>
      <c r="U19" s="139">
        <f t="shared" si="11"/>
        <v>76405.308553928713</v>
      </c>
      <c r="V19" s="139">
        <f t="shared" si="11"/>
        <v>77939.50555555553</v>
      </c>
      <c r="W19" s="139">
        <f t="shared" si="11"/>
        <v>79309.081703577482</v>
      </c>
      <c r="X19" s="139">
        <f t="shared" ref="X19:Y19" si="12">SUM(X20:X26)</f>
        <v>80585.381200988923</v>
      </c>
      <c r="Y19" s="139">
        <f t="shared" si="12"/>
        <v>81814.63340029947</v>
      </c>
      <c r="DA19" s="169" t="s">
        <v>260</v>
      </c>
    </row>
    <row r="20" spans="1:105" ht="12" customHeight="1" x14ac:dyDescent="0.25">
      <c r="A20" s="131" t="s">
        <v>29</v>
      </c>
      <c r="B20" s="140">
        <v>0</v>
      </c>
      <c r="C20" s="140">
        <v>0</v>
      </c>
      <c r="D20" s="140">
        <v>0</v>
      </c>
      <c r="E20" s="140">
        <v>0</v>
      </c>
      <c r="F20" s="140">
        <v>0</v>
      </c>
      <c r="G20" s="140">
        <v>0</v>
      </c>
      <c r="H20" s="140">
        <v>0</v>
      </c>
      <c r="I20" s="140">
        <v>0</v>
      </c>
      <c r="J20" s="140">
        <v>0</v>
      </c>
      <c r="K20" s="140">
        <v>0</v>
      </c>
      <c r="L20" s="140">
        <v>0</v>
      </c>
      <c r="M20" s="140">
        <v>0</v>
      </c>
      <c r="N20" s="140">
        <v>0</v>
      </c>
      <c r="O20" s="140">
        <v>0</v>
      </c>
      <c r="P20" s="140">
        <v>0</v>
      </c>
      <c r="Q20" s="140">
        <v>0</v>
      </c>
      <c r="R20" s="140">
        <v>0</v>
      </c>
      <c r="S20" s="140">
        <v>0</v>
      </c>
      <c r="T20" s="140">
        <v>0</v>
      </c>
      <c r="U20" s="140">
        <v>0</v>
      </c>
      <c r="V20" s="140">
        <v>0</v>
      </c>
      <c r="W20" s="140">
        <v>0</v>
      </c>
      <c r="X20" s="140">
        <v>0</v>
      </c>
      <c r="Y20" s="140">
        <v>0</v>
      </c>
      <c r="DA20" s="170" t="s">
        <v>261</v>
      </c>
    </row>
    <row r="21" spans="1:105" s="2" customFormat="1" ht="12" customHeight="1" x14ac:dyDescent="0.25">
      <c r="A21" s="131" t="s">
        <v>52</v>
      </c>
      <c r="B21" s="140">
        <v>0</v>
      </c>
      <c r="C21" s="140">
        <v>0</v>
      </c>
      <c r="D21" s="140">
        <v>0</v>
      </c>
      <c r="E21" s="140">
        <v>0</v>
      </c>
      <c r="F21" s="140">
        <v>0</v>
      </c>
      <c r="G21" s="140">
        <v>0</v>
      </c>
      <c r="H21" s="140">
        <v>0</v>
      </c>
      <c r="I21" s="140">
        <v>0</v>
      </c>
      <c r="J21" s="140">
        <v>0</v>
      </c>
      <c r="K21" s="140">
        <v>0</v>
      </c>
      <c r="L21" s="140">
        <v>0</v>
      </c>
      <c r="M21" s="140">
        <v>0</v>
      </c>
      <c r="N21" s="140">
        <v>0</v>
      </c>
      <c r="O21" s="140">
        <v>0</v>
      </c>
      <c r="P21" s="140">
        <v>0</v>
      </c>
      <c r="Q21" s="140">
        <v>0</v>
      </c>
      <c r="R21" s="140">
        <v>0</v>
      </c>
      <c r="S21" s="140">
        <v>0</v>
      </c>
      <c r="T21" s="140">
        <v>0</v>
      </c>
      <c r="U21" s="140">
        <v>0</v>
      </c>
      <c r="V21" s="140">
        <v>0</v>
      </c>
      <c r="W21" s="140">
        <v>0</v>
      </c>
      <c r="X21" s="140">
        <v>0</v>
      </c>
      <c r="Y21" s="140">
        <v>0</v>
      </c>
      <c r="DA21" s="170" t="s">
        <v>262</v>
      </c>
    </row>
    <row r="22" spans="1:105" ht="12" customHeight="1" x14ac:dyDescent="0.25">
      <c r="A22" s="131" t="s">
        <v>161</v>
      </c>
      <c r="B22" s="140">
        <v>5068.188135228821</v>
      </c>
      <c r="C22" s="140">
        <v>6305.0263874491047</v>
      </c>
      <c r="D22" s="140">
        <v>7651.5668903514024</v>
      </c>
      <c r="E22" s="140">
        <v>7477.1515237803351</v>
      </c>
      <c r="F22" s="140">
        <v>7168.0660802780485</v>
      </c>
      <c r="G22" s="140">
        <v>5930.8668751572523</v>
      </c>
      <c r="H22" s="140">
        <v>4488.3711166799612</v>
      </c>
      <c r="I22" s="140">
        <v>3677.212523160244</v>
      </c>
      <c r="J22" s="140">
        <v>3267.8632282290509</v>
      </c>
      <c r="K22" s="140">
        <v>3207.2370779058524</v>
      </c>
      <c r="L22" s="140">
        <v>3395.8351928865513</v>
      </c>
      <c r="M22" s="140">
        <v>3915.1693873848153</v>
      </c>
      <c r="N22" s="140">
        <v>4910.0123292349435</v>
      </c>
      <c r="O22" s="140">
        <v>6124.0144896101956</v>
      </c>
      <c r="P22" s="140">
        <v>6900.1941532800292</v>
      </c>
      <c r="Q22" s="140">
        <v>7665.5455183105778</v>
      </c>
      <c r="R22" s="140">
        <v>8495.5850479323926</v>
      </c>
      <c r="S22" s="140">
        <v>10134.588654758285</v>
      </c>
      <c r="T22" s="140">
        <v>11639.234911159576</v>
      </c>
      <c r="U22" s="140">
        <v>13169.512885051783</v>
      </c>
      <c r="V22" s="140">
        <v>14858.854340109172</v>
      </c>
      <c r="W22" s="140">
        <v>17193.244706768921</v>
      </c>
      <c r="X22" s="140">
        <v>18254.774323750644</v>
      </c>
      <c r="Y22" s="140">
        <v>18587.167842786581</v>
      </c>
      <c r="DA22" s="170" t="s">
        <v>263</v>
      </c>
    </row>
    <row r="23" spans="1:105" ht="12" customHeight="1" x14ac:dyDescent="0.25">
      <c r="A23" s="131" t="s">
        <v>149</v>
      </c>
      <c r="B23" s="140">
        <v>4212.5949558005641</v>
      </c>
      <c r="C23" s="140">
        <v>5025.3808319450045</v>
      </c>
      <c r="D23" s="140">
        <v>8150.1810095674009</v>
      </c>
      <c r="E23" s="140">
        <v>10517.308139093302</v>
      </c>
      <c r="F23" s="140">
        <v>14753.865572073913</v>
      </c>
      <c r="G23" s="140">
        <v>17896.554626747478</v>
      </c>
      <c r="H23" s="140">
        <v>20128.46075292784</v>
      </c>
      <c r="I23" s="140">
        <v>19701.425404426376</v>
      </c>
      <c r="J23" s="140">
        <v>20283.281181775012</v>
      </c>
      <c r="K23" s="140">
        <v>22263.150363988185</v>
      </c>
      <c r="L23" s="140">
        <v>23705.815042413367</v>
      </c>
      <c r="M23" s="140">
        <v>23675.903596205007</v>
      </c>
      <c r="N23" s="140">
        <v>22856.462807393447</v>
      </c>
      <c r="O23" s="140">
        <v>23935.298414070065</v>
      </c>
      <c r="P23" s="140">
        <v>25899.833319069723</v>
      </c>
      <c r="Q23" s="140">
        <v>29040.978146778019</v>
      </c>
      <c r="R23" s="140">
        <v>31861.879383232721</v>
      </c>
      <c r="S23" s="140">
        <v>34891.31784625505</v>
      </c>
      <c r="T23" s="140">
        <v>36514.985903578301</v>
      </c>
      <c r="U23" s="140">
        <v>37596.563573198895</v>
      </c>
      <c r="V23" s="140">
        <v>37521.129189025378</v>
      </c>
      <c r="W23" s="140">
        <v>36257.901612406647</v>
      </c>
      <c r="X23" s="140">
        <v>33542.089104880033</v>
      </c>
      <c r="Y23" s="140">
        <v>32260.265332980594</v>
      </c>
      <c r="DA23" s="170" t="s">
        <v>264</v>
      </c>
    </row>
    <row r="24" spans="1:105" ht="12" customHeight="1" x14ac:dyDescent="0.25">
      <c r="A24" s="131" t="s">
        <v>128</v>
      </c>
      <c r="B24" s="140">
        <v>4472.7502085412443</v>
      </c>
      <c r="C24" s="140">
        <v>4366.9779342544571</v>
      </c>
      <c r="D24" s="140">
        <v>3466.0787246303453</v>
      </c>
      <c r="E24" s="140">
        <v>3529.6632447171205</v>
      </c>
      <c r="F24" s="140">
        <v>2783.9586574757004</v>
      </c>
      <c r="G24" s="140">
        <v>2025.4784317563458</v>
      </c>
      <c r="H24" s="140">
        <v>1769.8046907237335</v>
      </c>
      <c r="I24" s="140">
        <v>1669.356708449704</v>
      </c>
      <c r="J24" s="140">
        <v>1700.6693140100492</v>
      </c>
      <c r="K24" s="140">
        <v>1833.0153570850275</v>
      </c>
      <c r="L24" s="140">
        <v>2054.7884563921421</v>
      </c>
      <c r="M24" s="140">
        <v>2277.0970937561528</v>
      </c>
      <c r="N24" s="140">
        <v>2486.297844784021</v>
      </c>
      <c r="O24" s="140">
        <v>2627.4393074787754</v>
      </c>
      <c r="P24" s="140">
        <v>2682.4229692180234</v>
      </c>
      <c r="Q24" s="140">
        <v>2629.0896174313702</v>
      </c>
      <c r="R24" s="140">
        <v>2442.5618117870672</v>
      </c>
      <c r="S24" s="140">
        <v>2218.4644186758769</v>
      </c>
      <c r="T24" s="140">
        <v>2067.6549292523887</v>
      </c>
      <c r="U24" s="140">
        <v>1839.0052875418949</v>
      </c>
      <c r="V24" s="140">
        <v>1681.991953215301</v>
      </c>
      <c r="W24" s="140">
        <v>1526.9771858892702</v>
      </c>
      <c r="X24" s="140">
        <v>1401.7885039196478</v>
      </c>
      <c r="Y24" s="140">
        <v>1346.9285057538234</v>
      </c>
      <c r="DA24" s="170" t="s">
        <v>265</v>
      </c>
    </row>
    <row r="25" spans="1:105" ht="12" customHeight="1" x14ac:dyDescent="0.25">
      <c r="A25" s="131" t="s">
        <v>162</v>
      </c>
      <c r="B25" s="140">
        <v>12185.124292799897</v>
      </c>
      <c r="C25" s="140">
        <v>10599.098185942454</v>
      </c>
      <c r="D25" s="140">
        <v>8605.3970308280968</v>
      </c>
      <c r="E25" s="140">
        <v>5623.7829756648471</v>
      </c>
      <c r="F25" s="140">
        <v>4708.7307039953939</v>
      </c>
      <c r="G25" s="140">
        <v>4946.0150085305522</v>
      </c>
      <c r="H25" s="140">
        <v>5439.1557626540998</v>
      </c>
      <c r="I25" s="140">
        <v>6240.6597293008926</v>
      </c>
      <c r="J25" s="140">
        <v>7295.4277672586804</v>
      </c>
      <c r="K25" s="140">
        <v>8118.6239437072218</v>
      </c>
      <c r="L25" s="140">
        <v>8979.3873785168053</v>
      </c>
      <c r="M25" s="140">
        <v>9768.0359656965484</v>
      </c>
      <c r="N25" s="140">
        <v>10432.239083260894</v>
      </c>
      <c r="O25" s="140">
        <v>10725.919289204028</v>
      </c>
      <c r="P25" s="140">
        <v>10600.083177555065</v>
      </c>
      <c r="Q25" s="140">
        <v>10468.551458812366</v>
      </c>
      <c r="R25" s="140">
        <v>10236.914153173608</v>
      </c>
      <c r="S25" s="140">
        <v>9801.2369432405631</v>
      </c>
      <c r="T25" s="140">
        <v>9387.1801722889813</v>
      </c>
      <c r="U25" s="140">
        <v>8979.7621728534923</v>
      </c>
      <c r="V25" s="140">
        <v>8642.2389100046821</v>
      </c>
      <c r="W25" s="140">
        <v>8052.1282303273074</v>
      </c>
      <c r="X25" s="140">
        <v>7173.6071115176574</v>
      </c>
      <c r="Y25" s="140">
        <v>6851.534340273306</v>
      </c>
      <c r="DA25" s="170" t="s">
        <v>266</v>
      </c>
    </row>
    <row r="26" spans="1:105" ht="12" customHeight="1" x14ac:dyDescent="0.25">
      <c r="A26" s="131" t="s">
        <v>24</v>
      </c>
      <c r="B26" s="141">
        <v>6899.7744483244323</v>
      </c>
      <c r="C26" s="141">
        <v>9423.4539710489025</v>
      </c>
      <c r="D26" s="141">
        <v>9283.8286796722077</v>
      </c>
      <c r="E26" s="141">
        <v>12709.530801240366</v>
      </c>
      <c r="F26" s="141">
        <v>13152.023148745695</v>
      </c>
      <c r="G26" s="141">
        <v>15112.246188402069</v>
      </c>
      <c r="H26" s="141">
        <v>16835.683183385834</v>
      </c>
      <c r="I26" s="141">
        <v>18714.304467973703</v>
      </c>
      <c r="J26" s="141">
        <v>18984.869478202134</v>
      </c>
      <c r="K26" s="141">
        <v>17243.495629572688</v>
      </c>
      <c r="L26" s="141">
        <v>16655.220509700754</v>
      </c>
      <c r="M26" s="141">
        <v>17324.775748106273</v>
      </c>
      <c r="N26" s="141">
        <v>17735.498778306144</v>
      </c>
      <c r="O26" s="141">
        <v>17758.071202216619</v>
      </c>
      <c r="P26" s="141">
        <v>17643.324443446607</v>
      </c>
      <c r="Q26" s="141">
        <v>17191.18363901152</v>
      </c>
      <c r="R26" s="141">
        <v>16577.939897741588</v>
      </c>
      <c r="S26" s="141">
        <v>15543.834478550712</v>
      </c>
      <c r="T26" s="141">
        <v>15041.982603385703</v>
      </c>
      <c r="U26" s="141">
        <v>14820.464635282649</v>
      </c>
      <c r="V26" s="141">
        <v>15235.291163200993</v>
      </c>
      <c r="W26" s="141">
        <v>16278.829968185342</v>
      </c>
      <c r="X26" s="141">
        <v>20213.122156920941</v>
      </c>
      <c r="Y26" s="141">
        <v>22768.73737850516</v>
      </c>
      <c r="DA26" s="171" t="s">
        <v>267</v>
      </c>
    </row>
    <row r="27" spans="1:105" ht="12" customHeight="1" x14ac:dyDescent="0.25">
      <c r="A27" s="144" t="s">
        <v>26</v>
      </c>
      <c r="B27" s="150">
        <v>0</v>
      </c>
      <c r="C27" s="150">
        <v>0</v>
      </c>
      <c r="D27" s="150">
        <v>0</v>
      </c>
      <c r="E27" s="150">
        <v>0</v>
      </c>
      <c r="F27" s="150">
        <v>0</v>
      </c>
      <c r="G27" s="150">
        <v>0</v>
      </c>
      <c r="H27" s="150">
        <v>0</v>
      </c>
      <c r="I27" s="150">
        <v>12.173397814202648</v>
      </c>
      <c r="J27" s="150">
        <v>0</v>
      </c>
      <c r="K27" s="150">
        <v>0</v>
      </c>
      <c r="L27" s="150">
        <v>38.244812323531058</v>
      </c>
      <c r="M27" s="150">
        <v>24.566373632746021</v>
      </c>
      <c r="N27" s="150">
        <v>49.282891132971585</v>
      </c>
      <c r="O27" s="150">
        <v>24.128537714937359</v>
      </c>
      <c r="P27" s="150">
        <v>23.782545022618685</v>
      </c>
      <c r="Q27" s="150">
        <v>11.636412127910098</v>
      </c>
      <c r="R27" s="150">
        <v>11.62581207817697</v>
      </c>
      <c r="S27" s="150">
        <v>30.145338680946267</v>
      </c>
      <c r="T27" s="150">
        <v>28.321473856994455</v>
      </c>
      <c r="U27" s="150">
        <v>34.537086317609891</v>
      </c>
      <c r="V27" s="150">
        <v>20.42198267095802</v>
      </c>
      <c r="W27" s="150">
        <v>194.08754957064534</v>
      </c>
      <c r="X27" s="150">
        <v>174.05213937484172</v>
      </c>
      <c r="Y27" s="150">
        <v>179.89803576995649</v>
      </c>
      <c r="DA27" s="173" t="s">
        <v>268</v>
      </c>
    </row>
    <row r="28" spans="1:105" ht="12" hidden="1" customHeight="1" x14ac:dyDescent="0.25">
      <c r="A28" s="78" t="s">
        <v>26</v>
      </c>
      <c r="B28" s="152"/>
      <c r="C28" s="152"/>
      <c r="D28" s="152"/>
      <c r="E28" s="152"/>
      <c r="F28" s="152"/>
      <c r="G28" s="152"/>
      <c r="H28" s="152"/>
      <c r="I28" s="152"/>
      <c r="J28" s="152"/>
      <c r="K28" s="152"/>
      <c r="L28" s="152"/>
      <c r="M28" s="152"/>
      <c r="N28" s="152"/>
      <c r="O28" s="152"/>
      <c r="P28" s="152"/>
      <c r="Q28" s="152"/>
      <c r="R28" s="152"/>
      <c r="S28" s="152"/>
      <c r="T28" s="152"/>
      <c r="U28" s="152"/>
      <c r="V28" s="152"/>
      <c r="W28" s="152"/>
      <c r="X28" s="152"/>
      <c r="Y28" s="152"/>
      <c r="DA28" s="175"/>
    </row>
    <row r="29" spans="1:105" ht="12.95" customHeight="1" x14ac:dyDescent="0.25">
      <c r="A29" s="129" t="s">
        <v>34</v>
      </c>
      <c r="B29" s="139">
        <f t="shared" ref="B29:Q29" si="13">SUM(B30:B33)</f>
        <v>32838.432040694963</v>
      </c>
      <c r="C29" s="139">
        <f t="shared" si="13"/>
        <v>35719.937310639922</v>
      </c>
      <c r="D29" s="139">
        <f t="shared" si="13"/>
        <v>37157.052335049462</v>
      </c>
      <c r="E29" s="139">
        <f t="shared" si="13"/>
        <v>39857.436684495973</v>
      </c>
      <c r="F29" s="139">
        <f t="shared" si="13"/>
        <v>42566.644162568751</v>
      </c>
      <c r="G29" s="139">
        <f t="shared" si="13"/>
        <v>45911.161130593704</v>
      </c>
      <c r="H29" s="139">
        <f t="shared" si="13"/>
        <v>48661.475506371455</v>
      </c>
      <c r="I29" s="139">
        <f t="shared" si="13"/>
        <v>50002.95883331092</v>
      </c>
      <c r="J29" s="139">
        <f t="shared" si="13"/>
        <v>51532.110969474918</v>
      </c>
      <c r="K29" s="139">
        <f t="shared" si="13"/>
        <v>52665.52237225898</v>
      </c>
      <c r="L29" s="139">
        <f t="shared" si="13"/>
        <v>54791.046579909613</v>
      </c>
      <c r="M29" s="139">
        <f t="shared" si="13"/>
        <v>56960.981791148806</v>
      </c>
      <c r="N29" s="139">
        <f t="shared" si="13"/>
        <v>58420.510842979456</v>
      </c>
      <c r="O29" s="139">
        <f t="shared" si="13"/>
        <v>61170.742702579657</v>
      </c>
      <c r="P29" s="139">
        <f t="shared" si="13"/>
        <v>63725.858062569445</v>
      </c>
      <c r="Q29" s="139">
        <f t="shared" si="13"/>
        <v>66995.348380343814</v>
      </c>
      <c r="R29" s="139">
        <f t="shared" ref="R29:W29" si="14">SUM(R30:R33)</f>
        <v>69614.880293867405</v>
      </c>
      <c r="S29" s="139">
        <f t="shared" si="14"/>
        <v>72589.442341480491</v>
      </c>
      <c r="T29" s="139">
        <f t="shared" si="14"/>
        <v>74651.038519664988</v>
      </c>
      <c r="U29" s="139">
        <f t="shared" si="14"/>
        <v>76405.308553928742</v>
      </c>
      <c r="V29" s="139">
        <f t="shared" si="14"/>
        <v>77939.505555555515</v>
      </c>
      <c r="W29" s="139">
        <f t="shared" si="14"/>
        <v>79309.081703577482</v>
      </c>
      <c r="X29" s="139">
        <f t="shared" ref="X29:Y29" si="15">SUM(X30:X33)</f>
        <v>80585.381200988923</v>
      </c>
      <c r="Y29" s="139">
        <f t="shared" si="15"/>
        <v>81814.633400299528</v>
      </c>
      <c r="DA29" s="169" t="s">
        <v>269</v>
      </c>
    </row>
    <row r="30" spans="1:105" ht="12" customHeight="1" x14ac:dyDescent="0.25">
      <c r="A30" s="131" t="s">
        <v>52</v>
      </c>
      <c r="B30" s="140">
        <v>2751.7127774598471</v>
      </c>
      <c r="C30" s="140">
        <v>3886.582168715951</v>
      </c>
      <c r="D30" s="140">
        <v>5624.4666919697065</v>
      </c>
      <c r="E30" s="140">
        <v>8014.9843114075893</v>
      </c>
      <c r="F30" s="140">
        <v>11387.655321172193</v>
      </c>
      <c r="G30" s="140">
        <v>11669.689008541094</v>
      </c>
      <c r="H30" s="140">
        <v>11399.266011969594</v>
      </c>
      <c r="I30" s="140">
        <v>11040.337113527003</v>
      </c>
      <c r="J30" s="140">
        <v>7198.3122911303517</v>
      </c>
      <c r="K30" s="140">
        <v>4760.214041005961</v>
      </c>
      <c r="L30" s="140">
        <v>3142.4232247131581</v>
      </c>
      <c r="M30" s="140">
        <v>2801.2883048008034</v>
      </c>
      <c r="N30" s="140">
        <v>3020.4233915034802</v>
      </c>
      <c r="O30" s="140">
        <v>3379.4600604213774</v>
      </c>
      <c r="P30" s="140">
        <v>4028.9949614974398</v>
      </c>
      <c r="Q30" s="140">
        <v>4620.4424836427597</v>
      </c>
      <c r="R30" s="140">
        <v>4865.8543667102658</v>
      </c>
      <c r="S30" s="140">
        <v>4970.6095539529751</v>
      </c>
      <c r="T30" s="140">
        <v>4972.2985056161169</v>
      </c>
      <c r="U30" s="140">
        <v>4907.1108742181841</v>
      </c>
      <c r="V30" s="140">
        <v>4772.5368332004437</v>
      </c>
      <c r="W30" s="140">
        <v>4483.9770241208435</v>
      </c>
      <c r="X30" s="140">
        <v>4125.6774103606158</v>
      </c>
      <c r="Y30" s="140">
        <v>3780.8577740026662</v>
      </c>
      <c r="DA30" s="170" t="s">
        <v>270</v>
      </c>
    </row>
    <row r="31" spans="1:105" ht="12" customHeight="1" x14ac:dyDescent="0.25">
      <c r="A31" s="131" t="s">
        <v>149</v>
      </c>
      <c r="B31" s="140">
        <v>7582.5574743649158</v>
      </c>
      <c r="C31" s="140">
        <v>9548.9346103177049</v>
      </c>
      <c r="D31" s="140">
        <v>11715.185633256395</v>
      </c>
      <c r="E31" s="140">
        <v>16063.91186339474</v>
      </c>
      <c r="F31" s="140">
        <v>21967.231650984409</v>
      </c>
      <c r="G31" s="140">
        <v>25080.261816351078</v>
      </c>
      <c r="H31" s="140">
        <v>25655.701420981051</v>
      </c>
      <c r="I31" s="140">
        <v>25131.618552314616</v>
      </c>
      <c r="J31" s="140">
        <v>23984.66043119835</v>
      </c>
      <c r="K31" s="140">
        <v>22689.798793381575</v>
      </c>
      <c r="L31" s="140">
        <v>22066.801509436413</v>
      </c>
      <c r="M31" s="140">
        <v>21413.767499386566</v>
      </c>
      <c r="N31" s="140">
        <v>20687.72602979586</v>
      </c>
      <c r="O31" s="140">
        <v>20356.581332962021</v>
      </c>
      <c r="P31" s="140">
        <v>20489.288834955627</v>
      </c>
      <c r="Q31" s="140">
        <v>21651.374670999619</v>
      </c>
      <c r="R31" s="140">
        <v>23020.059684094122</v>
      </c>
      <c r="S31" s="140">
        <v>24766.254783575816</v>
      </c>
      <c r="T31" s="140">
        <v>25721.422206424977</v>
      </c>
      <c r="U31" s="140">
        <v>26495.578128306781</v>
      </c>
      <c r="V31" s="140">
        <v>26964.843617195318</v>
      </c>
      <c r="W31" s="140">
        <v>26764.257695668672</v>
      </c>
      <c r="X31" s="140">
        <v>26111.675143226574</v>
      </c>
      <c r="Y31" s="140">
        <v>25776.040122197326</v>
      </c>
      <c r="DA31" s="170" t="s">
        <v>271</v>
      </c>
    </row>
    <row r="32" spans="1:105" ht="12" customHeight="1" x14ac:dyDescent="0.25">
      <c r="A32" s="131" t="s">
        <v>128</v>
      </c>
      <c r="B32" s="140">
        <v>0</v>
      </c>
      <c r="C32" s="140">
        <v>0</v>
      </c>
      <c r="D32" s="140">
        <v>0</v>
      </c>
      <c r="E32" s="140">
        <v>0</v>
      </c>
      <c r="F32" s="140">
        <v>0</v>
      </c>
      <c r="G32" s="140">
        <v>0</v>
      </c>
      <c r="H32" s="140">
        <v>0</v>
      </c>
      <c r="I32" s="140">
        <v>0</v>
      </c>
      <c r="J32" s="140">
        <v>0</v>
      </c>
      <c r="K32" s="140">
        <v>0</v>
      </c>
      <c r="L32" s="140">
        <v>0</v>
      </c>
      <c r="M32" s="140">
        <v>0</v>
      </c>
      <c r="N32" s="140">
        <v>0</v>
      </c>
      <c r="O32" s="140">
        <v>0</v>
      </c>
      <c r="P32" s="140">
        <v>0</v>
      </c>
      <c r="Q32" s="140">
        <v>0</v>
      </c>
      <c r="R32" s="140">
        <v>0</v>
      </c>
      <c r="S32" s="140">
        <v>0</v>
      </c>
      <c r="T32" s="140">
        <v>0</v>
      </c>
      <c r="U32" s="140">
        <v>0</v>
      </c>
      <c r="V32" s="140">
        <v>0</v>
      </c>
      <c r="W32" s="140">
        <v>0</v>
      </c>
      <c r="X32" s="140">
        <v>0</v>
      </c>
      <c r="Y32" s="140">
        <v>0</v>
      </c>
      <c r="DA32" s="170" t="s">
        <v>272</v>
      </c>
    </row>
    <row r="33" spans="1:105" ht="12" customHeight="1" x14ac:dyDescent="0.25">
      <c r="A33" s="62" t="s">
        <v>24</v>
      </c>
      <c r="B33" s="152">
        <v>22504.161788870199</v>
      </c>
      <c r="C33" s="152">
        <v>22284.420531606265</v>
      </c>
      <c r="D33" s="152">
        <v>19817.400009823356</v>
      </c>
      <c r="E33" s="152">
        <v>15778.540509693647</v>
      </c>
      <c r="F33" s="152">
        <v>9211.7571904121487</v>
      </c>
      <c r="G33" s="152">
        <v>9161.210305701532</v>
      </c>
      <c r="H33" s="152">
        <v>11606.50807342081</v>
      </c>
      <c r="I33" s="152">
        <v>13831.003167469304</v>
      </c>
      <c r="J33" s="152">
        <v>20349.138247146213</v>
      </c>
      <c r="K33" s="152">
        <v>25215.509537871443</v>
      </c>
      <c r="L33" s="152">
        <v>29581.821845760041</v>
      </c>
      <c r="M33" s="152">
        <v>32745.92598696144</v>
      </c>
      <c r="N33" s="152">
        <v>34712.361421680114</v>
      </c>
      <c r="O33" s="152">
        <v>37434.701309196258</v>
      </c>
      <c r="P33" s="152">
        <v>39207.574266116375</v>
      </c>
      <c r="Q33" s="152">
        <v>40723.531225701438</v>
      </c>
      <c r="R33" s="152">
        <v>41728.96624306302</v>
      </c>
      <c r="S33" s="152">
        <v>42852.578003951705</v>
      </c>
      <c r="T33" s="152">
        <v>43957.317807623898</v>
      </c>
      <c r="U33" s="152">
        <v>45002.619551403775</v>
      </c>
      <c r="V33" s="152">
        <v>46202.125105159757</v>
      </c>
      <c r="W33" s="152">
        <v>48060.84698378796</v>
      </c>
      <c r="X33" s="152">
        <v>50348.028647401727</v>
      </c>
      <c r="Y33" s="152">
        <v>52257.735504099532</v>
      </c>
      <c r="DA33" s="175" t="s">
        <v>273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  <ignoredErrors>
    <ignoredError sqref="B15:Y15 B19:Y19" formulaRange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2">
    <tabColor theme="6" tint="0.39997558519241921"/>
    <pageSetUpPr fitToPage="1"/>
  </sheetPr>
  <dimension ref="A1:DA33"/>
  <sheetViews>
    <sheetView showGridLines="0" zoomScaleNormal="100" workbookViewId="0">
      <pane xSplit="1" ySplit="1" topLeftCell="G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40.7109375" style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12.95" customHeight="1" x14ac:dyDescent="0.25">
      <c r="A1" s="28" t="s">
        <v>274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X1" s="27">
        <v>2022</v>
      </c>
      <c r="Y1" s="27">
        <v>2023</v>
      </c>
      <c r="DA1" s="87" t="s">
        <v>150</v>
      </c>
    </row>
    <row r="2" spans="1:105" s="2" customFormat="1" ht="12" customHeight="1" x14ac:dyDescent="0.25">
      <c r="DA2" s="7"/>
    </row>
    <row r="3" spans="1:105" ht="12.95" customHeight="1" x14ac:dyDescent="0.25">
      <c r="A3" s="123" t="s">
        <v>81</v>
      </c>
      <c r="B3" s="125">
        <f t="shared" ref="B3:Q3" si="0">SUM(B4,B16,B19,B29)</f>
        <v>1062.263526242647</v>
      </c>
      <c r="C3" s="125">
        <f t="shared" si="0"/>
        <v>1457.4627387218061</v>
      </c>
      <c r="D3" s="125">
        <f t="shared" si="0"/>
        <v>676.56852899413093</v>
      </c>
      <c r="E3" s="125">
        <f t="shared" si="0"/>
        <v>1235.628266457893</v>
      </c>
      <c r="F3" s="125">
        <f t="shared" si="0"/>
        <v>1444.3087527889093</v>
      </c>
      <c r="G3" s="125">
        <f t="shared" si="0"/>
        <v>1872.4379005344927</v>
      </c>
      <c r="H3" s="125">
        <f t="shared" si="0"/>
        <v>2450.2409414311928</v>
      </c>
      <c r="I3" s="125">
        <f t="shared" si="0"/>
        <v>2116.4186855653588</v>
      </c>
      <c r="J3" s="125">
        <f t="shared" si="0"/>
        <v>1739.6877876827043</v>
      </c>
      <c r="K3" s="125">
        <f t="shared" si="0"/>
        <v>1633.7618004366857</v>
      </c>
      <c r="L3" s="125">
        <f t="shared" si="0"/>
        <v>1741.6072166242961</v>
      </c>
      <c r="M3" s="125">
        <f t="shared" si="0"/>
        <v>1636.406939209535</v>
      </c>
      <c r="N3" s="125">
        <f t="shared" si="0"/>
        <v>1594.554336472484</v>
      </c>
      <c r="O3" s="125">
        <f t="shared" si="0"/>
        <v>1552.5877375450334</v>
      </c>
      <c r="P3" s="125">
        <f t="shared" si="0"/>
        <v>1509.4578139616895</v>
      </c>
      <c r="Q3" s="125">
        <f t="shared" si="0"/>
        <v>1549.9494979446386</v>
      </c>
      <c r="R3" s="125">
        <f t="shared" ref="R3:W3" si="1">SUM(R4,R16,R19,R29)</f>
        <v>1591.4081503980487</v>
      </c>
      <c r="S3" s="125">
        <f t="shared" si="1"/>
        <v>1673.0995943340424</v>
      </c>
      <c r="T3" s="125">
        <f t="shared" si="1"/>
        <v>1687.3681976447729</v>
      </c>
      <c r="U3" s="125">
        <f t="shared" si="1"/>
        <v>1665.1937714549922</v>
      </c>
      <c r="V3" s="125">
        <f t="shared" si="1"/>
        <v>1529.2966786152883</v>
      </c>
      <c r="W3" s="125">
        <f t="shared" si="1"/>
        <v>1698.3773712617035</v>
      </c>
      <c r="X3" s="125">
        <f t="shared" ref="X3:Y3" si="2">SUM(X4,X16,X19,X29)</f>
        <v>1771.4291072452743</v>
      </c>
      <c r="Y3" s="125">
        <f t="shared" si="2"/>
        <v>1913.6962621371226</v>
      </c>
      <c r="DA3" s="154" t="s">
        <v>213</v>
      </c>
    </row>
    <row r="4" spans="1:105" ht="12.95" customHeight="1" x14ac:dyDescent="0.25">
      <c r="A4" s="129" t="s">
        <v>32</v>
      </c>
      <c r="B4" s="130">
        <f t="shared" ref="B4:Q4" si="3">SUM(B5:B15)</f>
        <v>823.65992835054988</v>
      </c>
      <c r="C4" s="130">
        <f t="shared" si="3"/>
        <v>1191.7187316829852</v>
      </c>
      <c r="D4" s="130">
        <f t="shared" si="3"/>
        <v>497.42916720586214</v>
      </c>
      <c r="E4" s="130">
        <f t="shared" si="3"/>
        <v>915.51711938466701</v>
      </c>
      <c r="F4" s="130">
        <f t="shared" si="3"/>
        <v>1048.7826892735618</v>
      </c>
      <c r="G4" s="130">
        <f t="shared" si="3"/>
        <v>1443.8081380889116</v>
      </c>
      <c r="H4" s="130">
        <f t="shared" si="3"/>
        <v>1992.1821486802708</v>
      </c>
      <c r="I4" s="130">
        <f t="shared" si="3"/>
        <v>1633.6646447614969</v>
      </c>
      <c r="J4" s="130">
        <f t="shared" si="3"/>
        <v>1261.1149823259366</v>
      </c>
      <c r="K4" s="130">
        <f t="shared" si="3"/>
        <v>1146.7598975751887</v>
      </c>
      <c r="L4" s="130">
        <f t="shared" si="3"/>
        <v>1240.9044436465495</v>
      </c>
      <c r="M4" s="130">
        <f t="shared" si="3"/>
        <v>1117.2210508373307</v>
      </c>
      <c r="N4" s="130">
        <f t="shared" si="3"/>
        <v>1059.5091468853291</v>
      </c>
      <c r="O4" s="130">
        <f t="shared" si="3"/>
        <v>983.50850941130466</v>
      </c>
      <c r="P4" s="130">
        <f t="shared" si="3"/>
        <v>912.4757151284515</v>
      </c>
      <c r="Q4" s="130">
        <f t="shared" si="3"/>
        <v>913.12085738579003</v>
      </c>
      <c r="R4" s="130">
        <f t="shared" ref="R4:W4" si="4">SUM(R5:R15)</f>
        <v>951.14326517467532</v>
      </c>
      <c r="S4" s="130">
        <f t="shared" si="4"/>
        <v>1017.282913470689</v>
      </c>
      <c r="T4" s="130">
        <f t="shared" si="4"/>
        <v>1026.0847450792057</v>
      </c>
      <c r="U4" s="130">
        <f t="shared" si="4"/>
        <v>1006.8397916475242</v>
      </c>
      <c r="V4" s="130">
        <f t="shared" si="4"/>
        <v>915.66866122960278</v>
      </c>
      <c r="W4" s="130">
        <f t="shared" si="4"/>
        <v>1031.7513093088717</v>
      </c>
      <c r="X4" s="130">
        <f t="shared" ref="X4:Y4" si="5">SUM(X5:X15)</f>
        <v>1078.0873335305964</v>
      </c>
      <c r="Y4" s="130">
        <f t="shared" si="5"/>
        <v>1200.4600854258106</v>
      </c>
      <c r="DA4" s="155" t="s">
        <v>214</v>
      </c>
    </row>
    <row r="5" spans="1:105" ht="12" customHeight="1" x14ac:dyDescent="0.25">
      <c r="A5" s="131" t="s">
        <v>29</v>
      </c>
      <c r="B5" s="132">
        <v>3.6036973344797936</v>
      </c>
      <c r="C5" s="132">
        <v>7.3535683576956146</v>
      </c>
      <c r="D5" s="132">
        <v>4.4060189165950137</v>
      </c>
      <c r="E5" s="132">
        <v>2.7844368013757528</v>
      </c>
      <c r="F5" s="132">
        <v>1.1445399828030953</v>
      </c>
      <c r="G5" s="132">
        <v>0.37179707652622518</v>
      </c>
      <c r="H5" s="132">
        <v>2.920808254514188</v>
      </c>
      <c r="I5" s="132">
        <v>1.373946689595873</v>
      </c>
      <c r="J5" s="132">
        <v>0.38890799656061903</v>
      </c>
      <c r="K5" s="132">
        <v>0.1899398108340499</v>
      </c>
      <c r="L5" s="132">
        <v>0.55288048151332736</v>
      </c>
      <c r="M5" s="132">
        <v>0.76096302665520177</v>
      </c>
      <c r="N5" s="132">
        <v>0.41547721410146182</v>
      </c>
      <c r="O5" s="132">
        <v>0.60834049871023221</v>
      </c>
      <c r="P5" s="132">
        <v>0.40696474634565766</v>
      </c>
      <c r="Q5" s="132">
        <v>0.4431642304385211</v>
      </c>
      <c r="R5" s="132">
        <v>0.88263112639724828</v>
      </c>
      <c r="S5" s="132">
        <v>0</v>
      </c>
      <c r="T5" s="132">
        <v>0.65107480653482341</v>
      </c>
      <c r="U5" s="132">
        <v>0.40851246775580397</v>
      </c>
      <c r="V5" s="132">
        <v>7.8417884780739466E-2</v>
      </c>
      <c r="W5" s="132">
        <v>0.1401547721410146</v>
      </c>
      <c r="X5" s="132">
        <v>0.14307824591573504</v>
      </c>
      <c r="Y5" s="132">
        <v>5.9931212381771265E-2</v>
      </c>
      <c r="DA5" s="156" t="s">
        <v>275</v>
      </c>
    </row>
    <row r="6" spans="1:105" ht="12" customHeight="1" x14ac:dyDescent="0.25">
      <c r="A6" s="131" t="s">
        <v>52</v>
      </c>
      <c r="B6" s="132">
        <v>0</v>
      </c>
      <c r="C6" s="132">
        <v>0</v>
      </c>
      <c r="D6" s="132">
        <v>0</v>
      </c>
      <c r="E6" s="132">
        <v>0</v>
      </c>
      <c r="F6" s="132">
        <v>0</v>
      </c>
      <c r="G6" s="132">
        <v>0</v>
      </c>
      <c r="H6" s="132">
        <v>0</v>
      </c>
      <c r="I6" s="132">
        <v>0</v>
      </c>
      <c r="J6" s="132">
        <v>0</v>
      </c>
      <c r="K6" s="132">
        <v>0</v>
      </c>
      <c r="L6" s="132">
        <v>0</v>
      </c>
      <c r="M6" s="132">
        <v>0</v>
      </c>
      <c r="N6" s="132">
        <v>0</v>
      </c>
      <c r="O6" s="132">
        <v>0</v>
      </c>
      <c r="P6" s="132">
        <v>0</v>
      </c>
      <c r="Q6" s="132">
        <v>0</v>
      </c>
      <c r="R6" s="132">
        <v>0</v>
      </c>
      <c r="S6" s="132">
        <v>0</v>
      </c>
      <c r="T6" s="132">
        <v>0</v>
      </c>
      <c r="U6" s="132">
        <v>0</v>
      </c>
      <c r="V6" s="132">
        <v>0</v>
      </c>
      <c r="W6" s="132">
        <v>0</v>
      </c>
      <c r="X6" s="132">
        <v>0</v>
      </c>
      <c r="Y6" s="132">
        <v>0</v>
      </c>
      <c r="DA6" s="156" t="s">
        <v>276</v>
      </c>
    </row>
    <row r="7" spans="1:105" ht="12" customHeight="1" x14ac:dyDescent="0.25">
      <c r="A7" s="131" t="s">
        <v>161</v>
      </c>
      <c r="B7" s="132">
        <v>78.178549012878548</v>
      </c>
      <c r="C7" s="132">
        <v>116.544941232296</v>
      </c>
      <c r="D7" s="132">
        <v>205.96006031544974</v>
      </c>
      <c r="E7" s="132">
        <v>197.34064308838163</v>
      </c>
      <c r="F7" s="132">
        <v>374.09098717115705</v>
      </c>
      <c r="G7" s="132">
        <v>351.24384177396104</v>
      </c>
      <c r="H7" s="132">
        <v>210.26140308323215</v>
      </c>
      <c r="I7" s="132">
        <v>320.27168158246025</v>
      </c>
      <c r="J7" s="132">
        <v>244.46273650474242</v>
      </c>
      <c r="K7" s="132">
        <v>100.06049695883712</v>
      </c>
      <c r="L7" s="132">
        <v>105.90696006035205</v>
      </c>
      <c r="M7" s="132">
        <v>226.02528682043445</v>
      </c>
      <c r="N7" s="132">
        <v>189.92504632244999</v>
      </c>
      <c r="O7" s="132">
        <v>143.98906412760562</v>
      </c>
      <c r="P7" s="132">
        <v>131.62274330016311</v>
      </c>
      <c r="Q7" s="132">
        <v>140.05194545956491</v>
      </c>
      <c r="R7" s="132">
        <v>146.23884365351088</v>
      </c>
      <c r="S7" s="132">
        <v>198.58939758193409</v>
      </c>
      <c r="T7" s="132">
        <v>217.05097312189611</v>
      </c>
      <c r="U7" s="132">
        <v>221.97061350176324</v>
      </c>
      <c r="V7" s="132">
        <v>204.49899223233641</v>
      </c>
      <c r="W7" s="132">
        <v>324.38644633091741</v>
      </c>
      <c r="X7" s="132">
        <v>344.00317511315637</v>
      </c>
      <c r="Y7" s="132">
        <v>352.53039888719746</v>
      </c>
      <c r="DA7" s="156" t="s">
        <v>277</v>
      </c>
    </row>
    <row r="8" spans="1:105" ht="12" customHeight="1" x14ac:dyDescent="0.25">
      <c r="A8" s="131" t="s">
        <v>73</v>
      </c>
      <c r="B8" s="132">
        <v>0</v>
      </c>
      <c r="C8" s="132">
        <v>0</v>
      </c>
      <c r="D8" s="132">
        <v>0</v>
      </c>
      <c r="E8" s="132">
        <v>0</v>
      </c>
      <c r="F8" s="132">
        <v>0</v>
      </c>
      <c r="G8" s="132">
        <v>0</v>
      </c>
      <c r="H8" s="132">
        <v>0</v>
      </c>
      <c r="I8" s="132">
        <v>0</v>
      </c>
      <c r="J8" s="132">
        <v>0</v>
      </c>
      <c r="K8" s="132">
        <v>0</v>
      </c>
      <c r="L8" s="132">
        <v>0</v>
      </c>
      <c r="M8" s="132">
        <v>0</v>
      </c>
      <c r="N8" s="132">
        <v>0</v>
      </c>
      <c r="O8" s="132">
        <v>0</v>
      </c>
      <c r="P8" s="132">
        <v>0</v>
      </c>
      <c r="Q8" s="132">
        <v>0</v>
      </c>
      <c r="R8" s="132">
        <v>0</v>
      </c>
      <c r="S8" s="132">
        <v>0</v>
      </c>
      <c r="T8" s="132">
        <v>0</v>
      </c>
      <c r="U8" s="132">
        <v>0</v>
      </c>
      <c r="V8" s="132">
        <v>0</v>
      </c>
      <c r="W8" s="132">
        <v>0</v>
      </c>
      <c r="X8" s="132">
        <v>0</v>
      </c>
      <c r="Y8" s="132">
        <v>0</v>
      </c>
      <c r="DA8" s="156" t="s">
        <v>278</v>
      </c>
    </row>
    <row r="9" spans="1:105" ht="12" customHeight="1" x14ac:dyDescent="0.25">
      <c r="A9" s="131" t="s">
        <v>78</v>
      </c>
      <c r="B9" s="132">
        <v>184.20777631635613</v>
      </c>
      <c r="C9" s="132">
        <v>457.3711276079689</v>
      </c>
      <c r="D9" s="132">
        <v>46.040130474351059</v>
      </c>
      <c r="E9" s="132">
        <v>355.18257280829658</v>
      </c>
      <c r="F9" s="132">
        <v>469.44480734926634</v>
      </c>
      <c r="G9" s="132">
        <v>583.0552265227816</v>
      </c>
      <c r="H9" s="132">
        <v>1325.4866967768678</v>
      </c>
      <c r="I9" s="132">
        <v>866.85975646234658</v>
      </c>
      <c r="J9" s="132">
        <v>600.75160682830972</v>
      </c>
      <c r="K9" s="132">
        <v>688.32308009063649</v>
      </c>
      <c r="L9" s="132">
        <v>698.49118467709911</v>
      </c>
      <c r="M9" s="132">
        <v>532.05597224330006</v>
      </c>
      <c r="N9" s="132">
        <v>546.82872437365768</v>
      </c>
      <c r="O9" s="132">
        <v>561.06071002887541</v>
      </c>
      <c r="P9" s="132">
        <v>543.87555594791581</v>
      </c>
      <c r="Q9" s="132">
        <v>494.8572382569206</v>
      </c>
      <c r="R9" s="132">
        <v>495.09029264985509</v>
      </c>
      <c r="S9" s="132">
        <v>536.45114320594973</v>
      </c>
      <c r="T9" s="132">
        <v>538.58170626296999</v>
      </c>
      <c r="U9" s="132">
        <v>531.08676886964417</v>
      </c>
      <c r="V9" s="132">
        <v>493.75822999306234</v>
      </c>
      <c r="W9" s="132">
        <v>476.93009700876803</v>
      </c>
      <c r="X9" s="132">
        <v>517.11837878715903</v>
      </c>
      <c r="Y9" s="132">
        <v>592.74021718949928</v>
      </c>
      <c r="DA9" s="156" t="s">
        <v>279</v>
      </c>
    </row>
    <row r="10" spans="1:105" ht="12" customHeight="1" x14ac:dyDescent="0.25">
      <c r="A10" s="131" t="s">
        <v>128</v>
      </c>
      <c r="B10" s="132">
        <v>0</v>
      </c>
      <c r="C10" s="132">
        <v>121.02794244165892</v>
      </c>
      <c r="D10" s="132">
        <v>137.07918796346897</v>
      </c>
      <c r="E10" s="132">
        <v>132.57057475125015</v>
      </c>
      <c r="F10" s="132">
        <v>109.62548927856605</v>
      </c>
      <c r="G10" s="132">
        <v>175.79777636323902</v>
      </c>
      <c r="H10" s="132">
        <v>163.21152945315686</v>
      </c>
      <c r="I10" s="132">
        <v>134.85331035906594</v>
      </c>
      <c r="J10" s="132">
        <v>123.79617683307777</v>
      </c>
      <c r="K10" s="132">
        <v>108.66410561857379</v>
      </c>
      <c r="L10" s="132">
        <v>114.10269481204033</v>
      </c>
      <c r="M10" s="132">
        <v>53.092199796308819</v>
      </c>
      <c r="N10" s="132">
        <v>53.353645563673247</v>
      </c>
      <c r="O10" s="132">
        <v>41.743935279994268</v>
      </c>
      <c r="P10" s="132">
        <v>43.889428226031413</v>
      </c>
      <c r="Q10" s="132">
        <v>99.982990782805174</v>
      </c>
      <c r="R10" s="132">
        <v>119.56600708696905</v>
      </c>
      <c r="S10" s="132">
        <v>100.4811581295811</v>
      </c>
      <c r="T10" s="132">
        <v>94.430816515662201</v>
      </c>
      <c r="U10" s="132">
        <v>96.375104411874091</v>
      </c>
      <c r="V10" s="132">
        <v>79.868458796737713</v>
      </c>
      <c r="W10" s="132">
        <v>89.580712746271644</v>
      </c>
      <c r="X10" s="132">
        <v>77.205441550680291</v>
      </c>
      <c r="Y10" s="132">
        <v>73.262993267473405</v>
      </c>
      <c r="DA10" s="156" t="s">
        <v>280</v>
      </c>
    </row>
    <row r="11" spans="1:105" ht="12" customHeight="1" x14ac:dyDescent="0.25">
      <c r="A11" s="131" t="s">
        <v>25</v>
      </c>
      <c r="B11" s="132">
        <v>4.4902837489251937</v>
      </c>
      <c r="C11" s="132">
        <v>2.6511607910576092</v>
      </c>
      <c r="D11" s="132">
        <v>8.2879621668099723</v>
      </c>
      <c r="E11" s="132">
        <v>10.007652622527939</v>
      </c>
      <c r="F11" s="132">
        <v>5.7800515907136694</v>
      </c>
      <c r="G11" s="132">
        <v>11.010834049871022</v>
      </c>
      <c r="H11" s="132">
        <v>6.6398968185726561</v>
      </c>
      <c r="I11" s="132">
        <v>7.284780739466898</v>
      </c>
      <c r="J11" s="132">
        <v>14.617368873602748</v>
      </c>
      <c r="K11" s="132">
        <v>13.112639724849521</v>
      </c>
      <c r="L11" s="132">
        <v>4.2276010318142747</v>
      </c>
      <c r="M11" s="132">
        <v>8.4790197764402446</v>
      </c>
      <c r="N11" s="132">
        <v>8.9805674978503891</v>
      </c>
      <c r="O11" s="132">
        <v>13.470937231298368</v>
      </c>
      <c r="P11" s="132">
        <v>15.501117798796223</v>
      </c>
      <c r="Q11" s="132">
        <v>15.333877901977649</v>
      </c>
      <c r="R11" s="132">
        <v>18.749441100601896</v>
      </c>
      <c r="S11" s="132">
        <v>21.833619948409304</v>
      </c>
      <c r="T11" s="132">
        <v>21.309458297506445</v>
      </c>
      <c r="U11" s="132">
        <v>21.165348237317279</v>
      </c>
      <c r="V11" s="132">
        <v>5.7616509028374825</v>
      </c>
      <c r="W11" s="132">
        <v>5.4816852966466056</v>
      </c>
      <c r="X11" s="132">
        <v>9.4272570937231297</v>
      </c>
      <c r="Y11" s="132">
        <v>7.0773000859845219</v>
      </c>
      <c r="DA11" s="156" t="s">
        <v>281</v>
      </c>
    </row>
    <row r="12" spans="1:105" ht="12" customHeight="1" x14ac:dyDescent="0.25">
      <c r="A12" s="131" t="s">
        <v>162</v>
      </c>
      <c r="B12" s="132">
        <v>404.57866572937058</v>
      </c>
      <c r="C12" s="132">
        <v>273.40015869954181</v>
      </c>
      <c r="D12" s="132">
        <v>91.139389420105502</v>
      </c>
      <c r="E12" s="132">
        <v>109.49624563454763</v>
      </c>
      <c r="F12" s="132">
        <v>77.533570426007373</v>
      </c>
      <c r="G12" s="132">
        <v>270.52613316174416</v>
      </c>
      <c r="H12" s="132">
        <v>219.90544005952964</v>
      </c>
      <c r="I12" s="132">
        <v>197.55454614602675</v>
      </c>
      <c r="J12" s="132">
        <v>209.43002005018724</v>
      </c>
      <c r="K12" s="132">
        <v>167.55174337261977</v>
      </c>
      <c r="L12" s="132">
        <v>186.44870949086109</v>
      </c>
      <c r="M12" s="132">
        <v>193.82138775945336</v>
      </c>
      <c r="N12" s="132">
        <v>200.07309282987822</v>
      </c>
      <c r="O12" s="132">
        <v>187.27403548818523</v>
      </c>
      <c r="P12" s="132">
        <v>151.77935075026693</v>
      </c>
      <c r="Q12" s="132">
        <v>148.89411574836524</v>
      </c>
      <c r="R12" s="132">
        <v>156.4084363646912</v>
      </c>
      <c r="S12" s="132">
        <v>145.20219848395749</v>
      </c>
      <c r="T12" s="132">
        <v>138.75388668935284</v>
      </c>
      <c r="U12" s="132">
        <v>120.74429513154723</v>
      </c>
      <c r="V12" s="132">
        <v>118.00957907650471</v>
      </c>
      <c r="W12" s="132">
        <v>119.41539773050209</v>
      </c>
      <c r="X12" s="132">
        <v>104.75140405938306</v>
      </c>
      <c r="Y12" s="132">
        <v>107.55574001674294</v>
      </c>
      <c r="DA12" s="156" t="s">
        <v>282</v>
      </c>
    </row>
    <row r="13" spans="1:105" ht="12" customHeight="1" x14ac:dyDescent="0.25">
      <c r="A13" s="131" t="s">
        <v>77</v>
      </c>
      <c r="B13" s="132">
        <v>0</v>
      </c>
      <c r="C13" s="132">
        <v>0</v>
      </c>
      <c r="D13" s="132">
        <v>0</v>
      </c>
      <c r="E13" s="132">
        <v>0</v>
      </c>
      <c r="F13" s="132">
        <v>0</v>
      </c>
      <c r="G13" s="132">
        <v>0</v>
      </c>
      <c r="H13" s="132">
        <v>0</v>
      </c>
      <c r="I13" s="132">
        <v>0</v>
      </c>
      <c r="J13" s="132">
        <v>0</v>
      </c>
      <c r="K13" s="132">
        <v>0</v>
      </c>
      <c r="L13" s="132">
        <v>0</v>
      </c>
      <c r="M13" s="132">
        <v>0</v>
      </c>
      <c r="N13" s="132">
        <v>0</v>
      </c>
      <c r="O13" s="132">
        <v>0</v>
      </c>
      <c r="P13" s="132">
        <v>0</v>
      </c>
      <c r="Q13" s="132">
        <v>0</v>
      </c>
      <c r="R13" s="132">
        <v>0</v>
      </c>
      <c r="S13" s="132">
        <v>0</v>
      </c>
      <c r="T13" s="132">
        <v>0</v>
      </c>
      <c r="U13" s="132">
        <v>0</v>
      </c>
      <c r="V13" s="132">
        <v>0</v>
      </c>
      <c r="W13" s="132">
        <v>0</v>
      </c>
      <c r="X13" s="132">
        <v>0</v>
      </c>
      <c r="Y13" s="132">
        <v>27.08080506500092</v>
      </c>
      <c r="DA13" s="156" t="s">
        <v>283</v>
      </c>
    </row>
    <row r="14" spans="1:105" ht="12" customHeight="1" x14ac:dyDescent="0.25">
      <c r="A14" s="60" t="s">
        <v>76</v>
      </c>
      <c r="B14" s="65">
        <v>144.6509889794516</v>
      </c>
      <c r="C14" s="65">
        <v>206.37237578640068</v>
      </c>
      <c r="D14" s="65">
        <v>1.1265270583959213</v>
      </c>
      <c r="E14" s="65">
        <v>101.92413569390159</v>
      </c>
      <c r="F14" s="65">
        <v>2.5900838464050242</v>
      </c>
      <c r="G14" s="65">
        <v>41.445848233739184</v>
      </c>
      <c r="H14" s="65">
        <v>48.028552001915912</v>
      </c>
      <c r="I14" s="65">
        <v>93.433747341743754</v>
      </c>
      <c r="J14" s="65">
        <v>58.811038780779882</v>
      </c>
      <c r="K14" s="65">
        <v>60.688816201531921</v>
      </c>
      <c r="L14" s="65">
        <v>122.85306932339856</v>
      </c>
      <c r="M14" s="65">
        <v>95.403580923759549</v>
      </c>
      <c r="N14" s="65">
        <v>52.480428285467454</v>
      </c>
      <c r="O14" s="65">
        <v>28.183554142171598</v>
      </c>
      <c r="P14" s="65">
        <v>18.532801316994767</v>
      </c>
      <c r="Q14" s="65">
        <v>6.73937748800215</v>
      </c>
      <c r="R14" s="65">
        <v>7.0822974004242756</v>
      </c>
      <c r="S14" s="65">
        <v>6.6091774171891373</v>
      </c>
      <c r="T14" s="65">
        <v>6.8238497784450134</v>
      </c>
      <c r="U14" s="65">
        <v>6.5010884001870197</v>
      </c>
      <c r="V14" s="65">
        <v>5.6480949015993653</v>
      </c>
      <c r="W14" s="65">
        <v>6.5332820037828707</v>
      </c>
      <c r="X14" s="65">
        <v>15.479545660239879</v>
      </c>
      <c r="Y14" s="65">
        <v>29.225737760082314</v>
      </c>
      <c r="DA14" s="109" t="s">
        <v>284</v>
      </c>
    </row>
    <row r="15" spans="1:105" ht="12" customHeight="1" x14ac:dyDescent="0.25">
      <c r="A15" s="133" t="s">
        <v>80</v>
      </c>
      <c r="B15" s="134">
        <v>3.9499672290879615</v>
      </c>
      <c r="C15" s="134">
        <v>6.9974567663658229</v>
      </c>
      <c r="D15" s="134">
        <v>3.3898908906860337</v>
      </c>
      <c r="E15" s="134">
        <v>6.2108579843856377</v>
      </c>
      <c r="F15" s="134">
        <v>8.5731596286433316</v>
      </c>
      <c r="G15" s="134">
        <v>10.356680907049299</v>
      </c>
      <c r="H15" s="134">
        <v>15.727822232481756</v>
      </c>
      <c r="I15" s="134">
        <v>12.032875440790875</v>
      </c>
      <c r="J15" s="134">
        <v>8.8571264586761629</v>
      </c>
      <c r="K15" s="134">
        <v>8.1690757973061014</v>
      </c>
      <c r="L15" s="134">
        <v>8.3213437694707384</v>
      </c>
      <c r="M15" s="134">
        <v>7.5826404909789726</v>
      </c>
      <c r="N15" s="134">
        <v>7.4521647982505064</v>
      </c>
      <c r="O15" s="134">
        <v>7.1779326144639031</v>
      </c>
      <c r="P15" s="134">
        <v>6.8677530419374788</v>
      </c>
      <c r="Q15" s="134">
        <v>6.8181475177158575</v>
      </c>
      <c r="R15" s="134">
        <v>7.1253157922256882</v>
      </c>
      <c r="S15" s="134">
        <v>8.1162187036682205</v>
      </c>
      <c r="T15" s="134">
        <v>8.4829796068383807</v>
      </c>
      <c r="U15" s="134">
        <v>8.5880606274354339</v>
      </c>
      <c r="V15" s="134">
        <v>8.0452374417440122</v>
      </c>
      <c r="W15" s="134">
        <v>9.283533419842076</v>
      </c>
      <c r="X15" s="134">
        <v>9.959053020338775</v>
      </c>
      <c r="Y15" s="134">
        <v>10.926961941448029</v>
      </c>
      <c r="DA15" s="157" t="s">
        <v>285</v>
      </c>
    </row>
    <row r="16" spans="1:105" ht="12.95" customHeight="1" x14ac:dyDescent="0.25">
      <c r="A16" s="129" t="s">
        <v>74</v>
      </c>
      <c r="B16" s="130">
        <f t="shared" ref="B16:Q16" si="6">SUM(B17:B18)</f>
        <v>4.5585945196761721E-2</v>
      </c>
      <c r="C16" s="130">
        <f t="shared" si="6"/>
        <v>0.49876282313251674</v>
      </c>
      <c r="D16" s="130">
        <f t="shared" si="6"/>
        <v>1.0340920606022828</v>
      </c>
      <c r="E16" s="130">
        <f t="shared" si="6"/>
        <v>1.5271363684148629</v>
      </c>
      <c r="F16" s="130">
        <f t="shared" si="6"/>
        <v>1.8590682624126016</v>
      </c>
      <c r="G16" s="130">
        <f t="shared" si="6"/>
        <v>2.3264914731619495</v>
      </c>
      <c r="H16" s="130">
        <f t="shared" si="6"/>
        <v>3.1375063021849208</v>
      </c>
      <c r="I16" s="130">
        <f t="shared" si="6"/>
        <v>5.0080305419924906</v>
      </c>
      <c r="J16" s="130">
        <f t="shared" si="6"/>
        <v>4.6536706639705123</v>
      </c>
      <c r="K16" s="130">
        <f t="shared" si="6"/>
        <v>4.9556576483176524</v>
      </c>
      <c r="L16" s="130">
        <f t="shared" si="6"/>
        <v>6.3339610375475441</v>
      </c>
      <c r="M16" s="130">
        <f t="shared" si="6"/>
        <v>5.9649671297352906</v>
      </c>
      <c r="N16" s="130">
        <f t="shared" si="6"/>
        <v>9.786527331932227</v>
      </c>
      <c r="O16" s="130">
        <f t="shared" si="6"/>
        <v>7.0386205020772774</v>
      </c>
      <c r="P16" s="130">
        <f t="shared" si="6"/>
        <v>7.0030821180454801</v>
      </c>
      <c r="Q16" s="130">
        <f t="shared" si="6"/>
        <v>9.5421743441938602</v>
      </c>
      <c r="R16" s="130">
        <f t="shared" ref="R16:W16" si="7">SUM(R17:R18)</f>
        <v>8.1701473337748531</v>
      </c>
      <c r="S16" s="130">
        <f t="shared" si="7"/>
        <v>8.9248545064545279</v>
      </c>
      <c r="T16" s="130">
        <f t="shared" si="7"/>
        <v>7.8781080855806849</v>
      </c>
      <c r="U16" s="130">
        <f t="shared" si="7"/>
        <v>8.9589690643534965</v>
      </c>
      <c r="V16" s="130">
        <f t="shared" si="7"/>
        <v>8.0830391396916177</v>
      </c>
      <c r="W16" s="130">
        <f t="shared" si="7"/>
        <v>9.3252303316705305</v>
      </c>
      <c r="X16" s="130">
        <f t="shared" ref="X16:Y16" si="8">SUM(X17:X18)</f>
        <v>9.805642923729188</v>
      </c>
      <c r="Y16" s="130">
        <f t="shared" si="8"/>
        <v>10.198721089197484</v>
      </c>
      <c r="DA16" s="155" t="s">
        <v>215</v>
      </c>
    </row>
    <row r="17" spans="1:105" ht="12.95" customHeight="1" x14ac:dyDescent="0.25">
      <c r="A17" s="131" t="s">
        <v>73</v>
      </c>
      <c r="B17" s="132">
        <v>0</v>
      </c>
      <c r="C17" s="132">
        <v>0</v>
      </c>
      <c r="D17" s="132">
        <v>0</v>
      </c>
      <c r="E17" s="132">
        <v>0</v>
      </c>
      <c r="F17" s="132">
        <v>0</v>
      </c>
      <c r="G17" s="132">
        <v>0</v>
      </c>
      <c r="H17" s="132">
        <v>0</v>
      </c>
      <c r="I17" s="132">
        <v>0</v>
      </c>
      <c r="J17" s="132">
        <v>0</v>
      </c>
      <c r="K17" s="132">
        <v>0</v>
      </c>
      <c r="L17" s="132">
        <v>0</v>
      </c>
      <c r="M17" s="132">
        <v>0</v>
      </c>
      <c r="N17" s="132">
        <v>0</v>
      </c>
      <c r="O17" s="132">
        <v>0</v>
      </c>
      <c r="P17" s="132">
        <v>0</v>
      </c>
      <c r="Q17" s="132">
        <v>0</v>
      </c>
      <c r="R17" s="132">
        <v>0</v>
      </c>
      <c r="S17" s="132">
        <v>0</v>
      </c>
      <c r="T17" s="132">
        <v>0</v>
      </c>
      <c r="U17" s="132">
        <v>0</v>
      </c>
      <c r="V17" s="132">
        <v>0</v>
      </c>
      <c r="W17" s="132">
        <v>0</v>
      </c>
      <c r="X17" s="132">
        <v>0</v>
      </c>
      <c r="Y17" s="132">
        <v>0</v>
      </c>
      <c r="DA17" s="156" t="s">
        <v>286</v>
      </c>
    </row>
    <row r="18" spans="1:105" ht="12" customHeight="1" x14ac:dyDescent="0.25">
      <c r="A18" s="131" t="s">
        <v>72</v>
      </c>
      <c r="B18" s="132">
        <v>4.5585945196761721E-2</v>
      </c>
      <c r="C18" s="132">
        <v>0.49876282313251674</v>
      </c>
      <c r="D18" s="132">
        <v>1.0340920606022828</v>
      </c>
      <c r="E18" s="132">
        <v>1.5271363684148629</v>
      </c>
      <c r="F18" s="132">
        <v>1.8590682624126016</v>
      </c>
      <c r="G18" s="132">
        <v>2.3264914731619495</v>
      </c>
      <c r="H18" s="132">
        <v>3.1375063021849208</v>
      </c>
      <c r="I18" s="132">
        <v>5.0080305419924906</v>
      </c>
      <c r="J18" s="132">
        <v>4.6536706639705123</v>
      </c>
      <c r="K18" s="132">
        <v>4.9556576483176524</v>
      </c>
      <c r="L18" s="132">
        <v>6.3339610375475441</v>
      </c>
      <c r="M18" s="132">
        <v>5.9649671297352906</v>
      </c>
      <c r="N18" s="132">
        <v>9.786527331932227</v>
      </c>
      <c r="O18" s="132">
        <v>7.0386205020772774</v>
      </c>
      <c r="P18" s="132">
        <v>7.0030821180454801</v>
      </c>
      <c r="Q18" s="132">
        <v>9.5421743441938602</v>
      </c>
      <c r="R18" s="132">
        <v>8.1701473337748531</v>
      </c>
      <c r="S18" s="132">
        <v>8.9248545064545279</v>
      </c>
      <c r="T18" s="132">
        <v>7.8781080855806849</v>
      </c>
      <c r="U18" s="132">
        <v>8.9589690643534965</v>
      </c>
      <c r="V18" s="132">
        <v>8.0830391396916177</v>
      </c>
      <c r="W18" s="132">
        <v>9.3252303316705305</v>
      </c>
      <c r="X18" s="132">
        <v>9.805642923729188</v>
      </c>
      <c r="Y18" s="132">
        <v>10.198721089197484</v>
      </c>
      <c r="DA18" s="156" t="s">
        <v>287</v>
      </c>
    </row>
    <row r="19" spans="1:105" ht="12.95" customHeight="1" x14ac:dyDescent="0.25">
      <c r="A19" s="129" t="s">
        <v>35</v>
      </c>
      <c r="B19" s="130">
        <f t="shared" ref="B19:Q19" si="9">SUM(B20:B27)</f>
        <v>97.038987131841481</v>
      </c>
      <c r="C19" s="130">
        <f t="shared" si="9"/>
        <v>116.4201236151231</v>
      </c>
      <c r="D19" s="130">
        <f t="shared" si="9"/>
        <v>66.710322519834378</v>
      </c>
      <c r="E19" s="130">
        <f t="shared" si="9"/>
        <v>145.59219422966555</v>
      </c>
      <c r="F19" s="130">
        <f t="shared" si="9"/>
        <v>178.9451483833347</v>
      </c>
      <c r="G19" s="130">
        <f t="shared" si="9"/>
        <v>189.82484032184396</v>
      </c>
      <c r="H19" s="130">
        <f t="shared" si="9"/>
        <v>204.24971799246592</v>
      </c>
      <c r="I19" s="130">
        <f t="shared" si="9"/>
        <v>211.78036528060809</v>
      </c>
      <c r="J19" s="130">
        <f t="shared" si="9"/>
        <v>211.15095467788237</v>
      </c>
      <c r="K19" s="130">
        <f t="shared" si="9"/>
        <v>217.39229329886393</v>
      </c>
      <c r="L19" s="130">
        <f t="shared" si="9"/>
        <v>216.87574970735619</v>
      </c>
      <c r="M19" s="130">
        <f t="shared" si="9"/>
        <v>229.34237494316739</v>
      </c>
      <c r="N19" s="130">
        <f t="shared" si="9"/>
        <v>231.59126838771414</v>
      </c>
      <c r="O19" s="130">
        <f t="shared" si="9"/>
        <v>245.07037588955632</v>
      </c>
      <c r="P19" s="130">
        <f t="shared" si="9"/>
        <v>256.83885538588805</v>
      </c>
      <c r="Q19" s="130">
        <f t="shared" si="9"/>
        <v>271.02749378289138</v>
      </c>
      <c r="R19" s="130">
        <f t="shared" ref="R19:W19" si="10">SUM(R20:R27)</f>
        <v>275.62995206111458</v>
      </c>
      <c r="S19" s="130">
        <f t="shared" si="10"/>
        <v>282.78676364274651</v>
      </c>
      <c r="T19" s="130">
        <f t="shared" si="10"/>
        <v>278.99240336584012</v>
      </c>
      <c r="U19" s="130">
        <f t="shared" si="10"/>
        <v>268.20678917333589</v>
      </c>
      <c r="V19" s="130">
        <f t="shared" si="10"/>
        <v>254.91040373854642</v>
      </c>
      <c r="W19" s="130">
        <f t="shared" si="10"/>
        <v>284.04887831700972</v>
      </c>
      <c r="X19" s="130">
        <f t="shared" ref="X19:Y19" si="11">SUM(X20:X27)</f>
        <v>288.23323541695254</v>
      </c>
      <c r="Y19" s="130">
        <f t="shared" si="11"/>
        <v>296.02421608335794</v>
      </c>
      <c r="DA19" s="155" t="s">
        <v>216</v>
      </c>
    </row>
    <row r="20" spans="1:105" ht="12" customHeight="1" x14ac:dyDescent="0.25">
      <c r="A20" s="131" t="s">
        <v>29</v>
      </c>
      <c r="B20" s="132">
        <v>0</v>
      </c>
      <c r="C20" s="132">
        <v>0</v>
      </c>
      <c r="D20" s="132">
        <v>0</v>
      </c>
      <c r="E20" s="132">
        <v>0</v>
      </c>
      <c r="F20" s="132">
        <v>0</v>
      </c>
      <c r="G20" s="132">
        <v>0</v>
      </c>
      <c r="H20" s="132">
        <v>0</v>
      </c>
      <c r="I20" s="132">
        <v>0</v>
      </c>
      <c r="J20" s="132">
        <v>0</v>
      </c>
      <c r="K20" s="132">
        <v>0</v>
      </c>
      <c r="L20" s="132">
        <v>0</v>
      </c>
      <c r="M20" s="132">
        <v>0</v>
      </c>
      <c r="N20" s="132">
        <v>0</v>
      </c>
      <c r="O20" s="132">
        <v>0</v>
      </c>
      <c r="P20" s="132">
        <v>0</v>
      </c>
      <c r="Q20" s="132">
        <v>0</v>
      </c>
      <c r="R20" s="132">
        <v>0</v>
      </c>
      <c r="S20" s="132">
        <v>0</v>
      </c>
      <c r="T20" s="132">
        <v>0</v>
      </c>
      <c r="U20" s="132">
        <v>0</v>
      </c>
      <c r="V20" s="132">
        <v>0</v>
      </c>
      <c r="W20" s="132">
        <v>0</v>
      </c>
      <c r="X20" s="132">
        <v>0</v>
      </c>
      <c r="Y20" s="132">
        <v>0</v>
      </c>
      <c r="DA20" s="156" t="s">
        <v>288</v>
      </c>
    </row>
    <row r="21" spans="1:105" s="2" customFormat="1" ht="12" customHeight="1" x14ac:dyDescent="0.25">
      <c r="A21" s="131" t="s">
        <v>52</v>
      </c>
      <c r="B21" s="132">
        <v>0</v>
      </c>
      <c r="C21" s="132">
        <v>0</v>
      </c>
      <c r="D21" s="132">
        <v>0</v>
      </c>
      <c r="E21" s="132">
        <v>0</v>
      </c>
      <c r="F21" s="132">
        <v>0</v>
      </c>
      <c r="G21" s="132">
        <v>0</v>
      </c>
      <c r="H21" s="132">
        <v>0</v>
      </c>
      <c r="I21" s="132">
        <v>0</v>
      </c>
      <c r="J21" s="132">
        <v>0</v>
      </c>
      <c r="K21" s="132">
        <v>0</v>
      </c>
      <c r="L21" s="132">
        <v>0</v>
      </c>
      <c r="M21" s="132">
        <v>0</v>
      </c>
      <c r="N21" s="132">
        <v>0</v>
      </c>
      <c r="O21" s="132">
        <v>0</v>
      </c>
      <c r="P21" s="132">
        <v>0</v>
      </c>
      <c r="Q21" s="132">
        <v>0</v>
      </c>
      <c r="R21" s="132">
        <v>0</v>
      </c>
      <c r="S21" s="132">
        <v>0</v>
      </c>
      <c r="T21" s="132">
        <v>0</v>
      </c>
      <c r="U21" s="132">
        <v>0</v>
      </c>
      <c r="V21" s="132">
        <v>0</v>
      </c>
      <c r="W21" s="132">
        <v>0</v>
      </c>
      <c r="X21" s="132">
        <v>0</v>
      </c>
      <c r="Y21" s="132">
        <v>0</v>
      </c>
      <c r="DA21" s="156" t="s">
        <v>289</v>
      </c>
    </row>
    <row r="22" spans="1:105" ht="12" customHeight="1" x14ac:dyDescent="0.25">
      <c r="A22" s="131" t="s">
        <v>161</v>
      </c>
      <c r="B22" s="132">
        <v>3.0963007828980742</v>
      </c>
      <c r="C22" s="132">
        <v>6.2039269964092831</v>
      </c>
      <c r="D22" s="132">
        <v>22.467266506808201</v>
      </c>
      <c r="E22" s="132">
        <v>30.779053318954666</v>
      </c>
      <c r="F22" s="132">
        <v>33.849866524722529</v>
      </c>
      <c r="G22" s="132">
        <v>33.021265978054494</v>
      </c>
      <c r="H22" s="132">
        <v>17.636742161507598</v>
      </c>
      <c r="I22" s="132">
        <v>16.764958441631368</v>
      </c>
      <c r="J22" s="132">
        <v>16.45361022168176</v>
      </c>
      <c r="K22" s="132">
        <v>15.372755708558374</v>
      </c>
      <c r="L22" s="132">
        <v>15.687148371566078</v>
      </c>
      <c r="M22" s="132">
        <v>16.416359736662425</v>
      </c>
      <c r="N22" s="132">
        <v>21.772972761151237</v>
      </c>
      <c r="O22" s="132">
        <v>30.823635335784243</v>
      </c>
      <c r="P22" s="132">
        <v>32.59419830631775</v>
      </c>
      <c r="Q22" s="132">
        <v>35.338963953671843</v>
      </c>
      <c r="R22" s="132">
        <v>32.458950824674403</v>
      </c>
      <c r="S22" s="132">
        <v>44.13487474980343</v>
      </c>
      <c r="T22" s="132">
        <v>49.774390802282127</v>
      </c>
      <c r="U22" s="132">
        <v>47.60498673181317</v>
      </c>
      <c r="V22" s="132">
        <v>47.740500941225534</v>
      </c>
      <c r="W22" s="132">
        <v>73.051908112116365</v>
      </c>
      <c r="X22" s="132">
        <v>72.086719923868557</v>
      </c>
      <c r="Y22" s="132">
        <v>72.937128947673258</v>
      </c>
      <c r="DA22" s="156" t="s">
        <v>290</v>
      </c>
    </row>
    <row r="23" spans="1:105" ht="12" customHeight="1" x14ac:dyDescent="0.25">
      <c r="A23" s="131" t="s">
        <v>149</v>
      </c>
      <c r="B23" s="132">
        <v>15.993778540448091</v>
      </c>
      <c r="C23" s="132">
        <v>14.905286336537063</v>
      </c>
      <c r="D23" s="132">
        <v>13.588588371979871</v>
      </c>
      <c r="E23" s="132">
        <v>34.513976964452297</v>
      </c>
      <c r="F23" s="132">
        <v>72.926150414857702</v>
      </c>
      <c r="G23" s="132">
        <v>75.605233932632316</v>
      </c>
      <c r="H23" s="132">
        <v>98.253294490422817</v>
      </c>
      <c r="I23" s="132">
        <v>85.771740213325415</v>
      </c>
      <c r="J23" s="132">
        <v>73.890663170372818</v>
      </c>
      <c r="K23" s="132">
        <v>109.06091527966105</v>
      </c>
      <c r="L23" s="132">
        <v>108.74962221170647</v>
      </c>
      <c r="M23" s="132">
        <v>98.503389839262496</v>
      </c>
      <c r="N23" s="132">
        <v>96.125463668193547</v>
      </c>
      <c r="O23" s="132">
        <v>100.86536562293074</v>
      </c>
      <c r="P23" s="132">
        <v>109.92802390783129</v>
      </c>
      <c r="Q23" s="132">
        <v>120.74917153400862</v>
      </c>
      <c r="R23" s="132">
        <v>131.46685775738413</v>
      </c>
      <c r="S23" s="132">
        <v>140.90888943011609</v>
      </c>
      <c r="T23" s="132">
        <v>135.14446368053763</v>
      </c>
      <c r="U23" s="132">
        <v>135.22172111711063</v>
      </c>
      <c r="V23" s="132">
        <v>128.673388480721</v>
      </c>
      <c r="W23" s="132">
        <v>126.88107734287264</v>
      </c>
      <c r="X23" s="132">
        <v>123.3904409730952</v>
      </c>
      <c r="Y23" s="132">
        <v>114.4073948462319</v>
      </c>
      <c r="DA23" s="156" t="s">
        <v>291</v>
      </c>
    </row>
    <row r="24" spans="1:105" ht="12" customHeight="1" x14ac:dyDescent="0.25">
      <c r="A24" s="131" t="s">
        <v>128</v>
      </c>
      <c r="B24" s="132">
        <v>16.766981943250219</v>
      </c>
      <c r="C24" s="132">
        <v>10.002926002021194</v>
      </c>
      <c r="D24" s="132">
        <v>14.993984865421838</v>
      </c>
      <c r="E24" s="132">
        <v>15.012314328715444</v>
      </c>
      <c r="F24" s="132">
        <v>12.018706766145888</v>
      </c>
      <c r="G24" s="132">
        <v>10.000417961782501</v>
      </c>
      <c r="H24" s="132">
        <v>9.4979288443495342</v>
      </c>
      <c r="I24" s="132">
        <v>9.0036113950184085</v>
      </c>
      <c r="J24" s="132">
        <v>9.002103476466516</v>
      </c>
      <c r="K24" s="132">
        <v>9.2063157055878957</v>
      </c>
      <c r="L24" s="132">
        <v>9.5000566926887178</v>
      </c>
      <c r="M24" s="132">
        <v>9.9153668416963274</v>
      </c>
      <c r="N24" s="132">
        <v>10.179372493076544</v>
      </c>
      <c r="O24" s="132">
        <v>10.181258185182029</v>
      </c>
      <c r="P24" s="132">
        <v>10.591311240864556</v>
      </c>
      <c r="Q24" s="132">
        <v>11.152004917968755</v>
      </c>
      <c r="R24" s="132">
        <v>9.554113291362782</v>
      </c>
      <c r="S24" s="132">
        <v>8.2164343037808703</v>
      </c>
      <c r="T24" s="132">
        <v>8.662304722514973</v>
      </c>
      <c r="U24" s="132">
        <v>6.4807855279366979</v>
      </c>
      <c r="V24" s="132">
        <v>5.8862273597541357</v>
      </c>
      <c r="W24" s="132">
        <v>5.9866131350696481</v>
      </c>
      <c r="X24" s="132">
        <v>5.4740081483738843</v>
      </c>
      <c r="Y24" s="132">
        <v>5.4609964143838701</v>
      </c>
      <c r="DA24" s="156" t="s">
        <v>292</v>
      </c>
    </row>
    <row r="25" spans="1:105" ht="12" customHeight="1" x14ac:dyDescent="0.25">
      <c r="A25" s="131" t="s">
        <v>162</v>
      </c>
      <c r="B25" s="132">
        <v>37.955040203561509</v>
      </c>
      <c r="C25" s="132">
        <v>21.741715763054923</v>
      </c>
      <c r="D25" s="132">
        <v>10.202914965105192</v>
      </c>
      <c r="E25" s="132">
        <v>14.536428484110999</v>
      </c>
      <c r="F25" s="132">
        <v>10.290075317758749</v>
      </c>
      <c r="G25" s="132">
        <v>17.378681971531751</v>
      </c>
      <c r="H25" s="132">
        <v>17.55517902903436</v>
      </c>
      <c r="I25" s="132">
        <v>19.102547577103092</v>
      </c>
      <c r="J25" s="132">
        <v>25.737649769245223</v>
      </c>
      <c r="K25" s="132">
        <v>26.343355509581418</v>
      </c>
      <c r="L25" s="132">
        <v>27.628848548691941</v>
      </c>
      <c r="M25" s="132">
        <v>31.314725740116788</v>
      </c>
      <c r="N25" s="132">
        <v>34.210828064360776</v>
      </c>
      <c r="O25" s="132">
        <v>35.879704838555845</v>
      </c>
      <c r="P25" s="132">
        <v>33.565103248013408</v>
      </c>
      <c r="Q25" s="132">
        <v>34.897801706492743</v>
      </c>
      <c r="R25" s="132">
        <v>35.098184443563419</v>
      </c>
      <c r="S25" s="132">
        <v>32.57338191157131</v>
      </c>
      <c r="T25" s="132">
        <v>30.465029905659975</v>
      </c>
      <c r="U25" s="132">
        <v>27.390528600180886</v>
      </c>
      <c r="V25" s="132">
        <v>26.867549040434227</v>
      </c>
      <c r="W25" s="132">
        <v>27.214782836995571</v>
      </c>
      <c r="X25" s="132">
        <v>22.335612277676205</v>
      </c>
      <c r="Y25" s="132">
        <v>23.320098332354096</v>
      </c>
      <c r="DA25" s="156" t="s">
        <v>293</v>
      </c>
    </row>
    <row r="26" spans="1:105" ht="12" customHeight="1" x14ac:dyDescent="0.25">
      <c r="A26" s="131" t="s">
        <v>24</v>
      </c>
      <c r="B26" s="65">
        <v>23.226885661683585</v>
      </c>
      <c r="C26" s="65">
        <v>63.566268517100639</v>
      </c>
      <c r="D26" s="65">
        <v>5.4575678105192749</v>
      </c>
      <c r="E26" s="65">
        <v>50.750421133432127</v>
      </c>
      <c r="F26" s="65">
        <v>49.860349359849828</v>
      </c>
      <c r="G26" s="65">
        <v>53.819240477842904</v>
      </c>
      <c r="H26" s="65">
        <v>61.306573467151615</v>
      </c>
      <c r="I26" s="65">
        <v>81.11360395619532</v>
      </c>
      <c r="J26" s="65">
        <v>86.066928040116053</v>
      </c>
      <c r="K26" s="65">
        <v>57.408951095475203</v>
      </c>
      <c r="L26" s="65">
        <v>55.238448775222331</v>
      </c>
      <c r="M26" s="65">
        <v>73.144725390760371</v>
      </c>
      <c r="N26" s="65">
        <v>69.207102596116897</v>
      </c>
      <c r="O26" s="65">
        <v>67.272604512434484</v>
      </c>
      <c r="P26" s="65">
        <v>70.112411288192064</v>
      </c>
      <c r="Q26" s="65">
        <v>68.865647973414909</v>
      </c>
      <c r="R26" s="65">
        <v>67.027942046795317</v>
      </c>
      <c r="S26" s="65">
        <v>56.890930452977805</v>
      </c>
      <c r="T26" s="65">
        <v>54.888862578147211</v>
      </c>
      <c r="U26" s="65">
        <v>51.441613283998713</v>
      </c>
      <c r="V26" s="65">
        <v>45.70499071090854</v>
      </c>
      <c r="W26" s="65">
        <v>50.516302564933966</v>
      </c>
      <c r="X26" s="65">
        <v>64.582567593508742</v>
      </c>
      <c r="Y26" s="65">
        <v>79.510893329473248</v>
      </c>
      <c r="DA26" s="109" t="s">
        <v>294</v>
      </c>
    </row>
    <row r="27" spans="1:105" ht="12" customHeight="1" x14ac:dyDescent="0.25">
      <c r="A27" s="144" t="s">
        <v>26</v>
      </c>
      <c r="B27" s="145">
        <v>0</v>
      </c>
      <c r="C27" s="145">
        <v>0</v>
      </c>
      <c r="D27" s="145">
        <v>0</v>
      </c>
      <c r="E27" s="145">
        <v>0</v>
      </c>
      <c r="F27" s="145">
        <v>0</v>
      </c>
      <c r="G27" s="145">
        <v>0</v>
      </c>
      <c r="H27" s="145">
        <v>0</v>
      </c>
      <c r="I27" s="145">
        <v>2.3903697334479789E-2</v>
      </c>
      <c r="J27" s="145">
        <v>0</v>
      </c>
      <c r="K27" s="145">
        <v>0</v>
      </c>
      <c r="L27" s="145">
        <v>7.1625107480653455E-2</v>
      </c>
      <c r="M27" s="145">
        <v>4.7807394668959599E-2</v>
      </c>
      <c r="N27" s="145">
        <v>9.5528804815133261E-2</v>
      </c>
      <c r="O27" s="145">
        <v>4.7807394668959592E-2</v>
      </c>
      <c r="P27" s="145">
        <v>4.7807394668959599E-2</v>
      </c>
      <c r="Q27" s="145">
        <v>2.3903697334479789E-2</v>
      </c>
      <c r="R27" s="145">
        <v>2.3903697334479786E-2</v>
      </c>
      <c r="S27" s="145">
        <v>6.2252794496990532E-2</v>
      </c>
      <c r="T27" s="145">
        <v>5.735167669819434E-2</v>
      </c>
      <c r="U27" s="145">
        <v>6.7153912295786738E-2</v>
      </c>
      <c r="V27" s="145">
        <v>3.7747205503009446E-2</v>
      </c>
      <c r="W27" s="145">
        <v>0.3981943250214961</v>
      </c>
      <c r="X27" s="145">
        <v>0.3638865004299226</v>
      </c>
      <c r="Y27" s="145">
        <v>0.38770421324161664</v>
      </c>
      <c r="DA27" s="158" t="s">
        <v>295</v>
      </c>
    </row>
    <row r="28" spans="1:105" ht="12" hidden="1" customHeight="1" x14ac:dyDescent="0.25">
      <c r="A28" s="78" t="s">
        <v>26</v>
      </c>
      <c r="B28" s="68"/>
      <c r="C28" s="68"/>
      <c r="D28" s="68"/>
      <c r="E28" s="68"/>
      <c r="F28" s="68"/>
      <c r="G28" s="68"/>
      <c r="H28" s="68"/>
      <c r="I28" s="68"/>
      <c r="J28" s="68"/>
      <c r="K28" s="68"/>
      <c r="L28" s="68"/>
      <c r="M28" s="68"/>
      <c r="N28" s="68"/>
      <c r="O28" s="68"/>
      <c r="P28" s="68"/>
      <c r="Q28" s="68"/>
      <c r="R28" s="68"/>
      <c r="S28" s="68"/>
      <c r="T28" s="68"/>
      <c r="U28" s="68"/>
      <c r="V28" s="68"/>
      <c r="W28" s="68"/>
      <c r="X28" s="68"/>
      <c r="Y28" s="68"/>
      <c r="DA28" s="111"/>
    </row>
    <row r="29" spans="1:105" ht="12.95" customHeight="1" x14ac:dyDescent="0.25">
      <c r="A29" s="129" t="s">
        <v>34</v>
      </c>
      <c r="B29" s="130">
        <f t="shared" ref="B29:Q29" si="12">SUM(B30:B33)</f>
        <v>141.51902481505877</v>
      </c>
      <c r="C29" s="130">
        <f t="shared" si="12"/>
        <v>148.82512060056521</v>
      </c>
      <c r="D29" s="130">
        <f t="shared" si="12"/>
        <v>111.39494720783216</v>
      </c>
      <c r="E29" s="130">
        <f t="shared" si="12"/>
        <v>172.99181647514575</v>
      </c>
      <c r="F29" s="130">
        <f t="shared" si="12"/>
        <v>214.7218468696002</v>
      </c>
      <c r="G29" s="130">
        <f t="shared" si="12"/>
        <v>236.47843065057515</v>
      </c>
      <c r="H29" s="130">
        <f t="shared" si="12"/>
        <v>250.67156845627136</v>
      </c>
      <c r="I29" s="130">
        <f t="shared" si="12"/>
        <v>265.96564498126145</v>
      </c>
      <c r="J29" s="130">
        <f t="shared" si="12"/>
        <v>262.76818001491495</v>
      </c>
      <c r="K29" s="130">
        <f t="shared" si="12"/>
        <v>264.65395191431548</v>
      </c>
      <c r="L29" s="130">
        <f t="shared" si="12"/>
        <v>277.49306223284293</v>
      </c>
      <c r="M29" s="130">
        <f t="shared" si="12"/>
        <v>283.87854629930172</v>
      </c>
      <c r="N29" s="130">
        <f t="shared" si="12"/>
        <v>293.66739386750862</v>
      </c>
      <c r="O29" s="130">
        <f t="shared" si="12"/>
        <v>316.97023174209522</v>
      </c>
      <c r="P29" s="130">
        <f t="shared" si="12"/>
        <v>333.14016132930442</v>
      </c>
      <c r="Q29" s="130">
        <f t="shared" si="12"/>
        <v>356.25897243176314</v>
      </c>
      <c r="R29" s="130">
        <f t="shared" ref="R29:W29" si="13">SUM(R30:R33)</f>
        <v>356.46478582848408</v>
      </c>
      <c r="S29" s="130">
        <f t="shared" si="13"/>
        <v>364.10506271415244</v>
      </c>
      <c r="T29" s="130">
        <f t="shared" si="13"/>
        <v>374.41294111414652</v>
      </c>
      <c r="U29" s="130">
        <f t="shared" si="13"/>
        <v>381.18822156977865</v>
      </c>
      <c r="V29" s="130">
        <f t="shared" si="13"/>
        <v>350.6345745074475</v>
      </c>
      <c r="W29" s="130">
        <f t="shared" si="13"/>
        <v>373.25195330415158</v>
      </c>
      <c r="X29" s="130">
        <f t="shared" ref="X29:Y29" si="14">SUM(X30:X33)</f>
        <v>395.30289537399597</v>
      </c>
      <c r="Y29" s="130">
        <f t="shared" si="14"/>
        <v>407.01323953875669</v>
      </c>
      <c r="DA29" s="155" t="s">
        <v>217</v>
      </c>
    </row>
    <row r="30" spans="1:105" ht="12" customHeight="1" x14ac:dyDescent="0.25">
      <c r="A30" s="131" t="s">
        <v>52</v>
      </c>
      <c r="B30" s="132">
        <v>22.594840928632841</v>
      </c>
      <c r="C30" s="132">
        <v>12.427171109200341</v>
      </c>
      <c r="D30" s="132">
        <v>7.9081685296646596</v>
      </c>
      <c r="E30" s="132">
        <v>33.89226139294928</v>
      </c>
      <c r="F30" s="132">
        <v>73.433190025795355</v>
      </c>
      <c r="G30" s="132">
        <v>90.826999140154754</v>
      </c>
      <c r="H30" s="132">
        <v>36.793723129836621</v>
      </c>
      <c r="I30" s="132">
        <v>109.22235597592433</v>
      </c>
      <c r="J30" s="132">
        <v>25.293551160791054</v>
      </c>
      <c r="K30" s="132">
        <v>13.798538263112638</v>
      </c>
      <c r="L30" s="132">
        <v>21.844453998280311</v>
      </c>
      <c r="M30" s="132">
        <v>13.796474634565774</v>
      </c>
      <c r="N30" s="132">
        <v>17.245657781599306</v>
      </c>
      <c r="O30" s="132">
        <v>19.545055889939817</v>
      </c>
      <c r="P30" s="132">
        <v>25.293551160791047</v>
      </c>
      <c r="Q30" s="132">
        <v>32.191831470335359</v>
      </c>
      <c r="R30" s="132">
        <v>29.892433361994826</v>
      </c>
      <c r="S30" s="132">
        <v>29.652794496990555</v>
      </c>
      <c r="T30" s="132">
        <v>30.441530524505591</v>
      </c>
      <c r="U30" s="132">
        <v>29.832158211521921</v>
      </c>
      <c r="V30" s="132">
        <v>26.840240756663807</v>
      </c>
      <c r="W30" s="132">
        <v>26.55399828030955</v>
      </c>
      <c r="X30" s="132">
        <v>25.952708512467744</v>
      </c>
      <c r="Y30" s="132">
        <v>22.703353396388657</v>
      </c>
      <c r="DA30" s="156" t="s">
        <v>296</v>
      </c>
    </row>
    <row r="31" spans="1:105" ht="12" customHeight="1" x14ac:dyDescent="0.25">
      <c r="A31" s="131" t="s">
        <v>149</v>
      </c>
      <c r="B31" s="132">
        <v>34.40721556451998</v>
      </c>
      <c r="C31" s="132">
        <v>45.586870664264417</v>
      </c>
      <c r="D31" s="132">
        <v>32.095270835526328</v>
      </c>
      <c r="E31" s="132">
        <v>72.513252462848712</v>
      </c>
      <c r="F31" s="132">
        <v>132.30660027542891</v>
      </c>
      <c r="G31" s="132">
        <v>122.98184392979684</v>
      </c>
      <c r="H31" s="132">
        <v>172.41220133804026</v>
      </c>
      <c r="I31" s="132">
        <v>128.19395474307166</v>
      </c>
      <c r="J31" s="132">
        <v>133.3327944897097</v>
      </c>
      <c r="K31" s="132">
        <v>131.63578106994345</v>
      </c>
      <c r="L31" s="132">
        <v>128.37828167525302</v>
      </c>
      <c r="M31" s="132">
        <v>125.39506612036038</v>
      </c>
      <c r="N31" s="132">
        <v>121.06128917225055</v>
      </c>
      <c r="O31" s="132">
        <v>122.68269476951805</v>
      </c>
      <c r="P31" s="132">
        <v>121.99177698002239</v>
      </c>
      <c r="Q31" s="132">
        <v>134.99548186857209</v>
      </c>
      <c r="R31" s="132">
        <v>135.93210152741221</v>
      </c>
      <c r="S31" s="132">
        <v>152.34942566144045</v>
      </c>
      <c r="T31" s="132">
        <v>152.16531758873646</v>
      </c>
      <c r="U31" s="132">
        <v>155.99847475959109</v>
      </c>
      <c r="V31" s="132">
        <v>150.1351055158984</v>
      </c>
      <c r="W31" s="132">
        <v>154.43585918232372</v>
      </c>
      <c r="X31" s="132">
        <v>155.94406072125923</v>
      </c>
      <c r="Y31" s="132">
        <v>159.15213001069992</v>
      </c>
      <c r="DA31" s="156" t="s">
        <v>297</v>
      </c>
    </row>
    <row r="32" spans="1:105" ht="12" customHeight="1" x14ac:dyDescent="0.25">
      <c r="A32" s="131" t="s">
        <v>128</v>
      </c>
      <c r="B32" s="132">
        <v>0</v>
      </c>
      <c r="C32" s="132">
        <v>0</v>
      </c>
      <c r="D32" s="132">
        <v>0</v>
      </c>
      <c r="E32" s="132">
        <v>0</v>
      </c>
      <c r="F32" s="132">
        <v>0</v>
      </c>
      <c r="G32" s="132">
        <v>0</v>
      </c>
      <c r="H32" s="132">
        <v>0</v>
      </c>
      <c r="I32" s="132">
        <v>0</v>
      </c>
      <c r="J32" s="132">
        <v>0</v>
      </c>
      <c r="K32" s="132">
        <v>0</v>
      </c>
      <c r="L32" s="132">
        <v>0</v>
      </c>
      <c r="M32" s="132">
        <v>0</v>
      </c>
      <c r="N32" s="132">
        <v>0</v>
      </c>
      <c r="O32" s="132">
        <v>0</v>
      </c>
      <c r="P32" s="132">
        <v>0</v>
      </c>
      <c r="Q32" s="132">
        <v>0</v>
      </c>
      <c r="R32" s="132">
        <v>0</v>
      </c>
      <c r="S32" s="132">
        <v>0</v>
      </c>
      <c r="T32" s="132">
        <v>0</v>
      </c>
      <c r="U32" s="132">
        <v>0</v>
      </c>
      <c r="V32" s="132">
        <v>0</v>
      </c>
      <c r="W32" s="132">
        <v>0</v>
      </c>
      <c r="X32" s="132">
        <v>0</v>
      </c>
      <c r="Y32" s="132">
        <v>0</v>
      </c>
      <c r="DA32" s="156" t="s">
        <v>298</v>
      </c>
    </row>
    <row r="33" spans="1:105" ht="12" customHeight="1" x14ac:dyDescent="0.25">
      <c r="A33" s="62" t="s">
        <v>24</v>
      </c>
      <c r="B33" s="68">
        <v>84.516968321905949</v>
      </c>
      <c r="C33" s="68">
        <v>90.811078827100459</v>
      </c>
      <c r="D33" s="68">
        <v>71.391507842641175</v>
      </c>
      <c r="E33" s="68">
        <v>66.586302619347748</v>
      </c>
      <c r="F33" s="68">
        <v>8.9820565683759241</v>
      </c>
      <c r="G33" s="68">
        <v>22.669587580623553</v>
      </c>
      <c r="H33" s="68">
        <v>41.46564398839449</v>
      </c>
      <c r="I33" s="68">
        <v>28.549334262265457</v>
      </c>
      <c r="J33" s="68">
        <v>104.14183436441419</v>
      </c>
      <c r="K33" s="68">
        <v>119.21963258125938</v>
      </c>
      <c r="L33" s="68">
        <v>127.27032655930964</v>
      </c>
      <c r="M33" s="68">
        <v>144.68700554437555</v>
      </c>
      <c r="N33" s="68">
        <v>155.36044691365879</v>
      </c>
      <c r="O33" s="68">
        <v>174.74248108263737</v>
      </c>
      <c r="P33" s="68">
        <v>185.854833188491</v>
      </c>
      <c r="Q33" s="68">
        <v>189.07165909285573</v>
      </c>
      <c r="R33" s="68">
        <v>190.64025093907708</v>
      </c>
      <c r="S33" s="68">
        <v>182.10284255572142</v>
      </c>
      <c r="T33" s="68">
        <v>191.80609300090444</v>
      </c>
      <c r="U33" s="68">
        <v>195.35758859866564</v>
      </c>
      <c r="V33" s="68">
        <v>173.65922823488529</v>
      </c>
      <c r="W33" s="68">
        <v>192.26209584151829</v>
      </c>
      <c r="X33" s="68">
        <v>213.40612614026898</v>
      </c>
      <c r="Y33" s="68">
        <v>225.15775613166815</v>
      </c>
      <c r="DA33" s="111" t="s">
        <v>299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3">
    <tabColor theme="6" tint="0.39997558519241921"/>
    <pageSetUpPr fitToPage="1"/>
  </sheetPr>
  <dimension ref="A1:DA33"/>
  <sheetViews>
    <sheetView showGridLines="0" zoomScaleNormal="100" workbookViewId="0">
      <pane xSplit="1" ySplit="1" topLeftCell="G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40.7109375" style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12.95" customHeight="1" x14ac:dyDescent="0.25">
      <c r="A1" s="28" t="s">
        <v>300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X1" s="27">
        <v>2022</v>
      </c>
      <c r="Y1" s="27">
        <v>2023</v>
      </c>
      <c r="DA1" s="87" t="s">
        <v>150</v>
      </c>
    </row>
    <row r="2" spans="1:105" s="2" customFormat="1" ht="12" customHeight="1" x14ac:dyDescent="0.25">
      <c r="DA2" s="7"/>
    </row>
    <row r="3" spans="1:105" ht="12.95" customHeight="1" x14ac:dyDescent="0.25">
      <c r="A3" s="123" t="s">
        <v>82</v>
      </c>
      <c r="B3" s="125">
        <f t="shared" ref="B3:Q3" si="0">SUM(B4,B16,B19,B29)</f>
        <v>685.57848894926042</v>
      </c>
      <c r="C3" s="125">
        <f t="shared" si="0"/>
        <v>866.80256922070873</v>
      </c>
      <c r="D3" s="125">
        <f t="shared" si="0"/>
        <v>392.94106142789445</v>
      </c>
      <c r="E3" s="125">
        <f t="shared" si="0"/>
        <v>709.44272541181408</v>
      </c>
      <c r="F3" s="125">
        <f t="shared" si="0"/>
        <v>786.80734197206391</v>
      </c>
      <c r="G3" s="125">
        <f t="shared" si="0"/>
        <v>1075.3212846191841</v>
      </c>
      <c r="H3" s="125">
        <f t="shared" si="0"/>
        <v>1385.6473947519394</v>
      </c>
      <c r="I3" s="125">
        <f t="shared" si="0"/>
        <v>1215.3712731459182</v>
      </c>
      <c r="J3" s="125">
        <f t="shared" si="0"/>
        <v>1039.8900965338566</v>
      </c>
      <c r="K3" s="125">
        <f t="shared" si="0"/>
        <v>987.99374865503955</v>
      </c>
      <c r="L3" s="125">
        <f t="shared" si="0"/>
        <v>1070.4487725988727</v>
      </c>
      <c r="M3" s="125">
        <f t="shared" si="0"/>
        <v>1021.7973524051058</v>
      </c>
      <c r="N3" s="125">
        <f t="shared" si="0"/>
        <v>1015.8630273198216</v>
      </c>
      <c r="O3" s="125">
        <f t="shared" si="0"/>
        <v>1000.5484909296576</v>
      </c>
      <c r="P3" s="125">
        <f t="shared" si="0"/>
        <v>980.3577814928226</v>
      </c>
      <c r="Q3" s="125">
        <f t="shared" si="0"/>
        <v>1021.2608279132724</v>
      </c>
      <c r="R3" s="125">
        <f t="shared" ref="R3:W3" si="1">SUM(R4,R16,R19,R29)</f>
        <v>1060.697903379978</v>
      </c>
      <c r="S3" s="125">
        <f t="shared" si="1"/>
        <v>1131.4955665210971</v>
      </c>
      <c r="T3" s="125">
        <f t="shared" si="1"/>
        <v>1161.0047671012621</v>
      </c>
      <c r="U3" s="125">
        <f t="shared" si="1"/>
        <v>1167.4588001027087</v>
      </c>
      <c r="V3" s="125">
        <f t="shared" si="1"/>
        <v>1088.66959256776</v>
      </c>
      <c r="W3" s="125">
        <f t="shared" si="1"/>
        <v>1223.5206752066235</v>
      </c>
      <c r="X3" s="125">
        <f t="shared" ref="X3:Y3" si="2">SUM(X4,X16,X19,X29)</f>
        <v>1296.4665961799012</v>
      </c>
      <c r="Y3" s="125">
        <f t="shared" si="2"/>
        <v>1494.3909711545721</v>
      </c>
      <c r="DA3" s="154" t="s">
        <v>301</v>
      </c>
    </row>
    <row r="4" spans="1:105" ht="12.95" customHeight="1" x14ac:dyDescent="0.25">
      <c r="A4" s="129" t="s">
        <v>32</v>
      </c>
      <c r="B4" s="130">
        <f t="shared" ref="B4:Q4" si="3">SUM(B5:B15)</f>
        <v>525.73047609347748</v>
      </c>
      <c r="C4" s="130">
        <f t="shared" si="3"/>
        <v>688.68878239072774</v>
      </c>
      <c r="D4" s="130">
        <f t="shared" si="3"/>
        <v>274.43200540260335</v>
      </c>
      <c r="E4" s="130">
        <f t="shared" si="3"/>
        <v>506.32467658122209</v>
      </c>
      <c r="F4" s="130">
        <f t="shared" si="3"/>
        <v>550.18687528118016</v>
      </c>
      <c r="G4" s="130">
        <f t="shared" si="3"/>
        <v>813.30641556459739</v>
      </c>
      <c r="H4" s="130">
        <f t="shared" si="3"/>
        <v>1098.7604432960852</v>
      </c>
      <c r="I4" s="130">
        <f t="shared" si="3"/>
        <v>910.66827069320516</v>
      </c>
      <c r="J4" s="130">
        <f t="shared" si="3"/>
        <v>720.08818792618888</v>
      </c>
      <c r="K4" s="130">
        <f t="shared" si="3"/>
        <v>659.8330121289323</v>
      </c>
      <c r="L4" s="130">
        <f t="shared" si="3"/>
        <v>727.46191723949948</v>
      </c>
      <c r="M4" s="130">
        <f t="shared" si="3"/>
        <v>660.99986780730035</v>
      </c>
      <c r="N4" s="130">
        <f t="shared" si="3"/>
        <v>632.5608444957868</v>
      </c>
      <c r="O4" s="130">
        <f t="shared" si="3"/>
        <v>595.40198444125474</v>
      </c>
      <c r="P4" s="130">
        <f t="shared" si="3"/>
        <v>553.18246199535486</v>
      </c>
      <c r="Q4" s="130">
        <f t="shared" si="3"/>
        <v>557.98150089057742</v>
      </c>
      <c r="R4" s="130">
        <f t="shared" ref="R4:W4" si="4">SUM(R5:R15)</f>
        <v>592.31910265524436</v>
      </c>
      <c r="S4" s="130">
        <f t="shared" si="4"/>
        <v>646.82054946191784</v>
      </c>
      <c r="T4" s="130">
        <f t="shared" si="4"/>
        <v>666.81622813524439</v>
      </c>
      <c r="U4" s="130">
        <f t="shared" si="4"/>
        <v>664.49776032872444</v>
      </c>
      <c r="V4" s="130">
        <f t="shared" si="4"/>
        <v>614.96851380455337</v>
      </c>
      <c r="W4" s="130">
        <f t="shared" si="4"/>
        <v>699.27707459397152</v>
      </c>
      <c r="X4" s="130">
        <f t="shared" ref="X4:Y4" si="5">SUM(X5:X15)</f>
        <v>740.50791547052143</v>
      </c>
      <c r="Y4" s="130">
        <f t="shared" si="5"/>
        <v>913.45943864895639</v>
      </c>
      <c r="DA4" s="155" t="s">
        <v>302</v>
      </c>
    </row>
    <row r="5" spans="1:105" ht="12" customHeight="1" x14ac:dyDescent="0.25">
      <c r="A5" s="131" t="s">
        <v>29</v>
      </c>
      <c r="B5" s="132">
        <v>1.8246539566559332</v>
      </c>
      <c r="C5" s="132">
        <v>3.7418483989940845</v>
      </c>
      <c r="D5" s="132">
        <v>2.2487700962790713</v>
      </c>
      <c r="E5" s="132">
        <v>1.4222070959049822</v>
      </c>
      <c r="F5" s="132">
        <v>0.58459681479761638</v>
      </c>
      <c r="G5" s="132">
        <v>0.18990283428629645</v>
      </c>
      <c r="H5" s="132">
        <v>1.4956060710559842</v>
      </c>
      <c r="I5" s="132">
        <v>0.70353189628327528</v>
      </c>
      <c r="J5" s="132">
        <v>0.19914104555286644</v>
      </c>
      <c r="K5" s="132">
        <v>9.7259024900791982E-2</v>
      </c>
      <c r="L5" s="132">
        <v>0.29177163417836477</v>
      </c>
      <c r="M5" s="132">
        <v>0.41955051589184744</v>
      </c>
      <c r="N5" s="132">
        <v>0.23684939476414713</v>
      </c>
      <c r="O5" s="132">
        <v>0.39449860828999483</v>
      </c>
      <c r="P5" s="132">
        <v>0.26424579780670271</v>
      </c>
      <c r="Q5" s="132">
        <v>0.28805421561834732</v>
      </c>
      <c r="R5" s="132">
        <v>0.57628385046011188</v>
      </c>
      <c r="S5" s="132">
        <v>0</v>
      </c>
      <c r="T5" s="132">
        <v>0.45581167811246542</v>
      </c>
      <c r="U5" s="132">
        <v>0.28599594330590661</v>
      </c>
      <c r="V5" s="132">
        <v>5.4899663290883333E-2</v>
      </c>
      <c r="W5" s="132">
        <v>9.812110873260943E-2</v>
      </c>
      <c r="X5" s="132">
        <v>0.10016780670617299</v>
      </c>
      <c r="Y5" s="132">
        <v>4.1957308458054461E-2</v>
      </c>
      <c r="DA5" s="156" t="s">
        <v>303</v>
      </c>
    </row>
    <row r="6" spans="1:105" ht="12" customHeight="1" x14ac:dyDescent="0.25">
      <c r="A6" s="131" t="s">
        <v>52</v>
      </c>
      <c r="B6" s="132">
        <v>0</v>
      </c>
      <c r="C6" s="132">
        <v>0</v>
      </c>
      <c r="D6" s="132">
        <v>0</v>
      </c>
      <c r="E6" s="132">
        <v>0</v>
      </c>
      <c r="F6" s="132">
        <v>0</v>
      </c>
      <c r="G6" s="132">
        <v>0</v>
      </c>
      <c r="H6" s="132">
        <v>0</v>
      </c>
      <c r="I6" s="132">
        <v>0</v>
      </c>
      <c r="J6" s="132">
        <v>0</v>
      </c>
      <c r="K6" s="132">
        <v>0</v>
      </c>
      <c r="L6" s="132">
        <v>0</v>
      </c>
      <c r="M6" s="132">
        <v>0</v>
      </c>
      <c r="N6" s="132">
        <v>0</v>
      </c>
      <c r="O6" s="132">
        <v>0</v>
      </c>
      <c r="P6" s="132">
        <v>0</v>
      </c>
      <c r="Q6" s="132">
        <v>0</v>
      </c>
      <c r="R6" s="132">
        <v>0</v>
      </c>
      <c r="S6" s="132">
        <v>0</v>
      </c>
      <c r="T6" s="132">
        <v>0</v>
      </c>
      <c r="U6" s="132">
        <v>0</v>
      </c>
      <c r="V6" s="132">
        <v>0</v>
      </c>
      <c r="W6" s="132">
        <v>0</v>
      </c>
      <c r="X6" s="132">
        <v>0</v>
      </c>
      <c r="Y6" s="132">
        <v>0</v>
      </c>
      <c r="DA6" s="156" t="s">
        <v>304</v>
      </c>
    </row>
    <row r="7" spans="1:105" ht="12" customHeight="1" x14ac:dyDescent="0.25">
      <c r="A7" s="131" t="s">
        <v>161</v>
      </c>
      <c r="B7" s="132">
        <v>33.978500938839659</v>
      </c>
      <c r="C7" s="132">
        <v>53.892109158376975</v>
      </c>
      <c r="D7" s="132">
        <v>97.671266163181997</v>
      </c>
      <c r="E7" s="132">
        <v>94.08344807580383</v>
      </c>
      <c r="F7" s="132">
        <v>179.59246749956321</v>
      </c>
      <c r="G7" s="132">
        <v>168.92537055222064</v>
      </c>
      <c r="H7" s="132">
        <v>101.12201611643441</v>
      </c>
      <c r="I7" s="132">
        <v>154.02978231719905</v>
      </c>
      <c r="J7" s="132">
        <v>117.77352457486973</v>
      </c>
      <c r="K7" s="132">
        <v>48.30222558882631</v>
      </c>
      <c r="L7" s="132">
        <v>51.448755415893515</v>
      </c>
      <c r="M7" s="132">
        <v>113.00099393573298</v>
      </c>
      <c r="N7" s="132">
        <v>96.366400500719934</v>
      </c>
      <c r="O7" s="132">
        <v>73.546389950164397</v>
      </c>
      <c r="P7" s="132">
        <v>67.92712462901396</v>
      </c>
      <c r="Q7" s="132">
        <v>75.578811485607346</v>
      </c>
      <c r="R7" s="132">
        <v>83.673641666342462</v>
      </c>
      <c r="S7" s="132">
        <v>121.25008362688466</v>
      </c>
      <c r="T7" s="132">
        <v>137.73364965915266</v>
      </c>
      <c r="U7" s="132">
        <v>143.25051592838508</v>
      </c>
      <c r="V7" s="132">
        <v>133.55085019183574</v>
      </c>
      <c r="W7" s="132">
        <v>213.37427945594425</v>
      </c>
      <c r="X7" s="132">
        <v>227.17300558812906</v>
      </c>
      <c r="Y7" s="132">
        <v>233.44039122399622</v>
      </c>
      <c r="DA7" s="156" t="s">
        <v>305</v>
      </c>
    </row>
    <row r="8" spans="1:105" ht="12" customHeight="1" x14ac:dyDescent="0.25">
      <c r="A8" s="131" t="s">
        <v>73</v>
      </c>
      <c r="B8" s="132">
        <v>0</v>
      </c>
      <c r="C8" s="132">
        <v>0</v>
      </c>
      <c r="D8" s="132">
        <v>0</v>
      </c>
      <c r="E8" s="132">
        <v>0</v>
      </c>
      <c r="F8" s="132">
        <v>0</v>
      </c>
      <c r="G8" s="132">
        <v>0</v>
      </c>
      <c r="H8" s="132">
        <v>0</v>
      </c>
      <c r="I8" s="132">
        <v>0</v>
      </c>
      <c r="J8" s="132">
        <v>0</v>
      </c>
      <c r="K8" s="132">
        <v>0</v>
      </c>
      <c r="L8" s="132">
        <v>0</v>
      </c>
      <c r="M8" s="132">
        <v>0</v>
      </c>
      <c r="N8" s="132">
        <v>0</v>
      </c>
      <c r="O8" s="132">
        <v>0</v>
      </c>
      <c r="P8" s="132">
        <v>0</v>
      </c>
      <c r="Q8" s="132">
        <v>0</v>
      </c>
      <c r="R8" s="132">
        <v>0</v>
      </c>
      <c r="S8" s="132">
        <v>0</v>
      </c>
      <c r="T8" s="132">
        <v>0</v>
      </c>
      <c r="U8" s="132">
        <v>0</v>
      </c>
      <c r="V8" s="132">
        <v>0</v>
      </c>
      <c r="W8" s="132">
        <v>0</v>
      </c>
      <c r="X8" s="132">
        <v>0</v>
      </c>
      <c r="Y8" s="132">
        <v>0</v>
      </c>
      <c r="DA8" s="156" t="s">
        <v>306</v>
      </c>
    </row>
    <row r="9" spans="1:105" ht="12" customHeight="1" x14ac:dyDescent="0.25">
      <c r="A9" s="131" t="s">
        <v>78</v>
      </c>
      <c r="B9" s="132">
        <v>86.538195997895812</v>
      </c>
      <c r="C9" s="132">
        <v>217.4908955804494</v>
      </c>
      <c r="D9" s="132">
        <v>22.242775158852915</v>
      </c>
      <c r="E9" s="132">
        <v>176.88340902063797</v>
      </c>
      <c r="F9" s="132">
        <v>238.42932510745993</v>
      </c>
      <c r="G9" s="132">
        <v>300.16455447177833</v>
      </c>
      <c r="H9" s="132">
        <v>690.31208939218686</v>
      </c>
      <c r="I9" s="132">
        <v>453.10395606777939</v>
      </c>
      <c r="J9" s="132">
        <v>315.53595709854471</v>
      </c>
      <c r="K9" s="132">
        <v>363.64092354495369</v>
      </c>
      <c r="L9" s="132">
        <v>371.38631556516015</v>
      </c>
      <c r="M9" s="132">
        <v>284.9784107257845</v>
      </c>
      <c r="N9" s="132">
        <v>296.58059323288666</v>
      </c>
      <c r="O9" s="132">
        <v>311.16723439811096</v>
      </c>
      <c r="P9" s="132">
        <v>307.40506099221068</v>
      </c>
      <c r="Q9" s="132">
        <v>284.9841927005985</v>
      </c>
      <c r="R9" s="132">
        <v>290.7572599330822</v>
      </c>
      <c r="S9" s="132">
        <v>324.21568899520889</v>
      </c>
      <c r="T9" s="132">
        <v>335.5087368470426</v>
      </c>
      <c r="U9" s="132">
        <v>341.35517774776201</v>
      </c>
      <c r="V9" s="132">
        <v>326.16001873320158</v>
      </c>
      <c r="W9" s="132">
        <v>321.8593603501136</v>
      </c>
      <c r="X9" s="132">
        <v>356.01665872354812</v>
      </c>
      <c r="Y9" s="132">
        <v>410.97288827331482</v>
      </c>
      <c r="DA9" s="156" t="s">
        <v>307</v>
      </c>
    </row>
    <row r="10" spans="1:105" ht="12" customHeight="1" x14ac:dyDescent="0.25">
      <c r="A10" s="131" t="s">
        <v>128</v>
      </c>
      <c r="B10" s="132">
        <v>0</v>
      </c>
      <c r="C10" s="132">
        <v>65.390827437346417</v>
      </c>
      <c r="D10" s="132">
        <v>74.075588869672586</v>
      </c>
      <c r="E10" s="132">
        <v>71.639211949641933</v>
      </c>
      <c r="F10" s="132">
        <v>59.240021220744794</v>
      </c>
      <c r="G10" s="132">
        <v>94.998563480566574</v>
      </c>
      <c r="H10" s="132">
        <v>88.197138566072894</v>
      </c>
      <c r="I10" s="132">
        <v>72.872769097147383</v>
      </c>
      <c r="J10" s="132">
        <v>66.90557612765835</v>
      </c>
      <c r="K10" s="132">
        <v>58.727454868632726</v>
      </c>
      <c r="L10" s="132">
        <v>61.666737344572503</v>
      </c>
      <c r="M10" s="132">
        <v>28.693649569607366</v>
      </c>
      <c r="N10" s="132">
        <v>28.834947787782404</v>
      </c>
      <c r="O10" s="132">
        <v>22.566047898902251</v>
      </c>
      <c r="P10" s="132">
        <v>23.755775952725145</v>
      </c>
      <c r="Q10" s="132">
        <v>54.211318394871547</v>
      </c>
      <c r="R10" s="132">
        <v>64.921914598428572</v>
      </c>
      <c r="S10" s="132">
        <v>54.632819319804639</v>
      </c>
      <c r="T10" s="132">
        <v>51.365148106983995</v>
      </c>
      <c r="U10" s="132">
        <v>52.422833077913843</v>
      </c>
      <c r="V10" s="132">
        <v>43.444186715460305</v>
      </c>
      <c r="W10" s="132">
        <v>48.727570501960997</v>
      </c>
      <c r="X10" s="132">
        <v>41.996507431072544</v>
      </c>
      <c r="Y10" s="132">
        <v>39.852561237436049</v>
      </c>
      <c r="DA10" s="156" t="s">
        <v>308</v>
      </c>
    </row>
    <row r="11" spans="1:105" ht="12" customHeight="1" x14ac:dyDescent="0.25">
      <c r="A11" s="131" t="s">
        <v>25</v>
      </c>
      <c r="B11" s="132">
        <v>3.2155963190874903</v>
      </c>
      <c r="C11" s="132">
        <v>1.9620385942571852</v>
      </c>
      <c r="D11" s="132">
        <v>6.2424572261091136</v>
      </c>
      <c r="E11" s="132">
        <v>7.5523735024566392</v>
      </c>
      <c r="F11" s="132">
        <v>4.3678018381956196</v>
      </c>
      <c r="G11" s="132">
        <v>8.3205383980241336</v>
      </c>
      <c r="H11" s="132">
        <v>5.0175596315066828</v>
      </c>
      <c r="I11" s="132">
        <v>5.5585155645634057</v>
      </c>
      <c r="J11" s="132">
        <v>11.278414523850364</v>
      </c>
      <c r="K11" s="132">
        <v>10.157264981069023</v>
      </c>
      <c r="L11" s="132">
        <v>3.2806332583832667</v>
      </c>
      <c r="M11" s="132">
        <v>6.6217063332778148</v>
      </c>
      <c r="N11" s="132">
        <v>7.0833205791166129</v>
      </c>
      <c r="O11" s="132">
        <v>10.732270578462851</v>
      </c>
      <c r="P11" s="132">
        <v>12.426704732524717</v>
      </c>
      <c r="Q11" s="132">
        <v>12.361938260392268</v>
      </c>
      <c r="R11" s="132">
        <v>15.197517854791087</v>
      </c>
      <c r="S11" s="132">
        <v>17.786173854787432</v>
      </c>
      <c r="T11" s="132">
        <v>17.392347053400044</v>
      </c>
      <c r="U11" s="132">
        <v>17.284378759445161</v>
      </c>
      <c r="V11" s="132">
        <v>4.7059277383401596</v>
      </c>
      <c r="W11" s="132">
        <v>4.4772610012933152</v>
      </c>
      <c r="X11" s="132">
        <v>7.7016549668327112</v>
      </c>
      <c r="Y11" s="132">
        <v>5.7905447392789249</v>
      </c>
      <c r="DA11" s="156" t="s">
        <v>309</v>
      </c>
    </row>
    <row r="12" spans="1:105" ht="12" customHeight="1" x14ac:dyDescent="0.25">
      <c r="A12" s="131" t="s">
        <v>162</v>
      </c>
      <c r="B12" s="132">
        <v>301.06175383825098</v>
      </c>
      <c r="C12" s="132">
        <v>203.44703824002167</v>
      </c>
      <c r="D12" s="132">
        <v>67.820146603870668</v>
      </c>
      <c r="E12" s="132">
        <v>81.480153408513559</v>
      </c>
      <c r="F12" s="132">
        <v>57.695560025919512</v>
      </c>
      <c r="G12" s="132">
        <v>202.81426773764687</v>
      </c>
      <c r="H12" s="132">
        <v>164.89342404064197</v>
      </c>
      <c r="I12" s="132">
        <v>148.66122645730562</v>
      </c>
      <c r="J12" s="132">
        <v>159.04105311070361</v>
      </c>
      <c r="K12" s="132">
        <v>128.49207566437823</v>
      </c>
      <c r="L12" s="132">
        <v>144.45122756058879</v>
      </c>
      <c r="M12" s="132">
        <v>151.75933679114999</v>
      </c>
      <c r="N12" s="132">
        <v>158.26280553150207</v>
      </c>
      <c r="O12" s="132">
        <v>149.34644055769658</v>
      </c>
      <c r="P12" s="132">
        <v>121.07446683491139</v>
      </c>
      <c r="Q12" s="132">
        <v>118.84388064885134</v>
      </c>
      <c r="R12" s="132">
        <v>124.92293086361674</v>
      </c>
      <c r="S12" s="132">
        <v>116.01897832527595</v>
      </c>
      <c r="T12" s="132">
        <v>110.92104093290261</v>
      </c>
      <c r="U12" s="132">
        <v>96.588722239360763</v>
      </c>
      <c r="V12" s="132">
        <v>94.832674392087711</v>
      </c>
      <c r="W12" s="132">
        <v>96.396238777233577</v>
      </c>
      <c r="X12" s="132">
        <v>85.037359094848298</v>
      </c>
      <c r="Y12" s="132">
        <v>87.618695901114677</v>
      </c>
      <c r="DA12" s="156" t="s">
        <v>310</v>
      </c>
    </row>
    <row r="13" spans="1:105" ht="12" customHeight="1" x14ac:dyDescent="0.25">
      <c r="A13" s="131" t="s">
        <v>77</v>
      </c>
      <c r="B13" s="132">
        <v>0</v>
      </c>
      <c r="C13" s="132">
        <v>0</v>
      </c>
      <c r="D13" s="132">
        <v>0</v>
      </c>
      <c r="E13" s="132">
        <v>0</v>
      </c>
      <c r="F13" s="132">
        <v>0</v>
      </c>
      <c r="G13" s="132">
        <v>0</v>
      </c>
      <c r="H13" s="132">
        <v>0</v>
      </c>
      <c r="I13" s="132">
        <v>0</v>
      </c>
      <c r="J13" s="132">
        <v>0</v>
      </c>
      <c r="K13" s="132">
        <v>0</v>
      </c>
      <c r="L13" s="132">
        <v>0</v>
      </c>
      <c r="M13" s="132">
        <v>0</v>
      </c>
      <c r="N13" s="132">
        <v>0</v>
      </c>
      <c r="O13" s="132">
        <v>0</v>
      </c>
      <c r="P13" s="132">
        <v>0</v>
      </c>
      <c r="Q13" s="132">
        <v>0</v>
      </c>
      <c r="R13" s="132">
        <v>0</v>
      </c>
      <c r="S13" s="132">
        <v>0</v>
      </c>
      <c r="T13" s="132">
        <v>0</v>
      </c>
      <c r="U13" s="132">
        <v>0</v>
      </c>
      <c r="V13" s="132">
        <v>0</v>
      </c>
      <c r="W13" s="132">
        <v>0</v>
      </c>
      <c r="X13" s="132">
        <v>0</v>
      </c>
      <c r="Y13" s="132">
        <v>100.13325562390028</v>
      </c>
      <c r="DA13" s="156" t="s">
        <v>311</v>
      </c>
    </row>
    <row r="14" spans="1:105" ht="12" customHeight="1" x14ac:dyDescent="0.25">
      <c r="A14" s="60" t="s">
        <v>76</v>
      </c>
      <c r="B14" s="65">
        <v>95.161807813659593</v>
      </c>
      <c r="C14" s="65">
        <v>135.76656821491613</v>
      </c>
      <c r="D14" s="65">
        <v>0.74111039395097789</v>
      </c>
      <c r="E14" s="65">
        <v>67.053015543877521</v>
      </c>
      <c r="F14" s="65">
        <v>1.7039431458562129</v>
      </c>
      <c r="G14" s="65">
        <v>27.536537183025139</v>
      </c>
      <c r="H14" s="65">
        <v>31.994787245704917</v>
      </c>
      <c r="I14" s="65">
        <v>63.705613852136146</v>
      </c>
      <c r="J14" s="65">
        <v>40.497394986333092</v>
      </c>
      <c r="K14" s="65">
        <v>42.246732658865483</v>
      </c>
      <c r="L14" s="65">
        <v>86.6151326912521</v>
      </c>
      <c r="M14" s="65">
        <v>67.943579444876818</v>
      </c>
      <c r="N14" s="65">
        <v>37.743762670764447</v>
      </c>
      <c r="O14" s="65">
        <v>20.471169835163725</v>
      </c>
      <c r="P14" s="65">
        <v>13.461330014224858</v>
      </c>
      <c r="Q14" s="65">
        <v>4.8951576669223016</v>
      </c>
      <c r="R14" s="65">
        <v>5.1442380962975527</v>
      </c>
      <c r="S14" s="65">
        <v>4.800586636287977</v>
      </c>
      <c r="T14" s="65">
        <v>4.9565142508115443</v>
      </c>
      <c r="U14" s="65">
        <v>4.7220760051161843</v>
      </c>
      <c r="V14" s="65">
        <v>4.1747189285929194</v>
      </c>
      <c r="W14" s="65">
        <v>5.0607099788510643</v>
      </c>
      <c r="X14" s="65">
        <v>12.523508839045656</v>
      </c>
      <c r="Y14" s="65">
        <v>24.682182400009413</v>
      </c>
      <c r="DA14" s="109" t="s">
        <v>312</v>
      </c>
    </row>
    <row r="15" spans="1:105" ht="12" customHeight="1" x14ac:dyDescent="0.25">
      <c r="A15" s="133" t="s">
        <v>80</v>
      </c>
      <c r="B15" s="134">
        <v>3.9499672290879615</v>
      </c>
      <c r="C15" s="134">
        <v>6.9974567663658229</v>
      </c>
      <c r="D15" s="134">
        <v>3.3898908906860337</v>
      </c>
      <c r="E15" s="134">
        <v>6.2108579843856377</v>
      </c>
      <c r="F15" s="134">
        <v>8.5731596286433316</v>
      </c>
      <c r="G15" s="134">
        <v>10.356680907049299</v>
      </c>
      <c r="H15" s="134">
        <v>15.727822232481756</v>
      </c>
      <c r="I15" s="134">
        <v>12.032875440790875</v>
      </c>
      <c r="J15" s="134">
        <v>8.8571264586761629</v>
      </c>
      <c r="K15" s="134">
        <v>8.1690757973061014</v>
      </c>
      <c r="L15" s="134">
        <v>8.3213437694707384</v>
      </c>
      <c r="M15" s="134">
        <v>7.5826404909789726</v>
      </c>
      <c r="N15" s="134">
        <v>7.4521647982505064</v>
      </c>
      <c r="O15" s="134">
        <v>7.1779326144639031</v>
      </c>
      <c r="P15" s="134">
        <v>6.8677530419374788</v>
      </c>
      <c r="Q15" s="134">
        <v>6.8181475177158575</v>
      </c>
      <c r="R15" s="134">
        <v>7.1253157922256882</v>
      </c>
      <c r="S15" s="134">
        <v>8.1162187036682205</v>
      </c>
      <c r="T15" s="134">
        <v>8.4829796068383807</v>
      </c>
      <c r="U15" s="134">
        <v>8.5880606274354339</v>
      </c>
      <c r="V15" s="134">
        <v>8.0452374417440122</v>
      </c>
      <c r="W15" s="134">
        <v>9.283533419842076</v>
      </c>
      <c r="X15" s="134">
        <v>9.959053020338775</v>
      </c>
      <c r="Y15" s="134">
        <v>10.926961941448029</v>
      </c>
      <c r="DA15" s="157" t="s">
        <v>313</v>
      </c>
    </row>
    <row r="16" spans="1:105" ht="12.95" customHeight="1" x14ac:dyDescent="0.25">
      <c r="A16" s="129" t="s">
        <v>74</v>
      </c>
      <c r="B16" s="130">
        <f t="shared" ref="B16:Q16" si="6">SUM(B17:B18)</f>
        <v>7.5502971859707863E-2</v>
      </c>
      <c r="C16" s="130">
        <f t="shared" si="6"/>
        <v>1.0288580685153226</v>
      </c>
      <c r="D16" s="130">
        <f t="shared" si="6"/>
        <v>2.1998921869331847</v>
      </c>
      <c r="E16" s="130">
        <f t="shared" si="6"/>
        <v>3.3159760006926033</v>
      </c>
      <c r="F16" s="130">
        <f t="shared" si="6"/>
        <v>4.1312636038000115</v>
      </c>
      <c r="G16" s="130">
        <f t="shared" si="6"/>
        <v>5.2718638266323889</v>
      </c>
      <c r="H16" s="130">
        <f t="shared" si="6"/>
        <v>7.289413215019561</v>
      </c>
      <c r="I16" s="130">
        <f t="shared" si="6"/>
        <v>11.922843459109981</v>
      </c>
      <c r="J16" s="130">
        <f t="shared" si="6"/>
        <v>11.369736776840202</v>
      </c>
      <c r="K16" s="130">
        <f t="shared" si="6"/>
        <v>12.412354265123426</v>
      </c>
      <c r="L16" s="130">
        <f t="shared" si="6"/>
        <v>16.292708672785174</v>
      </c>
      <c r="M16" s="130">
        <f t="shared" si="6"/>
        <v>15.906484532492446</v>
      </c>
      <c r="N16" s="130">
        <f t="shared" si="6"/>
        <v>27.019316317624344</v>
      </c>
      <c r="O16" s="130">
        <f t="shared" si="6"/>
        <v>20.076234017838971</v>
      </c>
      <c r="P16" s="130">
        <f t="shared" si="6"/>
        <v>20.698723001608684</v>
      </c>
      <c r="Q16" s="130">
        <f t="shared" si="6"/>
        <v>29.136911570471355</v>
      </c>
      <c r="R16" s="130">
        <f t="shared" ref="R16:W16" si="7">SUM(R17:R18)</f>
        <v>25.711720707298262</v>
      </c>
      <c r="S16" s="130">
        <f t="shared" si="7"/>
        <v>28.956618551290227</v>
      </c>
      <c r="T16" s="130">
        <f t="shared" si="7"/>
        <v>26.284048428460991</v>
      </c>
      <c r="U16" s="130">
        <f t="shared" si="7"/>
        <v>30.659687914983376</v>
      </c>
      <c r="V16" s="130">
        <f t="shared" si="7"/>
        <v>28.310289230836752</v>
      </c>
      <c r="W16" s="130">
        <f t="shared" si="7"/>
        <v>33.34470068443725</v>
      </c>
      <c r="X16" s="130">
        <f t="shared" ref="X16:Y16" si="8">SUM(X17:X18)</f>
        <v>35.623761802367532</v>
      </c>
      <c r="Y16" s="130">
        <f t="shared" si="8"/>
        <v>37.510459649766823</v>
      </c>
      <c r="DA16" s="155" t="s">
        <v>314</v>
      </c>
    </row>
    <row r="17" spans="1:105" ht="12.95" customHeight="1" x14ac:dyDescent="0.25">
      <c r="A17" s="131" t="s">
        <v>73</v>
      </c>
      <c r="B17" s="132">
        <v>0</v>
      </c>
      <c r="C17" s="132">
        <v>0</v>
      </c>
      <c r="D17" s="132">
        <v>0</v>
      </c>
      <c r="E17" s="132">
        <v>0</v>
      </c>
      <c r="F17" s="132">
        <v>0</v>
      </c>
      <c r="G17" s="132">
        <v>0</v>
      </c>
      <c r="H17" s="132">
        <v>0</v>
      </c>
      <c r="I17" s="132">
        <v>0</v>
      </c>
      <c r="J17" s="132">
        <v>0</v>
      </c>
      <c r="K17" s="132">
        <v>0</v>
      </c>
      <c r="L17" s="132">
        <v>0</v>
      </c>
      <c r="M17" s="132">
        <v>0</v>
      </c>
      <c r="N17" s="132">
        <v>0</v>
      </c>
      <c r="O17" s="132">
        <v>0</v>
      </c>
      <c r="P17" s="132">
        <v>0</v>
      </c>
      <c r="Q17" s="132">
        <v>0</v>
      </c>
      <c r="R17" s="132">
        <v>0</v>
      </c>
      <c r="S17" s="132">
        <v>0</v>
      </c>
      <c r="T17" s="132">
        <v>0</v>
      </c>
      <c r="U17" s="132">
        <v>0</v>
      </c>
      <c r="V17" s="132">
        <v>0</v>
      </c>
      <c r="W17" s="132">
        <v>0</v>
      </c>
      <c r="X17" s="132">
        <v>0</v>
      </c>
      <c r="Y17" s="132">
        <v>0</v>
      </c>
      <c r="DA17" s="156" t="s">
        <v>315</v>
      </c>
    </row>
    <row r="18" spans="1:105" ht="12" customHeight="1" x14ac:dyDescent="0.25">
      <c r="A18" s="131" t="s">
        <v>72</v>
      </c>
      <c r="B18" s="132">
        <v>7.5502971859707863E-2</v>
      </c>
      <c r="C18" s="132">
        <v>1.0288580685153226</v>
      </c>
      <c r="D18" s="132">
        <v>2.1998921869331847</v>
      </c>
      <c r="E18" s="132">
        <v>3.3159760006926033</v>
      </c>
      <c r="F18" s="132">
        <v>4.1312636038000115</v>
      </c>
      <c r="G18" s="132">
        <v>5.2718638266323889</v>
      </c>
      <c r="H18" s="132">
        <v>7.289413215019561</v>
      </c>
      <c r="I18" s="132">
        <v>11.922843459109981</v>
      </c>
      <c r="J18" s="132">
        <v>11.369736776840202</v>
      </c>
      <c r="K18" s="132">
        <v>12.412354265123426</v>
      </c>
      <c r="L18" s="132">
        <v>16.292708672785174</v>
      </c>
      <c r="M18" s="132">
        <v>15.906484532492446</v>
      </c>
      <c r="N18" s="132">
        <v>27.019316317624344</v>
      </c>
      <c r="O18" s="132">
        <v>20.076234017838971</v>
      </c>
      <c r="P18" s="132">
        <v>20.698723001608684</v>
      </c>
      <c r="Q18" s="132">
        <v>29.136911570471355</v>
      </c>
      <c r="R18" s="132">
        <v>25.711720707298262</v>
      </c>
      <c r="S18" s="132">
        <v>28.956618551290227</v>
      </c>
      <c r="T18" s="132">
        <v>26.284048428460991</v>
      </c>
      <c r="U18" s="132">
        <v>30.659687914983376</v>
      </c>
      <c r="V18" s="132">
        <v>28.310289230836752</v>
      </c>
      <c r="W18" s="132">
        <v>33.34470068443725</v>
      </c>
      <c r="X18" s="132">
        <v>35.623761802367532</v>
      </c>
      <c r="Y18" s="132">
        <v>37.510459649766823</v>
      </c>
      <c r="DA18" s="156" t="s">
        <v>316</v>
      </c>
    </row>
    <row r="19" spans="1:105" ht="12.95" customHeight="1" x14ac:dyDescent="0.25">
      <c r="A19" s="129" t="s">
        <v>35</v>
      </c>
      <c r="B19" s="130">
        <f t="shared" ref="B19:Q19" si="9">SUM(B20:B27)</f>
        <v>58.916944317345397</v>
      </c>
      <c r="C19" s="130">
        <f t="shared" si="9"/>
        <v>70.35119275132601</v>
      </c>
      <c r="D19" s="130">
        <f t="shared" si="9"/>
        <v>35.708638042116831</v>
      </c>
      <c r="E19" s="130">
        <f t="shared" si="9"/>
        <v>82.732943538184429</v>
      </c>
      <c r="F19" s="130">
        <f t="shared" si="9"/>
        <v>100.58974535136852</v>
      </c>
      <c r="G19" s="130">
        <f t="shared" si="9"/>
        <v>109.14434925911422</v>
      </c>
      <c r="H19" s="130">
        <f t="shared" si="9"/>
        <v>119.31424303261926</v>
      </c>
      <c r="I19" s="130">
        <f t="shared" si="9"/>
        <v>125.87931227326432</v>
      </c>
      <c r="J19" s="130">
        <f t="shared" si="9"/>
        <v>127.7453631041727</v>
      </c>
      <c r="K19" s="130">
        <f t="shared" si="9"/>
        <v>130.33969702627559</v>
      </c>
      <c r="L19" s="130">
        <f t="shared" si="9"/>
        <v>131.55514987207118</v>
      </c>
      <c r="M19" s="130">
        <f t="shared" si="9"/>
        <v>142.11251912107974</v>
      </c>
      <c r="N19" s="130">
        <f t="shared" si="9"/>
        <v>145.18071473445718</v>
      </c>
      <c r="O19" s="130">
        <f t="shared" si="9"/>
        <v>155.38648154112505</v>
      </c>
      <c r="P19" s="130">
        <f t="shared" si="9"/>
        <v>164.2320294708538</v>
      </c>
      <c r="Q19" s="130">
        <f t="shared" si="9"/>
        <v>176.43959416298568</v>
      </c>
      <c r="R19" s="130">
        <f t="shared" ref="R19:W19" si="10">SUM(R20:R27)</f>
        <v>183.50556565910401</v>
      </c>
      <c r="S19" s="130">
        <f t="shared" si="10"/>
        <v>192.18411833753598</v>
      </c>
      <c r="T19" s="130">
        <f t="shared" si="10"/>
        <v>193.80786737453673</v>
      </c>
      <c r="U19" s="130">
        <f t="shared" si="10"/>
        <v>190.46468115350874</v>
      </c>
      <c r="V19" s="130">
        <f t="shared" si="10"/>
        <v>184.69277780608434</v>
      </c>
      <c r="W19" s="130">
        <f t="shared" si="10"/>
        <v>208.60549200631047</v>
      </c>
      <c r="X19" s="130">
        <f t="shared" ref="X19:Y19" si="11">SUM(X20:X27)</f>
        <v>215.99733820947915</v>
      </c>
      <c r="Y19" s="130">
        <f t="shared" si="11"/>
        <v>226.05320854529759</v>
      </c>
      <c r="DA19" s="155" t="s">
        <v>317</v>
      </c>
    </row>
    <row r="20" spans="1:105" ht="12" customHeight="1" x14ac:dyDescent="0.25">
      <c r="A20" s="131" t="s">
        <v>29</v>
      </c>
      <c r="B20" s="132">
        <v>0</v>
      </c>
      <c r="C20" s="132">
        <v>0</v>
      </c>
      <c r="D20" s="132">
        <v>0</v>
      </c>
      <c r="E20" s="132">
        <v>0</v>
      </c>
      <c r="F20" s="132">
        <v>0</v>
      </c>
      <c r="G20" s="132">
        <v>0</v>
      </c>
      <c r="H20" s="132">
        <v>0</v>
      </c>
      <c r="I20" s="132">
        <v>0</v>
      </c>
      <c r="J20" s="132">
        <v>0</v>
      </c>
      <c r="K20" s="132">
        <v>0</v>
      </c>
      <c r="L20" s="132">
        <v>0</v>
      </c>
      <c r="M20" s="132">
        <v>0</v>
      </c>
      <c r="N20" s="132">
        <v>0</v>
      </c>
      <c r="O20" s="132">
        <v>0</v>
      </c>
      <c r="P20" s="132">
        <v>0</v>
      </c>
      <c r="Q20" s="132">
        <v>0</v>
      </c>
      <c r="R20" s="132">
        <v>0</v>
      </c>
      <c r="S20" s="132">
        <v>0</v>
      </c>
      <c r="T20" s="132">
        <v>0</v>
      </c>
      <c r="U20" s="132">
        <v>0</v>
      </c>
      <c r="V20" s="132">
        <v>0</v>
      </c>
      <c r="W20" s="132">
        <v>0</v>
      </c>
      <c r="X20" s="132">
        <v>0</v>
      </c>
      <c r="Y20" s="132">
        <v>0</v>
      </c>
      <c r="DA20" s="156" t="s">
        <v>318</v>
      </c>
    </row>
    <row r="21" spans="1:105" s="2" customFormat="1" ht="12" customHeight="1" x14ac:dyDescent="0.25">
      <c r="A21" s="131" t="s">
        <v>52</v>
      </c>
      <c r="B21" s="132">
        <v>0</v>
      </c>
      <c r="C21" s="132">
        <v>0</v>
      </c>
      <c r="D21" s="132">
        <v>0</v>
      </c>
      <c r="E21" s="132">
        <v>0</v>
      </c>
      <c r="F21" s="132">
        <v>0</v>
      </c>
      <c r="G21" s="132">
        <v>0</v>
      </c>
      <c r="H21" s="132">
        <v>0</v>
      </c>
      <c r="I21" s="132">
        <v>0</v>
      </c>
      <c r="J21" s="132">
        <v>0</v>
      </c>
      <c r="K21" s="132">
        <v>0</v>
      </c>
      <c r="L21" s="132">
        <v>0</v>
      </c>
      <c r="M21" s="132">
        <v>0</v>
      </c>
      <c r="N21" s="132">
        <v>0</v>
      </c>
      <c r="O21" s="132">
        <v>0</v>
      </c>
      <c r="P21" s="132">
        <v>0</v>
      </c>
      <c r="Q21" s="132">
        <v>0</v>
      </c>
      <c r="R21" s="132">
        <v>0</v>
      </c>
      <c r="S21" s="132">
        <v>0</v>
      </c>
      <c r="T21" s="132">
        <v>0</v>
      </c>
      <c r="U21" s="132">
        <v>0</v>
      </c>
      <c r="V21" s="132">
        <v>0</v>
      </c>
      <c r="W21" s="132">
        <v>0</v>
      </c>
      <c r="X21" s="132">
        <v>0</v>
      </c>
      <c r="Y21" s="132">
        <v>0</v>
      </c>
      <c r="DA21" s="156" t="s">
        <v>319</v>
      </c>
    </row>
    <row r="22" spans="1:105" ht="12" customHeight="1" x14ac:dyDescent="0.25">
      <c r="A22" s="131" t="s">
        <v>161</v>
      </c>
      <c r="B22" s="132">
        <v>1.4953356762027132</v>
      </c>
      <c r="C22" s="132">
        <v>3.0265331149938963</v>
      </c>
      <c r="D22" s="132">
        <v>11.051233492207103</v>
      </c>
      <c r="E22" s="132">
        <v>15.168557202573135</v>
      </c>
      <c r="F22" s="132">
        <v>16.708155963989444</v>
      </c>
      <c r="G22" s="132">
        <v>16.319204574151982</v>
      </c>
      <c r="H22" s="132">
        <v>8.7168726505373151</v>
      </c>
      <c r="I22" s="132">
        <v>8.2859978554428899</v>
      </c>
      <c r="J22" s="132">
        <v>8.1321155364511455</v>
      </c>
      <c r="K22" s="132">
        <v>7.5979085350459803</v>
      </c>
      <c r="L22" s="132">
        <v>7.8702943439823478</v>
      </c>
      <c r="M22" s="132">
        <v>8.4392876745408252</v>
      </c>
      <c r="N22" s="132">
        <v>11.57458827272924</v>
      </c>
      <c r="O22" s="132">
        <v>16.958123769564985</v>
      </c>
      <c r="P22" s="132">
        <v>18.217466360600831</v>
      </c>
      <c r="Q22" s="132">
        <v>20.267025715152442</v>
      </c>
      <c r="R22" s="132">
        <v>19.29855352310301</v>
      </c>
      <c r="S22" s="132">
        <v>27.568633891719287</v>
      </c>
      <c r="T22" s="132">
        <v>32.14009723939936</v>
      </c>
      <c r="U22" s="132">
        <v>31.377900750165061</v>
      </c>
      <c r="V22" s="132">
        <v>32.085217786758371</v>
      </c>
      <c r="W22" s="132">
        <v>50.154610153924672</v>
      </c>
      <c r="X22" s="132">
        <v>50.104080648514049</v>
      </c>
      <c r="Y22" s="132">
        <v>51.172128866592828</v>
      </c>
      <c r="DA22" s="156" t="s">
        <v>320</v>
      </c>
    </row>
    <row r="23" spans="1:105" ht="12" customHeight="1" x14ac:dyDescent="0.25">
      <c r="A23" s="131" t="s">
        <v>149</v>
      </c>
      <c r="B23" s="132">
        <v>7.8976173025973138</v>
      </c>
      <c r="C23" s="132">
        <v>7.5213803525187997</v>
      </c>
      <c r="D23" s="132">
        <v>7.1204371453250861</v>
      </c>
      <c r="E23" s="132">
        <v>18.410354636900514</v>
      </c>
      <c r="F23" s="132">
        <v>39.656906556360966</v>
      </c>
      <c r="G23" s="132">
        <v>41.590506014777141</v>
      </c>
      <c r="H23" s="132">
        <v>54.506625729802209</v>
      </c>
      <c r="I23" s="132">
        <v>47.685118518754891</v>
      </c>
      <c r="J23" s="132">
        <v>41.312513865713839</v>
      </c>
      <c r="K23" s="132">
        <v>61.633078509927223</v>
      </c>
      <c r="L23" s="132">
        <v>62.045554948392741</v>
      </c>
      <c r="M23" s="132">
        <v>56.554156947169815</v>
      </c>
      <c r="N23" s="132">
        <v>55.467255044424547</v>
      </c>
      <c r="O23" s="132">
        <v>59.260867000571935</v>
      </c>
      <c r="P23" s="132">
        <v>66.17432504962774</v>
      </c>
      <c r="Q23" s="132">
        <v>75.25743941021237</v>
      </c>
      <c r="R23" s="132">
        <v>84.754019846341052</v>
      </c>
      <c r="S23" s="132">
        <v>94.175010536006852</v>
      </c>
      <c r="T23" s="132">
        <v>93.138555258302944</v>
      </c>
      <c r="U23" s="132">
        <v>95.632991529656294</v>
      </c>
      <c r="V23" s="132">
        <v>92.961361710460835</v>
      </c>
      <c r="W23" s="132">
        <v>92.897015834181445</v>
      </c>
      <c r="X23" s="132">
        <v>91.10619467378541</v>
      </c>
      <c r="Y23" s="132">
        <v>84.981741236517223</v>
      </c>
      <c r="DA23" s="156" t="s">
        <v>321</v>
      </c>
    </row>
    <row r="24" spans="1:105" ht="12" customHeight="1" x14ac:dyDescent="0.25">
      <c r="A24" s="131" t="s">
        <v>128</v>
      </c>
      <c r="B24" s="132">
        <v>7.3230833378306741</v>
      </c>
      <c r="C24" s="132">
        <v>4.420888230603933</v>
      </c>
      <c r="D24" s="132">
        <v>6.633588582988744</v>
      </c>
      <c r="E24" s="132">
        <v>6.6696275973014938</v>
      </c>
      <c r="F24" s="132">
        <v>5.3446027306599211</v>
      </c>
      <c r="G24" s="132">
        <v>4.4470892073709223</v>
      </c>
      <c r="H24" s="132">
        <v>4.2236371537170383</v>
      </c>
      <c r="I24" s="132">
        <v>4.0038189618838107</v>
      </c>
      <c r="J24" s="132">
        <v>4.0251933967298896</v>
      </c>
      <c r="K24" s="132">
        <v>4.3762495875407446</v>
      </c>
      <c r="L24" s="132">
        <v>4.9732108936499078</v>
      </c>
      <c r="M24" s="132">
        <v>5.6773999469680998</v>
      </c>
      <c r="N24" s="132">
        <v>6.3344777481883749</v>
      </c>
      <c r="O24" s="132">
        <v>6.7489208758788912</v>
      </c>
      <c r="P24" s="132">
        <v>7.0292411327711521</v>
      </c>
      <c r="Q24" s="132">
        <v>7.4156180485354435</v>
      </c>
      <c r="R24" s="132">
        <v>6.3734538814028445</v>
      </c>
      <c r="S24" s="132">
        <v>5.5034469625750901</v>
      </c>
      <c r="T24" s="132">
        <v>5.8056653270656469</v>
      </c>
      <c r="U24" s="132">
        <v>4.3473826152419939</v>
      </c>
      <c r="V24" s="132">
        <v>3.9487244335539144</v>
      </c>
      <c r="W24" s="132">
        <v>4.0174751928497088</v>
      </c>
      <c r="X24" s="132">
        <v>3.6760990820046189</v>
      </c>
      <c r="Y24" s="132">
        <v>3.6848762864194353</v>
      </c>
      <c r="DA24" s="156" t="s">
        <v>322</v>
      </c>
    </row>
    <row r="25" spans="1:105" ht="12" customHeight="1" x14ac:dyDescent="0.25">
      <c r="A25" s="131" t="s">
        <v>162</v>
      </c>
      <c r="B25" s="132">
        <v>27.967618833272809</v>
      </c>
      <c r="C25" s="132">
        <v>16.020639577281269</v>
      </c>
      <c r="D25" s="132">
        <v>7.5181381761672075</v>
      </c>
      <c r="E25" s="132">
        <v>10.71133870127208</v>
      </c>
      <c r="F25" s="132">
        <v>7.5823633095701641</v>
      </c>
      <c r="G25" s="132">
        <v>12.834820239859232</v>
      </c>
      <c r="H25" s="132">
        <v>13.022778261775294</v>
      </c>
      <c r="I25" s="132">
        <v>14.259221642885398</v>
      </c>
      <c r="J25" s="132">
        <v>19.3637181959391</v>
      </c>
      <c r="K25" s="132">
        <v>20.058720594608381</v>
      </c>
      <c r="L25" s="132">
        <v>21.267678004756725</v>
      </c>
      <c r="M25" s="132">
        <v>24.350933388017058</v>
      </c>
      <c r="N25" s="132">
        <v>26.869235360798189</v>
      </c>
      <c r="O25" s="132">
        <v>28.409621590072426</v>
      </c>
      <c r="P25" s="132">
        <v>26.581847757828612</v>
      </c>
      <c r="Q25" s="132">
        <v>27.651516283452573</v>
      </c>
      <c r="R25" s="132">
        <v>27.825170776036988</v>
      </c>
      <c r="S25" s="132">
        <v>25.83205516052281</v>
      </c>
      <c r="T25" s="132">
        <v>24.17591457874963</v>
      </c>
      <c r="U25" s="132">
        <v>21.788299721932017</v>
      </c>
      <c r="V25" s="132">
        <v>21.477318853915698</v>
      </c>
      <c r="W25" s="132">
        <v>21.866321030240979</v>
      </c>
      <c r="X25" s="132">
        <v>18.034011371137304</v>
      </c>
      <c r="Y25" s="132">
        <v>19.087216314199761</v>
      </c>
      <c r="DA25" s="156" t="s">
        <v>323</v>
      </c>
    </row>
    <row r="26" spans="1:105" ht="12" customHeight="1" x14ac:dyDescent="0.25">
      <c r="A26" s="131" t="s">
        <v>24</v>
      </c>
      <c r="B26" s="65">
        <v>14.233289167441885</v>
      </c>
      <c r="C26" s="65">
        <v>39.361751475928116</v>
      </c>
      <c r="D26" s="65">
        <v>3.3852406454286941</v>
      </c>
      <c r="E26" s="65">
        <v>31.773065400137209</v>
      </c>
      <c r="F26" s="65">
        <v>31.297716790788023</v>
      </c>
      <c r="G26" s="65">
        <v>33.952729222954943</v>
      </c>
      <c r="H26" s="65">
        <v>38.844329236787424</v>
      </c>
      <c r="I26" s="65">
        <v>51.621251596962864</v>
      </c>
      <c r="J26" s="65">
        <v>54.911822109338722</v>
      </c>
      <c r="K26" s="65">
        <v>36.673739799153239</v>
      </c>
      <c r="L26" s="65">
        <v>35.326786573808803</v>
      </c>
      <c r="M26" s="65">
        <v>47.042933769714992</v>
      </c>
      <c r="N26" s="65">
        <v>44.839629503501705</v>
      </c>
      <c r="O26" s="65">
        <v>43.961140910367867</v>
      </c>
      <c r="P26" s="65">
        <v>46.181341775356529</v>
      </c>
      <c r="Q26" s="65">
        <v>45.824091008298389</v>
      </c>
      <c r="R26" s="65">
        <v>45.230463934885641</v>
      </c>
      <c r="S26" s="65">
        <v>39.042718992214951</v>
      </c>
      <c r="T26" s="65">
        <v>38.49028329432096</v>
      </c>
      <c r="U26" s="65">
        <v>37.250952624217575</v>
      </c>
      <c r="V26" s="65">
        <v>34.182407815892532</v>
      </c>
      <c r="W26" s="65">
        <v>39.271875470092162</v>
      </c>
      <c r="X26" s="65">
        <v>52.713065933607879</v>
      </c>
      <c r="Y26" s="65">
        <v>66.73954162832672</v>
      </c>
      <c r="DA26" s="109" t="s">
        <v>324</v>
      </c>
    </row>
    <row r="27" spans="1:105" ht="12" customHeight="1" x14ac:dyDescent="0.25">
      <c r="A27" s="144" t="s">
        <v>26</v>
      </c>
      <c r="B27" s="145">
        <v>0</v>
      </c>
      <c r="C27" s="145">
        <v>0</v>
      </c>
      <c r="D27" s="145">
        <v>0</v>
      </c>
      <c r="E27" s="145">
        <v>0</v>
      </c>
      <c r="F27" s="145">
        <v>0</v>
      </c>
      <c r="G27" s="145">
        <v>0</v>
      </c>
      <c r="H27" s="145">
        <v>0</v>
      </c>
      <c r="I27" s="145">
        <v>2.3903697334479789E-2</v>
      </c>
      <c r="J27" s="145">
        <v>0</v>
      </c>
      <c r="K27" s="145">
        <v>0</v>
      </c>
      <c r="L27" s="145">
        <v>7.1625107480653455E-2</v>
      </c>
      <c r="M27" s="145">
        <v>4.7807394668959599E-2</v>
      </c>
      <c r="N27" s="145">
        <v>9.5528804815133261E-2</v>
      </c>
      <c r="O27" s="145">
        <v>4.7807394668959592E-2</v>
      </c>
      <c r="P27" s="145">
        <v>4.7807394668959599E-2</v>
      </c>
      <c r="Q27" s="145">
        <v>2.3903697334479789E-2</v>
      </c>
      <c r="R27" s="145">
        <v>2.3903697334479786E-2</v>
      </c>
      <c r="S27" s="145">
        <v>6.2252794496990532E-2</v>
      </c>
      <c r="T27" s="145">
        <v>5.735167669819434E-2</v>
      </c>
      <c r="U27" s="145">
        <v>6.7153912295786738E-2</v>
      </c>
      <c r="V27" s="145">
        <v>3.7747205503009446E-2</v>
      </c>
      <c r="W27" s="145">
        <v>0.3981943250214961</v>
      </c>
      <c r="X27" s="145">
        <v>0.3638865004299226</v>
      </c>
      <c r="Y27" s="145">
        <v>0.38770421324161664</v>
      </c>
      <c r="DA27" s="158" t="s">
        <v>325</v>
      </c>
    </row>
    <row r="28" spans="1:105" ht="12" hidden="1" customHeight="1" x14ac:dyDescent="0.25">
      <c r="A28" s="78" t="s">
        <v>26</v>
      </c>
      <c r="B28" s="68"/>
      <c r="C28" s="68"/>
      <c r="D28" s="68"/>
      <c r="E28" s="68"/>
      <c r="F28" s="68"/>
      <c r="G28" s="68"/>
      <c r="H28" s="68"/>
      <c r="I28" s="68"/>
      <c r="J28" s="68"/>
      <c r="K28" s="68"/>
      <c r="L28" s="68"/>
      <c r="M28" s="68"/>
      <c r="N28" s="68"/>
      <c r="O28" s="68"/>
      <c r="P28" s="68"/>
      <c r="Q28" s="68"/>
      <c r="R28" s="68"/>
      <c r="S28" s="68"/>
      <c r="T28" s="68"/>
      <c r="U28" s="68"/>
      <c r="V28" s="68"/>
      <c r="W28" s="68"/>
      <c r="X28" s="68"/>
      <c r="Y28" s="68"/>
      <c r="DA28" s="111"/>
    </row>
    <row r="29" spans="1:105" ht="12.95" customHeight="1" x14ac:dyDescent="0.25">
      <c r="A29" s="129" t="s">
        <v>34</v>
      </c>
      <c r="B29" s="130">
        <f t="shared" ref="B29:Q29" si="12">SUM(B30:B33)</f>
        <v>100.85556556657788</v>
      </c>
      <c r="C29" s="130">
        <f t="shared" si="12"/>
        <v>106.73373601013967</v>
      </c>
      <c r="D29" s="130">
        <f t="shared" si="12"/>
        <v>80.600525796241058</v>
      </c>
      <c r="E29" s="130">
        <f t="shared" si="12"/>
        <v>117.069129291715</v>
      </c>
      <c r="F29" s="130">
        <f t="shared" si="12"/>
        <v>131.89945773571523</v>
      </c>
      <c r="G29" s="130">
        <f t="shared" si="12"/>
        <v>147.59865596884021</v>
      </c>
      <c r="H29" s="130">
        <f t="shared" si="12"/>
        <v>160.28329520821541</v>
      </c>
      <c r="I29" s="130">
        <f t="shared" si="12"/>
        <v>166.90084672033879</v>
      </c>
      <c r="J29" s="130">
        <f t="shared" si="12"/>
        <v>180.68680872665482</v>
      </c>
      <c r="K29" s="130">
        <f t="shared" si="12"/>
        <v>185.4086852347082</v>
      </c>
      <c r="L29" s="130">
        <f t="shared" si="12"/>
        <v>195.13899681451684</v>
      </c>
      <c r="M29" s="130">
        <f t="shared" si="12"/>
        <v>202.77848094423331</v>
      </c>
      <c r="N29" s="130">
        <f t="shared" si="12"/>
        <v>211.10215177195329</v>
      </c>
      <c r="O29" s="130">
        <f t="shared" si="12"/>
        <v>229.68379092943891</v>
      </c>
      <c r="P29" s="130">
        <f t="shared" si="12"/>
        <v>242.24456702500532</v>
      </c>
      <c r="Q29" s="130">
        <f t="shared" si="12"/>
        <v>257.70282128923782</v>
      </c>
      <c r="R29" s="130">
        <f t="shared" ref="R29:W29" si="13">SUM(R30:R33)</f>
        <v>259.16151435833137</v>
      </c>
      <c r="S29" s="130">
        <f t="shared" si="13"/>
        <v>263.53428017035304</v>
      </c>
      <c r="T29" s="130">
        <f t="shared" si="13"/>
        <v>274.09662316302001</v>
      </c>
      <c r="U29" s="130">
        <f t="shared" si="13"/>
        <v>281.836670705492</v>
      </c>
      <c r="V29" s="130">
        <f t="shared" si="13"/>
        <v>260.69801172628553</v>
      </c>
      <c r="W29" s="130">
        <f t="shared" si="13"/>
        <v>282.29340792190425</v>
      </c>
      <c r="X29" s="130">
        <f t="shared" ref="X29:Y29" si="14">SUM(X30:X33)</f>
        <v>304.33758069753316</v>
      </c>
      <c r="Y29" s="130">
        <f t="shared" si="14"/>
        <v>317.36786431055128</v>
      </c>
      <c r="DA29" s="155" t="s">
        <v>326</v>
      </c>
    </row>
    <row r="30" spans="1:105" ht="12" customHeight="1" x14ac:dyDescent="0.25">
      <c r="A30" s="131" t="s">
        <v>52</v>
      </c>
      <c r="B30" s="132">
        <v>13.46340043565989</v>
      </c>
      <c r="C30" s="132">
        <v>7.4337529229851125</v>
      </c>
      <c r="D30" s="132">
        <v>4.7441064734743223</v>
      </c>
      <c r="E30" s="132">
        <v>20.372055163724315</v>
      </c>
      <c r="F30" s="132">
        <v>44.203695997748135</v>
      </c>
      <c r="G30" s="132">
        <v>54.696405662273001</v>
      </c>
      <c r="H30" s="132">
        <v>22.164030672044998</v>
      </c>
      <c r="I30" s="132">
        <v>65.815557338027659</v>
      </c>
      <c r="J30" s="132">
        <v>15.246017636099037</v>
      </c>
      <c r="K30" s="132">
        <v>8.3192524415739353</v>
      </c>
      <c r="L30" s="132">
        <v>13.174095970203011</v>
      </c>
      <c r="M30" s="132">
        <v>8.3204680190472935</v>
      </c>
      <c r="N30" s="132">
        <v>10.404387172832802</v>
      </c>
      <c r="O30" s="132">
        <v>11.805706678749186</v>
      </c>
      <c r="P30" s="132">
        <v>15.30100186620427</v>
      </c>
      <c r="Q30" s="132">
        <v>19.508990793627238</v>
      </c>
      <c r="R30" s="132">
        <v>18.160386962104894</v>
      </c>
      <c r="S30" s="132">
        <v>18.030840253764588</v>
      </c>
      <c r="T30" s="132">
        <v>18.520562164280939</v>
      </c>
      <c r="U30" s="132">
        <v>18.161842246184012</v>
      </c>
      <c r="V30" s="132">
        <v>16.349690775811251</v>
      </c>
      <c r="W30" s="132">
        <v>16.18043384792562</v>
      </c>
      <c r="X30" s="132">
        <v>15.825407717459386</v>
      </c>
      <c r="Y30" s="132">
        <v>13.872026222747431</v>
      </c>
      <c r="DA30" s="156" t="s">
        <v>327</v>
      </c>
    </row>
    <row r="31" spans="1:105" ht="12" customHeight="1" x14ac:dyDescent="0.25">
      <c r="A31" s="131" t="s">
        <v>149</v>
      </c>
      <c r="B31" s="132">
        <v>20.755489114487744</v>
      </c>
      <c r="C31" s="132">
        <v>27.585148139673013</v>
      </c>
      <c r="D31" s="132">
        <v>19.466850651650404</v>
      </c>
      <c r="E31" s="132">
        <v>44.090895864983615</v>
      </c>
      <c r="F31" s="132">
        <v>80.598804745039502</v>
      </c>
      <c r="G31" s="132">
        <v>74.990418324397751</v>
      </c>
      <c r="H31" s="132">
        <v>105.1915806890252</v>
      </c>
      <c r="I31" s="132">
        <v>78.249801526317526</v>
      </c>
      <c r="J31" s="132">
        <v>81.423525145823874</v>
      </c>
      <c r="K31" s="132">
        <v>80.432171297225523</v>
      </c>
      <c r="L31" s="132">
        <v>78.491369917841965</v>
      </c>
      <c r="M31" s="132">
        <v>76.701013024449111</v>
      </c>
      <c r="N31" s="132">
        <v>74.098787234134903</v>
      </c>
      <c r="O31" s="132">
        <v>75.167286326192155</v>
      </c>
      <c r="P31" s="132">
        <v>74.829459796156655</v>
      </c>
      <c r="Q31" s="132">
        <v>82.940539636118416</v>
      </c>
      <c r="R31" s="132">
        <v>83.705600344405681</v>
      </c>
      <c r="S31" s="132">
        <v>94.05442510496502</v>
      </c>
      <c r="T31" s="132">
        <v>94.138550034832036</v>
      </c>
      <c r="U31" s="132">
        <v>96.738604447043528</v>
      </c>
      <c r="V31" s="132">
        <v>93.351626484767763</v>
      </c>
      <c r="W31" s="132">
        <v>96.285041241574064</v>
      </c>
      <c r="X31" s="132">
        <v>97.515927190120209</v>
      </c>
      <c r="Y31" s="132">
        <v>99.900489350355656</v>
      </c>
      <c r="DA31" s="156" t="s">
        <v>328</v>
      </c>
    </row>
    <row r="32" spans="1:105" ht="12" customHeight="1" x14ac:dyDescent="0.25">
      <c r="A32" s="131" t="s">
        <v>128</v>
      </c>
      <c r="B32" s="132">
        <v>0</v>
      </c>
      <c r="C32" s="132">
        <v>0</v>
      </c>
      <c r="D32" s="132">
        <v>0</v>
      </c>
      <c r="E32" s="132">
        <v>0</v>
      </c>
      <c r="F32" s="132">
        <v>0</v>
      </c>
      <c r="G32" s="132">
        <v>0</v>
      </c>
      <c r="H32" s="132">
        <v>0</v>
      </c>
      <c r="I32" s="132">
        <v>0</v>
      </c>
      <c r="J32" s="132">
        <v>0</v>
      </c>
      <c r="K32" s="132">
        <v>0</v>
      </c>
      <c r="L32" s="132">
        <v>0</v>
      </c>
      <c r="M32" s="132">
        <v>0</v>
      </c>
      <c r="N32" s="132">
        <v>0</v>
      </c>
      <c r="O32" s="132">
        <v>0</v>
      </c>
      <c r="P32" s="132">
        <v>0</v>
      </c>
      <c r="Q32" s="132">
        <v>0</v>
      </c>
      <c r="R32" s="132">
        <v>0</v>
      </c>
      <c r="S32" s="132">
        <v>0</v>
      </c>
      <c r="T32" s="132">
        <v>0</v>
      </c>
      <c r="U32" s="132">
        <v>0</v>
      </c>
      <c r="V32" s="132">
        <v>0</v>
      </c>
      <c r="W32" s="132">
        <v>0</v>
      </c>
      <c r="X32" s="132">
        <v>0</v>
      </c>
      <c r="Y32" s="132">
        <v>0</v>
      </c>
      <c r="DA32" s="156" t="s">
        <v>329</v>
      </c>
    </row>
    <row r="33" spans="1:105" ht="12" customHeight="1" x14ac:dyDescent="0.25">
      <c r="A33" s="62" t="s">
        <v>24</v>
      </c>
      <c r="B33" s="68">
        <v>66.636676016430243</v>
      </c>
      <c r="C33" s="68">
        <v>71.714834947481535</v>
      </c>
      <c r="D33" s="68">
        <v>56.389568671116336</v>
      </c>
      <c r="E33" s="68">
        <v>52.60617826300706</v>
      </c>
      <c r="F33" s="68">
        <v>7.0969569929275975</v>
      </c>
      <c r="G33" s="68">
        <v>17.911831982169439</v>
      </c>
      <c r="H33" s="68">
        <v>32.92768384714519</v>
      </c>
      <c r="I33" s="68">
        <v>22.83548785599363</v>
      </c>
      <c r="J33" s="68">
        <v>84.017265944731889</v>
      </c>
      <c r="K33" s="68">
        <v>96.657261495908742</v>
      </c>
      <c r="L33" s="68">
        <v>103.47353092647187</v>
      </c>
      <c r="M33" s="68">
        <v>117.75699990073689</v>
      </c>
      <c r="N33" s="68">
        <v>126.59897736498557</v>
      </c>
      <c r="O33" s="68">
        <v>142.71079792449757</v>
      </c>
      <c r="P33" s="68">
        <v>152.11410536264441</v>
      </c>
      <c r="Q33" s="68">
        <v>155.25329085949218</v>
      </c>
      <c r="R33" s="68">
        <v>157.29552705182078</v>
      </c>
      <c r="S33" s="68">
        <v>151.44901481162344</v>
      </c>
      <c r="T33" s="68">
        <v>161.43751096390704</v>
      </c>
      <c r="U33" s="68">
        <v>166.93622401226446</v>
      </c>
      <c r="V33" s="68">
        <v>150.9966944657065</v>
      </c>
      <c r="W33" s="68">
        <v>169.82793283240457</v>
      </c>
      <c r="X33" s="68">
        <v>190.99624578995355</v>
      </c>
      <c r="Y33" s="68">
        <v>203.59534873744821</v>
      </c>
      <c r="DA33" s="111" t="s">
        <v>330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4">
    <tabColor theme="6" tint="0.39997558519241921"/>
    <pageSetUpPr fitToPage="1"/>
  </sheetPr>
  <dimension ref="A1:DA33"/>
  <sheetViews>
    <sheetView showGridLines="0" zoomScaleNormal="100" workbookViewId="0">
      <pane xSplit="1" ySplit="1" topLeftCell="G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40.7109375" style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12.95" customHeight="1" x14ac:dyDescent="0.25">
      <c r="A1" s="28" t="s">
        <v>331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X1" s="27">
        <v>2022</v>
      </c>
      <c r="Y1" s="27">
        <v>2023</v>
      </c>
      <c r="DA1" s="87" t="s">
        <v>150</v>
      </c>
    </row>
    <row r="2" spans="1:105" s="2" customFormat="1" ht="12" customHeight="1" x14ac:dyDescent="0.25">
      <c r="DA2" s="7"/>
    </row>
    <row r="3" spans="1:105" ht="12.95" customHeight="1" x14ac:dyDescent="0.25">
      <c r="A3" s="123" t="s">
        <v>83</v>
      </c>
      <c r="B3" s="126">
        <f>IF(SER_hh_tes!B3=0,"",SER_hh_tes!B3/SER_hh_fec!B3)</f>
        <v>0.64539398370782197</v>
      </c>
      <c r="C3" s="126">
        <f>IF(SER_hh_tes!C3=0,"",SER_hh_tes!C3/SER_hh_fec!C3)</f>
        <v>0.59473394838271754</v>
      </c>
      <c r="D3" s="126">
        <f>IF(SER_hh_tes!D3=0,"",SER_hh_tes!D3/SER_hh_fec!D3)</f>
        <v>0.58078530790086913</v>
      </c>
      <c r="E3" s="126">
        <f>IF(SER_hh_tes!E3=0,"",SER_hh_tes!E3/SER_hh_fec!E3)</f>
        <v>0.57415546784595195</v>
      </c>
      <c r="F3" s="126">
        <f>IF(SER_hh_tes!F3=0,"",SER_hh_tes!F3/SER_hh_fec!F3)</f>
        <v>0.54476395054226923</v>
      </c>
      <c r="G3" s="126">
        <f>IF(SER_hh_tes!G3=0,"",SER_hh_tes!G3/SER_hh_fec!G3)</f>
        <v>0.57428942466515476</v>
      </c>
      <c r="H3" s="126">
        <f>IF(SER_hh_tes!H3=0,"",SER_hh_tes!H3/SER_hh_fec!H3)</f>
        <v>0.56551475053819755</v>
      </c>
      <c r="I3" s="126">
        <f>IF(SER_hh_tes!I3=0,"",SER_hh_tes!I3/SER_hh_fec!I3)</f>
        <v>0.57425843073260152</v>
      </c>
      <c r="J3" s="126">
        <f>IF(SER_hh_tes!J3=0,"",SER_hh_tes!J3/SER_hh_fec!J3)</f>
        <v>0.59774524135678919</v>
      </c>
      <c r="K3" s="126">
        <f>IF(SER_hh_tes!K3=0,"",SER_hh_tes!K3/SER_hh_fec!K3)</f>
        <v>0.60473549350398581</v>
      </c>
      <c r="L3" s="126">
        <f>IF(SER_hh_tes!L3=0,"",SER_hh_tes!L3/SER_hh_fec!L3)</f>
        <v>0.61463271533388031</v>
      </c>
      <c r="M3" s="126">
        <f>IF(SER_hh_tes!M3=0,"",SER_hh_tes!M3/SER_hh_fec!M3)</f>
        <v>0.62441519155295455</v>
      </c>
      <c r="N3" s="126">
        <f>IF(SER_hh_tes!N3=0,"",SER_hh_tes!N3/SER_hh_fec!N3)</f>
        <v>0.63708272843629843</v>
      </c>
      <c r="O3" s="126">
        <f>IF(SER_hh_tes!O3=0,"",SER_hh_tes!O3/SER_hh_fec!O3)</f>
        <v>0.64443925887997444</v>
      </c>
      <c r="P3" s="126">
        <f>IF(SER_hh_tes!P3=0,"",SER_hh_tes!P3/SER_hh_fec!P3)</f>
        <v>0.64947676736973348</v>
      </c>
      <c r="Q3" s="126">
        <f>IF(SER_hh_tes!Q3=0,"",SER_hh_tes!Q3/SER_hh_fec!Q3)</f>
        <v>0.65889942173441707</v>
      </c>
      <c r="R3" s="126">
        <f>IF(SER_hh_tes!R3=0,"",SER_hh_tes!R3/SER_hh_fec!R3)</f>
        <v>0.66651531419810339</v>
      </c>
      <c r="S3" s="126">
        <f>IF(SER_hh_tes!S3=0,"",SER_hh_tes!S3/SER_hh_fec!S3)</f>
        <v>0.6762870365595155</v>
      </c>
      <c r="T3" s="126">
        <f>IF(SER_hh_tes!T3=0,"",SER_hh_tes!T3/SER_hh_fec!T3)</f>
        <v>0.68805656567534679</v>
      </c>
      <c r="U3" s="126">
        <f>IF(SER_hh_tes!U3=0,"",SER_hh_tes!U3/SER_hh_fec!U3)</f>
        <v>0.70109486362216034</v>
      </c>
      <c r="V3" s="126">
        <f>IF(SER_hh_tes!V3=0,"",SER_hh_tes!V3/SER_hh_fec!V3)</f>
        <v>0.71187599357993958</v>
      </c>
      <c r="W3" s="126">
        <f>IF(SER_hh_tes!W3=0,"",SER_hh_tes!W3/SER_hh_fec!W3)</f>
        <v>0.72040566243395321</v>
      </c>
      <c r="X3" s="126">
        <f>IF(SER_hh_tes!X3=0,"",SER_hh_tes!X3/SER_hh_fec!X3)</f>
        <v>0.73187608291929851</v>
      </c>
      <c r="Y3" s="126">
        <f>IF(SER_hh_tes!Y3=0,"",SER_hh_tes!Y3/SER_hh_fec!Y3)</f>
        <v>0.78089245441996591</v>
      </c>
      <c r="DA3" s="161" t="s">
        <v>239</v>
      </c>
    </row>
    <row r="4" spans="1:105" ht="12.95" customHeight="1" x14ac:dyDescent="0.25">
      <c r="A4" s="129" t="s">
        <v>32</v>
      </c>
      <c r="B4" s="135">
        <f>IF(SER_hh_tes!B4=0,"",SER_hh_tes!B4/SER_hh_fec!B4)</f>
        <v>0.63828584831885427</v>
      </c>
      <c r="C4" s="135">
        <f>IF(SER_hh_tes!C4=0,"",SER_hh_tes!C4/SER_hh_fec!C4)</f>
        <v>0.57789540776802117</v>
      </c>
      <c r="D4" s="135">
        <f>IF(SER_hh_tes!D4=0,"",SER_hh_tes!D4/SER_hh_fec!D4)</f>
        <v>0.55170067116114463</v>
      </c>
      <c r="E4" s="135">
        <f>IF(SER_hh_tes!E4=0,"",SER_hh_tes!E4/SER_hh_fec!E4)</f>
        <v>0.55304774303022386</v>
      </c>
      <c r="F4" s="135">
        <f>IF(SER_hh_tes!F4=0,"",SER_hh_tes!F4/SER_hh_fec!F4)</f>
        <v>0.52459568689321756</v>
      </c>
      <c r="G4" s="135">
        <f>IF(SER_hh_tes!G4=0,"",SER_hh_tes!G4/SER_hh_fec!G4)</f>
        <v>0.56330643532812175</v>
      </c>
      <c r="H4" s="135">
        <f>IF(SER_hh_tes!H4=0,"",SER_hh_tes!H4/SER_hh_fec!H4)</f>
        <v>0.55153613540005042</v>
      </c>
      <c r="I4" s="135">
        <f>IF(SER_hh_tes!I4=0,"",SER_hh_tes!I4/SER_hh_fec!I4)</f>
        <v>0.55743892947267404</v>
      </c>
      <c r="J4" s="135">
        <f>IF(SER_hh_tes!J4=0,"",SER_hh_tes!J4/SER_hh_fec!J4)</f>
        <v>0.57099328611424049</v>
      </c>
      <c r="K4" s="135">
        <f>IF(SER_hh_tes!K4=0,"",SER_hh_tes!K4/SER_hh_fec!K4)</f>
        <v>0.57538898380048165</v>
      </c>
      <c r="L4" s="135">
        <f>IF(SER_hh_tes!L4=0,"",SER_hh_tes!L4/SER_hh_fec!L4)</f>
        <v>0.58623524233805113</v>
      </c>
      <c r="M4" s="135">
        <f>IF(SER_hh_tes!M4=0,"",SER_hh_tes!M4/SER_hh_fec!M4)</f>
        <v>0.59164644929657972</v>
      </c>
      <c r="N4" s="135">
        <f>IF(SER_hh_tes!N4=0,"",SER_hh_tes!N4/SER_hh_fec!N4)</f>
        <v>0.59703198066325802</v>
      </c>
      <c r="O4" s="135">
        <f>IF(SER_hh_tes!O4=0,"",SER_hh_tes!O4/SER_hh_fec!O4)</f>
        <v>0.60538569696528854</v>
      </c>
      <c r="P4" s="135">
        <f>IF(SER_hh_tes!P4=0,"",SER_hh_tes!P4/SER_hh_fec!P4)</f>
        <v>0.60624348990754451</v>
      </c>
      <c r="Q4" s="135">
        <f>IF(SER_hh_tes!Q4=0,"",SER_hh_tes!Q4/SER_hh_fec!Q4)</f>
        <v>0.61107080883908926</v>
      </c>
      <c r="R4" s="135">
        <f>IF(SER_hh_tes!R4=0,"",SER_hh_tes!R4/SER_hh_fec!R4)</f>
        <v>0.62274435864976274</v>
      </c>
      <c r="S4" s="135">
        <f>IF(SER_hh_tes!S4=0,"",SER_hh_tes!S4/SER_hh_fec!S4)</f>
        <v>0.63583152817847333</v>
      </c>
      <c r="T4" s="135">
        <f>IF(SER_hh_tes!T4=0,"",SER_hh_tes!T4/SER_hh_fec!T4)</f>
        <v>0.64986467378361756</v>
      </c>
      <c r="U4" s="135">
        <f>IF(SER_hh_tes!U4=0,"",SER_hh_tes!U4/SER_hh_fec!U4)</f>
        <v>0.65998360994591354</v>
      </c>
      <c r="V4" s="135">
        <f>IF(SER_hh_tes!V4=0,"",SER_hh_tes!V4/SER_hh_fec!V4)</f>
        <v>0.67160594202136925</v>
      </c>
      <c r="W4" s="135">
        <f>IF(SER_hh_tes!W4=0,"",SER_hh_tes!W4/SER_hh_fec!W4)</f>
        <v>0.6777573900656243</v>
      </c>
      <c r="X4" s="135">
        <f>IF(SER_hh_tes!X4=0,"",SER_hh_tes!X4/SER_hh_fec!X4)</f>
        <v>0.68687191885044585</v>
      </c>
      <c r="Y4" s="135">
        <f>IF(SER_hh_tes!Y4=0,"",SER_hh_tes!Y4/SER_hh_fec!Y4)</f>
        <v>0.76092445699679112</v>
      </c>
      <c r="DA4" s="162" t="s">
        <v>240</v>
      </c>
    </row>
    <row r="5" spans="1:105" ht="12" customHeight="1" x14ac:dyDescent="0.25">
      <c r="A5" s="131" t="s">
        <v>29</v>
      </c>
      <c r="B5" s="136">
        <f>IF(SER_hh_tes!B5=0,"",SER_hh_tes!B5/SER_hh_fec!B5)</f>
        <v>0.50632830321177025</v>
      </c>
      <c r="C5" s="136">
        <f>IF(SER_hh_tes!C5=0,"",SER_hh_tes!C5/SER_hh_fec!C5)</f>
        <v>0.50884797923693559</v>
      </c>
      <c r="D5" s="136">
        <f>IF(SER_hh_tes!D5=0,"",SER_hh_tes!D5/SER_hh_fec!D5)</f>
        <v>0.51038593770199436</v>
      </c>
      <c r="E5" s="136">
        <f>IF(SER_hh_tes!E5=0,"",SER_hh_tes!E5/SER_hh_fec!E5)</f>
        <v>0.51077011164422503</v>
      </c>
      <c r="F5" s="136">
        <f>IF(SER_hh_tes!F5=0,"",SER_hh_tes!F5/SER_hh_fec!F5)</f>
        <v>0.51077011164422503</v>
      </c>
      <c r="G5" s="136">
        <f>IF(SER_hh_tes!G5=0,"",SER_hh_tes!G5/SER_hh_fec!G5)</f>
        <v>0.51077011164422492</v>
      </c>
      <c r="H5" s="136">
        <f>IF(SER_hh_tes!H5=0,"",SER_hh_tes!H5/SER_hh_fec!H5)</f>
        <v>0.51205212418325807</v>
      </c>
      <c r="I5" s="136">
        <f>IF(SER_hh_tes!I5=0,"",SER_hh_tes!I5/SER_hh_fec!I5)</f>
        <v>0.51205181511824838</v>
      </c>
      <c r="J5" s="136">
        <f>IF(SER_hh_tes!J5=0,"",SER_hh_tes!J5/SER_hh_fec!J5)</f>
        <v>0.51205181511824827</v>
      </c>
      <c r="K5" s="136">
        <f>IF(SER_hh_tes!K5=0,"",SER_hh_tes!K5/SER_hh_fec!K5)</f>
        <v>0.51205181511824838</v>
      </c>
      <c r="L5" s="136">
        <f>IF(SER_hh_tes!L5=0,"",SER_hh_tes!L5/SER_hh_fec!L5)</f>
        <v>0.52773003195869106</v>
      </c>
      <c r="M5" s="136">
        <f>IF(SER_hh_tes!M5=0,"",SER_hh_tes!M5/SER_hh_fec!M5)</f>
        <v>0.55134152540363701</v>
      </c>
      <c r="N5" s="136">
        <f>IF(SER_hh_tes!N5=0,"",SER_hh_tes!N5/SER_hh_fec!N5)</f>
        <v>0.57006590668605761</v>
      </c>
      <c r="O5" s="136">
        <f>IF(SER_hh_tes!O5=0,"",SER_hh_tes!O5/SER_hh_fec!O5)</f>
        <v>0.64848322465196317</v>
      </c>
      <c r="P5" s="136">
        <f>IF(SER_hh_tes!P5=0,"",SER_hh_tes!P5/SER_hh_fec!P5)</f>
        <v>0.64930881649946193</v>
      </c>
      <c r="Q5" s="136">
        <f>IF(SER_hh_tes!Q5=0,"",SER_hh_tes!Q5/SER_hh_fec!Q5)</f>
        <v>0.6499942816533526</v>
      </c>
      <c r="R5" s="136">
        <f>IF(SER_hh_tes!R5=0,"",SER_hh_tes!R5/SER_hh_fec!R5)</f>
        <v>0.65291584811019021</v>
      </c>
      <c r="S5" s="136" t="str">
        <f>IF(SER_hh_tes!S5=0,"",SER_hh_tes!S5/SER_hh_fec!S5)</f>
        <v/>
      </c>
      <c r="T5" s="136">
        <f>IF(SER_hh_tes!T5=0,"",SER_hh_tes!T5/SER_hh_fec!T5)</f>
        <v>0.7000911009572075</v>
      </c>
      <c r="U5" s="136">
        <f>IF(SER_hh_tes!U5=0,"",SER_hh_tes!U5/SER_hh_fec!U5)</f>
        <v>0.70009110095720772</v>
      </c>
      <c r="V5" s="136">
        <f>IF(SER_hh_tes!V5=0,"",SER_hh_tes!V5/SER_hh_fec!V5)</f>
        <v>0.70009110095720739</v>
      </c>
      <c r="W5" s="136">
        <f>IF(SER_hh_tes!W5=0,"",SER_hh_tes!W5/SER_hh_fec!W5)</f>
        <v>0.70009110095720728</v>
      </c>
      <c r="X5" s="136">
        <f>IF(SER_hh_tes!X5=0,"",SER_hh_tes!X5/SER_hh_fec!X5)</f>
        <v>0.70009110095720728</v>
      </c>
      <c r="Y5" s="136">
        <f>IF(SER_hh_tes!Y5=0,"",SER_hh_tes!Y5/SER_hh_fec!Y5)</f>
        <v>0.70009110095720739</v>
      </c>
      <c r="DA5" s="163" t="s">
        <v>332</v>
      </c>
    </row>
    <row r="6" spans="1:105" ht="12" customHeight="1" x14ac:dyDescent="0.25">
      <c r="A6" s="131" t="s">
        <v>52</v>
      </c>
      <c r="B6" s="136" t="str">
        <f>IF(SER_hh_tes!B6=0,"",SER_hh_tes!B6/SER_hh_fec!B6)</f>
        <v/>
      </c>
      <c r="C6" s="136" t="str">
        <f>IF(SER_hh_tes!C6=0,"",SER_hh_tes!C6/SER_hh_fec!C6)</f>
        <v/>
      </c>
      <c r="D6" s="136" t="str">
        <f>IF(SER_hh_tes!D6=0,"",SER_hh_tes!D6/SER_hh_fec!D6)</f>
        <v/>
      </c>
      <c r="E6" s="136" t="str">
        <f>IF(SER_hh_tes!E6=0,"",SER_hh_tes!E6/SER_hh_fec!E6)</f>
        <v/>
      </c>
      <c r="F6" s="136" t="str">
        <f>IF(SER_hh_tes!F6=0,"",SER_hh_tes!F6/SER_hh_fec!F6)</f>
        <v/>
      </c>
      <c r="G6" s="136" t="str">
        <f>IF(SER_hh_tes!G6=0,"",SER_hh_tes!G6/SER_hh_fec!G6)</f>
        <v/>
      </c>
      <c r="H6" s="136" t="str">
        <f>IF(SER_hh_tes!H6=0,"",SER_hh_tes!H6/SER_hh_fec!H6)</f>
        <v/>
      </c>
      <c r="I6" s="136" t="str">
        <f>IF(SER_hh_tes!I6=0,"",SER_hh_tes!I6/SER_hh_fec!I6)</f>
        <v/>
      </c>
      <c r="J6" s="136" t="str">
        <f>IF(SER_hh_tes!J6=0,"",SER_hh_tes!J6/SER_hh_fec!J6)</f>
        <v/>
      </c>
      <c r="K6" s="136" t="str">
        <f>IF(SER_hh_tes!K6=0,"",SER_hh_tes!K6/SER_hh_fec!K6)</f>
        <v/>
      </c>
      <c r="L6" s="136" t="str">
        <f>IF(SER_hh_tes!L6=0,"",SER_hh_tes!L6/SER_hh_fec!L6)</f>
        <v/>
      </c>
      <c r="M6" s="136" t="str">
        <f>IF(SER_hh_tes!M6=0,"",SER_hh_tes!M6/SER_hh_fec!M6)</f>
        <v/>
      </c>
      <c r="N6" s="136" t="str">
        <f>IF(SER_hh_tes!N6=0,"",SER_hh_tes!N6/SER_hh_fec!N6)</f>
        <v/>
      </c>
      <c r="O6" s="136" t="str">
        <f>IF(SER_hh_tes!O6=0,"",SER_hh_tes!O6/SER_hh_fec!O6)</f>
        <v/>
      </c>
      <c r="P6" s="136" t="str">
        <f>IF(SER_hh_tes!P6=0,"",SER_hh_tes!P6/SER_hh_fec!P6)</f>
        <v/>
      </c>
      <c r="Q6" s="136" t="str">
        <f>IF(SER_hh_tes!Q6=0,"",SER_hh_tes!Q6/SER_hh_fec!Q6)</f>
        <v/>
      </c>
      <c r="R6" s="136" t="str">
        <f>IF(SER_hh_tes!R6=0,"",SER_hh_tes!R6/SER_hh_fec!R6)</f>
        <v/>
      </c>
      <c r="S6" s="136" t="str">
        <f>IF(SER_hh_tes!S6=0,"",SER_hh_tes!S6/SER_hh_fec!S6)</f>
        <v/>
      </c>
      <c r="T6" s="136" t="str">
        <f>IF(SER_hh_tes!T6=0,"",SER_hh_tes!T6/SER_hh_fec!T6)</f>
        <v/>
      </c>
      <c r="U6" s="136" t="str">
        <f>IF(SER_hh_tes!U6=0,"",SER_hh_tes!U6/SER_hh_fec!U6)</f>
        <v/>
      </c>
      <c r="V6" s="136" t="str">
        <f>IF(SER_hh_tes!V6=0,"",SER_hh_tes!V6/SER_hh_fec!V6)</f>
        <v/>
      </c>
      <c r="W6" s="136" t="str">
        <f>IF(SER_hh_tes!W6=0,"",SER_hh_tes!W6/SER_hh_fec!W6)</f>
        <v/>
      </c>
      <c r="X6" s="136" t="str">
        <f>IF(SER_hh_tes!X6=0,"",SER_hh_tes!X6/SER_hh_fec!X6)</f>
        <v/>
      </c>
      <c r="Y6" s="136" t="str">
        <f>IF(SER_hh_tes!Y6=0,"",SER_hh_tes!Y6/SER_hh_fec!Y6)</f>
        <v/>
      </c>
      <c r="DA6" s="163" t="s">
        <v>333</v>
      </c>
    </row>
    <row r="7" spans="1:105" ht="12" customHeight="1" x14ac:dyDescent="0.25">
      <c r="A7" s="131" t="s">
        <v>161</v>
      </c>
      <c r="B7" s="136">
        <f>IF(SER_hh_tes!B7=0,"",SER_hh_tes!B7/SER_hh_fec!B7)</f>
        <v>0.43462690684170019</v>
      </c>
      <c r="C7" s="136">
        <f>IF(SER_hh_tes!C7=0,"",SER_hh_tes!C7/SER_hh_fec!C7)</f>
        <v>0.46241482975189685</v>
      </c>
      <c r="D7" s="136">
        <f>IF(SER_hh_tes!D7=0,"",SER_hh_tes!D7/SER_hh_fec!D7)</f>
        <v>0.47422430355471862</v>
      </c>
      <c r="E7" s="136">
        <f>IF(SER_hh_tes!E7=0,"",SER_hh_tes!E7/SER_hh_fec!E7)</f>
        <v>0.47675656977395836</v>
      </c>
      <c r="F7" s="136">
        <f>IF(SER_hh_tes!F7=0,"",SER_hh_tes!F7/SER_hh_fec!F7)</f>
        <v>0.48007696966351837</v>
      </c>
      <c r="G7" s="136">
        <f>IF(SER_hh_tes!G7=0,"",SER_hh_tes!G7/SER_hh_fec!G7)</f>
        <v>0.48093475375699435</v>
      </c>
      <c r="H7" s="136">
        <f>IF(SER_hh_tes!H7=0,"",SER_hh_tes!H7/SER_hh_fec!H7)</f>
        <v>0.48093475375699446</v>
      </c>
      <c r="I7" s="136">
        <f>IF(SER_hh_tes!I7=0,"",SER_hh_tes!I7/SER_hh_fec!I7)</f>
        <v>0.48093475375699446</v>
      </c>
      <c r="J7" s="136">
        <f>IF(SER_hh_tes!J7=0,"",SER_hh_tes!J7/SER_hh_fec!J7)</f>
        <v>0.48176473134008707</v>
      </c>
      <c r="K7" s="136">
        <f>IF(SER_hh_tes!K7=0,"",SER_hh_tes!K7/SER_hh_fec!K7)</f>
        <v>0.48273021878650951</v>
      </c>
      <c r="L7" s="136">
        <f>IF(SER_hh_tes!L7=0,"",SER_hh_tes!L7/SER_hh_fec!L7)</f>
        <v>0.48579201392028409</v>
      </c>
      <c r="M7" s="136">
        <f>IF(SER_hh_tes!M7=0,"",SER_hh_tes!M7/SER_hh_fec!M7)</f>
        <v>0.49994845941952726</v>
      </c>
      <c r="N7" s="136">
        <f>IF(SER_hh_tes!N7=0,"",SER_hh_tes!N7/SER_hh_fec!N7)</f>
        <v>0.50739174409420162</v>
      </c>
      <c r="O7" s="136">
        <f>IF(SER_hh_tes!O7=0,"",SER_hh_tes!O7/SER_hh_fec!O7)</f>
        <v>0.51077760936751626</v>
      </c>
      <c r="P7" s="136">
        <f>IF(SER_hh_tes!P7=0,"",SER_hh_tes!P7/SER_hh_fec!P7)</f>
        <v>0.51607437229983477</v>
      </c>
      <c r="Q7" s="136">
        <f>IF(SER_hh_tes!Q7=0,"",SER_hh_tes!Q7/SER_hh_fec!Q7)</f>
        <v>0.53964842285913184</v>
      </c>
      <c r="R7" s="136">
        <f>IF(SER_hh_tes!R7=0,"",SER_hh_tes!R7/SER_hh_fec!R7)</f>
        <v>0.57217111114878294</v>
      </c>
      <c r="S7" s="136">
        <f>IF(SER_hh_tes!S7=0,"",SER_hh_tes!S7/SER_hh_fec!S7)</f>
        <v>0.61055668179294043</v>
      </c>
      <c r="T7" s="136">
        <f>IF(SER_hh_tes!T7=0,"",SER_hh_tes!T7/SER_hh_fec!T7)</f>
        <v>0.63456821998121737</v>
      </c>
      <c r="U7" s="136">
        <f>IF(SER_hh_tes!U7=0,"",SER_hh_tes!U7/SER_hh_fec!U7)</f>
        <v>0.64535802135469233</v>
      </c>
      <c r="V7" s="136">
        <f>IF(SER_hh_tes!V7=0,"",SER_hh_tes!V7/SER_hh_fec!V7)</f>
        <v>0.65306361040696614</v>
      </c>
      <c r="W7" s="136">
        <f>IF(SER_hh_tes!W7=0,"",SER_hh_tes!W7/SER_hh_fec!W7)</f>
        <v>0.65777803564047199</v>
      </c>
      <c r="X7" s="136">
        <f>IF(SER_hh_tes!X7=0,"",SER_hh_tes!X7/SER_hh_fec!X7)</f>
        <v>0.66038054885220987</v>
      </c>
      <c r="Y7" s="136">
        <f>IF(SER_hh_tes!Y7=0,"",SER_hh_tes!Y7/SER_hh_fec!Y7)</f>
        <v>0.6621851390997131</v>
      </c>
      <c r="DA7" s="163" t="s">
        <v>334</v>
      </c>
    </row>
    <row r="8" spans="1:105" ht="12" customHeight="1" x14ac:dyDescent="0.25">
      <c r="A8" s="131" t="s">
        <v>73</v>
      </c>
      <c r="B8" s="136" t="str">
        <f>IF(SER_hh_tes!B8=0,"",SER_hh_tes!B8/SER_hh_fec!B8)</f>
        <v/>
      </c>
      <c r="C8" s="136" t="str">
        <f>IF(SER_hh_tes!C8=0,"",SER_hh_tes!C8/SER_hh_fec!C8)</f>
        <v/>
      </c>
      <c r="D8" s="136" t="str">
        <f>IF(SER_hh_tes!D8=0,"",SER_hh_tes!D8/SER_hh_fec!D8)</f>
        <v/>
      </c>
      <c r="E8" s="136" t="str">
        <f>IF(SER_hh_tes!E8=0,"",SER_hh_tes!E8/SER_hh_fec!E8)</f>
        <v/>
      </c>
      <c r="F8" s="136" t="str">
        <f>IF(SER_hh_tes!F8=0,"",SER_hh_tes!F8/SER_hh_fec!F8)</f>
        <v/>
      </c>
      <c r="G8" s="136" t="str">
        <f>IF(SER_hh_tes!G8=0,"",SER_hh_tes!G8/SER_hh_fec!G8)</f>
        <v/>
      </c>
      <c r="H8" s="136" t="str">
        <f>IF(SER_hh_tes!H8=0,"",SER_hh_tes!H8/SER_hh_fec!H8)</f>
        <v/>
      </c>
      <c r="I8" s="136" t="str">
        <f>IF(SER_hh_tes!I8=0,"",SER_hh_tes!I8/SER_hh_fec!I8)</f>
        <v/>
      </c>
      <c r="J8" s="136" t="str">
        <f>IF(SER_hh_tes!J8=0,"",SER_hh_tes!J8/SER_hh_fec!J8)</f>
        <v/>
      </c>
      <c r="K8" s="136" t="str">
        <f>IF(SER_hh_tes!K8=0,"",SER_hh_tes!K8/SER_hh_fec!K8)</f>
        <v/>
      </c>
      <c r="L8" s="136" t="str">
        <f>IF(SER_hh_tes!L8=0,"",SER_hh_tes!L8/SER_hh_fec!L8)</f>
        <v/>
      </c>
      <c r="M8" s="136" t="str">
        <f>IF(SER_hh_tes!M8=0,"",SER_hh_tes!M8/SER_hh_fec!M8)</f>
        <v/>
      </c>
      <c r="N8" s="136" t="str">
        <f>IF(SER_hh_tes!N8=0,"",SER_hh_tes!N8/SER_hh_fec!N8)</f>
        <v/>
      </c>
      <c r="O8" s="136" t="str">
        <f>IF(SER_hh_tes!O8=0,"",SER_hh_tes!O8/SER_hh_fec!O8)</f>
        <v/>
      </c>
      <c r="P8" s="136" t="str">
        <f>IF(SER_hh_tes!P8=0,"",SER_hh_tes!P8/SER_hh_fec!P8)</f>
        <v/>
      </c>
      <c r="Q8" s="136" t="str">
        <f>IF(SER_hh_tes!Q8=0,"",SER_hh_tes!Q8/SER_hh_fec!Q8)</f>
        <v/>
      </c>
      <c r="R8" s="136" t="str">
        <f>IF(SER_hh_tes!R8=0,"",SER_hh_tes!R8/SER_hh_fec!R8)</f>
        <v/>
      </c>
      <c r="S8" s="136" t="str">
        <f>IF(SER_hh_tes!S8=0,"",SER_hh_tes!S8/SER_hh_fec!S8)</f>
        <v/>
      </c>
      <c r="T8" s="136" t="str">
        <f>IF(SER_hh_tes!T8=0,"",SER_hh_tes!T8/SER_hh_fec!T8)</f>
        <v/>
      </c>
      <c r="U8" s="136" t="str">
        <f>IF(SER_hh_tes!U8=0,"",SER_hh_tes!U8/SER_hh_fec!U8)</f>
        <v/>
      </c>
      <c r="V8" s="136" t="str">
        <f>IF(SER_hh_tes!V8=0,"",SER_hh_tes!V8/SER_hh_fec!V8)</f>
        <v/>
      </c>
      <c r="W8" s="136" t="str">
        <f>IF(SER_hh_tes!W8=0,"",SER_hh_tes!W8/SER_hh_fec!W8)</f>
        <v/>
      </c>
      <c r="X8" s="136" t="str">
        <f>IF(SER_hh_tes!X8=0,"",SER_hh_tes!X8/SER_hh_fec!X8)</f>
        <v/>
      </c>
      <c r="Y8" s="136" t="str">
        <f>IF(SER_hh_tes!Y8=0,"",SER_hh_tes!Y8/SER_hh_fec!Y8)</f>
        <v/>
      </c>
      <c r="DA8" s="163" t="s">
        <v>335</v>
      </c>
    </row>
    <row r="9" spans="1:105" ht="12" customHeight="1" x14ac:dyDescent="0.25">
      <c r="A9" s="131" t="s">
        <v>78</v>
      </c>
      <c r="B9" s="136">
        <f>IF(SER_hh_tes!B9=0,"",SER_hh_tes!B9/SER_hh_fec!B9)</f>
        <v>0.46978579150359101</v>
      </c>
      <c r="C9" s="136">
        <f>IF(SER_hh_tes!C9=0,"",SER_hh_tes!C9/SER_hh_fec!C9)</f>
        <v>0.47552388520437949</v>
      </c>
      <c r="D9" s="136">
        <f>IF(SER_hh_tes!D9=0,"",SER_hh_tes!D9/SER_hh_fec!D9)</f>
        <v>0.48311711825500486</v>
      </c>
      <c r="E9" s="136">
        <f>IF(SER_hh_tes!E9=0,"",SER_hh_tes!E9/SER_hh_fec!E9)</f>
        <v>0.49800700417840493</v>
      </c>
      <c r="F9" s="136">
        <f>IF(SER_hh_tes!F9=0,"",SER_hh_tes!F9/SER_hh_fec!F9)</f>
        <v>0.50789639458099023</v>
      </c>
      <c r="G9" s="136">
        <f>IF(SER_hh_tes!G9=0,"",SER_hh_tes!G9/SER_hh_fec!G9)</f>
        <v>0.51481324721484178</v>
      </c>
      <c r="H9" s="136">
        <f>IF(SER_hh_tes!H9=0,"",SER_hh_tes!H9/SER_hh_fec!H9)</f>
        <v>0.52079895714592284</v>
      </c>
      <c r="I9" s="136">
        <f>IF(SER_hh_tes!I9=0,"",SER_hh_tes!I9/SER_hh_fec!I9)</f>
        <v>0.52269580251008074</v>
      </c>
      <c r="J9" s="136">
        <f>IF(SER_hh_tes!J9=0,"",SER_hh_tes!J9/SER_hh_fec!J9)</f>
        <v>0.52523531108710375</v>
      </c>
      <c r="K9" s="136">
        <f>IF(SER_hh_tes!K9=0,"",SER_hh_tes!K9/SER_hh_fec!K9)</f>
        <v>0.52829976803490364</v>
      </c>
      <c r="L9" s="136">
        <f>IF(SER_hh_tes!L9=0,"",SER_hh_tes!L9/SER_hh_fec!L9)</f>
        <v>0.53169792792280679</v>
      </c>
      <c r="M9" s="136">
        <f>IF(SER_hh_tes!M9=0,"",SER_hh_tes!M9/SER_hh_fec!M9)</f>
        <v>0.53561735154336121</v>
      </c>
      <c r="N9" s="136">
        <f>IF(SER_hh_tes!N9=0,"",SER_hh_tes!N9/SER_hh_fec!N9)</f>
        <v>0.54236469302630841</v>
      </c>
      <c r="O9" s="136">
        <f>IF(SER_hh_tes!O9=0,"",SER_hh_tes!O9/SER_hh_fec!O9)</f>
        <v>0.55460528394885555</v>
      </c>
      <c r="P9" s="136">
        <f>IF(SER_hh_tes!P9=0,"",SER_hh_tes!P9/SER_hh_fec!P9)</f>
        <v>0.56521212919090869</v>
      </c>
      <c r="Q9" s="136">
        <f>IF(SER_hh_tes!Q9=0,"",SER_hh_tes!Q9/SER_hh_fec!Q9)</f>
        <v>0.57589173335005373</v>
      </c>
      <c r="R9" s="136">
        <f>IF(SER_hh_tes!R9=0,"",SER_hh_tes!R9/SER_hh_fec!R9)</f>
        <v>0.58728127828334487</v>
      </c>
      <c r="S9" s="136">
        <f>IF(SER_hh_tes!S9=0,"",SER_hh_tes!S9/SER_hh_fec!S9)</f>
        <v>0.60437132645039171</v>
      </c>
      <c r="T9" s="136">
        <f>IF(SER_hh_tes!T9=0,"",SER_hh_tes!T9/SER_hh_fec!T9)</f>
        <v>0.622948631462105</v>
      </c>
      <c r="U9" s="136">
        <f>IF(SER_hh_tes!U9=0,"",SER_hh_tes!U9/SER_hh_fec!U9)</f>
        <v>0.64274841279570272</v>
      </c>
      <c r="V9" s="136">
        <f>IF(SER_hh_tes!V9=0,"",SER_hh_tes!V9/SER_hh_fec!V9)</f>
        <v>0.66056624258756025</v>
      </c>
      <c r="W9" s="136">
        <f>IF(SER_hh_tes!W9=0,"",SER_hh_tes!W9/SER_hh_fec!W9)</f>
        <v>0.67485646716104908</v>
      </c>
      <c r="X9" s="136">
        <f>IF(SER_hh_tes!X9=0,"",SER_hh_tes!X9/SER_hh_fec!X9)</f>
        <v>0.68846259063262027</v>
      </c>
      <c r="Y9" s="136">
        <f>IF(SER_hh_tes!Y9=0,"",SER_hh_tes!Y9/SER_hh_fec!Y9)</f>
        <v>0.69334402551923791</v>
      </c>
      <c r="DA9" s="163" t="s">
        <v>336</v>
      </c>
    </row>
    <row r="10" spans="1:105" ht="12" customHeight="1" x14ac:dyDescent="0.25">
      <c r="A10" s="131" t="s">
        <v>128</v>
      </c>
      <c r="B10" s="136" t="str">
        <f>IF(SER_hh_tes!B10=0,"",SER_hh_tes!B10/SER_hh_fec!B10)</f>
        <v/>
      </c>
      <c r="C10" s="136">
        <f>IF(SER_hh_tes!C10=0,"",SER_hh_tes!C10/SER_hh_fec!C10)</f>
        <v>0.5402952914684791</v>
      </c>
      <c r="D10" s="136">
        <f>IF(SER_hh_tes!D10=0,"",SER_hh_tes!D10/SER_hh_fec!D10)</f>
        <v>0.54038537848220569</v>
      </c>
      <c r="E10" s="136">
        <f>IF(SER_hh_tes!E10=0,"",SER_hh_tes!E10/SER_hh_fec!E10)</f>
        <v>0.54038546701681534</v>
      </c>
      <c r="F10" s="136">
        <f>IF(SER_hh_tes!F10=0,"",SER_hh_tes!F10/SER_hh_fec!F10)</f>
        <v>0.54038546701681534</v>
      </c>
      <c r="G10" s="136">
        <f>IF(SER_hh_tes!G10=0,"",SER_hh_tes!G10/SER_hh_fec!G10)</f>
        <v>0.54038546701681534</v>
      </c>
      <c r="H10" s="136">
        <f>IF(SER_hh_tes!H10=0,"",SER_hh_tes!H10/SER_hh_fec!H10)</f>
        <v>0.54038546701681545</v>
      </c>
      <c r="I10" s="136">
        <f>IF(SER_hh_tes!I10=0,"",SER_hh_tes!I10/SER_hh_fec!I10)</f>
        <v>0.54038546701681522</v>
      </c>
      <c r="J10" s="136">
        <f>IF(SER_hh_tes!J10=0,"",SER_hh_tes!J10/SER_hh_fec!J10)</f>
        <v>0.54044945360365515</v>
      </c>
      <c r="K10" s="136">
        <f>IF(SER_hh_tes!K10=0,"",SER_hh_tes!K10/SER_hh_fec!K10)</f>
        <v>0.54044943851812766</v>
      </c>
      <c r="L10" s="136">
        <f>IF(SER_hh_tes!L10=0,"",SER_hh_tes!L10/SER_hh_fec!L10)</f>
        <v>0.54044943851812788</v>
      </c>
      <c r="M10" s="136">
        <f>IF(SER_hh_tes!M10=0,"",SER_hh_tes!M10/SER_hh_fec!M10)</f>
        <v>0.54044943851812788</v>
      </c>
      <c r="N10" s="136">
        <f>IF(SER_hh_tes!N10=0,"",SER_hh_tes!N10/SER_hh_fec!N10)</f>
        <v>0.54044943851812777</v>
      </c>
      <c r="O10" s="136">
        <f>IF(SER_hh_tes!O10=0,"",SER_hh_tes!O10/SER_hh_fec!O10)</f>
        <v>0.5405826678185035</v>
      </c>
      <c r="P10" s="136">
        <f>IF(SER_hh_tes!P10=0,"",SER_hh_tes!P10/SER_hh_fec!P10)</f>
        <v>0.54126419306222073</v>
      </c>
      <c r="Q10" s="136">
        <f>IF(SER_hh_tes!Q10=0,"",SER_hh_tes!Q10/SER_hh_fec!Q10)</f>
        <v>0.54220540884434787</v>
      </c>
      <c r="R10" s="136">
        <f>IF(SER_hh_tes!R10=0,"",SER_hh_tes!R10/SER_hh_fec!R10)</f>
        <v>0.54297969949942493</v>
      </c>
      <c r="S10" s="136">
        <f>IF(SER_hh_tes!S10=0,"",SER_hh_tes!S10/SER_hh_fec!S10)</f>
        <v>0.54371207833163937</v>
      </c>
      <c r="T10" s="136">
        <f>IF(SER_hh_tes!T10=0,"",SER_hh_tes!T10/SER_hh_fec!T10)</f>
        <v>0.54394476297326755</v>
      </c>
      <c r="U10" s="136">
        <f>IF(SER_hh_tes!U10=0,"",SER_hh_tes!U10/SER_hh_fec!U10)</f>
        <v>0.54394579801311205</v>
      </c>
      <c r="V10" s="136">
        <f>IF(SER_hh_tes!V10=0,"",SER_hh_tes!V10/SER_hh_fec!V10)</f>
        <v>0.54394672652973264</v>
      </c>
      <c r="W10" s="136">
        <f>IF(SER_hh_tes!W10=0,"",SER_hh_tes!W10/SER_hh_fec!W10)</f>
        <v>0.54395158297050994</v>
      </c>
      <c r="X10" s="136">
        <f>IF(SER_hh_tes!X10=0,"",SER_hh_tes!X10/SER_hh_fec!X10)</f>
        <v>0.54395786861091389</v>
      </c>
      <c r="Y10" s="136">
        <f>IF(SER_hh_tes!Y10=0,"",SER_hh_tes!Y10/SER_hh_fec!Y10)</f>
        <v>0.54396577944801783</v>
      </c>
      <c r="DA10" s="163" t="s">
        <v>337</v>
      </c>
    </row>
    <row r="11" spans="1:105" ht="12" customHeight="1" x14ac:dyDescent="0.25">
      <c r="A11" s="131" t="s">
        <v>25</v>
      </c>
      <c r="B11" s="136">
        <f>IF(SER_hh_tes!B11=0,"",SER_hh_tes!B11/SER_hh_fec!B11)</f>
        <v>0.71612318928780039</v>
      </c>
      <c r="C11" s="136">
        <f>IF(SER_hh_tes!C11=0,"",SER_hh_tes!C11/SER_hh_fec!C11)</f>
        <v>0.74006774725816715</v>
      </c>
      <c r="D11" s="136">
        <f>IF(SER_hh_tes!D11=0,"",SER_hh_tes!D11/SER_hh_fec!D11)</f>
        <v>0.75319567107915852</v>
      </c>
      <c r="E11" s="136">
        <f>IF(SER_hh_tes!E11=0,"",SER_hh_tes!E11/SER_hh_fec!E11)</f>
        <v>0.75465983755828103</v>
      </c>
      <c r="F11" s="136">
        <f>IF(SER_hh_tes!F11=0,"",SER_hh_tes!F11/SER_hh_fec!F11)</f>
        <v>0.75566831362076514</v>
      </c>
      <c r="G11" s="136">
        <f>IF(SER_hh_tes!G11=0,"",SER_hh_tes!G11/SER_hh_fec!G11)</f>
        <v>0.75566831362076503</v>
      </c>
      <c r="H11" s="136">
        <f>IF(SER_hh_tes!H11=0,"",SER_hh_tes!H11/SER_hh_fec!H11)</f>
        <v>0.75566831362076514</v>
      </c>
      <c r="I11" s="136">
        <f>IF(SER_hh_tes!I11=0,"",SER_hh_tes!I11/SER_hh_fec!I11)</f>
        <v>0.76303127895791401</v>
      </c>
      <c r="J11" s="136">
        <f>IF(SER_hh_tes!J11=0,"",SER_hh_tes!J11/SER_hh_fec!J11)</f>
        <v>0.77157624066105746</v>
      </c>
      <c r="K11" s="136">
        <f>IF(SER_hh_tes!K11=0,"",SER_hh_tes!K11/SER_hh_fec!K11)</f>
        <v>0.77461633921201833</v>
      </c>
      <c r="L11" s="136">
        <f>IF(SER_hh_tes!L11=0,"",SER_hh_tes!L11/SER_hh_fec!L11)</f>
        <v>0.77600351445069615</v>
      </c>
      <c r="M11" s="136">
        <f>IF(SER_hh_tes!M11=0,"",SER_hh_tes!M11/SER_hh_fec!M11)</f>
        <v>0.78095186800682426</v>
      </c>
      <c r="N11" s="136">
        <f>IF(SER_hh_tes!N11=0,"",SER_hh_tes!N11/SER_hh_fec!N11)</f>
        <v>0.78873863826669022</v>
      </c>
      <c r="O11" s="136">
        <f>IF(SER_hh_tes!O11=0,"",SER_hh_tes!O11/SER_hh_fec!O11)</f>
        <v>0.79669813571155979</v>
      </c>
      <c r="P11" s="136">
        <f>IF(SER_hh_tes!P11=0,"",SER_hh_tes!P11/SER_hh_fec!P11)</f>
        <v>0.80166507304974766</v>
      </c>
      <c r="Q11" s="136">
        <f>IF(SER_hh_tes!Q11=0,"",SER_hh_tes!Q11/SER_hh_fec!Q11)</f>
        <v>0.80618473287816628</v>
      </c>
      <c r="R11" s="136">
        <f>IF(SER_hh_tes!R11=0,"",SER_hh_tes!R11/SER_hh_fec!R11)</f>
        <v>0.81055844668901711</v>
      </c>
      <c r="S11" s="136">
        <f>IF(SER_hh_tes!S11=0,"",SER_hh_tes!S11/SER_hh_fec!S11)</f>
        <v>0.81462322312169999</v>
      </c>
      <c r="T11" s="136">
        <f>IF(SER_hh_tes!T11=0,"",SER_hh_tes!T11/SER_hh_fec!T11)</f>
        <v>0.8161796893464548</v>
      </c>
      <c r="U11" s="136">
        <f>IF(SER_hh_tes!U11=0,"",SER_hh_tes!U11/SER_hh_fec!U11)</f>
        <v>0.81663568988534474</v>
      </c>
      <c r="V11" s="136">
        <f>IF(SER_hh_tes!V11=0,"",SER_hh_tes!V11/SER_hh_fec!V11)</f>
        <v>0.8167672456556847</v>
      </c>
      <c r="W11" s="136">
        <f>IF(SER_hh_tes!W11=0,"",SER_hh_tes!W11/SER_hh_fec!W11)</f>
        <v>0.81676724565568515</v>
      </c>
      <c r="X11" s="136">
        <f>IF(SER_hh_tes!X11=0,"",SER_hh_tes!X11/SER_hh_fec!X11)</f>
        <v>0.81695607643506807</v>
      </c>
      <c r="Y11" s="136">
        <f>IF(SER_hh_tes!Y11=0,"",SER_hh_tes!Y11/SER_hh_fec!Y11)</f>
        <v>0.81818556072621351</v>
      </c>
      <c r="DA11" s="163" t="s">
        <v>338</v>
      </c>
    </row>
    <row r="12" spans="1:105" ht="12" customHeight="1" x14ac:dyDescent="0.25">
      <c r="A12" s="131" t="s">
        <v>162</v>
      </c>
      <c r="B12" s="136">
        <f>IF(SER_hh_tes!B12=0,"",SER_hh_tes!B12/SER_hh_fec!B12)</f>
        <v>0.74413650382552843</v>
      </c>
      <c r="C12" s="136">
        <f>IF(SER_hh_tes!C12=0,"",SER_hh_tes!C12/SER_hh_fec!C12)</f>
        <v>0.74413650382552843</v>
      </c>
      <c r="D12" s="136">
        <f>IF(SER_hh_tes!D12=0,"",SER_hh_tes!D12/SER_hh_fec!D12)</f>
        <v>0.74413650382552854</v>
      </c>
      <c r="E12" s="136">
        <f>IF(SER_hh_tes!E12=0,"",SER_hh_tes!E12/SER_hh_fec!E12)</f>
        <v>0.74413650382552843</v>
      </c>
      <c r="F12" s="136">
        <f>IF(SER_hh_tes!F12=0,"",SER_hh_tes!F12/SER_hh_fec!F12)</f>
        <v>0.74413650382552843</v>
      </c>
      <c r="G12" s="136">
        <f>IF(SER_hh_tes!G12=0,"",SER_hh_tes!G12/SER_hh_fec!G12)</f>
        <v>0.749703052223745</v>
      </c>
      <c r="H12" s="136">
        <f>IF(SER_hh_tes!H12=0,"",SER_hh_tes!H12/SER_hh_fec!H12)</f>
        <v>0.74983785756279786</v>
      </c>
      <c r="I12" s="136">
        <f>IF(SER_hh_tes!I12=0,"",SER_hh_tes!I12/SER_hh_fec!I12)</f>
        <v>0.75250724094913735</v>
      </c>
      <c r="J12" s="136">
        <f>IF(SER_hh_tes!J12=0,"",SER_hh_tes!J12/SER_hh_fec!J12)</f>
        <v>0.75939950286301583</v>
      </c>
      <c r="K12" s="136">
        <f>IF(SER_hh_tes!K12=0,"",SER_hh_tes!K12/SER_hh_fec!K12)</f>
        <v>0.76687996840846706</v>
      </c>
      <c r="L12" s="136">
        <f>IF(SER_hh_tes!L12=0,"",SER_hh_tes!L12/SER_hh_fec!L12)</f>
        <v>0.77475048207651531</v>
      </c>
      <c r="M12" s="136">
        <f>IF(SER_hh_tes!M12=0,"",SER_hh_tes!M12/SER_hh_fec!M12)</f>
        <v>0.78298550302144432</v>
      </c>
      <c r="N12" s="136">
        <f>IF(SER_hh_tes!N12=0,"",SER_hh_tes!N12/SER_hh_fec!N12)</f>
        <v>0.79102493640198102</v>
      </c>
      <c r="O12" s="136">
        <f>IF(SER_hh_tes!O12=0,"",SER_hh_tes!O12/SER_hh_fec!O12)</f>
        <v>0.79747542241176606</v>
      </c>
      <c r="P12" s="136">
        <f>IF(SER_hh_tes!P12=0,"",SER_hh_tes!P12/SER_hh_fec!P12)</f>
        <v>0.79770051878877513</v>
      </c>
      <c r="Q12" s="136">
        <f>IF(SER_hh_tes!Q12=0,"",SER_hh_tes!Q12/SER_hh_fec!Q12)</f>
        <v>0.79817714791161032</v>
      </c>
      <c r="R12" s="136">
        <f>IF(SER_hh_tes!R12=0,"",SER_hh_tes!R12/SER_hh_fec!R12)</f>
        <v>0.79869688468938482</v>
      </c>
      <c r="S12" s="136">
        <f>IF(SER_hh_tes!S12=0,"",SER_hh_tes!S12/SER_hh_fec!S12)</f>
        <v>0.79901667837415136</v>
      </c>
      <c r="T12" s="136">
        <f>IF(SER_hh_tes!T12=0,"",SER_hh_tes!T12/SER_hh_fec!T12)</f>
        <v>0.79940853247042087</v>
      </c>
      <c r="U12" s="136">
        <f>IF(SER_hh_tes!U12=0,"",SER_hh_tes!U12/SER_hh_fec!U12)</f>
        <v>0.79994439599925027</v>
      </c>
      <c r="V12" s="136">
        <f>IF(SER_hh_tes!V12=0,"",SER_hh_tes!V12/SER_hh_fec!V12)</f>
        <v>0.80360149688025251</v>
      </c>
      <c r="W12" s="136">
        <f>IF(SER_hh_tes!W12=0,"",SER_hh_tes!W12/SER_hh_fec!W12)</f>
        <v>0.80723458288671956</v>
      </c>
      <c r="X12" s="136">
        <f>IF(SER_hh_tes!X12=0,"",SER_hh_tes!X12/SER_hh_fec!X12)</f>
        <v>0.81180161601119005</v>
      </c>
      <c r="Y12" s="136">
        <f>IF(SER_hh_tes!Y12=0,"",SER_hh_tes!Y12/SER_hh_fec!Y12)</f>
        <v>0.81463523831898965</v>
      </c>
      <c r="DA12" s="163" t="s">
        <v>339</v>
      </c>
    </row>
    <row r="13" spans="1:105" ht="12" customHeight="1" x14ac:dyDescent="0.25">
      <c r="A13" s="131" t="s">
        <v>77</v>
      </c>
      <c r="B13" s="136" t="str">
        <f>IF(SER_hh_tes!B13=0,"",SER_hh_tes!B13/SER_hh_fec!B13)</f>
        <v/>
      </c>
      <c r="C13" s="136" t="str">
        <f>IF(SER_hh_tes!C13=0,"",SER_hh_tes!C13/SER_hh_fec!C13)</f>
        <v/>
      </c>
      <c r="D13" s="136" t="str">
        <f>IF(SER_hh_tes!D13=0,"",SER_hh_tes!D13/SER_hh_fec!D13)</f>
        <v/>
      </c>
      <c r="E13" s="136" t="str">
        <f>IF(SER_hh_tes!E13=0,"",SER_hh_tes!E13/SER_hh_fec!E13)</f>
        <v/>
      </c>
      <c r="F13" s="136" t="str">
        <f>IF(SER_hh_tes!F13=0,"",SER_hh_tes!F13/SER_hh_fec!F13)</f>
        <v/>
      </c>
      <c r="G13" s="136" t="str">
        <f>IF(SER_hh_tes!G13=0,"",SER_hh_tes!G13/SER_hh_fec!G13)</f>
        <v/>
      </c>
      <c r="H13" s="136" t="str">
        <f>IF(SER_hh_tes!H13=0,"",SER_hh_tes!H13/SER_hh_fec!H13)</f>
        <v/>
      </c>
      <c r="I13" s="136" t="str">
        <f>IF(SER_hh_tes!I13=0,"",SER_hh_tes!I13/SER_hh_fec!I13)</f>
        <v/>
      </c>
      <c r="J13" s="136" t="str">
        <f>IF(SER_hh_tes!J13=0,"",SER_hh_tes!J13/SER_hh_fec!J13)</f>
        <v/>
      </c>
      <c r="K13" s="136" t="str">
        <f>IF(SER_hh_tes!K13=0,"",SER_hh_tes!K13/SER_hh_fec!K13)</f>
        <v/>
      </c>
      <c r="L13" s="136" t="str">
        <f>IF(SER_hh_tes!L13=0,"",SER_hh_tes!L13/SER_hh_fec!L13)</f>
        <v/>
      </c>
      <c r="M13" s="136" t="str">
        <f>IF(SER_hh_tes!M13=0,"",SER_hh_tes!M13/SER_hh_fec!M13)</f>
        <v/>
      </c>
      <c r="N13" s="136" t="str">
        <f>IF(SER_hh_tes!N13=0,"",SER_hh_tes!N13/SER_hh_fec!N13)</f>
        <v/>
      </c>
      <c r="O13" s="136" t="str">
        <f>IF(SER_hh_tes!O13=0,"",SER_hh_tes!O13/SER_hh_fec!O13)</f>
        <v/>
      </c>
      <c r="P13" s="136" t="str">
        <f>IF(SER_hh_tes!P13=0,"",SER_hh_tes!P13/SER_hh_fec!P13)</f>
        <v/>
      </c>
      <c r="Q13" s="136" t="str">
        <f>IF(SER_hh_tes!Q13=0,"",SER_hh_tes!Q13/SER_hh_fec!Q13)</f>
        <v/>
      </c>
      <c r="R13" s="136" t="str">
        <f>IF(SER_hh_tes!R13=0,"",SER_hh_tes!R13/SER_hh_fec!R13)</f>
        <v/>
      </c>
      <c r="S13" s="136" t="str">
        <f>IF(SER_hh_tes!S13=0,"",SER_hh_tes!S13/SER_hh_fec!S13)</f>
        <v/>
      </c>
      <c r="T13" s="136" t="str">
        <f>IF(SER_hh_tes!T13=0,"",SER_hh_tes!T13/SER_hh_fec!T13)</f>
        <v/>
      </c>
      <c r="U13" s="136" t="str">
        <f>IF(SER_hh_tes!U13=0,"",SER_hh_tes!U13/SER_hh_fec!U13)</f>
        <v/>
      </c>
      <c r="V13" s="136" t="str">
        <f>IF(SER_hh_tes!V13=0,"",SER_hh_tes!V13/SER_hh_fec!V13)</f>
        <v/>
      </c>
      <c r="W13" s="136" t="str">
        <f>IF(SER_hh_tes!W13=0,"",SER_hh_tes!W13/SER_hh_fec!W13)</f>
        <v/>
      </c>
      <c r="X13" s="136" t="str">
        <f>IF(SER_hh_tes!X13=0,"",SER_hh_tes!X13/SER_hh_fec!X13)</f>
        <v/>
      </c>
      <c r="Y13" s="136">
        <f>IF(SER_hh_tes!Y13=0,"",SER_hh_tes!Y13/SER_hh_fec!Y13)</f>
        <v>3.697573073752964</v>
      </c>
      <c r="DA13" s="163" t="s">
        <v>340</v>
      </c>
    </row>
    <row r="14" spans="1:105" ht="12" customHeight="1" x14ac:dyDescent="0.25">
      <c r="A14" s="60" t="s">
        <v>76</v>
      </c>
      <c r="B14" s="137">
        <f>IF(SER_hh_tes!B14=0,"",SER_hh_tes!B14/SER_hh_fec!B14)</f>
        <v>0.65787180913901533</v>
      </c>
      <c r="C14" s="137">
        <f>IF(SER_hh_tes!C14=0,"",SER_hh_tes!C14/SER_hh_fec!C14)</f>
        <v>0.65787180913901533</v>
      </c>
      <c r="D14" s="137">
        <f>IF(SER_hh_tes!D14=0,"",SER_hh_tes!D14/SER_hh_fec!D14)</f>
        <v>0.65787180913901533</v>
      </c>
      <c r="E14" s="137">
        <f>IF(SER_hh_tes!E14=0,"",SER_hh_tes!E14/SER_hh_fec!E14)</f>
        <v>0.65787180913901533</v>
      </c>
      <c r="F14" s="137">
        <f>IF(SER_hh_tes!F14=0,"",SER_hh_tes!F14/SER_hh_fec!F14)</f>
        <v>0.65787180913901533</v>
      </c>
      <c r="G14" s="137">
        <f>IF(SER_hh_tes!G14=0,"",SER_hh_tes!G14/SER_hh_fec!G14)</f>
        <v>0.66439796400665518</v>
      </c>
      <c r="H14" s="137">
        <f>IF(SER_hh_tes!H14=0,"",SER_hh_tes!H14/SER_hh_fec!H14)</f>
        <v>0.66616181234088856</v>
      </c>
      <c r="I14" s="137">
        <f>IF(SER_hh_tes!I14=0,"",SER_hh_tes!I14/SER_hh_fec!I14)</f>
        <v>0.68182659547118629</v>
      </c>
      <c r="J14" s="137">
        <f>IF(SER_hh_tes!J14=0,"",SER_hh_tes!J14/SER_hh_fec!J14)</f>
        <v>0.68860193300255224</v>
      </c>
      <c r="K14" s="137">
        <f>IF(SER_hh_tes!K14=0,"",SER_hh_tes!K14/SER_hh_fec!K14)</f>
        <v>0.69612055899352143</v>
      </c>
      <c r="L14" s="137">
        <f>IF(SER_hh_tes!L14=0,"",SER_hh_tes!L14/SER_hh_fec!L14)</f>
        <v>0.70503027045458933</v>
      </c>
      <c r="M14" s="137">
        <f>IF(SER_hh_tes!M14=0,"",SER_hh_tes!M14/SER_hh_fec!M14)</f>
        <v>0.7121701175889088</v>
      </c>
      <c r="N14" s="137">
        <f>IF(SER_hh_tes!N14=0,"",SER_hh_tes!N14/SER_hh_fec!N14)</f>
        <v>0.71919692547966896</v>
      </c>
      <c r="O14" s="137">
        <f>IF(SER_hh_tes!O14=0,"",SER_hh_tes!O14/SER_hh_fec!O14)</f>
        <v>0.7263516067525464</v>
      </c>
      <c r="P14" s="137">
        <f>IF(SER_hh_tes!P14=0,"",SER_hh_tes!P14/SER_hh_fec!P14)</f>
        <v>0.7263516067525464</v>
      </c>
      <c r="Q14" s="137">
        <f>IF(SER_hh_tes!Q14=0,"",SER_hh_tes!Q14/SER_hh_fec!Q14)</f>
        <v>0.7263516067525464</v>
      </c>
      <c r="R14" s="137">
        <f>IF(SER_hh_tes!R14=0,"",SER_hh_tes!R14/SER_hh_fec!R14)</f>
        <v>0.72635160675254606</v>
      </c>
      <c r="S14" s="137">
        <f>IF(SER_hh_tes!S14=0,"",SER_hh_tes!S14/SER_hh_fec!S14)</f>
        <v>0.72635160675254673</v>
      </c>
      <c r="T14" s="137">
        <f>IF(SER_hh_tes!T14=0,"",SER_hh_tes!T14/SER_hh_fec!T14)</f>
        <v>0.72635160675254651</v>
      </c>
      <c r="U14" s="137">
        <f>IF(SER_hh_tes!U14=0,"",SER_hh_tes!U14/SER_hh_fec!U14)</f>
        <v>0.72635160675254662</v>
      </c>
      <c r="V14" s="137">
        <f>IF(SER_hh_tes!V14=0,"",SER_hh_tes!V14/SER_hh_fec!V14)</f>
        <v>0.739137532446696</v>
      </c>
      <c r="W14" s="137">
        <f>IF(SER_hh_tes!W14=0,"",SER_hh_tes!W14/SER_hh_fec!W14)</f>
        <v>0.77460455188079058</v>
      </c>
      <c r="X14" s="137">
        <f>IF(SER_hh_tes!X14=0,"",SER_hh_tes!X14/SER_hh_fec!X14)</f>
        <v>0.80903594420171021</v>
      </c>
      <c r="Y14" s="137">
        <f>IF(SER_hh_tes!Y14=0,"",SER_hh_tes!Y14/SER_hh_fec!Y14)</f>
        <v>0.84453581985264126</v>
      </c>
      <c r="DA14" s="164" t="s">
        <v>341</v>
      </c>
    </row>
    <row r="15" spans="1:105" ht="12" customHeight="1" x14ac:dyDescent="0.25">
      <c r="A15" s="133" t="s">
        <v>80</v>
      </c>
      <c r="B15" s="138">
        <f>IF(SER_hh_tes!B15=0,"",SER_hh_tes!B15/SER_hh_fec!B15)</f>
        <v>1</v>
      </c>
      <c r="C15" s="138">
        <f>IF(SER_hh_tes!C15=0,"",SER_hh_tes!C15/SER_hh_fec!C15)</f>
        <v>1</v>
      </c>
      <c r="D15" s="138">
        <f>IF(SER_hh_tes!D15=0,"",SER_hh_tes!D15/SER_hh_fec!D15)</f>
        <v>1</v>
      </c>
      <c r="E15" s="138">
        <f>IF(SER_hh_tes!E15=0,"",SER_hh_tes!E15/SER_hh_fec!E15)</f>
        <v>1</v>
      </c>
      <c r="F15" s="138">
        <f>IF(SER_hh_tes!F15=0,"",SER_hh_tes!F15/SER_hh_fec!F15)</f>
        <v>1</v>
      </c>
      <c r="G15" s="138">
        <f>IF(SER_hh_tes!G15=0,"",SER_hh_tes!G15/SER_hh_fec!G15)</f>
        <v>1</v>
      </c>
      <c r="H15" s="138">
        <f>IF(SER_hh_tes!H15=0,"",SER_hh_tes!H15/SER_hh_fec!H15)</f>
        <v>1</v>
      </c>
      <c r="I15" s="138">
        <f>IF(SER_hh_tes!I15=0,"",SER_hh_tes!I15/SER_hh_fec!I15)</f>
        <v>1</v>
      </c>
      <c r="J15" s="138">
        <f>IF(SER_hh_tes!J15=0,"",SER_hh_tes!J15/SER_hh_fec!J15)</f>
        <v>1</v>
      </c>
      <c r="K15" s="138">
        <f>IF(SER_hh_tes!K15=0,"",SER_hh_tes!K15/SER_hh_fec!K15)</f>
        <v>1</v>
      </c>
      <c r="L15" s="138">
        <f>IF(SER_hh_tes!L15=0,"",SER_hh_tes!L15/SER_hh_fec!L15)</f>
        <v>1</v>
      </c>
      <c r="M15" s="138">
        <f>IF(SER_hh_tes!M15=0,"",SER_hh_tes!M15/SER_hh_fec!M15)</f>
        <v>1</v>
      </c>
      <c r="N15" s="138">
        <f>IF(SER_hh_tes!N15=0,"",SER_hh_tes!N15/SER_hh_fec!N15)</f>
        <v>1</v>
      </c>
      <c r="O15" s="138">
        <f>IF(SER_hh_tes!O15=0,"",SER_hh_tes!O15/SER_hh_fec!O15)</f>
        <v>1</v>
      </c>
      <c r="P15" s="138">
        <f>IF(SER_hh_tes!P15=0,"",SER_hh_tes!P15/SER_hh_fec!P15)</f>
        <v>1</v>
      </c>
      <c r="Q15" s="138">
        <f>IF(SER_hh_tes!Q15=0,"",SER_hh_tes!Q15/SER_hh_fec!Q15)</f>
        <v>1</v>
      </c>
      <c r="R15" s="138">
        <f>IF(SER_hh_tes!R15=0,"",SER_hh_tes!R15/SER_hh_fec!R15)</f>
        <v>1</v>
      </c>
      <c r="S15" s="138">
        <f>IF(SER_hh_tes!S15=0,"",SER_hh_tes!S15/SER_hh_fec!S15)</f>
        <v>1</v>
      </c>
      <c r="T15" s="138">
        <f>IF(SER_hh_tes!T15=0,"",SER_hh_tes!T15/SER_hh_fec!T15)</f>
        <v>1</v>
      </c>
      <c r="U15" s="138">
        <f>IF(SER_hh_tes!U15=0,"",SER_hh_tes!U15/SER_hh_fec!U15)</f>
        <v>1</v>
      </c>
      <c r="V15" s="138">
        <f>IF(SER_hh_tes!V15=0,"",SER_hh_tes!V15/SER_hh_fec!V15)</f>
        <v>1</v>
      </c>
      <c r="W15" s="138">
        <f>IF(SER_hh_tes!W15=0,"",SER_hh_tes!W15/SER_hh_fec!W15)</f>
        <v>1</v>
      </c>
      <c r="X15" s="138">
        <f>IF(SER_hh_tes!X15=0,"",SER_hh_tes!X15/SER_hh_fec!X15)</f>
        <v>1</v>
      </c>
      <c r="Y15" s="138">
        <f>IF(SER_hh_tes!Y15=0,"",SER_hh_tes!Y15/SER_hh_fec!Y15)</f>
        <v>1</v>
      </c>
      <c r="DA15" s="165" t="s">
        <v>342</v>
      </c>
    </row>
    <row r="16" spans="1:105" ht="12.95" customHeight="1" x14ac:dyDescent="0.25">
      <c r="A16" s="129" t="s">
        <v>74</v>
      </c>
      <c r="B16" s="135">
        <f>IF(SER_hh_tes!B16=0,"",SER_hh_tes!B16/SER_hh_fec!B16)</f>
        <v>1.6562774235307804</v>
      </c>
      <c r="C16" s="135">
        <f>IF(SER_hh_tes!C16=0,"",SER_hh_tes!C16/SER_hh_fec!C16)</f>
        <v>2.0628202841051855</v>
      </c>
      <c r="D16" s="135">
        <f>IF(SER_hh_tes!D16=0,"",SER_hh_tes!D16/SER_hh_fec!D16)</f>
        <v>2.1273658997554907</v>
      </c>
      <c r="E16" s="135">
        <f>IF(SER_hh_tes!E16=0,"",SER_hh_tes!E16/SER_hh_fec!E16)</f>
        <v>2.1713686277634263</v>
      </c>
      <c r="F16" s="135">
        <f>IF(SER_hh_tes!F16=0,"",SER_hh_tes!F16/SER_hh_fec!F16)</f>
        <v>2.2222226517054695</v>
      </c>
      <c r="G16" s="135">
        <f>IF(SER_hh_tes!G16=0,"",SER_hh_tes!G16/SER_hh_fec!G16)</f>
        <v>2.2660146780883599</v>
      </c>
      <c r="H16" s="135">
        <f>IF(SER_hh_tes!H16=0,"",SER_hh_tes!H16/SER_hh_fec!H16)</f>
        <v>2.3233142862353149</v>
      </c>
      <c r="I16" s="135">
        <f>IF(SER_hh_tes!I16=0,"",SER_hh_tes!I16/SER_hh_fec!I16)</f>
        <v>2.380744957351312</v>
      </c>
      <c r="J16" s="135">
        <f>IF(SER_hh_tes!J16=0,"",SER_hh_tes!J16/SER_hh_fec!J16)</f>
        <v>2.4431760641909159</v>
      </c>
      <c r="K16" s="135">
        <f>IF(SER_hh_tes!K16=0,"",SER_hh_tes!K16/SER_hh_fec!K16)</f>
        <v>2.5046835649224426</v>
      </c>
      <c r="L16" s="135">
        <f>IF(SER_hh_tes!L16=0,"",SER_hh_tes!L16/SER_hh_fec!L16)</f>
        <v>2.5722780067958189</v>
      </c>
      <c r="M16" s="135">
        <f>IF(SER_hh_tes!M16=0,"",SER_hh_tes!M16/SER_hh_fec!M16)</f>
        <v>2.6666508274955629</v>
      </c>
      <c r="N16" s="135">
        <f>IF(SER_hh_tes!N16=0,"",SER_hh_tes!N16/SER_hh_fec!N16)</f>
        <v>2.7608686310478756</v>
      </c>
      <c r="O16" s="135">
        <f>IF(SER_hh_tes!O16=0,"",SER_hh_tes!O16/SER_hh_fec!O16)</f>
        <v>2.8522966981831113</v>
      </c>
      <c r="P16" s="135">
        <f>IF(SER_hh_tes!P16=0,"",SER_hh_tes!P16/SER_hh_fec!P16)</f>
        <v>2.9556590445044759</v>
      </c>
      <c r="Q16" s="135">
        <f>IF(SER_hh_tes!Q16=0,"",SER_hh_tes!Q16/SER_hh_fec!Q16)</f>
        <v>3.053487655903115</v>
      </c>
      <c r="R16" s="135">
        <f>IF(SER_hh_tes!R16=0,"",SER_hh_tes!R16/SER_hh_fec!R16)</f>
        <v>3.1470326858131057</v>
      </c>
      <c r="S16" s="135">
        <f>IF(SER_hh_tes!S16=0,"",SER_hh_tes!S16/SER_hh_fec!S16)</f>
        <v>3.2444919444175322</v>
      </c>
      <c r="T16" s="135">
        <f>IF(SER_hh_tes!T16=0,"",SER_hh_tes!T16/SER_hh_fec!T16)</f>
        <v>3.3363401647876261</v>
      </c>
      <c r="U16" s="135">
        <f>IF(SER_hh_tes!U16=0,"",SER_hh_tes!U16/SER_hh_fec!U16)</f>
        <v>3.4222339305728879</v>
      </c>
      <c r="V16" s="135">
        <f>IF(SER_hh_tes!V16=0,"",SER_hh_tes!V16/SER_hh_fec!V16)</f>
        <v>3.5024312936726467</v>
      </c>
      <c r="W16" s="135">
        <f>IF(SER_hh_tes!W16=0,"",SER_hh_tes!W16/SER_hh_fec!W16)</f>
        <v>3.5757508928429704</v>
      </c>
      <c r="X16" s="135">
        <f>IF(SER_hh_tes!X16=0,"",SER_hh_tes!X16/SER_hh_fec!X16)</f>
        <v>3.6329858306546865</v>
      </c>
      <c r="Y16" s="135">
        <f>IF(SER_hh_tes!Y16=0,"",SER_hh_tes!Y16/SER_hh_fec!Y16)</f>
        <v>3.6779571989176185</v>
      </c>
      <c r="DA16" s="162" t="s">
        <v>241</v>
      </c>
    </row>
    <row r="17" spans="1:105" ht="12.95" customHeight="1" x14ac:dyDescent="0.25">
      <c r="A17" s="131" t="s">
        <v>73</v>
      </c>
      <c r="B17" s="136" t="str">
        <f>IF(SER_hh_tes!B17=0,"",SER_hh_tes!B17/SER_hh_fec!B17)</f>
        <v/>
      </c>
      <c r="C17" s="136" t="str">
        <f>IF(SER_hh_tes!C17=0,"",SER_hh_tes!C17/SER_hh_fec!C17)</f>
        <v/>
      </c>
      <c r="D17" s="136" t="str">
        <f>IF(SER_hh_tes!D17=0,"",SER_hh_tes!D17/SER_hh_fec!D17)</f>
        <v/>
      </c>
      <c r="E17" s="136" t="str">
        <f>IF(SER_hh_tes!E17=0,"",SER_hh_tes!E17/SER_hh_fec!E17)</f>
        <v/>
      </c>
      <c r="F17" s="136" t="str">
        <f>IF(SER_hh_tes!F17=0,"",SER_hh_tes!F17/SER_hh_fec!F17)</f>
        <v/>
      </c>
      <c r="G17" s="136" t="str">
        <f>IF(SER_hh_tes!G17=0,"",SER_hh_tes!G17/SER_hh_fec!G17)</f>
        <v/>
      </c>
      <c r="H17" s="136" t="str">
        <f>IF(SER_hh_tes!H17=0,"",SER_hh_tes!H17/SER_hh_fec!H17)</f>
        <v/>
      </c>
      <c r="I17" s="136" t="str">
        <f>IF(SER_hh_tes!I17=0,"",SER_hh_tes!I17/SER_hh_fec!I17)</f>
        <v/>
      </c>
      <c r="J17" s="136" t="str">
        <f>IF(SER_hh_tes!J17=0,"",SER_hh_tes!J17/SER_hh_fec!J17)</f>
        <v/>
      </c>
      <c r="K17" s="136" t="str">
        <f>IF(SER_hh_tes!K17=0,"",SER_hh_tes!K17/SER_hh_fec!K17)</f>
        <v/>
      </c>
      <c r="L17" s="136" t="str">
        <f>IF(SER_hh_tes!L17=0,"",SER_hh_tes!L17/SER_hh_fec!L17)</f>
        <v/>
      </c>
      <c r="M17" s="136" t="str">
        <f>IF(SER_hh_tes!M17=0,"",SER_hh_tes!M17/SER_hh_fec!M17)</f>
        <v/>
      </c>
      <c r="N17" s="136" t="str">
        <f>IF(SER_hh_tes!N17=0,"",SER_hh_tes!N17/SER_hh_fec!N17)</f>
        <v/>
      </c>
      <c r="O17" s="136" t="str">
        <f>IF(SER_hh_tes!O17=0,"",SER_hh_tes!O17/SER_hh_fec!O17)</f>
        <v/>
      </c>
      <c r="P17" s="136" t="str">
        <f>IF(SER_hh_tes!P17=0,"",SER_hh_tes!P17/SER_hh_fec!P17)</f>
        <v/>
      </c>
      <c r="Q17" s="136" t="str">
        <f>IF(SER_hh_tes!Q17=0,"",SER_hh_tes!Q17/SER_hh_fec!Q17)</f>
        <v/>
      </c>
      <c r="R17" s="136" t="str">
        <f>IF(SER_hh_tes!R17=0,"",SER_hh_tes!R17/SER_hh_fec!R17)</f>
        <v/>
      </c>
      <c r="S17" s="136" t="str">
        <f>IF(SER_hh_tes!S17=0,"",SER_hh_tes!S17/SER_hh_fec!S17)</f>
        <v/>
      </c>
      <c r="T17" s="136" t="str">
        <f>IF(SER_hh_tes!T17=0,"",SER_hh_tes!T17/SER_hh_fec!T17)</f>
        <v/>
      </c>
      <c r="U17" s="136" t="str">
        <f>IF(SER_hh_tes!U17=0,"",SER_hh_tes!U17/SER_hh_fec!U17)</f>
        <v/>
      </c>
      <c r="V17" s="136" t="str">
        <f>IF(SER_hh_tes!V17=0,"",SER_hh_tes!V17/SER_hh_fec!V17)</f>
        <v/>
      </c>
      <c r="W17" s="136" t="str">
        <f>IF(SER_hh_tes!W17=0,"",SER_hh_tes!W17/SER_hh_fec!W17)</f>
        <v/>
      </c>
      <c r="X17" s="136" t="str">
        <f>IF(SER_hh_tes!X17=0,"",SER_hh_tes!X17/SER_hh_fec!X17)</f>
        <v/>
      </c>
      <c r="Y17" s="136" t="str">
        <f>IF(SER_hh_tes!Y17=0,"",SER_hh_tes!Y17/SER_hh_fec!Y17)</f>
        <v/>
      </c>
      <c r="DA17" s="163" t="s">
        <v>343</v>
      </c>
    </row>
    <row r="18" spans="1:105" ht="12" customHeight="1" x14ac:dyDescent="0.25">
      <c r="A18" s="131" t="s">
        <v>72</v>
      </c>
      <c r="B18" s="136">
        <f>IF(SER_hh_tes!B18=0,"",SER_hh_tes!B18/SER_hh_fec!B18)</f>
        <v>1.6562774235307804</v>
      </c>
      <c r="C18" s="136">
        <f>IF(SER_hh_tes!C18=0,"",SER_hh_tes!C18/SER_hh_fec!C18)</f>
        <v>2.0628202841051855</v>
      </c>
      <c r="D18" s="136">
        <f>IF(SER_hh_tes!D18=0,"",SER_hh_tes!D18/SER_hh_fec!D18)</f>
        <v>2.1273658997554907</v>
      </c>
      <c r="E18" s="136">
        <f>IF(SER_hh_tes!E18=0,"",SER_hh_tes!E18/SER_hh_fec!E18)</f>
        <v>2.1713686277634263</v>
      </c>
      <c r="F18" s="136">
        <f>IF(SER_hh_tes!F18=0,"",SER_hh_tes!F18/SER_hh_fec!F18)</f>
        <v>2.2222226517054695</v>
      </c>
      <c r="G18" s="136">
        <f>IF(SER_hh_tes!G18=0,"",SER_hh_tes!G18/SER_hh_fec!G18)</f>
        <v>2.2660146780883599</v>
      </c>
      <c r="H18" s="136">
        <f>IF(SER_hh_tes!H18=0,"",SER_hh_tes!H18/SER_hh_fec!H18)</f>
        <v>2.3233142862353149</v>
      </c>
      <c r="I18" s="136">
        <f>IF(SER_hh_tes!I18=0,"",SER_hh_tes!I18/SER_hh_fec!I18)</f>
        <v>2.380744957351312</v>
      </c>
      <c r="J18" s="136">
        <f>IF(SER_hh_tes!J18=0,"",SER_hh_tes!J18/SER_hh_fec!J18)</f>
        <v>2.4431760641909159</v>
      </c>
      <c r="K18" s="136">
        <f>IF(SER_hh_tes!K18=0,"",SER_hh_tes!K18/SER_hh_fec!K18)</f>
        <v>2.5046835649224426</v>
      </c>
      <c r="L18" s="136">
        <f>IF(SER_hh_tes!L18=0,"",SER_hh_tes!L18/SER_hh_fec!L18)</f>
        <v>2.5722780067958189</v>
      </c>
      <c r="M18" s="136">
        <f>IF(SER_hh_tes!M18=0,"",SER_hh_tes!M18/SER_hh_fec!M18)</f>
        <v>2.6666508274955629</v>
      </c>
      <c r="N18" s="136">
        <f>IF(SER_hh_tes!N18=0,"",SER_hh_tes!N18/SER_hh_fec!N18)</f>
        <v>2.7608686310478756</v>
      </c>
      <c r="O18" s="136">
        <f>IF(SER_hh_tes!O18=0,"",SER_hh_tes!O18/SER_hh_fec!O18)</f>
        <v>2.8522966981831113</v>
      </c>
      <c r="P18" s="136">
        <f>IF(SER_hh_tes!P18=0,"",SER_hh_tes!P18/SER_hh_fec!P18)</f>
        <v>2.9556590445044759</v>
      </c>
      <c r="Q18" s="136">
        <f>IF(SER_hh_tes!Q18=0,"",SER_hh_tes!Q18/SER_hh_fec!Q18)</f>
        <v>3.053487655903115</v>
      </c>
      <c r="R18" s="136">
        <f>IF(SER_hh_tes!R18=0,"",SER_hh_tes!R18/SER_hh_fec!R18)</f>
        <v>3.1470326858131057</v>
      </c>
      <c r="S18" s="136">
        <f>IF(SER_hh_tes!S18=0,"",SER_hh_tes!S18/SER_hh_fec!S18)</f>
        <v>3.2444919444175322</v>
      </c>
      <c r="T18" s="136">
        <f>IF(SER_hh_tes!T18=0,"",SER_hh_tes!T18/SER_hh_fec!T18)</f>
        <v>3.3363401647876261</v>
      </c>
      <c r="U18" s="136">
        <f>IF(SER_hh_tes!U18=0,"",SER_hh_tes!U18/SER_hh_fec!U18)</f>
        <v>3.4222339305728879</v>
      </c>
      <c r="V18" s="136">
        <f>IF(SER_hh_tes!V18=0,"",SER_hh_tes!V18/SER_hh_fec!V18)</f>
        <v>3.5024312936726467</v>
      </c>
      <c r="W18" s="136">
        <f>IF(SER_hh_tes!W18=0,"",SER_hh_tes!W18/SER_hh_fec!W18)</f>
        <v>3.5757508928429704</v>
      </c>
      <c r="X18" s="136">
        <f>IF(SER_hh_tes!X18=0,"",SER_hh_tes!X18/SER_hh_fec!X18)</f>
        <v>3.6329858306546865</v>
      </c>
      <c r="Y18" s="136">
        <f>IF(SER_hh_tes!Y18=0,"",SER_hh_tes!Y18/SER_hh_fec!Y18)</f>
        <v>3.6779571989176185</v>
      </c>
      <c r="DA18" s="163" t="s">
        <v>344</v>
      </c>
    </row>
    <row r="19" spans="1:105" ht="12.95" customHeight="1" x14ac:dyDescent="0.25">
      <c r="A19" s="129" t="s">
        <v>35</v>
      </c>
      <c r="B19" s="135">
        <f>IF(SER_hh_tes!B19=0,"",SER_hh_tes!B19/SER_hh_fec!B19)</f>
        <v>0.60714714836520522</v>
      </c>
      <c r="C19" s="135">
        <f>IF(SER_hh_tes!C19=0,"",SER_hh_tes!C19/SER_hh_fec!C19)</f>
        <v>0.60428721914007066</v>
      </c>
      <c r="D19" s="135">
        <f>IF(SER_hh_tes!D19=0,"",SER_hh_tes!D19/SER_hh_fec!D19)</f>
        <v>0.53527904967780515</v>
      </c>
      <c r="E19" s="135">
        <f>IF(SER_hh_tes!E19=0,"",SER_hh_tes!E19/SER_hh_fec!E19)</f>
        <v>0.56825123060977223</v>
      </c>
      <c r="F19" s="135">
        <f>IF(SER_hh_tes!F19=0,"",SER_hh_tes!F19/SER_hh_fec!F19)</f>
        <v>0.56212613898805497</v>
      </c>
      <c r="G19" s="135">
        <f>IF(SER_hh_tes!G19=0,"",SER_hh_tes!G19/SER_hh_fec!G19)</f>
        <v>0.57497400800686727</v>
      </c>
      <c r="H19" s="135">
        <f>IF(SER_hh_tes!H19=0,"",SER_hh_tes!H19/SER_hh_fec!H19)</f>
        <v>0.58415866717142961</v>
      </c>
      <c r="I19" s="135">
        <f>IF(SER_hh_tes!I19=0,"",SER_hh_tes!I19/SER_hh_fec!I19)</f>
        <v>0.59438613256934725</v>
      </c>
      <c r="J19" s="135">
        <f>IF(SER_hh_tes!J19=0,"",SER_hh_tes!J19/SER_hh_fec!J19)</f>
        <v>0.60499543229180464</v>
      </c>
      <c r="K19" s="135">
        <f>IF(SER_hh_tes!K19=0,"",SER_hh_tes!K19/SER_hh_fec!K19)</f>
        <v>0.59955987881819139</v>
      </c>
      <c r="L19" s="135">
        <f>IF(SER_hh_tes!L19=0,"",SER_hh_tes!L19/SER_hh_fec!L19)</f>
        <v>0.60659225408828166</v>
      </c>
      <c r="M19" s="135">
        <f>IF(SER_hh_tes!M19=0,"",SER_hh_tes!M19/SER_hh_fec!M19)</f>
        <v>0.61965225203713969</v>
      </c>
      <c r="N19" s="135">
        <f>IF(SER_hh_tes!N19=0,"",SER_hh_tes!N19/SER_hh_fec!N19)</f>
        <v>0.62688336976248016</v>
      </c>
      <c r="O19" s="135">
        <f>IF(SER_hh_tes!O19=0,"",SER_hh_tes!O19/SER_hh_fec!O19)</f>
        <v>0.63404840743032809</v>
      </c>
      <c r="P19" s="135">
        <f>IF(SER_hh_tes!P19=0,"",SER_hh_tes!P19/SER_hh_fec!P19)</f>
        <v>0.63943607451490569</v>
      </c>
      <c r="Q19" s="135">
        <f>IF(SER_hh_tes!Q19=0,"",SER_hh_tes!Q19/SER_hh_fec!Q19)</f>
        <v>0.65100256693634173</v>
      </c>
      <c r="R19" s="135">
        <f>IF(SER_hh_tes!R19=0,"",SER_hh_tes!R19/SER_hh_fec!R19)</f>
        <v>0.66576786842968316</v>
      </c>
      <c r="S19" s="135">
        <f>IF(SER_hh_tes!S19=0,"",SER_hh_tes!S19/SER_hh_fec!S19)</f>
        <v>0.67960789911768382</v>
      </c>
      <c r="T19" s="135">
        <f>IF(SER_hh_tes!T19=0,"",SER_hh_tes!T19/SER_hh_fec!T19)</f>
        <v>0.69467076893989221</v>
      </c>
      <c r="U19" s="135">
        <f>IF(SER_hh_tes!U19=0,"",SER_hh_tes!U19/SER_hh_fec!U19)</f>
        <v>0.71014116287121942</v>
      </c>
      <c r="V19" s="135">
        <f>IF(SER_hh_tes!V19=0,"",SER_hh_tes!V19/SER_hh_fec!V19)</f>
        <v>0.72453997599689146</v>
      </c>
      <c r="W19" s="135">
        <f>IF(SER_hh_tes!W19=0,"",SER_hh_tes!W19/SER_hh_fec!W19)</f>
        <v>0.73439998510924775</v>
      </c>
      <c r="X19" s="135">
        <f>IF(SER_hh_tes!X19=0,"",SER_hh_tes!X19/SER_hh_fec!X19)</f>
        <v>0.74938387274119045</v>
      </c>
      <c r="Y19" s="135">
        <f>IF(SER_hh_tes!Y19=0,"",SER_hh_tes!Y19/SER_hh_fec!Y19)</f>
        <v>0.76363079864264516</v>
      </c>
      <c r="DA19" s="162" t="s">
        <v>242</v>
      </c>
    </row>
    <row r="20" spans="1:105" ht="12" customHeight="1" x14ac:dyDescent="0.25">
      <c r="A20" s="131" t="s">
        <v>29</v>
      </c>
      <c r="B20" s="136" t="str">
        <f>IF(SER_hh_tes!B20=0,"",SER_hh_tes!B20/SER_hh_fec!B20)</f>
        <v/>
      </c>
      <c r="C20" s="136" t="str">
        <f>IF(SER_hh_tes!C20=0,"",SER_hh_tes!C20/SER_hh_fec!C20)</f>
        <v/>
      </c>
      <c r="D20" s="136" t="str">
        <f>IF(SER_hh_tes!D20=0,"",SER_hh_tes!D20/SER_hh_fec!D20)</f>
        <v/>
      </c>
      <c r="E20" s="136" t="str">
        <f>IF(SER_hh_tes!E20=0,"",SER_hh_tes!E20/SER_hh_fec!E20)</f>
        <v/>
      </c>
      <c r="F20" s="136" t="str">
        <f>IF(SER_hh_tes!F20=0,"",SER_hh_tes!F20/SER_hh_fec!F20)</f>
        <v/>
      </c>
      <c r="G20" s="136" t="str">
        <f>IF(SER_hh_tes!G20=0,"",SER_hh_tes!G20/SER_hh_fec!G20)</f>
        <v/>
      </c>
      <c r="H20" s="136" t="str">
        <f>IF(SER_hh_tes!H20=0,"",SER_hh_tes!H20/SER_hh_fec!H20)</f>
        <v/>
      </c>
      <c r="I20" s="136" t="str">
        <f>IF(SER_hh_tes!I20=0,"",SER_hh_tes!I20/SER_hh_fec!I20)</f>
        <v/>
      </c>
      <c r="J20" s="136" t="str">
        <f>IF(SER_hh_tes!J20=0,"",SER_hh_tes!J20/SER_hh_fec!J20)</f>
        <v/>
      </c>
      <c r="K20" s="136" t="str">
        <f>IF(SER_hh_tes!K20=0,"",SER_hh_tes!K20/SER_hh_fec!K20)</f>
        <v/>
      </c>
      <c r="L20" s="136" t="str">
        <f>IF(SER_hh_tes!L20=0,"",SER_hh_tes!L20/SER_hh_fec!L20)</f>
        <v/>
      </c>
      <c r="M20" s="136" t="str">
        <f>IF(SER_hh_tes!M20=0,"",SER_hh_tes!M20/SER_hh_fec!M20)</f>
        <v/>
      </c>
      <c r="N20" s="136" t="str">
        <f>IF(SER_hh_tes!N20=0,"",SER_hh_tes!N20/SER_hh_fec!N20)</f>
        <v/>
      </c>
      <c r="O20" s="136" t="str">
        <f>IF(SER_hh_tes!O20=0,"",SER_hh_tes!O20/SER_hh_fec!O20)</f>
        <v/>
      </c>
      <c r="P20" s="136" t="str">
        <f>IF(SER_hh_tes!P20=0,"",SER_hh_tes!P20/SER_hh_fec!P20)</f>
        <v/>
      </c>
      <c r="Q20" s="136" t="str">
        <f>IF(SER_hh_tes!Q20=0,"",SER_hh_tes!Q20/SER_hh_fec!Q20)</f>
        <v/>
      </c>
      <c r="R20" s="136" t="str">
        <f>IF(SER_hh_tes!R20=0,"",SER_hh_tes!R20/SER_hh_fec!R20)</f>
        <v/>
      </c>
      <c r="S20" s="136" t="str">
        <f>IF(SER_hh_tes!S20=0,"",SER_hh_tes!S20/SER_hh_fec!S20)</f>
        <v/>
      </c>
      <c r="T20" s="136" t="str">
        <f>IF(SER_hh_tes!T20=0,"",SER_hh_tes!T20/SER_hh_fec!T20)</f>
        <v/>
      </c>
      <c r="U20" s="136" t="str">
        <f>IF(SER_hh_tes!U20=0,"",SER_hh_tes!U20/SER_hh_fec!U20)</f>
        <v/>
      </c>
      <c r="V20" s="136" t="str">
        <f>IF(SER_hh_tes!V20=0,"",SER_hh_tes!V20/SER_hh_fec!V20)</f>
        <v/>
      </c>
      <c r="W20" s="136" t="str">
        <f>IF(SER_hh_tes!W20=0,"",SER_hh_tes!W20/SER_hh_fec!W20)</f>
        <v/>
      </c>
      <c r="X20" s="136" t="str">
        <f>IF(SER_hh_tes!X20=0,"",SER_hh_tes!X20/SER_hh_fec!X20)</f>
        <v/>
      </c>
      <c r="Y20" s="136" t="str">
        <f>IF(SER_hh_tes!Y20=0,"",SER_hh_tes!Y20/SER_hh_fec!Y20)</f>
        <v/>
      </c>
      <c r="DA20" s="163" t="s">
        <v>345</v>
      </c>
    </row>
    <row r="21" spans="1:105" s="2" customFormat="1" ht="12" customHeight="1" x14ac:dyDescent="0.25">
      <c r="A21" s="131" t="s">
        <v>52</v>
      </c>
      <c r="B21" s="136" t="str">
        <f>IF(SER_hh_tes!B21=0,"",SER_hh_tes!B21/SER_hh_fec!B21)</f>
        <v/>
      </c>
      <c r="C21" s="136" t="str">
        <f>IF(SER_hh_tes!C21=0,"",SER_hh_tes!C21/SER_hh_fec!C21)</f>
        <v/>
      </c>
      <c r="D21" s="136" t="str">
        <f>IF(SER_hh_tes!D21=0,"",SER_hh_tes!D21/SER_hh_fec!D21)</f>
        <v/>
      </c>
      <c r="E21" s="136" t="str">
        <f>IF(SER_hh_tes!E21=0,"",SER_hh_tes!E21/SER_hh_fec!E21)</f>
        <v/>
      </c>
      <c r="F21" s="136" t="str">
        <f>IF(SER_hh_tes!F21=0,"",SER_hh_tes!F21/SER_hh_fec!F21)</f>
        <v/>
      </c>
      <c r="G21" s="136" t="str">
        <f>IF(SER_hh_tes!G21=0,"",SER_hh_tes!G21/SER_hh_fec!G21)</f>
        <v/>
      </c>
      <c r="H21" s="136" t="str">
        <f>IF(SER_hh_tes!H21=0,"",SER_hh_tes!H21/SER_hh_fec!H21)</f>
        <v/>
      </c>
      <c r="I21" s="136" t="str">
        <f>IF(SER_hh_tes!I21=0,"",SER_hh_tes!I21/SER_hh_fec!I21)</f>
        <v/>
      </c>
      <c r="J21" s="136" t="str">
        <f>IF(SER_hh_tes!J21=0,"",SER_hh_tes!J21/SER_hh_fec!J21)</f>
        <v/>
      </c>
      <c r="K21" s="136" t="str">
        <f>IF(SER_hh_tes!K21=0,"",SER_hh_tes!K21/SER_hh_fec!K21)</f>
        <v/>
      </c>
      <c r="L21" s="136" t="str">
        <f>IF(SER_hh_tes!L21=0,"",SER_hh_tes!L21/SER_hh_fec!L21)</f>
        <v/>
      </c>
      <c r="M21" s="136" t="str">
        <f>IF(SER_hh_tes!M21=0,"",SER_hh_tes!M21/SER_hh_fec!M21)</f>
        <v/>
      </c>
      <c r="N21" s="136" t="str">
        <f>IF(SER_hh_tes!N21=0,"",SER_hh_tes!N21/SER_hh_fec!N21)</f>
        <v/>
      </c>
      <c r="O21" s="136" t="str">
        <f>IF(SER_hh_tes!O21=0,"",SER_hh_tes!O21/SER_hh_fec!O21)</f>
        <v/>
      </c>
      <c r="P21" s="136" t="str">
        <f>IF(SER_hh_tes!P21=0,"",SER_hh_tes!P21/SER_hh_fec!P21)</f>
        <v/>
      </c>
      <c r="Q21" s="136" t="str">
        <f>IF(SER_hh_tes!Q21=0,"",SER_hh_tes!Q21/SER_hh_fec!Q21)</f>
        <v/>
      </c>
      <c r="R21" s="136" t="str">
        <f>IF(SER_hh_tes!R21=0,"",SER_hh_tes!R21/SER_hh_fec!R21)</f>
        <v/>
      </c>
      <c r="S21" s="136" t="str">
        <f>IF(SER_hh_tes!S21=0,"",SER_hh_tes!S21/SER_hh_fec!S21)</f>
        <v/>
      </c>
      <c r="T21" s="136" t="str">
        <f>IF(SER_hh_tes!T21=0,"",SER_hh_tes!T21/SER_hh_fec!T21)</f>
        <v/>
      </c>
      <c r="U21" s="136" t="str">
        <f>IF(SER_hh_tes!U21=0,"",SER_hh_tes!U21/SER_hh_fec!U21)</f>
        <v/>
      </c>
      <c r="V21" s="136" t="str">
        <f>IF(SER_hh_tes!V21=0,"",SER_hh_tes!V21/SER_hh_fec!V21)</f>
        <v/>
      </c>
      <c r="W21" s="136" t="str">
        <f>IF(SER_hh_tes!W21=0,"",SER_hh_tes!W21/SER_hh_fec!W21)</f>
        <v/>
      </c>
      <c r="X21" s="136" t="str">
        <f>IF(SER_hh_tes!X21=0,"",SER_hh_tes!X21/SER_hh_fec!X21)</f>
        <v/>
      </c>
      <c r="Y21" s="136" t="str">
        <f>IF(SER_hh_tes!Y21=0,"",SER_hh_tes!Y21/SER_hh_fec!Y21)</f>
        <v/>
      </c>
      <c r="DA21" s="163" t="s">
        <v>346</v>
      </c>
    </row>
    <row r="22" spans="1:105" ht="12" customHeight="1" x14ac:dyDescent="0.25">
      <c r="A22" s="131" t="s">
        <v>161</v>
      </c>
      <c r="B22" s="136">
        <f>IF(SER_hh_tes!B22=0,"",SER_hh_tes!B22/SER_hh_fec!B22)</f>
        <v>0.48294264060583597</v>
      </c>
      <c r="C22" s="136">
        <f>IF(SER_hh_tes!C22=0,"",SER_hh_tes!C22/SER_hh_fec!C22)</f>
        <v>0.48784151018308197</v>
      </c>
      <c r="D22" s="136">
        <f>IF(SER_hh_tes!D22=0,"",SER_hh_tes!D22/SER_hh_fec!D22)</f>
        <v>0.49188153302308829</v>
      </c>
      <c r="E22" s="136">
        <f>IF(SER_hh_tes!E22=0,"",SER_hh_tes!E22/SER_hh_fec!E22)</f>
        <v>0.49282078449215594</v>
      </c>
      <c r="F22" s="136">
        <f>IF(SER_hh_tes!F22=0,"",SER_hh_tes!F22/SER_hh_fec!F22)</f>
        <v>0.4935959186659275</v>
      </c>
      <c r="G22" s="136">
        <f>IF(SER_hh_tes!G22=0,"",SER_hh_tes!G22/SER_hh_fec!G22)</f>
        <v>0.49420287474736779</v>
      </c>
      <c r="H22" s="136">
        <f>IF(SER_hh_tes!H22=0,"",SER_hh_tes!H22/SER_hh_fec!H22)</f>
        <v>0.49424505788614376</v>
      </c>
      <c r="I22" s="136">
        <f>IF(SER_hh_tes!I22=0,"",SER_hh_tes!I22/SER_hh_fec!I22)</f>
        <v>0.49424505788614376</v>
      </c>
      <c r="J22" s="136">
        <f>IF(SER_hh_tes!J22=0,"",SER_hh_tes!J22/SER_hh_fec!J22)</f>
        <v>0.49424505788614359</v>
      </c>
      <c r="K22" s="136">
        <f>IF(SER_hh_tes!K22=0,"",SER_hh_tes!K22/SER_hh_fec!K22)</f>
        <v>0.49424505788614376</v>
      </c>
      <c r="L22" s="136">
        <f>IF(SER_hh_tes!L22=0,"",SER_hh_tes!L22/SER_hh_fec!L22)</f>
        <v>0.50170331519575229</v>
      </c>
      <c r="M22" s="136">
        <f>IF(SER_hh_tes!M22=0,"",SER_hh_tes!M22/SER_hh_fec!M22)</f>
        <v>0.51407789606933885</v>
      </c>
      <c r="N22" s="136">
        <f>IF(SER_hh_tes!N22=0,"",SER_hh_tes!N22/SER_hh_fec!N22)</f>
        <v>0.5316034884028964</v>
      </c>
      <c r="O22" s="136">
        <f>IF(SER_hh_tes!O22=0,"",SER_hh_tes!O22/SER_hh_fec!O22)</f>
        <v>0.55016624693446536</v>
      </c>
      <c r="P22" s="136">
        <f>IF(SER_hh_tes!P22=0,"",SER_hh_tes!P22/SER_hh_fec!P22)</f>
        <v>0.55891745486096922</v>
      </c>
      <c r="Q22" s="136">
        <f>IF(SER_hh_tes!Q22=0,"",SER_hh_tes!Q22/SER_hh_fec!Q22)</f>
        <v>0.57350367548187919</v>
      </c>
      <c r="R22" s="136">
        <f>IF(SER_hh_tes!R22=0,"",SER_hh_tes!R22/SER_hh_fec!R22)</f>
        <v>0.59455259744356181</v>
      </c>
      <c r="S22" s="136">
        <f>IF(SER_hh_tes!S22=0,"",SER_hh_tes!S22/SER_hh_fec!S22)</f>
        <v>0.62464511450419546</v>
      </c>
      <c r="T22" s="136">
        <f>IF(SER_hh_tes!T22=0,"",SER_hh_tes!T22/SER_hh_fec!T22)</f>
        <v>0.64571553205078613</v>
      </c>
      <c r="U22" s="136">
        <f>IF(SER_hh_tes!U22=0,"",SER_hh_tes!U22/SER_hh_fec!U22)</f>
        <v>0.6591305429184382</v>
      </c>
      <c r="V22" s="136">
        <f>IF(SER_hh_tes!V22=0,"",SER_hh_tes!V22/SER_hh_fec!V22)</f>
        <v>0.67207543184892937</v>
      </c>
      <c r="W22" s="136">
        <f>IF(SER_hh_tes!W22=0,"",SER_hh_tes!W22/SER_hh_fec!W22)</f>
        <v>0.68656126102756854</v>
      </c>
      <c r="X22" s="136">
        <f>IF(SER_hh_tes!X22=0,"",SER_hh_tes!X22/SER_hh_fec!X22)</f>
        <v>0.69505285718963805</v>
      </c>
      <c r="Y22" s="136">
        <f>IF(SER_hh_tes!Y22=0,"",SER_hh_tes!Y22/SER_hh_fec!Y22)</f>
        <v>0.70159231114381904</v>
      </c>
      <c r="DA22" s="163" t="s">
        <v>347</v>
      </c>
    </row>
    <row r="23" spans="1:105" ht="12" customHeight="1" x14ac:dyDescent="0.25">
      <c r="A23" s="131" t="s">
        <v>149</v>
      </c>
      <c r="B23" s="136">
        <f>IF(SER_hh_tes!B23=0,"",SER_hh_tes!B23/SER_hh_fec!B23)</f>
        <v>0.4937930885202847</v>
      </c>
      <c r="C23" s="136">
        <f>IF(SER_hh_tes!C23=0,"",SER_hh_tes!C23/SER_hh_fec!C23)</f>
        <v>0.50461159770421682</v>
      </c>
      <c r="D23" s="136">
        <f>IF(SER_hh_tes!D23=0,"",SER_hh_tes!D23/SER_hh_fec!D23)</f>
        <v>0.52400123915797381</v>
      </c>
      <c r="E23" s="136">
        <f>IF(SER_hh_tes!E23=0,"",SER_hh_tes!E23/SER_hh_fec!E23)</f>
        <v>0.53341736467699086</v>
      </c>
      <c r="F23" s="136">
        <f>IF(SER_hh_tes!F23=0,"",SER_hh_tes!F23/SER_hh_fec!F23)</f>
        <v>0.54379541948619592</v>
      </c>
      <c r="G23" s="136">
        <f>IF(SER_hh_tes!G23=0,"",SER_hh_tes!G23/SER_hh_fec!G23)</f>
        <v>0.55010088391282752</v>
      </c>
      <c r="H23" s="136">
        <f>IF(SER_hh_tes!H23=0,"",SER_hh_tes!H23/SER_hh_fec!H23)</f>
        <v>0.55475621466428493</v>
      </c>
      <c r="I23" s="136">
        <f>IF(SER_hh_tes!I23=0,"",SER_hh_tes!I23/SER_hh_fec!I23)</f>
        <v>0.55595372555291322</v>
      </c>
      <c r="J23" s="136">
        <f>IF(SER_hh_tes!J23=0,"",SER_hh_tes!J23/SER_hh_fec!J23)</f>
        <v>0.55910330335590352</v>
      </c>
      <c r="K23" s="136">
        <f>IF(SER_hh_tes!K23=0,"",SER_hh_tes!K23/SER_hh_fec!K23)</f>
        <v>0.56512526372884087</v>
      </c>
      <c r="L23" s="136">
        <f>IF(SER_hh_tes!L23=0,"",SER_hh_tes!L23/SER_hh_fec!L23)</f>
        <v>0.57053582059905106</v>
      </c>
      <c r="M23" s="136">
        <f>IF(SER_hh_tes!M23=0,"",SER_hh_tes!M23/SER_hh_fec!M23)</f>
        <v>0.57413411903341294</v>
      </c>
      <c r="N23" s="136">
        <f>IF(SER_hh_tes!N23=0,"",SER_hh_tes!N23/SER_hh_fec!N23)</f>
        <v>0.57702977887198292</v>
      </c>
      <c r="O23" s="136">
        <f>IF(SER_hh_tes!O23=0,"",SER_hh_tes!O23/SER_hh_fec!O23)</f>
        <v>0.58752443551445932</v>
      </c>
      <c r="P23" s="136">
        <f>IF(SER_hh_tes!P23=0,"",SER_hh_tes!P23/SER_hh_fec!P23)</f>
        <v>0.60197866474077022</v>
      </c>
      <c r="Q23" s="136">
        <f>IF(SER_hh_tes!Q23=0,"",SER_hh_tes!Q23/SER_hh_fec!Q23)</f>
        <v>0.62325429196850723</v>
      </c>
      <c r="R23" s="136">
        <f>IF(SER_hh_tes!R23=0,"",SER_hh_tes!R23/SER_hh_fec!R23)</f>
        <v>0.64467974128316496</v>
      </c>
      <c r="S23" s="136">
        <f>IF(SER_hh_tes!S23=0,"",SER_hh_tes!S23/SER_hh_fec!S23)</f>
        <v>0.6683397400751856</v>
      </c>
      <c r="T23" s="136">
        <f>IF(SER_hh_tes!T23=0,"",SER_hh_tes!T23/SER_hh_fec!T23)</f>
        <v>0.68917773412064665</v>
      </c>
      <c r="U23" s="136">
        <f>IF(SER_hh_tes!U23=0,"",SER_hh_tes!U23/SER_hh_fec!U23)</f>
        <v>0.70723098877607116</v>
      </c>
      <c r="V23" s="136">
        <f>IF(SER_hh_tes!V23=0,"",SER_hh_tes!V23/SER_hh_fec!V23)</f>
        <v>0.72245988706817288</v>
      </c>
      <c r="W23" s="136">
        <f>IF(SER_hh_tes!W23=0,"",SER_hh_tes!W23/SER_hh_fec!W23)</f>
        <v>0.73215815769868064</v>
      </c>
      <c r="X23" s="136">
        <f>IF(SER_hh_tes!X23=0,"",SER_hh_tes!X23/SER_hh_fec!X23)</f>
        <v>0.73835699066551486</v>
      </c>
      <c r="Y23" s="136">
        <f>IF(SER_hh_tes!Y23=0,"",SER_hh_tes!Y23/SER_hh_fec!Y23)</f>
        <v>0.74279937368328397</v>
      </c>
      <c r="DA23" s="163" t="s">
        <v>348</v>
      </c>
    </row>
    <row r="24" spans="1:105" ht="12" customHeight="1" x14ac:dyDescent="0.25">
      <c r="A24" s="131" t="s">
        <v>128</v>
      </c>
      <c r="B24" s="136">
        <f>IF(SER_hh_tes!B24=0,"",SER_hh_tes!B24/SER_hh_fec!B24)</f>
        <v>0.43675620112292679</v>
      </c>
      <c r="C24" s="136">
        <f>IF(SER_hh_tes!C24=0,"",SER_hh_tes!C24/SER_hh_fec!C24)</f>
        <v>0.44195950561972036</v>
      </c>
      <c r="D24" s="136">
        <f>IF(SER_hh_tes!D24=0,"",SER_hh_tes!D24/SER_hh_fec!D24)</f>
        <v>0.44241665191264123</v>
      </c>
      <c r="E24" s="136">
        <f>IF(SER_hh_tes!E24=0,"",SER_hh_tes!E24/SER_hh_fec!E24)</f>
        <v>0.44427710819669419</v>
      </c>
      <c r="F24" s="136">
        <f>IF(SER_hh_tes!F24=0,"",SER_hh_tes!F24/SER_hh_fec!F24)</f>
        <v>0.44469033438061051</v>
      </c>
      <c r="G24" s="136">
        <f>IF(SER_hh_tes!G24=0,"",SER_hh_tes!G24/SER_hh_fec!G24)</f>
        <v>0.44469033438061034</v>
      </c>
      <c r="H24" s="136">
        <f>IF(SER_hh_tes!H24=0,"",SER_hh_tes!H24/SER_hh_fec!H24)</f>
        <v>0.44469033438061034</v>
      </c>
      <c r="I24" s="136">
        <f>IF(SER_hh_tes!I24=0,"",SER_hh_tes!I24/SER_hh_fec!I24)</f>
        <v>0.44469033438061045</v>
      </c>
      <c r="J24" s="136">
        <f>IF(SER_hh_tes!J24=0,"",SER_hh_tes!J24/SER_hh_fec!J24)</f>
        <v>0.44713920554819581</v>
      </c>
      <c r="K24" s="136">
        <f>IF(SER_hh_tes!K24=0,"",SER_hh_tes!K24/SER_hh_fec!K24)</f>
        <v>0.4753529780522866</v>
      </c>
      <c r="L24" s="136">
        <f>IF(SER_hh_tes!L24=0,"",SER_hh_tes!L24/SER_hh_fec!L24)</f>
        <v>0.52349275951977325</v>
      </c>
      <c r="M24" s="136">
        <f>IF(SER_hh_tes!M24=0,"",SER_hh_tes!M24/SER_hh_fec!M24)</f>
        <v>0.57258597060608662</v>
      </c>
      <c r="N24" s="136">
        <f>IF(SER_hh_tes!N24=0,"",SER_hh_tes!N24/SER_hh_fec!N24)</f>
        <v>0.62228568141078855</v>
      </c>
      <c r="O24" s="136">
        <f>IF(SER_hh_tes!O24=0,"",SER_hh_tes!O24/SER_hh_fec!O24)</f>
        <v>0.66287690117724174</v>
      </c>
      <c r="P24" s="136">
        <f>IF(SER_hh_tes!P24=0,"",SER_hh_tes!P24/SER_hh_fec!P24)</f>
        <v>0.66367997058288353</v>
      </c>
      <c r="Q24" s="136">
        <f>IF(SER_hh_tes!Q24=0,"",SER_hh_tes!Q24/SER_hh_fec!Q24)</f>
        <v>0.66495828356271358</v>
      </c>
      <c r="R24" s="136">
        <f>IF(SER_hh_tes!R24=0,"",SER_hh_tes!R24/SER_hh_fec!R24)</f>
        <v>0.6670900466676114</v>
      </c>
      <c r="S24" s="136">
        <f>IF(SER_hh_tes!S24=0,"",SER_hh_tes!S24/SER_hh_fec!S24)</f>
        <v>0.6698096472386601</v>
      </c>
      <c r="T24" s="136">
        <f>IF(SER_hh_tes!T24=0,"",SER_hh_tes!T24/SER_hh_fec!T24)</f>
        <v>0.67022178427591228</v>
      </c>
      <c r="U24" s="136">
        <f>IF(SER_hh_tes!U24=0,"",SER_hh_tes!U24/SER_hh_fec!U24)</f>
        <v>0.67081106086627118</v>
      </c>
      <c r="V24" s="136">
        <f>IF(SER_hh_tes!V24=0,"",SER_hh_tes!V24/SER_hh_fec!V24)</f>
        <v>0.67084130330277458</v>
      </c>
      <c r="W24" s="136">
        <f>IF(SER_hh_tes!W24=0,"",SER_hh_tes!W24/SER_hh_fec!W24)</f>
        <v>0.67107646714555402</v>
      </c>
      <c r="X24" s="136">
        <f>IF(SER_hh_tes!X24=0,"",SER_hh_tes!X24/SER_hh_fec!X24)</f>
        <v>0.67155528131551023</v>
      </c>
      <c r="Y24" s="136">
        <f>IF(SER_hh_tes!Y24=0,"",SER_hh_tes!Y24/SER_hh_fec!Y24)</f>
        <v>0.67476262696560962</v>
      </c>
      <c r="DA24" s="163" t="s">
        <v>349</v>
      </c>
    </row>
    <row r="25" spans="1:105" ht="12" customHeight="1" x14ac:dyDescent="0.25">
      <c r="A25" s="131" t="s">
        <v>162</v>
      </c>
      <c r="B25" s="136">
        <f>IF(SER_hh_tes!B25=0,"",SER_hh_tes!B25/SER_hh_fec!B25)</f>
        <v>0.73686178919258449</v>
      </c>
      <c r="C25" s="136">
        <f>IF(SER_hh_tes!C25=0,"",SER_hh_tes!C25/SER_hh_fec!C25)</f>
        <v>0.73686178919258449</v>
      </c>
      <c r="D25" s="136">
        <f>IF(SER_hh_tes!D25=0,"",SER_hh_tes!D25/SER_hh_fec!D25)</f>
        <v>0.73686178919258449</v>
      </c>
      <c r="E25" s="136">
        <f>IF(SER_hh_tes!E25=0,"",SER_hh_tes!E25/SER_hh_fec!E25)</f>
        <v>0.73686178919258449</v>
      </c>
      <c r="F25" s="136">
        <f>IF(SER_hh_tes!F25=0,"",SER_hh_tes!F25/SER_hh_fec!F25)</f>
        <v>0.73686178919258449</v>
      </c>
      <c r="G25" s="136">
        <f>IF(SER_hh_tes!G25=0,"",SER_hh_tes!G25/SER_hh_fec!G25)</f>
        <v>0.73853818493739176</v>
      </c>
      <c r="H25" s="136">
        <f>IF(SER_hh_tes!H25=0,"",SER_hh_tes!H25/SER_hh_fec!H25)</f>
        <v>0.74181973537478785</v>
      </c>
      <c r="I25" s="136">
        <f>IF(SER_hh_tes!I25=0,"",SER_hh_tes!I25/SER_hh_fec!I25)</f>
        <v>0.74645654383695637</v>
      </c>
      <c r="J25" s="136">
        <f>IF(SER_hh_tes!J25=0,"",SER_hh_tes!J25/SER_hh_fec!J25)</f>
        <v>0.75234989867169044</v>
      </c>
      <c r="K25" s="136">
        <f>IF(SER_hh_tes!K25=0,"",SER_hh_tes!K25/SER_hh_fec!K25)</f>
        <v>0.76143377358714859</v>
      </c>
      <c r="L25" s="136">
        <f>IF(SER_hh_tes!L25=0,"",SER_hh_tes!L25/SER_hh_fec!L25)</f>
        <v>0.76976345819390368</v>
      </c>
      <c r="M25" s="136">
        <f>IF(SER_hh_tes!M25=0,"",SER_hh_tes!M25/SER_hh_fec!M25)</f>
        <v>0.77761924501933199</v>
      </c>
      <c r="N25" s="136">
        <f>IF(SER_hh_tes!N25=0,"",SER_hh_tes!N25/SER_hh_fec!N25)</f>
        <v>0.78540149072829046</v>
      </c>
      <c r="O25" s="136">
        <f>IF(SER_hh_tes!O25=0,"",SER_hh_tes!O25/SER_hh_fec!O25)</f>
        <v>0.79180198716528549</v>
      </c>
      <c r="P25" s="136">
        <f>IF(SER_hh_tes!P25=0,"",SER_hh_tes!P25/SER_hh_fec!P25)</f>
        <v>0.79194893462459082</v>
      </c>
      <c r="Q25" s="136">
        <f>IF(SER_hh_tes!Q25=0,"",SER_hh_tes!Q25/SER_hh_fec!Q25)</f>
        <v>0.79235696609245165</v>
      </c>
      <c r="R25" s="136">
        <f>IF(SER_hh_tes!R25=0,"",SER_hh_tes!R25/SER_hh_fec!R25)</f>
        <v>0.79278091494387215</v>
      </c>
      <c r="S25" s="136">
        <f>IF(SER_hh_tes!S25=0,"",SER_hh_tes!S25/SER_hh_fec!S25)</f>
        <v>0.793041853334433</v>
      </c>
      <c r="T25" s="136">
        <f>IF(SER_hh_tes!T25=0,"",SER_hh_tes!T25/SER_hh_fec!T25)</f>
        <v>0.79356280475070484</v>
      </c>
      <c r="U25" s="136">
        <f>IF(SER_hh_tes!U25=0,"",SER_hh_tes!U25/SER_hh_fec!U25)</f>
        <v>0.79546839128136171</v>
      </c>
      <c r="V25" s="136">
        <f>IF(SER_hh_tes!V25=0,"",SER_hh_tes!V25/SER_hh_fec!V25)</f>
        <v>0.79937767384711866</v>
      </c>
      <c r="W25" s="136">
        <f>IF(SER_hh_tes!W25=0,"",SER_hh_tes!W25/SER_hh_fec!W25)</f>
        <v>0.80347218499631257</v>
      </c>
      <c r="X25" s="136">
        <f>IF(SER_hh_tes!X25=0,"",SER_hh_tes!X25/SER_hh_fec!X25)</f>
        <v>0.80741065644131782</v>
      </c>
      <c r="Y25" s="136">
        <f>IF(SER_hh_tes!Y25=0,"",SER_hh_tes!Y25/SER_hh_fec!Y25)</f>
        <v>0.8184878143381723</v>
      </c>
      <c r="DA25" s="163" t="s">
        <v>350</v>
      </c>
    </row>
    <row r="26" spans="1:105" ht="12" customHeight="1" x14ac:dyDescent="0.25">
      <c r="A26" s="131" t="s">
        <v>24</v>
      </c>
      <c r="B26" s="137">
        <f>IF(SER_hh_tes!B26=0,"",SER_hh_tes!B26/SER_hh_fec!B26)</f>
        <v>0.61279369842173648</v>
      </c>
      <c r="C26" s="137">
        <f>IF(SER_hh_tes!C26=0,"",SER_hh_tes!C26/SER_hh_fec!C26)</f>
        <v>0.61922388074956758</v>
      </c>
      <c r="D26" s="137">
        <f>IF(SER_hh_tes!D26=0,"",SER_hh_tes!D26/SER_hh_fec!D26)</f>
        <v>0.62028375330559504</v>
      </c>
      <c r="E26" s="137">
        <f>IF(SER_hh_tes!E26=0,"",SER_hh_tes!E26/SER_hh_fec!E26)</f>
        <v>0.62606505897951104</v>
      </c>
      <c r="F26" s="137">
        <f>IF(SER_hh_tes!F26=0,"",SER_hh_tes!F26/SER_hh_fec!F26)</f>
        <v>0.62770753098634702</v>
      </c>
      <c r="G26" s="137">
        <f>IF(SER_hh_tes!G26=0,"",SER_hh_tes!G26/SER_hh_fec!G26)</f>
        <v>0.63086600482467048</v>
      </c>
      <c r="H26" s="137">
        <f>IF(SER_hh_tes!H26=0,"",SER_hh_tes!H26/SER_hh_fec!H26)</f>
        <v>0.63360789944654827</v>
      </c>
      <c r="I26" s="137">
        <f>IF(SER_hh_tes!I26=0,"",SER_hh_tes!I26/SER_hh_fec!I26)</f>
        <v>0.63640683041084534</v>
      </c>
      <c r="J26" s="137">
        <f>IF(SER_hh_tes!J26=0,"",SER_hh_tes!J26/SER_hh_fec!J26)</f>
        <v>0.63801303659570785</v>
      </c>
      <c r="K26" s="137">
        <f>IF(SER_hh_tes!K26=0,"",SER_hh_tes!K26/SER_hh_fec!K26)</f>
        <v>0.63881570903746665</v>
      </c>
      <c r="L26" s="137">
        <f>IF(SER_hh_tes!L26=0,"",SER_hh_tes!L26/SER_hh_fec!L26)</f>
        <v>0.6395325603287928</v>
      </c>
      <c r="M26" s="137">
        <f>IF(SER_hh_tes!M26=0,"",SER_hh_tes!M26/SER_hh_fec!M26)</f>
        <v>0.64314868253859692</v>
      </c>
      <c r="N26" s="137">
        <f>IF(SER_hh_tes!N26=0,"",SER_hh_tes!N26/SER_hh_fec!N26)</f>
        <v>0.64790502450564358</v>
      </c>
      <c r="O26" s="137">
        <f>IF(SER_hh_tes!O26=0,"",SER_hh_tes!O26/SER_hh_fec!O26)</f>
        <v>0.65347761141375471</v>
      </c>
      <c r="P26" s="137">
        <f>IF(SER_hh_tes!P26=0,"",SER_hh_tes!P26/SER_hh_fec!P26)</f>
        <v>0.65867570273016884</v>
      </c>
      <c r="Q26" s="137">
        <f>IF(SER_hh_tes!Q26=0,"",SER_hh_tes!Q26/SER_hh_fec!Q26)</f>
        <v>0.66541290696906608</v>
      </c>
      <c r="R26" s="137">
        <f>IF(SER_hh_tes!R26=0,"",SER_hh_tes!R26/SER_hh_fec!R26)</f>
        <v>0.6748001289269504</v>
      </c>
      <c r="S26" s="137">
        <f>IF(SER_hh_tes!S26=0,"",SER_hh_tes!S26/SER_hh_fec!S26)</f>
        <v>0.68627316658997206</v>
      </c>
      <c r="T26" s="137">
        <f>IF(SER_hh_tes!T26=0,"",SER_hh_tes!T26/SER_hh_fec!T26)</f>
        <v>0.70124031518272012</v>
      </c>
      <c r="U26" s="137">
        <f>IF(SER_hh_tes!U26=0,"",SER_hh_tes!U26/SER_hh_fec!U26)</f>
        <v>0.72414044284658452</v>
      </c>
      <c r="V26" s="137">
        <f>IF(SER_hh_tes!V26=0,"",SER_hh_tes!V26/SER_hh_fec!V26)</f>
        <v>0.74789223855446751</v>
      </c>
      <c r="W26" s="137">
        <f>IF(SER_hh_tes!W26=0,"",SER_hh_tes!W26/SER_hh_fec!W26)</f>
        <v>0.77740993453770402</v>
      </c>
      <c r="X26" s="137">
        <f>IF(SER_hh_tes!X26=0,"",SER_hh_tes!X26/SER_hh_fec!X26)</f>
        <v>0.81621198874270406</v>
      </c>
      <c r="Y26" s="137">
        <f>IF(SER_hh_tes!Y26=0,"",SER_hh_tes!Y26/SER_hh_fec!Y26)</f>
        <v>0.83937607582617335</v>
      </c>
      <c r="DA26" s="164" t="s">
        <v>351</v>
      </c>
    </row>
    <row r="27" spans="1:105" ht="12" customHeight="1" x14ac:dyDescent="0.25">
      <c r="A27" s="144" t="s">
        <v>26</v>
      </c>
      <c r="B27" s="153" t="str">
        <f>IF(SER_hh_tes!B27=0,"",SER_hh_tes!B27/SER_hh_fec!B27)</f>
        <v/>
      </c>
      <c r="C27" s="153" t="str">
        <f>IF(SER_hh_tes!C27=0,"",SER_hh_tes!C27/SER_hh_fec!C27)</f>
        <v/>
      </c>
      <c r="D27" s="153" t="str">
        <f>IF(SER_hh_tes!D27=0,"",SER_hh_tes!D27/SER_hh_fec!D27)</f>
        <v/>
      </c>
      <c r="E27" s="153" t="str">
        <f>IF(SER_hh_tes!E27=0,"",SER_hh_tes!E27/SER_hh_fec!E27)</f>
        <v/>
      </c>
      <c r="F27" s="153" t="str">
        <f>IF(SER_hh_tes!F27=0,"",SER_hh_tes!F27/SER_hh_fec!F27)</f>
        <v/>
      </c>
      <c r="G27" s="153" t="str">
        <f>IF(SER_hh_tes!G27=0,"",SER_hh_tes!G27/SER_hh_fec!G27)</f>
        <v/>
      </c>
      <c r="H27" s="153" t="str">
        <f>IF(SER_hh_tes!H27=0,"",SER_hh_tes!H27/SER_hh_fec!H27)</f>
        <v/>
      </c>
      <c r="I27" s="153">
        <f>IF(SER_hh_tes!I27=0,"",SER_hh_tes!I27/SER_hh_fec!I27)</f>
        <v>1</v>
      </c>
      <c r="J27" s="153" t="str">
        <f>IF(SER_hh_tes!J27=0,"",SER_hh_tes!J27/SER_hh_fec!J27)</f>
        <v/>
      </c>
      <c r="K27" s="153" t="str">
        <f>IF(SER_hh_tes!K27=0,"",SER_hh_tes!K27/SER_hh_fec!K27)</f>
        <v/>
      </c>
      <c r="L27" s="153">
        <f>IF(SER_hh_tes!L27=0,"",SER_hh_tes!L27/SER_hh_fec!L27)</f>
        <v>1</v>
      </c>
      <c r="M27" s="153">
        <f>IF(SER_hh_tes!M27=0,"",SER_hh_tes!M27/SER_hh_fec!M27)</f>
        <v>1</v>
      </c>
      <c r="N27" s="153">
        <f>IF(SER_hh_tes!N27=0,"",SER_hh_tes!N27/SER_hh_fec!N27)</f>
        <v>1</v>
      </c>
      <c r="O27" s="153">
        <f>IF(SER_hh_tes!O27=0,"",SER_hh_tes!O27/SER_hh_fec!O27)</f>
        <v>1</v>
      </c>
      <c r="P27" s="153">
        <f>IF(SER_hh_tes!P27=0,"",SER_hh_tes!P27/SER_hh_fec!P27)</f>
        <v>1</v>
      </c>
      <c r="Q27" s="153">
        <f>IF(SER_hh_tes!Q27=0,"",SER_hh_tes!Q27/SER_hh_fec!Q27)</f>
        <v>1</v>
      </c>
      <c r="R27" s="153">
        <f>IF(SER_hh_tes!R27=0,"",SER_hh_tes!R27/SER_hh_fec!R27)</f>
        <v>1</v>
      </c>
      <c r="S27" s="153">
        <f>IF(SER_hh_tes!S27=0,"",SER_hh_tes!S27/SER_hh_fec!S27)</f>
        <v>1</v>
      </c>
      <c r="T27" s="153">
        <f>IF(SER_hh_tes!T27=0,"",SER_hh_tes!T27/SER_hh_fec!T27)</f>
        <v>1</v>
      </c>
      <c r="U27" s="153">
        <f>IF(SER_hh_tes!U27=0,"",SER_hh_tes!U27/SER_hh_fec!U27)</f>
        <v>1</v>
      </c>
      <c r="V27" s="153">
        <f>IF(SER_hh_tes!V27=0,"",SER_hh_tes!V27/SER_hh_fec!V27)</f>
        <v>1</v>
      </c>
      <c r="W27" s="153">
        <f>IF(SER_hh_tes!W27=0,"",SER_hh_tes!W27/SER_hh_fec!W27)</f>
        <v>1</v>
      </c>
      <c r="X27" s="153">
        <f>IF(SER_hh_tes!X27=0,"",SER_hh_tes!X27/SER_hh_fec!X27)</f>
        <v>1</v>
      </c>
      <c r="Y27" s="153">
        <f>IF(SER_hh_tes!Y27=0,"",SER_hh_tes!Y27/SER_hh_fec!Y27)</f>
        <v>1</v>
      </c>
      <c r="DA27" s="176" t="s">
        <v>352</v>
      </c>
    </row>
    <row r="28" spans="1:105" ht="12" hidden="1" customHeight="1" x14ac:dyDescent="0.25">
      <c r="A28" s="78" t="s">
        <v>26</v>
      </c>
      <c r="B28" s="149"/>
      <c r="C28" s="149"/>
      <c r="D28" s="149"/>
      <c r="E28" s="149"/>
      <c r="F28" s="149"/>
      <c r="G28" s="149"/>
      <c r="H28" s="149"/>
      <c r="I28" s="149"/>
      <c r="J28" s="149"/>
      <c r="K28" s="149"/>
      <c r="L28" s="149"/>
      <c r="M28" s="149"/>
      <c r="N28" s="149"/>
      <c r="O28" s="149"/>
      <c r="P28" s="149"/>
      <c r="Q28" s="149"/>
      <c r="R28" s="149"/>
      <c r="S28" s="149"/>
      <c r="T28" s="149"/>
      <c r="U28" s="149"/>
      <c r="V28" s="149"/>
      <c r="W28" s="149"/>
      <c r="X28" s="149"/>
      <c r="Y28" s="149"/>
      <c r="DA28" s="167"/>
    </row>
    <row r="29" spans="1:105" ht="12.95" customHeight="1" x14ac:dyDescent="0.25">
      <c r="A29" s="129" t="s">
        <v>34</v>
      </c>
      <c r="B29" s="135">
        <f>IF(SER_hh_tes!B29=0,"",SER_hh_tes!B29/SER_hh_fec!B29)</f>
        <v>0.71266436225361862</v>
      </c>
      <c r="C29" s="135">
        <f>IF(SER_hh_tes!C29=0,"",SER_hh_tes!C29/SER_hh_fec!C29)</f>
        <v>0.71717553850740379</v>
      </c>
      <c r="D29" s="135">
        <f>IF(SER_hh_tes!D29=0,"",SER_hh_tes!D29/SER_hh_fec!D29)</f>
        <v>0.72355638937431133</v>
      </c>
      <c r="E29" s="135">
        <f>IF(SER_hh_tes!E29=0,"",SER_hh_tes!E29/SER_hh_fec!E29)</f>
        <v>0.67673218119271361</v>
      </c>
      <c r="F29" s="135">
        <f>IF(SER_hh_tes!F29=0,"",SER_hh_tes!F29/SER_hh_fec!F29)</f>
        <v>0.61428056650340424</v>
      </c>
      <c r="G29" s="135">
        <f>IF(SER_hh_tes!G29=0,"",SER_hh_tes!G29/SER_hh_fec!G29)</f>
        <v>0.62415272108657838</v>
      </c>
      <c r="H29" s="135">
        <f>IF(SER_hh_tes!H29=0,"",SER_hh_tes!H29/SER_hh_fec!H29)</f>
        <v>0.63941553561618292</v>
      </c>
      <c r="I29" s="135">
        <f>IF(SER_hh_tes!I29=0,"",SER_hh_tes!I29/SER_hh_fec!I29)</f>
        <v>0.62752784004151274</v>
      </c>
      <c r="J29" s="135">
        <f>IF(SER_hh_tes!J29=0,"",SER_hh_tes!J29/SER_hh_fec!J29)</f>
        <v>0.68762819271495845</v>
      </c>
      <c r="K29" s="135">
        <f>IF(SER_hh_tes!K29=0,"",SER_hh_tes!K29/SER_hh_fec!K29)</f>
        <v>0.70057024991917072</v>
      </c>
      <c r="L29" s="135">
        <f>IF(SER_hh_tes!L29=0,"",SER_hh_tes!L29/SER_hh_fec!L29)</f>
        <v>0.70322117333072909</v>
      </c>
      <c r="M29" s="135">
        <f>IF(SER_hh_tes!M29=0,"",SER_hh_tes!M29/SER_hh_fec!M29)</f>
        <v>0.71431421496162606</v>
      </c>
      <c r="N29" s="135">
        <f>IF(SER_hh_tes!N29=0,"",SER_hh_tes!N29/SER_hh_fec!N29)</f>
        <v>0.71884777193614635</v>
      </c>
      <c r="O29" s="135">
        <f>IF(SER_hh_tes!O29=0,"",SER_hh_tes!O29/SER_hh_fec!O29)</f>
        <v>0.72462259205565571</v>
      </c>
      <c r="P29" s="135">
        <f>IF(SER_hh_tes!P29=0,"",SER_hh_tes!P29/SER_hh_fec!P29)</f>
        <v>0.72715509909821396</v>
      </c>
      <c r="Q29" s="135">
        <f>IF(SER_hh_tes!Q29=0,"",SER_hh_tes!Q29/SER_hh_fec!Q29)</f>
        <v>0.723358122127289</v>
      </c>
      <c r="R29" s="135">
        <f>IF(SER_hh_tes!R29=0,"",SER_hh_tes!R29/SER_hh_fec!R29)</f>
        <v>0.72703258403490389</v>
      </c>
      <c r="S29" s="135">
        <f>IF(SER_hh_tes!S29=0,"",SER_hh_tes!S29/SER_hh_fec!S29)</f>
        <v>0.72378636596230361</v>
      </c>
      <c r="T29" s="135">
        <f>IF(SER_hh_tes!T29=0,"",SER_hh_tes!T29/SER_hh_fec!T29)</f>
        <v>0.73207037755529059</v>
      </c>
      <c r="U29" s="135">
        <f>IF(SER_hh_tes!U29=0,"",SER_hh_tes!U29/SER_hh_fec!U29)</f>
        <v>0.73936353422688383</v>
      </c>
      <c r="V29" s="135">
        <f>IF(SER_hh_tes!V29=0,"",SER_hh_tes!V29/SER_hh_fec!V29)</f>
        <v>0.74350343828043775</v>
      </c>
      <c r="W29" s="135">
        <f>IF(SER_hh_tes!W29=0,"",SER_hh_tes!W29/SER_hh_fec!W29)</f>
        <v>0.7563079186135484</v>
      </c>
      <c r="X29" s="135">
        <f>IF(SER_hh_tes!X29=0,"",SER_hh_tes!X29/SER_hh_fec!X29)</f>
        <v>0.76988452211967595</v>
      </c>
      <c r="Y29" s="135">
        <f>IF(SER_hh_tes!Y29=0,"",SER_hh_tes!Y29/SER_hh_fec!Y29)</f>
        <v>0.77974825750190568</v>
      </c>
      <c r="DA29" s="162" t="s">
        <v>243</v>
      </c>
    </row>
    <row r="30" spans="1:105" ht="12" customHeight="1" x14ac:dyDescent="0.25">
      <c r="A30" s="131" t="s">
        <v>52</v>
      </c>
      <c r="B30" s="136">
        <f>IF(SER_hh_tes!B30=0,"",SER_hh_tes!B30/SER_hh_fec!B30)</f>
        <v>0.59586170481061795</v>
      </c>
      <c r="C30" s="136">
        <f>IF(SER_hh_tes!C30=0,"",SER_hh_tes!C30/SER_hh_fec!C30)</f>
        <v>0.59818544845508748</v>
      </c>
      <c r="D30" s="136">
        <f>IF(SER_hh_tes!D30=0,"",SER_hh_tes!D30/SER_hh_fec!D30)</f>
        <v>0.59989951601037683</v>
      </c>
      <c r="E30" s="136">
        <f>IF(SER_hh_tes!E30=0,"",SER_hh_tes!E30/SER_hh_fec!E30)</f>
        <v>0.6010827937247758</v>
      </c>
      <c r="F30" s="136">
        <f>IF(SER_hh_tes!F30=0,"",SER_hh_tes!F30/SER_hh_fec!F30)</f>
        <v>0.60195799722469379</v>
      </c>
      <c r="G30" s="136">
        <f>IF(SER_hh_tes!G30=0,"",SER_hh_tes!G30/SER_hh_fec!G30)</f>
        <v>0.60220425842618897</v>
      </c>
      <c r="H30" s="136">
        <f>IF(SER_hh_tes!H30=0,"",SER_hh_tes!H30/SER_hh_fec!H30)</f>
        <v>0.60238618945501143</v>
      </c>
      <c r="I30" s="136">
        <f>IF(SER_hh_tes!I30=0,"",SER_hh_tes!I30/SER_hh_fec!I30)</f>
        <v>0.60258320515019159</v>
      </c>
      <c r="J30" s="136">
        <f>IF(SER_hh_tes!J30=0,"",SER_hh_tes!J30/SER_hh_fec!J30)</f>
        <v>0.60276303391248354</v>
      </c>
      <c r="K30" s="136">
        <f>IF(SER_hh_tes!K30=0,"",SER_hh_tes!K30/SER_hh_fec!K30)</f>
        <v>0.60290824165148205</v>
      </c>
      <c r="L30" s="136">
        <f>IF(SER_hh_tes!L30=0,"",SER_hh_tes!L30/SER_hh_fec!L30)</f>
        <v>0.60308653039531823</v>
      </c>
      <c r="M30" s="136">
        <f>IF(SER_hh_tes!M30=0,"",SER_hh_tes!M30/SER_hh_fec!M30)</f>
        <v>0.60308653039531857</v>
      </c>
      <c r="N30" s="136">
        <f>IF(SER_hh_tes!N30=0,"",SER_hh_tes!N30/SER_hh_fec!N30)</f>
        <v>0.6033047451477338</v>
      </c>
      <c r="O30" s="136">
        <f>IF(SER_hh_tes!O30=0,"",SER_hh_tes!O30/SER_hh_fec!O30)</f>
        <v>0.60402521973988266</v>
      </c>
      <c r="P30" s="136">
        <f>IF(SER_hh_tes!P30=0,"",SER_hh_tes!P30/SER_hh_fec!P30)</f>
        <v>0.6049368777415175</v>
      </c>
      <c r="Q30" s="136">
        <f>IF(SER_hh_tes!Q30=0,"",SER_hh_tes!Q30/SER_hh_fec!Q30)</f>
        <v>0.60602301585744489</v>
      </c>
      <c r="R30" s="136">
        <f>IF(SER_hh_tes!R30=0,"",SER_hh_tes!R30/SER_hh_fec!R30)</f>
        <v>0.60752454449539628</v>
      </c>
      <c r="S30" s="136">
        <f>IF(SER_hh_tes!S30=0,"",SER_hh_tes!S30/SER_hh_fec!S30)</f>
        <v>0.60806546430538033</v>
      </c>
      <c r="T30" s="136">
        <f>IF(SER_hh_tes!T30=0,"",SER_hh_tes!T30/SER_hh_fec!T30)</f>
        <v>0.60839786453482647</v>
      </c>
      <c r="U30" s="136">
        <f>IF(SER_hh_tes!U30=0,"",SER_hh_tes!U30/SER_hh_fec!U30)</f>
        <v>0.60880081546260556</v>
      </c>
      <c r="V30" s="136">
        <f>IF(SER_hh_tes!V30=0,"",SER_hh_tes!V30/SER_hh_fec!V30)</f>
        <v>0.60914843961494658</v>
      </c>
      <c r="W30" s="136">
        <f>IF(SER_hh_tes!W30=0,"",SER_hh_tes!W30/SER_hh_fec!W30)</f>
        <v>0.60934077336006365</v>
      </c>
      <c r="X30" s="136">
        <f>IF(SER_hh_tes!X30=0,"",SER_hh_tes!X30/SER_hh_fec!X30)</f>
        <v>0.60977865604496817</v>
      </c>
      <c r="Y30" s="136">
        <f>IF(SER_hh_tes!Y30=0,"",SER_hh_tes!Y30/SER_hh_fec!Y30)</f>
        <v>0.6110122139469496</v>
      </c>
      <c r="DA30" s="163" t="s">
        <v>353</v>
      </c>
    </row>
    <row r="31" spans="1:105" ht="12" customHeight="1" x14ac:dyDescent="0.25">
      <c r="A31" s="131" t="s">
        <v>149</v>
      </c>
      <c r="B31" s="136">
        <f>IF(SER_hh_tes!B31=0,"",SER_hh_tes!B31/SER_hh_fec!B31)</f>
        <v>0.60323071117357085</v>
      </c>
      <c r="C31" s="136">
        <f>IF(SER_hh_tes!C31=0,"",SER_hh_tes!C31/SER_hh_fec!C31)</f>
        <v>0.60511168539798521</v>
      </c>
      <c r="D31" s="136">
        <f>IF(SER_hh_tes!D31=0,"",SER_hh_tes!D31/SER_hh_fec!D31)</f>
        <v>0.60653330365738811</v>
      </c>
      <c r="E31" s="136">
        <f>IF(SER_hh_tes!E31=0,"",SER_hh_tes!E31/SER_hh_fec!E31)</f>
        <v>0.60803914274253601</v>
      </c>
      <c r="F31" s="136">
        <f>IF(SER_hh_tes!F31=0,"",SER_hh_tes!F31/SER_hh_fec!F31)</f>
        <v>0.6091820406332954</v>
      </c>
      <c r="G31" s="136">
        <f>IF(SER_hh_tes!G31=0,"",SER_hh_tes!G31/SER_hh_fec!G31)</f>
        <v>0.60976820584350166</v>
      </c>
      <c r="H31" s="136">
        <f>IF(SER_hh_tes!H31=0,"",SER_hh_tes!H31/SER_hh_fec!H31)</f>
        <v>0.61011680074069208</v>
      </c>
      <c r="I31" s="136">
        <f>IF(SER_hh_tes!I31=0,"",SER_hh_tes!I31/SER_hh_fec!I31)</f>
        <v>0.61040165024276694</v>
      </c>
      <c r="J31" s="136">
        <f>IF(SER_hh_tes!J31=0,"",SER_hh_tes!J31/SER_hh_fec!J31)</f>
        <v>0.61067890654694068</v>
      </c>
      <c r="K31" s="136">
        <f>IF(SER_hh_tes!K31=0,"",SER_hh_tes!K31/SER_hh_fec!K31)</f>
        <v>0.61102057999328185</v>
      </c>
      <c r="L31" s="136">
        <f>IF(SER_hh_tes!L31=0,"",SER_hh_tes!L31/SER_hh_fec!L31)</f>
        <v>0.61140692096498472</v>
      </c>
      <c r="M31" s="136">
        <f>IF(SER_hh_tes!M31=0,"",SER_hh_tes!M31/SER_hh_fec!M31)</f>
        <v>0.61167488799621261</v>
      </c>
      <c r="N31" s="136">
        <f>IF(SER_hh_tes!N31=0,"",SER_hh_tes!N31/SER_hh_fec!N31)</f>
        <v>0.61207664102027171</v>
      </c>
      <c r="O31" s="136">
        <f>IF(SER_hh_tes!O31=0,"",SER_hh_tes!O31/SER_hh_fec!O31)</f>
        <v>0.61269673336901909</v>
      </c>
      <c r="P31" s="136">
        <f>IF(SER_hh_tes!P31=0,"",SER_hh_tes!P31/SER_hh_fec!P31)</f>
        <v>0.61339757193971256</v>
      </c>
      <c r="Q31" s="136">
        <f>IF(SER_hh_tes!Q31=0,"",SER_hh_tes!Q31/SER_hh_fec!Q31)</f>
        <v>0.61439493002341417</v>
      </c>
      <c r="R31" s="136">
        <f>IF(SER_hh_tes!R31=0,"",SER_hh_tes!R31/SER_hh_fec!R31)</f>
        <v>0.61578979066637562</v>
      </c>
      <c r="S31" s="136">
        <f>IF(SER_hh_tes!S31=0,"",SER_hh_tes!S31/SER_hh_fec!S31)</f>
        <v>0.6173598928687668</v>
      </c>
      <c r="T31" s="136">
        <f>IF(SER_hh_tes!T31=0,"",SER_hh_tes!T31/SER_hh_fec!T31)</f>
        <v>0.61865970200426501</v>
      </c>
      <c r="U31" s="136">
        <f>IF(SER_hh_tes!U31=0,"",SER_hh_tes!U31/SER_hh_fec!U31)</f>
        <v>0.62012532235412676</v>
      </c>
      <c r="V31" s="136">
        <f>IF(SER_hh_tes!V31=0,"",SER_hh_tes!V31/SER_hh_fec!V31)</f>
        <v>0.62178413345759687</v>
      </c>
      <c r="W31" s="136">
        <f>IF(SER_hh_tes!W31=0,"",SER_hh_tes!W31/SER_hh_fec!W31)</f>
        <v>0.62346298166348768</v>
      </c>
      <c r="X31" s="136">
        <f>IF(SER_hh_tes!X31=0,"",SER_hh_tes!X31/SER_hh_fec!X31)</f>
        <v>0.62532633008976313</v>
      </c>
      <c r="Y31" s="136">
        <f>IF(SER_hh_tes!Y31=0,"",SER_hh_tes!Y31/SER_hh_fec!Y31)</f>
        <v>0.62770438161047082</v>
      </c>
      <c r="DA31" s="163" t="s">
        <v>354</v>
      </c>
    </row>
    <row r="32" spans="1:105" ht="12" customHeight="1" x14ac:dyDescent="0.25">
      <c r="A32" s="131" t="s">
        <v>128</v>
      </c>
      <c r="B32" s="136" t="str">
        <f>IF(SER_hh_tes!B32=0,"",SER_hh_tes!B32/SER_hh_fec!B32)</f>
        <v/>
      </c>
      <c r="C32" s="136" t="str">
        <f>IF(SER_hh_tes!C32=0,"",SER_hh_tes!C32/SER_hh_fec!C32)</f>
        <v/>
      </c>
      <c r="D32" s="136" t="str">
        <f>IF(SER_hh_tes!D32=0,"",SER_hh_tes!D32/SER_hh_fec!D32)</f>
        <v/>
      </c>
      <c r="E32" s="136" t="str">
        <f>IF(SER_hh_tes!E32=0,"",SER_hh_tes!E32/SER_hh_fec!E32)</f>
        <v/>
      </c>
      <c r="F32" s="136" t="str">
        <f>IF(SER_hh_tes!F32=0,"",SER_hh_tes!F32/SER_hh_fec!F32)</f>
        <v/>
      </c>
      <c r="G32" s="136" t="str">
        <f>IF(SER_hh_tes!G32=0,"",SER_hh_tes!G32/SER_hh_fec!G32)</f>
        <v/>
      </c>
      <c r="H32" s="136" t="str">
        <f>IF(SER_hh_tes!H32=0,"",SER_hh_tes!H32/SER_hh_fec!H32)</f>
        <v/>
      </c>
      <c r="I32" s="136" t="str">
        <f>IF(SER_hh_tes!I32=0,"",SER_hh_tes!I32/SER_hh_fec!I32)</f>
        <v/>
      </c>
      <c r="J32" s="136" t="str">
        <f>IF(SER_hh_tes!J32=0,"",SER_hh_tes!J32/SER_hh_fec!J32)</f>
        <v/>
      </c>
      <c r="K32" s="136" t="str">
        <f>IF(SER_hh_tes!K32=0,"",SER_hh_tes!K32/SER_hh_fec!K32)</f>
        <v/>
      </c>
      <c r="L32" s="136" t="str">
        <f>IF(SER_hh_tes!L32=0,"",SER_hh_tes!L32/SER_hh_fec!L32)</f>
        <v/>
      </c>
      <c r="M32" s="136" t="str">
        <f>IF(SER_hh_tes!M32=0,"",SER_hh_tes!M32/SER_hh_fec!M32)</f>
        <v/>
      </c>
      <c r="N32" s="136" t="str">
        <f>IF(SER_hh_tes!N32=0,"",SER_hh_tes!N32/SER_hh_fec!N32)</f>
        <v/>
      </c>
      <c r="O32" s="136" t="str">
        <f>IF(SER_hh_tes!O32=0,"",SER_hh_tes!O32/SER_hh_fec!O32)</f>
        <v/>
      </c>
      <c r="P32" s="136" t="str">
        <f>IF(SER_hh_tes!P32=0,"",SER_hh_tes!P32/SER_hh_fec!P32)</f>
        <v/>
      </c>
      <c r="Q32" s="136" t="str">
        <f>IF(SER_hh_tes!Q32=0,"",SER_hh_tes!Q32/SER_hh_fec!Q32)</f>
        <v/>
      </c>
      <c r="R32" s="136" t="str">
        <f>IF(SER_hh_tes!R32=0,"",SER_hh_tes!R32/SER_hh_fec!R32)</f>
        <v/>
      </c>
      <c r="S32" s="136" t="str">
        <f>IF(SER_hh_tes!S32=0,"",SER_hh_tes!S32/SER_hh_fec!S32)</f>
        <v/>
      </c>
      <c r="T32" s="136" t="str">
        <f>IF(SER_hh_tes!T32=0,"",SER_hh_tes!T32/SER_hh_fec!T32)</f>
        <v/>
      </c>
      <c r="U32" s="136" t="str">
        <f>IF(SER_hh_tes!U32=0,"",SER_hh_tes!U32/SER_hh_fec!U32)</f>
        <v/>
      </c>
      <c r="V32" s="136" t="str">
        <f>IF(SER_hh_tes!V32=0,"",SER_hh_tes!V32/SER_hh_fec!V32)</f>
        <v/>
      </c>
      <c r="W32" s="136" t="str">
        <f>IF(SER_hh_tes!W32=0,"",SER_hh_tes!W32/SER_hh_fec!W32)</f>
        <v/>
      </c>
      <c r="X32" s="136" t="str">
        <f>IF(SER_hh_tes!X32=0,"",SER_hh_tes!X32/SER_hh_fec!X32)</f>
        <v/>
      </c>
      <c r="Y32" s="136" t="str">
        <f>IF(SER_hh_tes!Y32=0,"",SER_hh_tes!Y32/SER_hh_fec!Y32)</f>
        <v/>
      </c>
      <c r="DA32" s="163" t="s">
        <v>355</v>
      </c>
    </row>
    <row r="33" spans="1:105" ht="12" customHeight="1" x14ac:dyDescent="0.25">
      <c r="A33" s="62" t="s">
        <v>24</v>
      </c>
      <c r="B33" s="149">
        <f>IF(SER_hh_tes!B33=0,"",SER_hh_tes!B33/SER_hh_fec!B33)</f>
        <v>0.78844139040371475</v>
      </c>
      <c r="C33" s="149">
        <f>IF(SER_hh_tes!C33=0,"",SER_hh_tes!C33/SER_hh_fec!C33)</f>
        <v>0.7897146017175154</v>
      </c>
      <c r="D33" s="149">
        <f>IF(SER_hh_tes!D33=0,"",SER_hh_tes!D33/SER_hh_fec!D33)</f>
        <v>0.78986381399043115</v>
      </c>
      <c r="E33" s="149">
        <f>IF(SER_hh_tes!E33=0,"",SER_hh_tes!E33/SER_hh_fec!E33)</f>
        <v>0.79004504220244043</v>
      </c>
      <c r="F33" s="149">
        <f>IF(SER_hh_tes!F33=0,"",SER_hh_tes!F33/SER_hh_fec!F33)</f>
        <v>0.79012606287902976</v>
      </c>
      <c r="G33" s="149">
        <f>IF(SER_hh_tes!G33=0,"",SER_hh_tes!G33/SER_hh_fec!G33)</f>
        <v>0.79012606287902976</v>
      </c>
      <c r="H33" s="149">
        <f>IF(SER_hh_tes!H33=0,"",SER_hh_tes!H33/SER_hh_fec!H33)</f>
        <v>0.79409556152946936</v>
      </c>
      <c r="I33" s="149">
        <f>IF(SER_hh_tes!I33=0,"",SER_hh_tes!I33/SER_hh_fec!I33)</f>
        <v>0.79986060782426038</v>
      </c>
      <c r="J33" s="149">
        <f>IF(SER_hh_tes!J33=0,"",SER_hh_tes!J33/SER_hh_fec!J33)</f>
        <v>0.80675807620919937</v>
      </c>
      <c r="K33" s="149">
        <f>IF(SER_hh_tes!K33=0,"",SER_hh_tes!K33/SER_hh_fec!K33)</f>
        <v>0.81074953347157597</v>
      </c>
      <c r="L33" s="149">
        <f>IF(SER_hh_tes!L33=0,"",SER_hh_tes!L33/SER_hh_fec!L33)</f>
        <v>0.81302165024501483</v>
      </c>
      <c r="M33" s="149">
        <f>IF(SER_hh_tes!M33=0,"",SER_hh_tes!M33/SER_hh_fec!M33)</f>
        <v>0.81387405494836074</v>
      </c>
      <c r="N33" s="149">
        <f>IF(SER_hh_tes!N33=0,"",SER_hh_tes!N33/SER_hh_fec!N33)</f>
        <v>0.81487263895000672</v>
      </c>
      <c r="O33" s="149">
        <f>IF(SER_hh_tes!O33=0,"",SER_hh_tes!O33/SER_hh_fec!O33)</f>
        <v>0.81669206617827683</v>
      </c>
      <c r="P33" s="149">
        <f>IF(SER_hh_tes!P33=0,"",SER_hh_tes!P33/SER_hh_fec!P33)</f>
        <v>0.81845654887205821</v>
      </c>
      <c r="Q33" s="149">
        <f>IF(SER_hh_tes!Q33=0,"",SER_hh_tes!Q33/SER_hh_fec!Q33)</f>
        <v>0.82113465129771313</v>
      </c>
      <c r="R33" s="149">
        <f>IF(SER_hh_tes!R33=0,"",SER_hh_tes!R33/SER_hh_fec!R33)</f>
        <v>0.8250908518898652</v>
      </c>
      <c r="S33" s="149">
        <f>IF(SER_hh_tes!S33=0,"",SER_hh_tes!S33/SER_hh_fec!S33)</f>
        <v>0.83166749451086541</v>
      </c>
      <c r="T33" s="149">
        <f>IF(SER_hh_tes!T33=0,"",SER_hh_tes!T33/SER_hh_fec!T33)</f>
        <v>0.8416703997153302</v>
      </c>
      <c r="U33" s="149">
        <f>IF(SER_hh_tes!U33=0,"",SER_hh_tes!U33/SER_hh_fec!U33)</f>
        <v>0.85451619878054075</v>
      </c>
      <c r="V33" s="149">
        <f>IF(SER_hh_tes!V33=0,"",SER_hh_tes!V33/SER_hh_fec!V33)</f>
        <v>0.86949997417628588</v>
      </c>
      <c r="W33" s="149">
        <f>IF(SER_hh_tes!W33=0,"",SER_hh_tes!W33/SER_hh_fec!W33)</f>
        <v>0.88331468607516794</v>
      </c>
      <c r="X33" s="149">
        <f>IF(SER_hh_tes!X33=0,"",SER_hh_tes!X33/SER_hh_fec!X33)</f>
        <v>0.89498951714448105</v>
      </c>
      <c r="Y33" s="149">
        <f>IF(SER_hh_tes!Y33=0,"",SER_hh_tes!Y33/SER_hh_fec!Y33)</f>
        <v>0.90423422330780978</v>
      </c>
      <c r="DA33" s="167" t="s">
        <v>356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7">
    <tabColor theme="6" tint="0.39997558519241921"/>
    <pageSetUpPr fitToPage="1"/>
  </sheetPr>
  <dimension ref="A1:DA33"/>
  <sheetViews>
    <sheetView showGridLines="0" zoomScaleNormal="100" workbookViewId="0">
      <pane xSplit="1" ySplit="1" topLeftCell="G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40.7109375" style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12.95" customHeight="1" x14ac:dyDescent="0.25">
      <c r="A1" s="28" t="s">
        <v>357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X1" s="27">
        <v>2022</v>
      </c>
      <c r="Y1" s="27">
        <v>2023</v>
      </c>
      <c r="DA1" s="87" t="s">
        <v>150</v>
      </c>
    </row>
    <row r="2" spans="1:105" s="2" customFormat="1" ht="12" customHeight="1" x14ac:dyDescent="0.25">
      <c r="DA2" s="7"/>
    </row>
    <row r="3" spans="1:105" ht="12.95" customHeight="1" x14ac:dyDescent="0.25">
      <c r="A3" s="123" t="s">
        <v>84</v>
      </c>
      <c r="B3" s="125">
        <f t="shared" ref="B3:Q3" si="0">SUM(B4,B16,B19,B29)</f>
        <v>869.48848054144923</v>
      </c>
      <c r="C3" s="125">
        <f t="shared" si="0"/>
        <v>1645.0980619481954</v>
      </c>
      <c r="D3" s="125">
        <f t="shared" si="0"/>
        <v>957.00336662311804</v>
      </c>
      <c r="E3" s="125">
        <f t="shared" si="0"/>
        <v>1885.5166975814482</v>
      </c>
      <c r="F3" s="125">
        <f t="shared" si="0"/>
        <v>3038.457075683983</v>
      </c>
      <c r="G3" s="125">
        <f t="shared" si="0"/>
        <v>3262.8269449729901</v>
      </c>
      <c r="H3" s="125">
        <f t="shared" si="0"/>
        <v>4550.7442463086663</v>
      </c>
      <c r="I3" s="125">
        <f t="shared" si="0"/>
        <v>3858.5579198097244</v>
      </c>
      <c r="J3" s="125">
        <f t="shared" si="0"/>
        <v>2765.3593114936511</v>
      </c>
      <c r="K3" s="125">
        <f t="shared" si="0"/>
        <v>2576.4760722199485</v>
      </c>
      <c r="L3" s="125">
        <f t="shared" si="0"/>
        <v>2631.3223680036626</v>
      </c>
      <c r="M3" s="125">
        <f t="shared" si="0"/>
        <v>2560.7860253701028</v>
      </c>
      <c r="N3" s="125">
        <f t="shared" si="0"/>
        <v>2494.3138703667796</v>
      </c>
      <c r="O3" s="125">
        <f t="shared" si="0"/>
        <v>2434.1722395018201</v>
      </c>
      <c r="P3" s="125">
        <f t="shared" si="0"/>
        <v>2424.3160007712172</v>
      </c>
      <c r="Q3" s="125">
        <f t="shared" si="0"/>
        <v>2416.51632807132</v>
      </c>
      <c r="R3" s="125">
        <f t="shared" ref="R3:W3" si="1">SUM(R4,R16,R19,R29)</f>
        <v>2445.1249419428</v>
      </c>
      <c r="S3" s="125">
        <f t="shared" si="1"/>
        <v>2788.733032258302</v>
      </c>
      <c r="T3" s="125">
        <f t="shared" si="1"/>
        <v>2842.7295704234402</v>
      </c>
      <c r="U3" s="125">
        <f t="shared" si="1"/>
        <v>2840.8308477708715</v>
      </c>
      <c r="V3" s="125">
        <f t="shared" si="1"/>
        <v>2665.2492810172589</v>
      </c>
      <c r="W3" s="125">
        <f t="shared" si="1"/>
        <v>3082.5978336277994</v>
      </c>
      <c r="X3" s="125">
        <f t="shared" ref="X3:Y3" si="2">SUM(X4,X16,X19,X29)</f>
        <v>3233.4457184541548</v>
      </c>
      <c r="Y3" s="125">
        <f t="shared" si="2"/>
        <v>3409.6610199339448</v>
      </c>
      <c r="DA3" s="154" t="s">
        <v>233</v>
      </c>
    </row>
    <row r="4" spans="1:105" ht="12.95" customHeight="1" x14ac:dyDescent="0.25">
      <c r="A4" s="129" t="s">
        <v>32</v>
      </c>
      <c r="B4" s="130">
        <f t="shared" ref="B4:Q4" si="3">SUM(B5:B15)</f>
        <v>682.1389436030455</v>
      </c>
      <c r="C4" s="130">
        <f t="shared" si="3"/>
        <v>1451.7570321764615</v>
      </c>
      <c r="D4" s="130">
        <f t="shared" si="3"/>
        <v>759.74916480156094</v>
      </c>
      <c r="E4" s="130">
        <f t="shared" si="3"/>
        <v>1450.3868983852426</v>
      </c>
      <c r="F4" s="130">
        <f t="shared" si="3"/>
        <v>2258.237963130804</v>
      </c>
      <c r="G4" s="130">
        <f t="shared" si="3"/>
        <v>2454.5684487269141</v>
      </c>
      <c r="H4" s="130">
        <f t="shared" si="3"/>
        <v>3764.2321335592587</v>
      </c>
      <c r="I4" s="130">
        <f t="shared" si="3"/>
        <v>3016.4587365880079</v>
      </c>
      <c r="J4" s="130">
        <f t="shared" si="3"/>
        <v>2161.4178205189428</v>
      </c>
      <c r="K4" s="130">
        <f t="shared" si="3"/>
        <v>1927.109935950567</v>
      </c>
      <c r="L4" s="130">
        <f t="shared" si="3"/>
        <v>1968.4287611156806</v>
      </c>
      <c r="M4" s="130">
        <f t="shared" si="3"/>
        <v>1947.9468004001978</v>
      </c>
      <c r="N4" s="130">
        <f t="shared" si="3"/>
        <v>1871.5140800486038</v>
      </c>
      <c r="O4" s="130">
        <f t="shared" si="3"/>
        <v>1762.7538240669635</v>
      </c>
      <c r="P4" s="130">
        <f t="shared" si="3"/>
        <v>1706.964948457631</v>
      </c>
      <c r="Q4" s="130">
        <f t="shared" si="3"/>
        <v>1619.4517947400666</v>
      </c>
      <c r="R4" s="130">
        <f t="shared" ref="R4:W4" si="4">SUM(R5:R15)</f>
        <v>1636.9555276701101</v>
      </c>
      <c r="S4" s="130">
        <f t="shared" si="4"/>
        <v>1884.8583208642401</v>
      </c>
      <c r="T4" s="130">
        <f t="shared" si="4"/>
        <v>1937.4516698675375</v>
      </c>
      <c r="U4" s="130">
        <f t="shared" si="4"/>
        <v>1934.658684182747</v>
      </c>
      <c r="V4" s="130">
        <f t="shared" si="4"/>
        <v>1793.8108395379631</v>
      </c>
      <c r="W4" s="130">
        <f t="shared" si="4"/>
        <v>2127.0447525624736</v>
      </c>
      <c r="X4" s="130">
        <f t="shared" ref="X4:Y4" si="5">SUM(X5:X15)</f>
        <v>2286.9408951465284</v>
      </c>
      <c r="Y4" s="130">
        <f t="shared" si="5"/>
        <v>2483.7197547091955</v>
      </c>
      <c r="DA4" s="155" t="s">
        <v>234</v>
      </c>
    </row>
    <row r="5" spans="1:105" ht="12" customHeight="1" x14ac:dyDescent="0.25">
      <c r="A5" s="131" t="s">
        <v>29</v>
      </c>
      <c r="B5" s="132">
        <v>15.280637207855708</v>
      </c>
      <c r="C5" s="132">
        <v>31.334061476737599</v>
      </c>
      <c r="D5" s="132">
        <v>18.530793056000654</v>
      </c>
      <c r="E5" s="132">
        <v>11.710758197035032</v>
      </c>
      <c r="F5" s="132">
        <v>4.6382710898358166</v>
      </c>
      <c r="G5" s="132">
        <v>1.5637006591106277</v>
      </c>
      <c r="H5" s="132">
        <v>12.284307976255537</v>
      </c>
      <c r="I5" s="132">
        <v>5.9510154301516254</v>
      </c>
      <c r="J5" s="132">
        <v>1.6395648222735835</v>
      </c>
      <c r="K5" s="132">
        <v>0.78185251946968026</v>
      </c>
      <c r="L5" s="132">
        <v>2.2832825552403282</v>
      </c>
      <c r="M5" s="132">
        <v>2.9687115484112248</v>
      </c>
      <c r="N5" s="132">
        <v>1.7105652390553232</v>
      </c>
      <c r="O5" s="132">
        <v>2.5105707678493321</v>
      </c>
      <c r="P5" s="132">
        <v>1.673491092768612</v>
      </c>
      <c r="Q5" s="132">
        <v>1.8196050785972886</v>
      </c>
      <c r="R5" s="132">
        <v>3.6236087151422165</v>
      </c>
      <c r="S5" s="132">
        <v>0</v>
      </c>
      <c r="T5" s="132">
        <v>2.6686617482281969</v>
      </c>
      <c r="U5" s="132">
        <v>1.6561910649391833</v>
      </c>
      <c r="V5" s="132">
        <v>0.31682493312885096</v>
      </c>
      <c r="W5" s="132">
        <v>0.5620041626661475</v>
      </c>
      <c r="X5" s="132">
        <v>0.57594776126185421</v>
      </c>
      <c r="Y5" s="132">
        <v>0.24124734951893786</v>
      </c>
      <c r="DA5" s="156" t="s">
        <v>358</v>
      </c>
    </row>
    <row r="6" spans="1:105" ht="12" customHeight="1" x14ac:dyDescent="0.25">
      <c r="A6" s="131" t="s">
        <v>52</v>
      </c>
      <c r="B6" s="132">
        <v>0</v>
      </c>
      <c r="C6" s="132">
        <v>0</v>
      </c>
      <c r="D6" s="132">
        <v>0</v>
      </c>
      <c r="E6" s="132">
        <v>0</v>
      </c>
      <c r="F6" s="132">
        <v>0</v>
      </c>
      <c r="G6" s="132">
        <v>0</v>
      </c>
      <c r="H6" s="132">
        <v>0</v>
      </c>
      <c r="I6" s="132">
        <v>0</v>
      </c>
      <c r="J6" s="132">
        <v>0</v>
      </c>
      <c r="K6" s="132">
        <v>0</v>
      </c>
      <c r="L6" s="132">
        <v>0</v>
      </c>
      <c r="M6" s="132">
        <v>0</v>
      </c>
      <c r="N6" s="132">
        <v>0</v>
      </c>
      <c r="O6" s="132">
        <v>0</v>
      </c>
      <c r="P6" s="132">
        <v>0</v>
      </c>
      <c r="Q6" s="132">
        <v>0</v>
      </c>
      <c r="R6" s="132">
        <v>0</v>
      </c>
      <c r="S6" s="132">
        <v>0</v>
      </c>
      <c r="T6" s="132">
        <v>0</v>
      </c>
      <c r="U6" s="132">
        <v>0</v>
      </c>
      <c r="V6" s="132">
        <v>0</v>
      </c>
      <c r="W6" s="132">
        <v>0</v>
      </c>
      <c r="X6" s="132">
        <v>0</v>
      </c>
      <c r="Y6" s="132">
        <v>0</v>
      </c>
      <c r="DA6" s="156" t="s">
        <v>359</v>
      </c>
    </row>
    <row r="7" spans="1:105" ht="12" customHeight="1" x14ac:dyDescent="0.25">
      <c r="A7" s="131" t="s">
        <v>161</v>
      </c>
      <c r="B7" s="132">
        <v>234.19203926376937</v>
      </c>
      <c r="C7" s="132">
        <v>346.15204450399017</v>
      </c>
      <c r="D7" s="132">
        <v>633.07955269608294</v>
      </c>
      <c r="E7" s="132">
        <v>602.88386791617518</v>
      </c>
      <c r="F7" s="132">
        <v>1149.8103280049022</v>
      </c>
      <c r="G7" s="132">
        <v>1083.5276638982716</v>
      </c>
      <c r="H7" s="132">
        <v>638.65156472431943</v>
      </c>
      <c r="I7" s="132">
        <v>974.54182341028206</v>
      </c>
      <c r="J7" s="132">
        <v>748.73600548669083</v>
      </c>
      <c r="K7" s="132">
        <v>309.59841219422657</v>
      </c>
      <c r="L7" s="132">
        <v>325.53301614502976</v>
      </c>
      <c r="M7" s="132">
        <v>695.28778793777917</v>
      </c>
      <c r="N7" s="132">
        <v>585.41505051006777</v>
      </c>
      <c r="O7" s="132">
        <v>442.27927103141928</v>
      </c>
      <c r="P7" s="132">
        <v>403.98989037062813</v>
      </c>
      <c r="Q7" s="132">
        <v>430.01284416816191</v>
      </c>
      <c r="R7" s="132">
        <v>447.29300778978433</v>
      </c>
      <c r="S7" s="132">
        <v>609.6502120926267</v>
      </c>
      <c r="T7" s="132">
        <v>664.67191806910466</v>
      </c>
      <c r="U7" s="132">
        <v>679.37620710281305</v>
      </c>
      <c r="V7" s="132">
        <v>627.72095223964141</v>
      </c>
      <c r="W7" s="132">
        <v>998.71358917433201</v>
      </c>
      <c r="X7" s="132">
        <v>1059.9825200654407</v>
      </c>
      <c r="Y7" s="132">
        <v>1085.2139592160265</v>
      </c>
      <c r="DA7" s="156" t="s">
        <v>360</v>
      </c>
    </row>
    <row r="8" spans="1:105" ht="12" customHeight="1" x14ac:dyDescent="0.25">
      <c r="A8" s="131" t="s">
        <v>73</v>
      </c>
      <c r="B8" s="132">
        <v>0</v>
      </c>
      <c r="C8" s="132">
        <v>0</v>
      </c>
      <c r="D8" s="132">
        <v>0</v>
      </c>
      <c r="E8" s="132">
        <v>0</v>
      </c>
      <c r="F8" s="132">
        <v>0</v>
      </c>
      <c r="G8" s="132">
        <v>0</v>
      </c>
      <c r="H8" s="132">
        <v>0</v>
      </c>
      <c r="I8" s="132">
        <v>0</v>
      </c>
      <c r="J8" s="132">
        <v>0</v>
      </c>
      <c r="K8" s="132">
        <v>0</v>
      </c>
      <c r="L8" s="132">
        <v>0</v>
      </c>
      <c r="M8" s="132">
        <v>0</v>
      </c>
      <c r="N8" s="132">
        <v>0</v>
      </c>
      <c r="O8" s="132">
        <v>0</v>
      </c>
      <c r="P8" s="132">
        <v>0</v>
      </c>
      <c r="Q8" s="132">
        <v>0</v>
      </c>
      <c r="R8" s="132">
        <v>0</v>
      </c>
      <c r="S8" s="132">
        <v>0</v>
      </c>
      <c r="T8" s="132">
        <v>0</v>
      </c>
      <c r="U8" s="132">
        <v>0</v>
      </c>
      <c r="V8" s="132">
        <v>0</v>
      </c>
      <c r="W8" s="132">
        <v>0</v>
      </c>
      <c r="X8" s="132">
        <v>0</v>
      </c>
      <c r="Y8" s="132">
        <v>0</v>
      </c>
      <c r="DA8" s="156" t="s">
        <v>361</v>
      </c>
    </row>
    <row r="9" spans="1:105" ht="12" customHeight="1" x14ac:dyDescent="0.25">
      <c r="A9" s="131" t="s">
        <v>78</v>
      </c>
      <c r="B9" s="132">
        <v>432.6662671314204</v>
      </c>
      <c r="C9" s="132">
        <v>1074.2709261957339</v>
      </c>
      <c r="D9" s="132">
        <v>108.13881904947732</v>
      </c>
      <c r="E9" s="132">
        <v>834.25098006274857</v>
      </c>
      <c r="F9" s="132">
        <v>1102.6295223889588</v>
      </c>
      <c r="G9" s="132">
        <v>1369.4770841695317</v>
      </c>
      <c r="H9" s="132">
        <v>3113.296260858684</v>
      </c>
      <c r="I9" s="132">
        <v>2035.9658977475742</v>
      </c>
      <c r="J9" s="132">
        <v>1411.0422502099786</v>
      </c>
      <c r="K9" s="132">
        <v>1616.7296712368707</v>
      </c>
      <c r="L9" s="132">
        <v>1640.6124624154104</v>
      </c>
      <c r="M9" s="132">
        <v>1249.6903009140076</v>
      </c>
      <c r="N9" s="132">
        <v>1284.3884642994806</v>
      </c>
      <c r="O9" s="132">
        <v>1317.8164782001306</v>
      </c>
      <c r="P9" s="132">
        <v>1277.4520776575739</v>
      </c>
      <c r="Q9" s="132">
        <v>1162.3181079602164</v>
      </c>
      <c r="R9" s="132">
        <v>1162.865504906458</v>
      </c>
      <c r="S9" s="132">
        <v>1260.0136556161901</v>
      </c>
      <c r="T9" s="132">
        <v>1258.5274808734439</v>
      </c>
      <c r="U9" s="132">
        <v>1241.6408820800129</v>
      </c>
      <c r="V9" s="132">
        <v>1157.0463139918616</v>
      </c>
      <c r="W9" s="132">
        <v>1118.737627450201</v>
      </c>
      <c r="X9" s="132">
        <v>1212.2282651158864</v>
      </c>
      <c r="Y9" s="132">
        <v>1388.2201178609662</v>
      </c>
      <c r="DA9" s="156" t="s">
        <v>362</v>
      </c>
    </row>
    <row r="10" spans="1:105" ht="12" customHeight="1" x14ac:dyDescent="0.25">
      <c r="A10" s="131" t="s">
        <v>128</v>
      </c>
      <c r="B10" s="132">
        <v>0</v>
      </c>
      <c r="C10" s="132">
        <v>0</v>
      </c>
      <c r="D10" s="132">
        <v>0</v>
      </c>
      <c r="E10" s="132">
        <v>1.5412922092836088</v>
      </c>
      <c r="F10" s="132">
        <v>1.1598416471070738</v>
      </c>
      <c r="G10" s="132">
        <v>0</v>
      </c>
      <c r="H10" s="132">
        <v>0</v>
      </c>
      <c r="I10" s="132">
        <v>0</v>
      </c>
      <c r="J10" s="132">
        <v>0</v>
      </c>
      <c r="K10" s="132">
        <v>0</v>
      </c>
      <c r="L10" s="132">
        <v>0</v>
      </c>
      <c r="M10" s="132">
        <v>0</v>
      </c>
      <c r="N10" s="132">
        <v>0</v>
      </c>
      <c r="O10" s="132">
        <v>0.14750406756423531</v>
      </c>
      <c r="P10" s="132">
        <v>23.849489336660245</v>
      </c>
      <c r="Q10" s="132">
        <v>25.301237533091182</v>
      </c>
      <c r="R10" s="132">
        <v>23.173406258725379</v>
      </c>
      <c r="S10" s="132">
        <v>15.194453155423476</v>
      </c>
      <c r="T10" s="132">
        <v>11.583609176760854</v>
      </c>
      <c r="U10" s="132">
        <v>11.985403934981797</v>
      </c>
      <c r="V10" s="132">
        <v>8.7267483733313203</v>
      </c>
      <c r="W10" s="132">
        <v>9.0315317752741358</v>
      </c>
      <c r="X10" s="132">
        <v>14.154162203939519</v>
      </c>
      <c r="Y10" s="132">
        <v>10.044430282683479</v>
      </c>
      <c r="DA10" s="156" t="s">
        <v>363</v>
      </c>
    </row>
    <row r="11" spans="1:105" ht="12" customHeight="1" x14ac:dyDescent="0.25">
      <c r="A11" s="131" t="s">
        <v>25</v>
      </c>
      <c r="B11" s="132">
        <v>0</v>
      </c>
      <c r="C11" s="132">
        <v>0</v>
      </c>
      <c r="D11" s="132">
        <v>0</v>
      </c>
      <c r="E11" s="132">
        <v>0</v>
      </c>
      <c r="F11" s="132">
        <v>0</v>
      </c>
      <c r="G11" s="132">
        <v>0</v>
      </c>
      <c r="H11" s="132">
        <v>0</v>
      </c>
      <c r="I11" s="132">
        <v>0</v>
      </c>
      <c r="J11" s="132">
        <v>0</v>
      </c>
      <c r="K11" s="132">
        <v>0</v>
      </c>
      <c r="L11" s="132">
        <v>0</v>
      </c>
      <c r="M11" s="132">
        <v>0</v>
      </c>
      <c r="N11" s="132">
        <v>0</v>
      </c>
      <c r="O11" s="132">
        <v>0</v>
      </c>
      <c r="P11" s="132">
        <v>0</v>
      </c>
      <c r="Q11" s="132">
        <v>0</v>
      </c>
      <c r="R11" s="132">
        <v>0</v>
      </c>
      <c r="S11" s="132">
        <v>0</v>
      </c>
      <c r="T11" s="132">
        <v>0</v>
      </c>
      <c r="U11" s="132">
        <v>0</v>
      </c>
      <c r="V11" s="132">
        <v>0</v>
      </c>
      <c r="W11" s="132">
        <v>0</v>
      </c>
      <c r="X11" s="132">
        <v>0</v>
      </c>
      <c r="Y11" s="132">
        <v>0</v>
      </c>
      <c r="DA11" s="156" t="s">
        <v>364</v>
      </c>
    </row>
    <row r="12" spans="1:105" ht="12" customHeight="1" x14ac:dyDescent="0.25">
      <c r="A12" s="131" t="s">
        <v>162</v>
      </c>
      <c r="B12" s="132">
        <v>0</v>
      </c>
      <c r="C12" s="132">
        <v>0</v>
      </c>
      <c r="D12" s="132">
        <v>0</v>
      </c>
      <c r="E12" s="132">
        <v>0</v>
      </c>
      <c r="F12" s="132">
        <v>0</v>
      </c>
      <c r="G12" s="132">
        <v>0</v>
      </c>
      <c r="H12" s="132">
        <v>0</v>
      </c>
      <c r="I12" s="132">
        <v>0</v>
      </c>
      <c r="J12" s="132">
        <v>0</v>
      </c>
      <c r="K12" s="132">
        <v>0</v>
      </c>
      <c r="L12" s="132">
        <v>0</v>
      </c>
      <c r="M12" s="132">
        <v>0</v>
      </c>
      <c r="N12" s="132">
        <v>0</v>
      </c>
      <c r="O12" s="132">
        <v>0</v>
      </c>
      <c r="P12" s="132">
        <v>0</v>
      </c>
      <c r="Q12" s="132">
        <v>0</v>
      </c>
      <c r="R12" s="132">
        <v>0</v>
      </c>
      <c r="S12" s="132">
        <v>0</v>
      </c>
      <c r="T12" s="132">
        <v>0</v>
      </c>
      <c r="U12" s="132">
        <v>0</v>
      </c>
      <c r="V12" s="132">
        <v>0</v>
      </c>
      <c r="W12" s="132">
        <v>0</v>
      </c>
      <c r="X12" s="132">
        <v>0</v>
      </c>
      <c r="Y12" s="132">
        <v>0</v>
      </c>
      <c r="DA12" s="156" t="s">
        <v>365</v>
      </c>
    </row>
    <row r="13" spans="1:105" ht="12" customHeight="1" x14ac:dyDescent="0.25">
      <c r="A13" s="131" t="s">
        <v>77</v>
      </c>
      <c r="B13" s="132">
        <v>0</v>
      </c>
      <c r="C13" s="132">
        <v>0</v>
      </c>
      <c r="D13" s="132">
        <v>0</v>
      </c>
      <c r="E13" s="132">
        <v>0</v>
      </c>
      <c r="F13" s="132">
        <v>0</v>
      </c>
      <c r="G13" s="132">
        <v>0</v>
      </c>
      <c r="H13" s="132">
        <v>0</v>
      </c>
      <c r="I13" s="132">
        <v>0</v>
      </c>
      <c r="J13" s="132">
        <v>0</v>
      </c>
      <c r="K13" s="132">
        <v>0</v>
      </c>
      <c r="L13" s="132">
        <v>0</v>
      </c>
      <c r="M13" s="132">
        <v>0</v>
      </c>
      <c r="N13" s="132">
        <v>0</v>
      </c>
      <c r="O13" s="132">
        <v>0</v>
      </c>
      <c r="P13" s="132">
        <v>0</v>
      </c>
      <c r="Q13" s="132">
        <v>0</v>
      </c>
      <c r="R13" s="132">
        <v>0</v>
      </c>
      <c r="S13" s="132">
        <v>0</v>
      </c>
      <c r="T13" s="132">
        <v>0</v>
      </c>
      <c r="U13" s="132">
        <v>0</v>
      </c>
      <c r="V13" s="132">
        <v>0</v>
      </c>
      <c r="W13" s="132">
        <v>0</v>
      </c>
      <c r="X13" s="132">
        <v>0</v>
      </c>
      <c r="Y13" s="132">
        <v>0</v>
      </c>
      <c r="DA13" s="156" t="s">
        <v>366</v>
      </c>
    </row>
    <row r="14" spans="1:105" ht="12" customHeight="1" x14ac:dyDescent="0.25">
      <c r="A14" s="60" t="s">
        <v>76</v>
      </c>
      <c r="B14" s="65">
        <v>0</v>
      </c>
      <c r="C14" s="65">
        <v>0</v>
      </c>
      <c r="D14" s="65">
        <v>0</v>
      </c>
      <c r="E14" s="65">
        <v>0</v>
      </c>
      <c r="F14" s="65">
        <v>0</v>
      </c>
      <c r="G14" s="65">
        <v>0</v>
      </c>
      <c r="H14" s="65">
        <v>0</v>
      </c>
      <c r="I14" s="65">
        <v>0</v>
      </c>
      <c r="J14" s="65">
        <v>0</v>
      </c>
      <c r="K14" s="65">
        <v>0</v>
      </c>
      <c r="L14" s="65">
        <v>0</v>
      </c>
      <c r="M14" s="65">
        <v>0</v>
      </c>
      <c r="N14" s="65">
        <v>0</v>
      </c>
      <c r="O14" s="65">
        <v>0</v>
      </c>
      <c r="P14" s="65">
        <v>0</v>
      </c>
      <c r="Q14" s="65">
        <v>0</v>
      </c>
      <c r="R14" s="65">
        <v>0</v>
      </c>
      <c r="S14" s="65">
        <v>0</v>
      </c>
      <c r="T14" s="65">
        <v>0</v>
      </c>
      <c r="U14" s="65">
        <v>0</v>
      </c>
      <c r="V14" s="65">
        <v>0</v>
      </c>
      <c r="W14" s="65">
        <v>0</v>
      </c>
      <c r="X14" s="65">
        <v>0</v>
      </c>
      <c r="Y14" s="65">
        <v>0</v>
      </c>
      <c r="DA14" s="109" t="s">
        <v>367</v>
      </c>
    </row>
    <row r="15" spans="1:105" ht="12" customHeight="1" x14ac:dyDescent="0.25">
      <c r="A15" s="133" t="s">
        <v>80</v>
      </c>
      <c r="B15" s="134">
        <v>0</v>
      </c>
      <c r="C15" s="134">
        <v>0</v>
      </c>
      <c r="D15" s="134">
        <v>0</v>
      </c>
      <c r="E15" s="134">
        <v>0</v>
      </c>
      <c r="F15" s="134">
        <v>0</v>
      </c>
      <c r="G15" s="134">
        <v>0</v>
      </c>
      <c r="H15" s="134">
        <v>0</v>
      </c>
      <c r="I15" s="134">
        <v>0</v>
      </c>
      <c r="J15" s="134">
        <v>0</v>
      </c>
      <c r="K15" s="134">
        <v>0</v>
      </c>
      <c r="L15" s="134">
        <v>0</v>
      </c>
      <c r="M15" s="134">
        <v>0</v>
      </c>
      <c r="N15" s="134">
        <v>0</v>
      </c>
      <c r="O15" s="134">
        <v>0</v>
      </c>
      <c r="P15" s="134">
        <v>0</v>
      </c>
      <c r="Q15" s="134">
        <v>0</v>
      </c>
      <c r="R15" s="134">
        <v>0</v>
      </c>
      <c r="S15" s="134">
        <v>0</v>
      </c>
      <c r="T15" s="134">
        <v>0</v>
      </c>
      <c r="U15" s="134">
        <v>0</v>
      </c>
      <c r="V15" s="134">
        <v>0</v>
      </c>
      <c r="W15" s="134">
        <v>0</v>
      </c>
      <c r="X15" s="134">
        <v>0</v>
      </c>
      <c r="Y15" s="134">
        <v>0</v>
      </c>
      <c r="DA15" s="157" t="s">
        <v>368</v>
      </c>
    </row>
    <row r="16" spans="1:105" ht="12.95" customHeight="1" x14ac:dyDescent="0.25">
      <c r="A16" s="129" t="s">
        <v>74</v>
      </c>
      <c r="B16" s="130">
        <f t="shared" ref="B16:Q16" si="6">SUM(B17:B18)</f>
        <v>0</v>
      </c>
      <c r="C16" s="130">
        <f t="shared" si="6"/>
        <v>0</v>
      </c>
      <c r="D16" s="130">
        <f t="shared" si="6"/>
        <v>0</v>
      </c>
      <c r="E16" s="130">
        <f t="shared" si="6"/>
        <v>0</v>
      </c>
      <c r="F16" s="130">
        <f t="shared" si="6"/>
        <v>0</v>
      </c>
      <c r="G16" s="130">
        <f t="shared" si="6"/>
        <v>0</v>
      </c>
      <c r="H16" s="130">
        <f t="shared" si="6"/>
        <v>0</v>
      </c>
      <c r="I16" s="130">
        <f t="shared" si="6"/>
        <v>0</v>
      </c>
      <c r="J16" s="130">
        <f t="shared" si="6"/>
        <v>0</v>
      </c>
      <c r="K16" s="130">
        <f t="shared" si="6"/>
        <v>0</v>
      </c>
      <c r="L16" s="130">
        <f t="shared" si="6"/>
        <v>0</v>
      </c>
      <c r="M16" s="130">
        <f t="shared" si="6"/>
        <v>0</v>
      </c>
      <c r="N16" s="130">
        <f t="shared" si="6"/>
        <v>0</v>
      </c>
      <c r="O16" s="130">
        <f t="shared" si="6"/>
        <v>0</v>
      </c>
      <c r="P16" s="130">
        <f t="shared" si="6"/>
        <v>0</v>
      </c>
      <c r="Q16" s="130">
        <f t="shared" si="6"/>
        <v>0</v>
      </c>
      <c r="R16" s="130">
        <f t="shared" ref="R16:W16" si="7">SUM(R17:R18)</f>
        <v>0</v>
      </c>
      <c r="S16" s="130">
        <f t="shared" si="7"/>
        <v>0</v>
      </c>
      <c r="T16" s="130">
        <f t="shared" si="7"/>
        <v>0</v>
      </c>
      <c r="U16" s="130">
        <f t="shared" si="7"/>
        <v>0</v>
      </c>
      <c r="V16" s="130">
        <f t="shared" si="7"/>
        <v>0</v>
      </c>
      <c r="W16" s="130">
        <f t="shared" si="7"/>
        <v>0</v>
      </c>
      <c r="X16" s="130">
        <f t="shared" ref="X16:Y16" si="8">SUM(X17:X18)</f>
        <v>0</v>
      </c>
      <c r="Y16" s="130">
        <f t="shared" si="8"/>
        <v>0</v>
      </c>
      <c r="DA16" s="155" t="s">
        <v>235</v>
      </c>
    </row>
    <row r="17" spans="1:105" ht="12.95" customHeight="1" x14ac:dyDescent="0.25">
      <c r="A17" s="131" t="s">
        <v>73</v>
      </c>
      <c r="B17" s="132">
        <v>0</v>
      </c>
      <c r="C17" s="132">
        <v>0</v>
      </c>
      <c r="D17" s="132">
        <v>0</v>
      </c>
      <c r="E17" s="132">
        <v>0</v>
      </c>
      <c r="F17" s="132">
        <v>0</v>
      </c>
      <c r="G17" s="132">
        <v>0</v>
      </c>
      <c r="H17" s="132">
        <v>0</v>
      </c>
      <c r="I17" s="132">
        <v>0</v>
      </c>
      <c r="J17" s="132">
        <v>0</v>
      </c>
      <c r="K17" s="132">
        <v>0</v>
      </c>
      <c r="L17" s="132">
        <v>0</v>
      </c>
      <c r="M17" s="132">
        <v>0</v>
      </c>
      <c r="N17" s="132">
        <v>0</v>
      </c>
      <c r="O17" s="132">
        <v>0</v>
      </c>
      <c r="P17" s="132">
        <v>0</v>
      </c>
      <c r="Q17" s="132">
        <v>0</v>
      </c>
      <c r="R17" s="132">
        <v>0</v>
      </c>
      <c r="S17" s="132">
        <v>0</v>
      </c>
      <c r="T17" s="132">
        <v>0</v>
      </c>
      <c r="U17" s="132">
        <v>0</v>
      </c>
      <c r="V17" s="132">
        <v>0</v>
      </c>
      <c r="W17" s="132">
        <v>0</v>
      </c>
      <c r="X17" s="132">
        <v>0</v>
      </c>
      <c r="Y17" s="132">
        <v>0</v>
      </c>
      <c r="DA17" s="156" t="s">
        <v>369</v>
      </c>
    </row>
    <row r="18" spans="1:105" ht="12" customHeight="1" x14ac:dyDescent="0.25">
      <c r="A18" s="131" t="s">
        <v>72</v>
      </c>
      <c r="B18" s="132">
        <v>0</v>
      </c>
      <c r="C18" s="132">
        <v>0</v>
      </c>
      <c r="D18" s="132">
        <v>0</v>
      </c>
      <c r="E18" s="132">
        <v>0</v>
      </c>
      <c r="F18" s="132">
        <v>0</v>
      </c>
      <c r="G18" s="132">
        <v>0</v>
      </c>
      <c r="H18" s="132">
        <v>0</v>
      </c>
      <c r="I18" s="132">
        <v>0</v>
      </c>
      <c r="J18" s="132">
        <v>0</v>
      </c>
      <c r="K18" s="132">
        <v>0</v>
      </c>
      <c r="L18" s="132">
        <v>0</v>
      </c>
      <c r="M18" s="132">
        <v>0</v>
      </c>
      <c r="N18" s="132">
        <v>0</v>
      </c>
      <c r="O18" s="132">
        <v>0</v>
      </c>
      <c r="P18" s="132">
        <v>0</v>
      </c>
      <c r="Q18" s="132">
        <v>0</v>
      </c>
      <c r="R18" s="132">
        <v>0</v>
      </c>
      <c r="S18" s="132">
        <v>0</v>
      </c>
      <c r="T18" s="132">
        <v>0</v>
      </c>
      <c r="U18" s="132">
        <v>0</v>
      </c>
      <c r="V18" s="132">
        <v>0</v>
      </c>
      <c r="W18" s="132">
        <v>0</v>
      </c>
      <c r="X18" s="132">
        <v>0</v>
      </c>
      <c r="Y18" s="132">
        <v>0</v>
      </c>
      <c r="DA18" s="156" t="s">
        <v>370</v>
      </c>
    </row>
    <row r="19" spans="1:105" ht="12.95" customHeight="1" x14ac:dyDescent="0.25">
      <c r="A19" s="129" t="s">
        <v>35</v>
      </c>
      <c r="B19" s="130">
        <f t="shared" ref="B19:Q19" si="9">SUM(B20:B27)</f>
        <v>46.841397457980214</v>
      </c>
      <c r="C19" s="130">
        <f t="shared" si="9"/>
        <v>53.435844527237158</v>
      </c>
      <c r="D19" s="130">
        <f t="shared" si="9"/>
        <v>100.97663705848115</v>
      </c>
      <c r="E19" s="130">
        <f t="shared" si="9"/>
        <v>175.27207316037919</v>
      </c>
      <c r="F19" s="130">
        <f t="shared" si="9"/>
        <v>275.45705734057293</v>
      </c>
      <c r="G19" s="130">
        <f t="shared" si="9"/>
        <v>279.44618384935774</v>
      </c>
      <c r="H19" s="130">
        <f t="shared" si="9"/>
        <v>284.34696803006585</v>
      </c>
      <c r="I19" s="130">
        <f t="shared" si="9"/>
        <v>252.46277214409824</v>
      </c>
      <c r="J19" s="130">
        <f t="shared" si="9"/>
        <v>223.94782236780918</v>
      </c>
      <c r="K19" s="130">
        <f t="shared" si="9"/>
        <v>303.72674287835991</v>
      </c>
      <c r="L19" s="130">
        <f t="shared" si="9"/>
        <v>303.64914129621229</v>
      </c>
      <c r="M19" s="130">
        <f t="shared" si="9"/>
        <v>281.86344224074605</v>
      </c>
      <c r="N19" s="130">
        <f t="shared" si="9"/>
        <v>292.89086410909738</v>
      </c>
      <c r="O19" s="130">
        <f t="shared" si="9"/>
        <v>331.62642747022568</v>
      </c>
      <c r="P19" s="130">
        <f t="shared" si="9"/>
        <v>363.99510666014993</v>
      </c>
      <c r="Q19" s="130">
        <f t="shared" si="9"/>
        <v>394.94118793485711</v>
      </c>
      <c r="R19" s="130">
        <f t="shared" ref="R19:W19" si="10">SUM(R20:R27)</f>
        <v>409.92085421203211</v>
      </c>
      <c r="S19" s="130">
        <f t="shared" si="10"/>
        <v>467.69832069748395</v>
      </c>
      <c r="T19" s="130">
        <f t="shared" si="10"/>
        <v>469.28394242832564</v>
      </c>
      <c r="U19" s="130">
        <f t="shared" si="10"/>
        <v>462.64676646212212</v>
      </c>
      <c r="V19" s="130">
        <f t="shared" si="10"/>
        <v>448.71151219870438</v>
      </c>
      <c r="W19" s="130">
        <f t="shared" si="10"/>
        <v>523.13977956523456</v>
      </c>
      <c r="X19" s="130">
        <f t="shared" ref="X19:Y19" si="11">SUM(X20:X27)</f>
        <v>512.3772458941786</v>
      </c>
      <c r="Y19" s="130">
        <f t="shared" si="11"/>
        <v>493.2216011961255</v>
      </c>
      <c r="DA19" s="155" t="s">
        <v>236</v>
      </c>
    </row>
    <row r="20" spans="1:105" ht="12" customHeight="1" x14ac:dyDescent="0.25">
      <c r="A20" s="131" t="s">
        <v>29</v>
      </c>
      <c r="B20" s="132">
        <v>0</v>
      </c>
      <c r="C20" s="132">
        <v>0</v>
      </c>
      <c r="D20" s="132">
        <v>0</v>
      </c>
      <c r="E20" s="132">
        <v>0</v>
      </c>
      <c r="F20" s="132">
        <v>0</v>
      </c>
      <c r="G20" s="132">
        <v>0</v>
      </c>
      <c r="H20" s="132">
        <v>0</v>
      </c>
      <c r="I20" s="132">
        <v>0</v>
      </c>
      <c r="J20" s="132">
        <v>0</v>
      </c>
      <c r="K20" s="132">
        <v>0</v>
      </c>
      <c r="L20" s="132">
        <v>0</v>
      </c>
      <c r="M20" s="132">
        <v>0</v>
      </c>
      <c r="N20" s="132">
        <v>0</v>
      </c>
      <c r="O20" s="132">
        <v>0</v>
      </c>
      <c r="P20" s="132">
        <v>0</v>
      </c>
      <c r="Q20" s="132">
        <v>0</v>
      </c>
      <c r="R20" s="132">
        <v>0</v>
      </c>
      <c r="S20" s="132">
        <v>0</v>
      </c>
      <c r="T20" s="132">
        <v>0</v>
      </c>
      <c r="U20" s="132">
        <v>0</v>
      </c>
      <c r="V20" s="132">
        <v>0</v>
      </c>
      <c r="W20" s="132">
        <v>0</v>
      </c>
      <c r="X20" s="132">
        <v>0</v>
      </c>
      <c r="Y20" s="132">
        <v>0</v>
      </c>
      <c r="DA20" s="156" t="s">
        <v>371</v>
      </c>
    </row>
    <row r="21" spans="1:105" s="2" customFormat="1" ht="12" customHeight="1" x14ac:dyDescent="0.25">
      <c r="A21" s="131" t="s">
        <v>52</v>
      </c>
      <c r="B21" s="132">
        <v>0</v>
      </c>
      <c r="C21" s="132">
        <v>0</v>
      </c>
      <c r="D21" s="132">
        <v>0</v>
      </c>
      <c r="E21" s="132">
        <v>0</v>
      </c>
      <c r="F21" s="132">
        <v>0</v>
      </c>
      <c r="G21" s="132">
        <v>0</v>
      </c>
      <c r="H21" s="132">
        <v>0</v>
      </c>
      <c r="I21" s="132">
        <v>0</v>
      </c>
      <c r="J21" s="132">
        <v>0</v>
      </c>
      <c r="K21" s="132">
        <v>0</v>
      </c>
      <c r="L21" s="132">
        <v>0</v>
      </c>
      <c r="M21" s="132">
        <v>0</v>
      </c>
      <c r="N21" s="132">
        <v>0</v>
      </c>
      <c r="O21" s="132">
        <v>0</v>
      </c>
      <c r="P21" s="132">
        <v>0</v>
      </c>
      <c r="Q21" s="132">
        <v>0</v>
      </c>
      <c r="R21" s="132">
        <v>0</v>
      </c>
      <c r="S21" s="132">
        <v>0</v>
      </c>
      <c r="T21" s="132">
        <v>0</v>
      </c>
      <c r="U21" s="132">
        <v>0</v>
      </c>
      <c r="V21" s="132">
        <v>0</v>
      </c>
      <c r="W21" s="132">
        <v>0</v>
      </c>
      <c r="X21" s="132">
        <v>0</v>
      </c>
      <c r="Y21" s="132">
        <v>0</v>
      </c>
      <c r="DA21" s="156" t="s">
        <v>372</v>
      </c>
    </row>
    <row r="22" spans="1:105" ht="12" customHeight="1" x14ac:dyDescent="0.25">
      <c r="A22" s="131" t="s">
        <v>161</v>
      </c>
      <c r="B22" s="132">
        <v>9.2752935898241518</v>
      </c>
      <c r="C22" s="132">
        <v>18.426385487467847</v>
      </c>
      <c r="D22" s="132">
        <v>69.059831351034362</v>
      </c>
      <c r="E22" s="132">
        <v>94.031287348237441</v>
      </c>
      <c r="F22" s="132">
        <v>104.04133610924436</v>
      </c>
      <c r="G22" s="132">
        <v>101.86500353560739</v>
      </c>
      <c r="H22" s="132">
        <v>53.570140848092052</v>
      </c>
      <c r="I22" s="132">
        <v>51.013418009292387</v>
      </c>
      <c r="J22" s="132">
        <v>50.393816944685952</v>
      </c>
      <c r="K22" s="132">
        <v>47.565032186251472</v>
      </c>
      <c r="L22" s="132">
        <v>48.218594143391584</v>
      </c>
      <c r="M22" s="132">
        <v>50.499192403913447</v>
      </c>
      <c r="N22" s="132">
        <v>67.111874897655468</v>
      </c>
      <c r="O22" s="132">
        <v>94.678405262551436</v>
      </c>
      <c r="P22" s="132">
        <v>100.04142346782028</v>
      </c>
      <c r="Q22" s="132">
        <v>108.50408646456079</v>
      </c>
      <c r="R22" s="132">
        <v>99.280474197873971</v>
      </c>
      <c r="S22" s="132">
        <v>135.48978988567575</v>
      </c>
      <c r="T22" s="132">
        <v>152.42336548610749</v>
      </c>
      <c r="U22" s="132">
        <v>145.7025991631188</v>
      </c>
      <c r="V22" s="132">
        <v>146.54210460448883</v>
      </c>
      <c r="W22" s="132">
        <v>224.91054781079976</v>
      </c>
      <c r="X22" s="132">
        <v>222.12197030745227</v>
      </c>
      <c r="Y22" s="132">
        <v>224.52642588839981</v>
      </c>
      <c r="DA22" s="156" t="s">
        <v>373</v>
      </c>
    </row>
    <row r="23" spans="1:105" ht="12" customHeight="1" x14ac:dyDescent="0.25">
      <c r="A23" s="131" t="s">
        <v>149</v>
      </c>
      <c r="B23" s="132">
        <v>37.566103868156063</v>
      </c>
      <c r="C23" s="132">
        <v>35.009459039769311</v>
      </c>
      <c r="D23" s="132">
        <v>31.916805707446791</v>
      </c>
      <c r="E23" s="132">
        <v>81.066249621425357</v>
      </c>
      <c r="F23" s="132">
        <v>171.28856287843564</v>
      </c>
      <c r="G23" s="132">
        <v>177.58118031375037</v>
      </c>
      <c r="H23" s="132">
        <v>230.7768271819738</v>
      </c>
      <c r="I23" s="132">
        <v>201.44935413480584</v>
      </c>
      <c r="J23" s="132">
        <v>173.55400542312321</v>
      </c>
      <c r="K23" s="132">
        <v>256.16171069210844</v>
      </c>
      <c r="L23" s="132">
        <v>255.43054715282068</v>
      </c>
      <c r="M23" s="132">
        <v>231.36424983683261</v>
      </c>
      <c r="N23" s="132">
        <v>225.77898921144194</v>
      </c>
      <c r="O23" s="132">
        <v>236.91204627523851</v>
      </c>
      <c r="P23" s="132">
        <v>258.1983709289899</v>
      </c>
      <c r="Q23" s="132">
        <v>283.61502620338752</v>
      </c>
      <c r="R23" s="132">
        <v>308.78867187288353</v>
      </c>
      <c r="S23" s="132">
        <v>330.96606676723167</v>
      </c>
      <c r="T23" s="132">
        <v>315.79799211897898</v>
      </c>
      <c r="U23" s="132">
        <v>316.13820363398509</v>
      </c>
      <c r="V23" s="132">
        <v>301.5262547675469</v>
      </c>
      <c r="W23" s="132">
        <v>297.62566112970893</v>
      </c>
      <c r="X23" s="132">
        <v>289.25171939066587</v>
      </c>
      <c r="Y23" s="132">
        <v>267.94646719040912</v>
      </c>
      <c r="DA23" s="156" t="s">
        <v>374</v>
      </c>
    </row>
    <row r="24" spans="1:105" ht="12" customHeight="1" x14ac:dyDescent="0.25">
      <c r="A24" s="131" t="s">
        <v>128</v>
      </c>
      <c r="B24" s="132">
        <v>0</v>
      </c>
      <c r="C24" s="132">
        <v>0</v>
      </c>
      <c r="D24" s="132">
        <v>0</v>
      </c>
      <c r="E24" s="132">
        <v>0.17453619071639129</v>
      </c>
      <c r="F24" s="132">
        <v>0.12715835289292601</v>
      </c>
      <c r="G24" s="132">
        <v>0</v>
      </c>
      <c r="H24" s="132">
        <v>0</v>
      </c>
      <c r="I24" s="132">
        <v>0</v>
      </c>
      <c r="J24" s="132">
        <v>0</v>
      </c>
      <c r="K24" s="132">
        <v>0</v>
      </c>
      <c r="L24" s="132">
        <v>0</v>
      </c>
      <c r="M24" s="132">
        <v>0</v>
      </c>
      <c r="N24" s="132">
        <v>0</v>
      </c>
      <c r="O24" s="132">
        <v>3.5975932435764836E-2</v>
      </c>
      <c r="P24" s="132">
        <v>5.7553122633397651</v>
      </c>
      <c r="Q24" s="132">
        <v>2.8220752669088354</v>
      </c>
      <c r="R24" s="132">
        <v>1.8517081412746041</v>
      </c>
      <c r="S24" s="132">
        <v>1.2424640445765271</v>
      </c>
      <c r="T24" s="132">
        <v>1.0625848232391479</v>
      </c>
      <c r="U24" s="132">
        <v>0.80596366501819827</v>
      </c>
      <c r="V24" s="132">
        <v>0.64315282666867823</v>
      </c>
      <c r="W24" s="132">
        <v>0.60357062472586054</v>
      </c>
      <c r="X24" s="132">
        <v>1.003556196060482</v>
      </c>
      <c r="Y24" s="132">
        <v>0.74870811731652476</v>
      </c>
      <c r="DA24" s="156" t="s">
        <v>375</v>
      </c>
    </row>
    <row r="25" spans="1:105" ht="12" customHeight="1" x14ac:dyDescent="0.25">
      <c r="A25" s="131" t="s">
        <v>162</v>
      </c>
      <c r="B25" s="132">
        <v>0</v>
      </c>
      <c r="C25" s="132">
        <v>0</v>
      </c>
      <c r="D25" s="132">
        <v>0</v>
      </c>
      <c r="E25" s="132">
        <v>0</v>
      </c>
      <c r="F25" s="132">
        <v>0</v>
      </c>
      <c r="G25" s="132">
        <v>0</v>
      </c>
      <c r="H25" s="132">
        <v>0</v>
      </c>
      <c r="I25" s="132">
        <v>0</v>
      </c>
      <c r="J25" s="132">
        <v>0</v>
      </c>
      <c r="K25" s="132">
        <v>0</v>
      </c>
      <c r="L25" s="132">
        <v>0</v>
      </c>
      <c r="M25" s="132">
        <v>0</v>
      </c>
      <c r="N25" s="132">
        <v>0</v>
      </c>
      <c r="O25" s="132">
        <v>0</v>
      </c>
      <c r="P25" s="132">
        <v>0</v>
      </c>
      <c r="Q25" s="132">
        <v>0</v>
      </c>
      <c r="R25" s="132">
        <v>0</v>
      </c>
      <c r="S25" s="132">
        <v>0</v>
      </c>
      <c r="T25" s="132">
        <v>0</v>
      </c>
      <c r="U25" s="132">
        <v>0</v>
      </c>
      <c r="V25" s="132">
        <v>0</v>
      </c>
      <c r="W25" s="132">
        <v>0</v>
      </c>
      <c r="X25" s="132">
        <v>0</v>
      </c>
      <c r="Y25" s="132">
        <v>0</v>
      </c>
      <c r="DA25" s="156" t="s">
        <v>376</v>
      </c>
    </row>
    <row r="26" spans="1:105" ht="12" customHeight="1" x14ac:dyDescent="0.25">
      <c r="A26" s="131" t="s">
        <v>24</v>
      </c>
      <c r="B26" s="65">
        <v>0</v>
      </c>
      <c r="C26" s="65">
        <v>0</v>
      </c>
      <c r="D26" s="65">
        <v>0</v>
      </c>
      <c r="E26" s="65">
        <v>0</v>
      </c>
      <c r="F26" s="65">
        <v>0</v>
      </c>
      <c r="G26" s="65">
        <v>0</v>
      </c>
      <c r="H26" s="65">
        <v>0</v>
      </c>
      <c r="I26" s="65">
        <v>0</v>
      </c>
      <c r="J26" s="65">
        <v>0</v>
      </c>
      <c r="K26" s="65">
        <v>0</v>
      </c>
      <c r="L26" s="65">
        <v>0</v>
      </c>
      <c r="M26" s="65">
        <v>0</v>
      </c>
      <c r="N26" s="65">
        <v>0</v>
      </c>
      <c r="O26" s="65">
        <v>0</v>
      </c>
      <c r="P26" s="65">
        <v>0</v>
      </c>
      <c r="Q26" s="65">
        <v>0</v>
      </c>
      <c r="R26" s="65">
        <v>0</v>
      </c>
      <c r="S26" s="65">
        <v>0</v>
      </c>
      <c r="T26" s="65">
        <v>0</v>
      </c>
      <c r="U26" s="65">
        <v>0</v>
      </c>
      <c r="V26" s="65">
        <v>0</v>
      </c>
      <c r="W26" s="65">
        <v>0</v>
      </c>
      <c r="X26" s="65">
        <v>0</v>
      </c>
      <c r="Y26" s="65">
        <v>0</v>
      </c>
      <c r="DA26" s="109" t="s">
        <v>377</v>
      </c>
    </row>
    <row r="27" spans="1:105" ht="12" customHeight="1" x14ac:dyDescent="0.25">
      <c r="A27" s="144" t="s">
        <v>26</v>
      </c>
      <c r="B27" s="145">
        <v>0</v>
      </c>
      <c r="C27" s="145">
        <v>0</v>
      </c>
      <c r="D27" s="145">
        <v>0</v>
      </c>
      <c r="E27" s="145">
        <v>0</v>
      </c>
      <c r="F27" s="145">
        <v>0</v>
      </c>
      <c r="G27" s="145">
        <v>0</v>
      </c>
      <c r="H27" s="145">
        <v>0</v>
      </c>
      <c r="I27" s="145">
        <v>0</v>
      </c>
      <c r="J27" s="145">
        <v>0</v>
      </c>
      <c r="K27" s="145">
        <v>0</v>
      </c>
      <c r="L27" s="145">
        <v>0</v>
      </c>
      <c r="M27" s="145">
        <v>0</v>
      </c>
      <c r="N27" s="145">
        <v>0</v>
      </c>
      <c r="O27" s="145">
        <v>0</v>
      </c>
      <c r="P27" s="145">
        <v>0</v>
      </c>
      <c r="Q27" s="145">
        <v>0</v>
      </c>
      <c r="R27" s="145">
        <v>0</v>
      </c>
      <c r="S27" s="145">
        <v>0</v>
      </c>
      <c r="T27" s="145">
        <v>0</v>
      </c>
      <c r="U27" s="145">
        <v>0</v>
      </c>
      <c r="V27" s="145">
        <v>0</v>
      </c>
      <c r="W27" s="145">
        <v>0</v>
      </c>
      <c r="X27" s="145">
        <v>0</v>
      </c>
      <c r="Y27" s="145">
        <v>0</v>
      </c>
      <c r="DA27" s="158" t="s">
        <v>378</v>
      </c>
    </row>
    <row r="28" spans="1:105" ht="12" hidden="1" customHeight="1" x14ac:dyDescent="0.25">
      <c r="A28" s="78" t="s">
        <v>26</v>
      </c>
      <c r="B28" s="68"/>
      <c r="C28" s="68"/>
      <c r="D28" s="68"/>
      <c r="E28" s="68"/>
      <c r="F28" s="68"/>
      <c r="G28" s="68"/>
      <c r="H28" s="68"/>
      <c r="I28" s="68"/>
      <c r="J28" s="68"/>
      <c r="K28" s="68"/>
      <c r="L28" s="68"/>
      <c r="M28" s="68"/>
      <c r="N28" s="68"/>
      <c r="O28" s="68"/>
      <c r="P28" s="68"/>
      <c r="Q28" s="68"/>
      <c r="R28" s="68"/>
      <c r="S28" s="68"/>
      <c r="T28" s="68"/>
      <c r="U28" s="68"/>
      <c r="V28" s="68"/>
      <c r="W28" s="68"/>
      <c r="X28" s="68"/>
      <c r="Y28" s="68"/>
      <c r="DA28" s="111"/>
    </row>
    <row r="29" spans="1:105" ht="12.95" customHeight="1" x14ac:dyDescent="0.25">
      <c r="A29" s="129" t="s">
        <v>34</v>
      </c>
      <c r="B29" s="130">
        <f t="shared" ref="B29:Q29" si="12">SUM(B30:B33)</f>
        <v>140.50813948042358</v>
      </c>
      <c r="C29" s="130">
        <f t="shared" si="12"/>
        <v>139.90518524449681</v>
      </c>
      <c r="D29" s="130">
        <f t="shared" si="12"/>
        <v>96.277564763075901</v>
      </c>
      <c r="E29" s="130">
        <f t="shared" si="12"/>
        <v>259.85772603582632</v>
      </c>
      <c r="F29" s="130">
        <f t="shared" si="12"/>
        <v>504.76205521260601</v>
      </c>
      <c r="G29" s="130">
        <f t="shared" si="12"/>
        <v>528.81231239671843</v>
      </c>
      <c r="H29" s="130">
        <f t="shared" si="12"/>
        <v>502.16514471934204</v>
      </c>
      <c r="I29" s="130">
        <f t="shared" si="12"/>
        <v>589.63641107761805</v>
      </c>
      <c r="J29" s="130">
        <f t="shared" si="12"/>
        <v>379.99366860689884</v>
      </c>
      <c r="K29" s="130">
        <f t="shared" si="12"/>
        <v>345.6393933910216</v>
      </c>
      <c r="L29" s="130">
        <f t="shared" si="12"/>
        <v>359.2444655917696</v>
      </c>
      <c r="M29" s="130">
        <f t="shared" si="12"/>
        <v>330.97578272915865</v>
      </c>
      <c r="N29" s="130">
        <f t="shared" si="12"/>
        <v>329.9089262090784</v>
      </c>
      <c r="O29" s="130">
        <f t="shared" si="12"/>
        <v>339.79198796463123</v>
      </c>
      <c r="P29" s="130">
        <f t="shared" si="12"/>
        <v>353.35594565343632</v>
      </c>
      <c r="Q29" s="130">
        <f t="shared" si="12"/>
        <v>402.12334539639653</v>
      </c>
      <c r="R29" s="130">
        <f t="shared" ref="R29:W29" si="13">SUM(R30:R33)</f>
        <v>398.24856006065789</v>
      </c>
      <c r="S29" s="130">
        <f t="shared" si="13"/>
        <v>436.17639069657798</v>
      </c>
      <c r="T29" s="130">
        <f t="shared" si="13"/>
        <v>435.99395812757706</v>
      </c>
      <c r="U29" s="130">
        <f t="shared" si="13"/>
        <v>443.5253971260023</v>
      </c>
      <c r="V29" s="130">
        <f t="shared" si="13"/>
        <v>422.72692928059132</v>
      </c>
      <c r="W29" s="130">
        <f t="shared" si="13"/>
        <v>432.41330150009139</v>
      </c>
      <c r="X29" s="130">
        <f t="shared" ref="X29:Y29" si="14">SUM(X30:X33)</f>
        <v>434.12757741344802</v>
      </c>
      <c r="Y29" s="130">
        <f t="shared" si="14"/>
        <v>432.7196640286237</v>
      </c>
      <c r="DA29" s="155" t="s">
        <v>237</v>
      </c>
    </row>
    <row r="30" spans="1:105" ht="12" customHeight="1" x14ac:dyDescent="0.25">
      <c r="A30" s="131" t="s">
        <v>52</v>
      </c>
      <c r="B30" s="132">
        <v>59.692650479999998</v>
      </c>
      <c r="C30" s="132">
        <v>32.830980479999994</v>
      </c>
      <c r="D30" s="132">
        <v>20.892359519999999</v>
      </c>
      <c r="E30" s="132">
        <v>89.538975720000039</v>
      </c>
      <c r="F30" s="132">
        <v>194.00100048000002</v>
      </c>
      <c r="G30" s="132">
        <v>239.95319687999998</v>
      </c>
      <c r="H30" s="132">
        <v>97.204262759999992</v>
      </c>
      <c r="I30" s="132">
        <v>288.55135296000003</v>
      </c>
      <c r="J30" s="132">
        <v>66.822294240000005</v>
      </c>
      <c r="K30" s="132">
        <v>36.453955319999999</v>
      </c>
      <c r="L30" s="132">
        <v>57.710225160000014</v>
      </c>
      <c r="M30" s="132">
        <v>36.448503479999992</v>
      </c>
      <c r="N30" s="132">
        <v>45.560799719999991</v>
      </c>
      <c r="O30" s="132">
        <v>51.635512440000028</v>
      </c>
      <c r="P30" s="132">
        <v>66.822294239999977</v>
      </c>
      <c r="Q30" s="132">
        <v>85.046659560000066</v>
      </c>
      <c r="R30" s="132">
        <v>78.971946839999973</v>
      </c>
      <c r="S30" s="132">
        <v>78.338851920000053</v>
      </c>
      <c r="T30" s="132">
        <v>80.422590600000021</v>
      </c>
      <c r="U30" s="132">
        <v>78.812707680000003</v>
      </c>
      <c r="V30" s="132">
        <v>70.908448320000034</v>
      </c>
      <c r="W30" s="132">
        <v>70.152232680000026</v>
      </c>
      <c r="X30" s="132">
        <v>68.563702799999973</v>
      </c>
      <c r="Y30" s="132">
        <v>59.979326400000026</v>
      </c>
      <c r="DA30" s="156" t="s">
        <v>379</v>
      </c>
    </row>
    <row r="31" spans="1:105" ht="12" customHeight="1" x14ac:dyDescent="0.25">
      <c r="A31" s="131" t="s">
        <v>149</v>
      </c>
      <c r="B31" s="132">
        <v>80.815489000423582</v>
      </c>
      <c r="C31" s="132">
        <v>107.07420476449683</v>
      </c>
      <c r="D31" s="132">
        <v>75.385205243075902</v>
      </c>
      <c r="E31" s="132">
        <v>170.31875031582626</v>
      </c>
      <c r="F31" s="132">
        <v>310.761054732606</v>
      </c>
      <c r="G31" s="132">
        <v>288.85911551671842</v>
      </c>
      <c r="H31" s="132">
        <v>404.96088195934203</v>
      </c>
      <c r="I31" s="132">
        <v>301.08505811761802</v>
      </c>
      <c r="J31" s="132">
        <v>313.17137436689882</v>
      </c>
      <c r="K31" s="132">
        <v>309.18543807102162</v>
      </c>
      <c r="L31" s="132">
        <v>301.5342404317696</v>
      </c>
      <c r="M31" s="132">
        <v>294.52727924915865</v>
      </c>
      <c r="N31" s="132">
        <v>284.34812648907842</v>
      </c>
      <c r="O31" s="132">
        <v>288.15647552463122</v>
      </c>
      <c r="P31" s="132">
        <v>286.53365141343636</v>
      </c>
      <c r="Q31" s="132">
        <v>317.07668583639645</v>
      </c>
      <c r="R31" s="132">
        <v>319.27661322065791</v>
      </c>
      <c r="S31" s="132">
        <v>357.83753877657796</v>
      </c>
      <c r="T31" s="132">
        <v>355.57136752757702</v>
      </c>
      <c r="U31" s="132">
        <v>364.71268944600229</v>
      </c>
      <c r="V31" s="132">
        <v>351.81848096059127</v>
      </c>
      <c r="W31" s="132">
        <v>362.2610688200914</v>
      </c>
      <c r="X31" s="132">
        <v>365.56387461344804</v>
      </c>
      <c r="Y31" s="132">
        <v>372.74033762862365</v>
      </c>
      <c r="DA31" s="156" t="s">
        <v>380</v>
      </c>
    </row>
    <row r="32" spans="1:105" ht="12" customHeight="1" x14ac:dyDescent="0.25">
      <c r="A32" s="131" t="s">
        <v>128</v>
      </c>
      <c r="B32" s="132">
        <v>0</v>
      </c>
      <c r="C32" s="132">
        <v>0</v>
      </c>
      <c r="D32" s="132">
        <v>0</v>
      </c>
      <c r="E32" s="132">
        <v>0</v>
      </c>
      <c r="F32" s="132">
        <v>0</v>
      </c>
      <c r="G32" s="132">
        <v>0</v>
      </c>
      <c r="H32" s="132">
        <v>0</v>
      </c>
      <c r="I32" s="132">
        <v>0</v>
      </c>
      <c r="J32" s="132">
        <v>0</v>
      </c>
      <c r="K32" s="132">
        <v>0</v>
      </c>
      <c r="L32" s="132">
        <v>0</v>
      </c>
      <c r="M32" s="132">
        <v>0</v>
      </c>
      <c r="N32" s="132">
        <v>0</v>
      </c>
      <c r="O32" s="132">
        <v>0</v>
      </c>
      <c r="P32" s="132">
        <v>0</v>
      </c>
      <c r="Q32" s="132">
        <v>0</v>
      </c>
      <c r="R32" s="132">
        <v>0</v>
      </c>
      <c r="S32" s="132">
        <v>0</v>
      </c>
      <c r="T32" s="132">
        <v>0</v>
      </c>
      <c r="U32" s="132">
        <v>0</v>
      </c>
      <c r="V32" s="132">
        <v>0</v>
      </c>
      <c r="W32" s="132">
        <v>0</v>
      </c>
      <c r="X32" s="132">
        <v>0</v>
      </c>
      <c r="Y32" s="132">
        <v>0</v>
      </c>
      <c r="DA32" s="156" t="s">
        <v>381</v>
      </c>
    </row>
    <row r="33" spans="1:105" ht="12" customHeight="1" x14ac:dyDescent="0.25">
      <c r="A33" s="62" t="s">
        <v>24</v>
      </c>
      <c r="B33" s="68">
        <v>0</v>
      </c>
      <c r="C33" s="68">
        <v>0</v>
      </c>
      <c r="D33" s="68">
        <v>0</v>
      </c>
      <c r="E33" s="68">
        <v>0</v>
      </c>
      <c r="F33" s="68">
        <v>0</v>
      </c>
      <c r="G33" s="68">
        <v>0</v>
      </c>
      <c r="H33" s="68">
        <v>0</v>
      </c>
      <c r="I33" s="68">
        <v>0</v>
      </c>
      <c r="J33" s="68">
        <v>0</v>
      </c>
      <c r="K33" s="68">
        <v>0</v>
      </c>
      <c r="L33" s="68">
        <v>0</v>
      </c>
      <c r="M33" s="68">
        <v>0</v>
      </c>
      <c r="N33" s="68">
        <v>0</v>
      </c>
      <c r="O33" s="68">
        <v>0</v>
      </c>
      <c r="P33" s="68">
        <v>0</v>
      </c>
      <c r="Q33" s="68">
        <v>0</v>
      </c>
      <c r="R33" s="68">
        <v>0</v>
      </c>
      <c r="S33" s="68">
        <v>0</v>
      </c>
      <c r="T33" s="68">
        <v>0</v>
      </c>
      <c r="U33" s="68">
        <v>0</v>
      </c>
      <c r="V33" s="68">
        <v>0</v>
      </c>
      <c r="W33" s="68">
        <v>0</v>
      </c>
      <c r="X33" s="68">
        <v>0</v>
      </c>
      <c r="Y33" s="68">
        <v>0</v>
      </c>
      <c r="DA33" s="111" t="s">
        <v>382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5">
    <tabColor theme="6" tint="0.39997558519241921"/>
    <pageSetUpPr fitToPage="1"/>
  </sheetPr>
  <dimension ref="A1:DA33"/>
  <sheetViews>
    <sheetView showGridLines="0" zoomScaleNormal="100" workbookViewId="0">
      <pane xSplit="1" ySplit="1" topLeftCell="G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40.7109375" style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12.95" customHeight="1" x14ac:dyDescent="0.25">
      <c r="A1" s="28" t="s">
        <v>383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X1" s="27">
        <v>2022</v>
      </c>
      <c r="Y1" s="27">
        <v>2023</v>
      </c>
      <c r="DA1" s="87" t="s">
        <v>150</v>
      </c>
    </row>
    <row r="2" spans="1:105" s="2" customFormat="1" ht="12" customHeight="1" x14ac:dyDescent="0.25">
      <c r="DA2" s="7"/>
    </row>
    <row r="3" spans="1:105" ht="12.95" customHeight="1" x14ac:dyDescent="0.25">
      <c r="A3" s="123" t="s">
        <v>87</v>
      </c>
      <c r="B3" s="125">
        <f>IF(SER_hh_fec!B3=0,0,11630*1000*SER_hh_fec!B3/SER_hh_num!B3)</f>
        <v>376209.33895053703</v>
      </c>
      <c r="C3" s="125">
        <f>IF(SER_hh_fec!C3=0,0,11630*1000*SER_hh_fec!C3/SER_hh_num!C3)</f>
        <v>474533.07389443851</v>
      </c>
      <c r="D3" s="125">
        <f>IF(SER_hh_fec!D3=0,0,11630*1000*SER_hh_fec!D3/SER_hh_num!D3)</f>
        <v>211763.08392954955</v>
      </c>
      <c r="E3" s="125">
        <f>IF(SER_hh_fec!E3=0,0,11630*1000*SER_hh_fec!E3/SER_hh_num!E3)</f>
        <v>360543.92691277055</v>
      </c>
      <c r="F3" s="125">
        <f>IF(SER_hh_fec!F3=0,0,11630*1000*SER_hh_fec!F3/SER_hh_num!F3)</f>
        <v>394612.05188699934</v>
      </c>
      <c r="G3" s="125">
        <f>IF(SER_hh_fec!G3=0,0,11630*1000*SER_hh_fec!G3/SER_hh_num!G3)</f>
        <v>474317.18664821627</v>
      </c>
      <c r="H3" s="125">
        <f>IF(SER_hh_fec!H3=0,0,11630*1000*SER_hh_fec!H3/SER_hh_num!H3)</f>
        <v>585602.92001654604</v>
      </c>
      <c r="I3" s="125">
        <f>IF(SER_hh_fec!I3=0,0,11630*1000*SER_hh_fec!I3/SER_hh_num!I3)</f>
        <v>492249.85655704484</v>
      </c>
      <c r="J3" s="125">
        <f>IF(SER_hh_fec!J3=0,0,11630*1000*SER_hh_fec!J3/SER_hh_num!J3)</f>
        <v>392620.61247082683</v>
      </c>
      <c r="K3" s="125">
        <f>IF(SER_hh_fec!K3=0,0,11630*1000*SER_hh_fec!K3/SER_hh_num!K3)</f>
        <v>360779.66918803513</v>
      </c>
      <c r="L3" s="125">
        <f>IF(SER_hh_fec!L3=0,0,11630*1000*SER_hh_fec!L3/SER_hh_num!L3)</f>
        <v>369675.21508828935</v>
      </c>
      <c r="M3" s="125">
        <f>IF(SER_hh_fec!M3=0,0,11630*1000*SER_hh_fec!M3/SER_hh_num!M3)</f>
        <v>334113.1438497114</v>
      </c>
      <c r="N3" s="125">
        <f>IF(SER_hh_fec!N3=0,0,11630*1000*SER_hh_fec!N3/SER_hh_num!N3)</f>
        <v>317434.17963288055</v>
      </c>
      <c r="O3" s="125">
        <f>IF(SER_hh_fec!O3=0,0,11630*1000*SER_hh_fec!O3/SER_hh_num!O3)</f>
        <v>295183.52385293593</v>
      </c>
      <c r="P3" s="125">
        <f>IF(SER_hh_fec!P3=0,0,11630*1000*SER_hh_fec!P3/SER_hh_num!P3)</f>
        <v>275476.78305308998</v>
      </c>
      <c r="Q3" s="125">
        <f>IF(SER_hh_fec!Q3=0,0,11630*1000*SER_hh_fec!Q3/SER_hh_num!Q3)</f>
        <v>269062.15277454804</v>
      </c>
      <c r="R3" s="125">
        <f>IF(SER_hh_fec!R3=0,0,11630*1000*SER_hh_fec!R3/SER_hh_num!R3)</f>
        <v>265863.80255199177</v>
      </c>
      <c r="S3" s="125">
        <f>IF(SER_hh_fec!S3=0,0,11630*1000*SER_hh_fec!S3/SER_hh_num!S3)</f>
        <v>268057.5529230336</v>
      </c>
      <c r="T3" s="125">
        <f>IF(SER_hh_fec!T3=0,0,11630*1000*SER_hh_fec!T3/SER_hh_num!T3)</f>
        <v>262877.68432637723</v>
      </c>
      <c r="U3" s="125">
        <f>IF(SER_hh_fec!U3=0,0,11630*1000*SER_hh_fec!U3/SER_hh_num!U3)</f>
        <v>253466.72801343939</v>
      </c>
      <c r="V3" s="125">
        <f>IF(SER_hh_fec!V3=0,0,11630*1000*SER_hh_fec!V3/SER_hh_num!V3)</f>
        <v>228199.04033928053</v>
      </c>
      <c r="W3" s="125">
        <f>IF(SER_hh_fec!W3=0,0,11630*1000*SER_hh_fec!W3/SER_hh_num!W3)</f>
        <v>249052.54736901881</v>
      </c>
      <c r="X3" s="125">
        <f>IF(SER_hh_fec!X3=0,0,11630*1000*SER_hh_fec!X3/SER_hh_num!X3)</f>
        <v>255650.84150783552</v>
      </c>
      <c r="Y3" s="125">
        <f>IF(SER_hh_fec!Y3=0,0,11630*1000*SER_hh_fec!Y3/SER_hh_num!Y3)</f>
        <v>272033.08997010393</v>
      </c>
      <c r="DA3" s="154" t="s">
        <v>384</v>
      </c>
    </row>
    <row r="4" spans="1:105" ht="12.95" customHeight="1" x14ac:dyDescent="0.25">
      <c r="A4" s="129" t="s">
        <v>32</v>
      </c>
      <c r="B4" s="130">
        <f>IF(SER_hh_fec!B4=0,0,11630*1000*SER_hh_fec!B4/SER_hh_num!B4)</f>
        <v>291705.91807933873</v>
      </c>
      <c r="C4" s="130">
        <f>IF(SER_hh_fec!C4=0,0,11630*1000*SER_hh_fec!C4/SER_hh_num!C4)</f>
        <v>388009.88727784588</v>
      </c>
      <c r="D4" s="130">
        <f>IF(SER_hh_fec!D4=0,0,11630*1000*SER_hh_fec!D4/SER_hh_num!D4)</f>
        <v>155693.22244507575</v>
      </c>
      <c r="E4" s="130">
        <f>IF(SER_hh_fec!E4=0,0,11630*1000*SER_hh_fec!E4/SER_hh_num!E4)</f>
        <v>267138.70695516665</v>
      </c>
      <c r="F4" s="130">
        <f>IF(SER_hh_fec!F4=0,0,11630*1000*SER_hh_fec!F4/SER_hh_num!F4)</f>
        <v>286546.96455910278</v>
      </c>
      <c r="G4" s="130">
        <f>IF(SER_hh_fec!G4=0,0,11630*1000*SER_hh_fec!G4/SER_hh_num!G4)</f>
        <v>365738.70563218533</v>
      </c>
      <c r="H4" s="130">
        <f>IF(SER_hh_fec!H4=0,0,11630*1000*SER_hh_fec!H4/SER_hh_num!H4)</f>
        <v>476127.74064193579</v>
      </c>
      <c r="I4" s="130">
        <f>IF(SER_hh_fec!I4=0,0,11630*1000*SER_hh_fec!I4/SER_hh_num!I4)</f>
        <v>379967.91113727307</v>
      </c>
      <c r="J4" s="130">
        <f>IF(SER_hh_fec!J4=0,0,11630*1000*SER_hh_fec!J4/SER_hh_num!J4)</f>
        <v>284614.13608960278</v>
      </c>
      <c r="K4" s="130">
        <f>IF(SER_hh_fec!K4=0,0,11630*1000*SER_hh_fec!K4/SER_hh_num!K4)</f>
        <v>253236.21618200216</v>
      </c>
      <c r="L4" s="130">
        <f>IF(SER_hh_fec!L4=0,0,11630*1000*SER_hh_fec!L4/SER_hh_num!L4)</f>
        <v>263395.56515974802</v>
      </c>
      <c r="M4" s="130">
        <f>IF(SER_hh_fec!M4=0,0,11630*1000*SER_hh_fec!M4/SER_hh_num!M4)</f>
        <v>228108.44217676719</v>
      </c>
      <c r="N4" s="130">
        <f>IF(SER_hh_fec!N4=0,0,11630*1000*SER_hh_fec!N4/SER_hh_num!N4)</f>
        <v>210920.63729800735</v>
      </c>
      <c r="O4" s="130">
        <f>IF(SER_hh_fec!O4=0,0,11630*1000*SER_hh_fec!O4/SER_hh_num!O4)</f>
        <v>186988.14922139409</v>
      </c>
      <c r="P4" s="130">
        <f>IF(SER_hh_fec!P4=0,0,11630*1000*SER_hh_fec!P4/SER_hh_num!P4)</f>
        <v>166527.26051212012</v>
      </c>
      <c r="Q4" s="130">
        <f>IF(SER_hh_fec!Q4=0,0,11630*1000*SER_hh_fec!Q4/SER_hh_num!Q4)</f>
        <v>158512.43150655043</v>
      </c>
      <c r="R4" s="130">
        <f>IF(SER_hh_fec!R4=0,0,11630*1000*SER_hh_fec!R4/SER_hh_num!R4)</f>
        <v>158899.88070490072</v>
      </c>
      <c r="S4" s="130">
        <f>IF(SER_hh_fec!S4=0,0,11630*1000*SER_hh_fec!S4/SER_hh_num!S4)</f>
        <v>162985.13808671877</v>
      </c>
      <c r="T4" s="130">
        <f>IF(SER_hh_fec!T4=0,0,11630*1000*SER_hh_fec!T4/SER_hh_num!T4)</f>
        <v>159855.31912094721</v>
      </c>
      <c r="U4" s="130">
        <f>IF(SER_hh_fec!U4=0,0,11630*1000*SER_hh_fec!U4/SER_hh_num!U4)</f>
        <v>153255.67029934612</v>
      </c>
      <c r="V4" s="130">
        <f>IF(SER_hh_fec!V4=0,0,11630*1000*SER_hh_fec!V4/SER_hh_num!V4)</f>
        <v>136634.51486113769</v>
      </c>
      <c r="W4" s="130">
        <f>IF(SER_hh_fec!W4=0,0,11630*1000*SER_hh_fec!W4/SER_hh_num!W4)</f>
        <v>151297.52443875434</v>
      </c>
      <c r="X4" s="130">
        <f>IF(SER_hh_fec!X4=0,0,11630*1000*SER_hh_fec!X4/SER_hh_num!X4)</f>
        <v>155588.46408741645</v>
      </c>
      <c r="Y4" s="130">
        <f>IF(SER_hh_fec!Y4=0,0,11630*1000*SER_hh_fec!Y4/SER_hh_num!Y4)</f>
        <v>170646.13276689293</v>
      </c>
      <c r="DA4" s="155" t="s">
        <v>385</v>
      </c>
    </row>
    <row r="5" spans="1:105" ht="12" customHeight="1" x14ac:dyDescent="0.25">
      <c r="A5" s="131" t="s">
        <v>29</v>
      </c>
      <c r="B5" s="132">
        <f>IF(SER_hh_fec!B5=0,0,11630*1000*SER_hh_fec!B5/SER_hh_num!B5)</f>
        <v>197630.74311734462</v>
      </c>
      <c r="C5" s="132">
        <f>IF(SER_hh_fec!C5=0,0,11630*1000*SER_hh_fec!C5/SER_hh_num!C5)</f>
        <v>420016.04446660454</v>
      </c>
      <c r="D5" s="132">
        <f>IF(SER_hh_fec!D5=0,0,11630*1000*SER_hh_fec!D5/SER_hh_num!D5)</f>
        <v>268518.66370870167</v>
      </c>
      <c r="E5" s="132">
        <f>IF(SER_hh_fec!E5=0,0,11630*1000*SER_hh_fec!E5/SER_hh_num!E5)</f>
        <v>237251.87036706816</v>
      </c>
      <c r="F5" s="132">
        <f>IF(SER_hh_fec!F5=0,0,11630*1000*SER_hh_fec!F5/SER_hh_num!F5)</f>
        <v>165463.15967723244</v>
      </c>
      <c r="G5" s="132">
        <f>IF(SER_hh_fec!G5=0,0,11630*1000*SER_hh_fec!G5/SER_hh_num!G5)</f>
        <v>102902.69389571306</v>
      </c>
      <c r="H5" s="132">
        <f>IF(SER_hh_fec!H5=0,0,11630*1000*SER_hh_fec!H5/SER_hh_num!H5)</f>
        <v>795683.98452318797</v>
      </c>
      <c r="I5" s="132">
        <f>IF(SER_hh_fec!I5=0,0,11630*1000*SER_hh_fec!I5/SER_hh_num!I5)</f>
        <v>474243.47876540007</v>
      </c>
      <c r="J5" s="132">
        <f>IF(SER_hh_fec!J5=0,0,11630*1000*SER_hh_fec!J5/SER_hh_num!J5)</f>
        <v>188386.74716194728</v>
      </c>
      <c r="K5" s="132">
        <f>IF(SER_hh_fec!K5=0,0,11630*1000*SER_hh_fec!K5/SER_hh_num!K5)</f>
        <v>122845.23448602333</v>
      </c>
      <c r="L5" s="132">
        <f>IF(SER_hh_fec!L5=0,0,11630*1000*SER_hh_fec!L5/SER_hh_num!L5)</f>
        <v>300955.20939664607</v>
      </c>
      <c r="M5" s="132">
        <f>IF(SER_hh_fec!M5=0,0,11630*1000*SER_hh_fec!M5/SER_hh_num!M5)</f>
        <v>312766.06608441274</v>
      </c>
      <c r="N5" s="132">
        <f>IF(SER_hh_fec!N5=0,0,11630*1000*SER_hh_fec!N5/SER_hh_num!N5)</f>
        <v>163399.23977213999</v>
      </c>
      <c r="O5" s="132">
        <f>IF(SER_hh_fec!O5=0,0,11630*1000*SER_hh_fec!O5/SER_hh_num!O5)</f>
        <v>207923.86189805367</v>
      </c>
      <c r="P5" s="132">
        <f>IF(SER_hh_fec!P5=0,0,11630*1000*SER_hh_fec!P5/SER_hh_num!P5)</f>
        <v>129831.82240602662</v>
      </c>
      <c r="Q5" s="132">
        <f>IF(SER_hh_fec!Q5=0,0,11630*1000*SER_hh_fec!Q5/SER_hh_num!Q5)</f>
        <v>136255.90140526311</v>
      </c>
      <c r="R5" s="132">
        <f>IF(SER_hh_fec!R5=0,0,11630*1000*SER_hh_fec!R5/SER_hh_num!R5)</f>
        <v>241551.24151207996</v>
      </c>
      <c r="S5" s="132">
        <f>IF(SER_hh_fec!S5=0,0,11630*1000*SER_hh_fec!S5/SER_hh_num!S5)</f>
        <v>0</v>
      </c>
      <c r="T5" s="132">
        <f>IF(SER_hh_fec!T5=0,0,11630*1000*SER_hh_fec!T5/SER_hh_num!T5)</f>
        <v>218008.31786167002</v>
      </c>
      <c r="U5" s="132">
        <f>IF(SER_hh_fec!U5=0,0,11630*1000*SER_hh_fec!U5/SER_hh_num!U5)</f>
        <v>182240.04061206224</v>
      </c>
      <c r="V5" s="132">
        <f>IF(SER_hh_fec!V5=0,0,11630*1000*SER_hh_fec!V5/SER_hh_num!V5)</f>
        <v>50892.334839084979</v>
      </c>
      <c r="W5" s="132">
        <f>IF(SER_hh_fec!W5=0,0,11630*1000*SER_hh_fec!W5/SER_hh_num!W5)</f>
        <v>138367.93242783265</v>
      </c>
      <c r="X5" s="132">
        <f>IF(SER_hh_fec!X5=0,0,11630*1000*SER_hh_fec!X5/SER_hh_num!X5)</f>
        <v>179993.85400281902</v>
      </c>
      <c r="Y5" s="132">
        <f>IF(SER_hh_fec!Y5=0,0,11630*1000*SER_hh_fec!Y5/SER_hh_num!Y5)</f>
        <v>112644.63059532621</v>
      </c>
      <c r="DA5" s="156" t="s">
        <v>386</v>
      </c>
    </row>
    <row r="6" spans="1:105" ht="12" customHeight="1" x14ac:dyDescent="0.25">
      <c r="A6" s="131" t="s">
        <v>52</v>
      </c>
      <c r="B6" s="132">
        <f>IF(SER_hh_fec!B6=0,0,11630*1000*SER_hh_fec!B6/SER_hh_num!B6)</f>
        <v>0</v>
      </c>
      <c r="C6" s="132">
        <f>IF(SER_hh_fec!C6=0,0,11630*1000*SER_hh_fec!C6/SER_hh_num!C6)</f>
        <v>0</v>
      </c>
      <c r="D6" s="132">
        <f>IF(SER_hh_fec!D6=0,0,11630*1000*SER_hh_fec!D6/SER_hh_num!D6)</f>
        <v>0</v>
      </c>
      <c r="E6" s="132">
        <f>IF(SER_hh_fec!E6=0,0,11630*1000*SER_hh_fec!E6/SER_hh_num!E6)</f>
        <v>0</v>
      </c>
      <c r="F6" s="132">
        <f>IF(SER_hh_fec!F6=0,0,11630*1000*SER_hh_fec!F6/SER_hh_num!F6)</f>
        <v>0</v>
      </c>
      <c r="G6" s="132">
        <f>IF(SER_hh_fec!G6=0,0,11630*1000*SER_hh_fec!G6/SER_hh_num!G6)</f>
        <v>0</v>
      </c>
      <c r="H6" s="132">
        <f>IF(SER_hh_fec!H6=0,0,11630*1000*SER_hh_fec!H6/SER_hh_num!H6)</f>
        <v>0</v>
      </c>
      <c r="I6" s="132">
        <f>IF(SER_hh_fec!I6=0,0,11630*1000*SER_hh_fec!I6/SER_hh_num!I6)</f>
        <v>0</v>
      </c>
      <c r="J6" s="132">
        <f>IF(SER_hh_fec!J6=0,0,11630*1000*SER_hh_fec!J6/SER_hh_num!J6)</f>
        <v>0</v>
      </c>
      <c r="K6" s="132">
        <f>IF(SER_hh_fec!K6=0,0,11630*1000*SER_hh_fec!K6/SER_hh_num!K6)</f>
        <v>0</v>
      </c>
      <c r="L6" s="132">
        <f>IF(SER_hh_fec!L6=0,0,11630*1000*SER_hh_fec!L6/SER_hh_num!L6)</f>
        <v>0</v>
      </c>
      <c r="M6" s="132">
        <f>IF(SER_hh_fec!M6=0,0,11630*1000*SER_hh_fec!M6/SER_hh_num!M6)</f>
        <v>0</v>
      </c>
      <c r="N6" s="132">
        <f>IF(SER_hh_fec!N6=0,0,11630*1000*SER_hh_fec!N6/SER_hh_num!N6)</f>
        <v>0</v>
      </c>
      <c r="O6" s="132">
        <f>IF(SER_hh_fec!O6=0,0,11630*1000*SER_hh_fec!O6/SER_hh_num!O6)</f>
        <v>0</v>
      </c>
      <c r="P6" s="132">
        <f>IF(SER_hh_fec!P6=0,0,11630*1000*SER_hh_fec!P6/SER_hh_num!P6)</f>
        <v>0</v>
      </c>
      <c r="Q6" s="132">
        <f>IF(SER_hh_fec!Q6=0,0,11630*1000*SER_hh_fec!Q6/SER_hh_num!Q6)</f>
        <v>0</v>
      </c>
      <c r="R6" s="132">
        <f>IF(SER_hh_fec!R6=0,0,11630*1000*SER_hh_fec!R6/SER_hh_num!R6)</f>
        <v>0</v>
      </c>
      <c r="S6" s="132">
        <f>IF(SER_hh_fec!S6=0,0,11630*1000*SER_hh_fec!S6/SER_hh_num!S6)</f>
        <v>0</v>
      </c>
      <c r="T6" s="132">
        <f>IF(SER_hh_fec!T6=0,0,11630*1000*SER_hh_fec!T6/SER_hh_num!T6)</f>
        <v>0</v>
      </c>
      <c r="U6" s="132">
        <f>IF(SER_hh_fec!U6=0,0,11630*1000*SER_hh_fec!U6/SER_hh_num!U6)</f>
        <v>0</v>
      </c>
      <c r="V6" s="132">
        <f>IF(SER_hh_fec!V6=0,0,11630*1000*SER_hh_fec!V6/SER_hh_num!V6)</f>
        <v>0</v>
      </c>
      <c r="W6" s="132">
        <f>IF(SER_hh_fec!W6=0,0,11630*1000*SER_hh_fec!W6/SER_hh_num!W6)</f>
        <v>0</v>
      </c>
      <c r="X6" s="132">
        <f>IF(SER_hh_fec!X6=0,0,11630*1000*SER_hh_fec!X6/SER_hh_num!X6)</f>
        <v>0</v>
      </c>
      <c r="Y6" s="132">
        <f>IF(SER_hh_fec!Y6=0,0,11630*1000*SER_hh_fec!Y6/SER_hh_num!Y6)</f>
        <v>0</v>
      </c>
      <c r="DA6" s="156" t="s">
        <v>387</v>
      </c>
    </row>
    <row r="7" spans="1:105" ht="12" customHeight="1" x14ac:dyDescent="0.25">
      <c r="A7" s="131" t="s">
        <v>161</v>
      </c>
      <c r="B7" s="132">
        <f>IF(SER_hh_fec!B7=0,0,11630*1000*SER_hh_fec!B7/SER_hh_num!B7)</f>
        <v>379916.6502435453</v>
      </c>
      <c r="C7" s="132">
        <f>IF(SER_hh_fec!C7=0,0,11630*1000*SER_hh_fec!C7/SER_hh_num!C7)</f>
        <v>254027.04478483697</v>
      </c>
      <c r="D7" s="132">
        <f>IF(SER_hh_fec!D7=0,0,11630*1000*SER_hh_fec!D7/SER_hh_num!D7)</f>
        <v>263162.47471044573</v>
      </c>
      <c r="E7" s="132">
        <f>IF(SER_hh_fec!E7=0,0,11630*1000*SER_hh_fec!E7/SER_hh_num!E7)</f>
        <v>234187.30941945789</v>
      </c>
      <c r="F7" s="132">
        <f>IF(SER_hh_fec!F7=0,0,11630*1000*SER_hh_fec!F7/SER_hh_num!F7)</f>
        <v>398584.15163027711</v>
      </c>
      <c r="G7" s="132">
        <f>IF(SER_hh_fec!G7=0,0,11630*1000*SER_hh_fec!G7/SER_hh_num!G7)</f>
        <v>442048.73121469322</v>
      </c>
      <c r="H7" s="132">
        <f>IF(SER_hh_fec!H7=0,0,11630*1000*SER_hh_fec!H7/SER_hh_num!H7)</f>
        <v>315151.11933359609</v>
      </c>
      <c r="I7" s="132">
        <f>IF(SER_hh_fec!I7=0,0,11630*1000*SER_hh_fec!I7/SER_hh_num!I7)</f>
        <v>501152.09044960642</v>
      </c>
      <c r="J7" s="132">
        <f>IF(SER_hh_fec!J7=0,0,11630*1000*SER_hh_fec!J7/SER_hh_num!J7)</f>
        <v>418998.02430670575</v>
      </c>
      <c r="K7" s="132">
        <f>IF(SER_hh_fec!K7=0,0,11630*1000*SER_hh_fec!K7/SER_hh_num!K7)</f>
        <v>196489.72434541327</v>
      </c>
      <c r="L7" s="132">
        <f>IF(SER_hh_fec!L7=0,0,11630*1000*SER_hh_fec!L7/SER_hh_num!L7)</f>
        <v>201816.61031941706</v>
      </c>
      <c r="M7" s="132">
        <f>IF(SER_hh_fec!M7=0,0,11630*1000*SER_hh_fec!M7/SER_hh_num!M7)</f>
        <v>340576.67657870724</v>
      </c>
      <c r="N7" s="132">
        <f>IF(SER_hh_fec!N7=0,0,11630*1000*SER_hh_fec!N7/SER_hh_num!N7)</f>
        <v>265332.84604227857</v>
      </c>
      <c r="O7" s="132">
        <f>IF(SER_hh_fec!O7=0,0,11630*1000*SER_hh_fec!O7/SER_hh_num!O7)</f>
        <v>199723.78903263761</v>
      </c>
      <c r="P7" s="132">
        <f>IF(SER_hh_fec!P7=0,0,11630*1000*SER_hh_fec!P7/SER_hh_num!P7)</f>
        <v>180823.17973572796</v>
      </c>
      <c r="Q7" s="132">
        <f>IF(SER_hh_fec!Q7=0,0,11630*1000*SER_hh_fec!Q7/SER_hh_num!Q7)</f>
        <v>172756.47988208279</v>
      </c>
      <c r="R7" s="132">
        <f>IF(SER_hh_fec!R7=0,0,11630*1000*SER_hh_fec!R7/SER_hh_num!R7)</f>
        <v>155061.18561417973</v>
      </c>
      <c r="S7" s="132">
        <f>IF(SER_hh_fec!S7=0,0,11630*1000*SER_hh_fec!S7/SER_hh_num!S7)</f>
        <v>174212.44150233225</v>
      </c>
      <c r="T7" s="132">
        <f>IF(SER_hh_fec!T7=0,0,11630*1000*SER_hh_fec!T7/SER_hh_num!T7)</f>
        <v>167207.74787928356</v>
      </c>
      <c r="U7" s="132">
        <f>IF(SER_hh_fec!U7=0,0,11630*1000*SER_hh_fec!U7/SER_hh_num!U7)</f>
        <v>150909.03638281443</v>
      </c>
      <c r="V7" s="132">
        <f>IF(SER_hh_fec!V7=0,0,11630*1000*SER_hh_fec!V7/SER_hh_num!V7)</f>
        <v>123745.58353110382</v>
      </c>
      <c r="W7" s="132">
        <f>IF(SER_hh_fec!W7=0,0,11630*1000*SER_hh_fec!W7/SER_hh_num!W7)</f>
        <v>170761.45159723129</v>
      </c>
      <c r="X7" s="132">
        <f>IF(SER_hh_fec!X7=0,0,11630*1000*SER_hh_fec!X7/SER_hh_num!X7)</f>
        <v>173845.07298137163</v>
      </c>
      <c r="Y7" s="132">
        <f>IF(SER_hh_fec!Y7=0,0,11630*1000*SER_hh_fec!Y7/SER_hh_num!Y7)</f>
        <v>181962.11491002989</v>
      </c>
      <c r="DA7" s="156" t="s">
        <v>388</v>
      </c>
    </row>
    <row r="8" spans="1:105" ht="12" customHeight="1" x14ac:dyDescent="0.25">
      <c r="A8" s="131" t="s">
        <v>73</v>
      </c>
      <c r="B8" s="132">
        <f>IF(SER_hh_fec!B8=0,0,11630*1000*SER_hh_fec!B8/SER_hh_num!B8)</f>
        <v>0</v>
      </c>
      <c r="C8" s="132">
        <f>IF(SER_hh_fec!C8=0,0,11630*1000*SER_hh_fec!C8/SER_hh_num!C8)</f>
        <v>0</v>
      </c>
      <c r="D8" s="132">
        <f>IF(SER_hh_fec!D8=0,0,11630*1000*SER_hh_fec!D8/SER_hh_num!D8)</f>
        <v>0</v>
      </c>
      <c r="E8" s="132">
        <f>IF(SER_hh_fec!E8=0,0,11630*1000*SER_hh_fec!E8/SER_hh_num!E8)</f>
        <v>0</v>
      </c>
      <c r="F8" s="132">
        <f>IF(SER_hh_fec!F8=0,0,11630*1000*SER_hh_fec!F8/SER_hh_num!F8)</f>
        <v>0</v>
      </c>
      <c r="G8" s="132">
        <f>IF(SER_hh_fec!G8=0,0,11630*1000*SER_hh_fec!G8/SER_hh_num!G8)</f>
        <v>0</v>
      </c>
      <c r="H8" s="132">
        <f>IF(SER_hh_fec!H8=0,0,11630*1000*SER_hh_fec!H8/SER_hh_num!H8)</f>
        <v>0</v>
      </c>
      <c r="I8" s="132">
        <f>IF(SER_hh_fec!I8=0,0,11630*1000*SER_hh_fec!I8/SER_hh_num!I8)</f>
        <v>0</v>
      </c>
      <c r="J8" s="132">
        <f>IF(SER_hh_fec!J8=0,0,11630*1000*SER_hh_fec!J8/SER_hh_num!J8)</f>
        <v>0</v>
      </c>
      <c r="K8" s="132">
        <f>IF(SER_hh_fec!K8=0,0,11630*1000*SER_hh_fec!K8/SER_hh_num!K8)</f>
        <v>0</v>
      </c>
      <c r="L8" s="132">
        <f>IF(SER_hh_fec!L8=0,0,11630*1000*SER_hh_fec!L8/SER_hh_num!L8)</f>
        <v>0</v>
      </c>
      <c r="M8" s="132">
        <f>IF(SER_hh_fec!M8=0,0,11630*1000*SER_hh_fec!M8/SER_hh_num!M8)</f>
        <v>0</v>
      </c>
      <c r="N8" s="132">
        <f>IF(SER_hh_fec!N8=0,0,11630*1000*SER_hh_fec!N8/SER_hh_num!N8)</f>
        <v>0</v>
      </c>
      <c r="O8" s="132">
        <f>IF(SER_hh_fec!O8=0,0,11630*1000*SER_hh_fec!O8/SER_hh_num!O8)</f>
        <v>0</v>
      </c>
      <c r="P8" s="132">
        <f>IF(SER_hh_fec!P8=0,0,11630*1000*SER_hh_fec!P8/SER_hh_num!P8)</f>
        <v>0</v>
      </c>
      <c r="Q8" s="132">
        <f>IF(SER_hh_fec!Q8=0,0,11630*1000*SER_hh_fec!Q8/SER_hh_num!Q8)</f>
        <v>0</v>
      </c>
      <c r="R8" s="132">
        <f>IF(SER_hh_fec!R8=0,0,11630*1000*SER_hh_fec!R8/SER_hh_num!R8)</f>
        <v>0</v>
      </c>
      <c r="S8" s="132">
        <f>IF(SER_hh_fec!S8=0,0,11630*1000*SER_hh_fec!S8/SER_hh_num!S8)</f>
        <v>0</v>
      </c>
      <c r="T8" s="132">
        <f>IF(SER_hh_fec!T8=0,0,11630*1000*SER_hh_fec!T8/SER_hh_num!T8)</f>
        <v>0</v>
      </c>
      <c r="U8" s="132">
        <f>IF(SER_hh_fec!U8=0,0,11630*1000*SER_hh_fec!U8/SER_hh_num!U8)</f>
        <v>0</v>
      </c>
      <c r="V8" s="132">
        <f>IF(SER_hh_fec!V8=0,0,11630*1000*SER_hh_fec!V8/SER_hh_num!V8)</f>
        <v>0</v>
      </c>
      <c r="W8" s="132">
        <f>IF(SER_hh_fec!W8=0,0,11630*1000*SER_hh_fec!W8/SER_hh_num!W8)</f>
        <v>0</v>
      </c>
      <c r="X8" s="132">
        <f>IF(SER_hh_fec!X8=0,0,11630*1000*SER_hh_fec!X8/SER_hh_num!X8)</f>
        <v>0</v>
      </c>
      <c r="Y8" s="132">
        <f>IF(SER_hh_fec!Y8=0,0,11630*1000*SER_hh_fec!Y8/SER_hh_num!Y8)</f>
        <v>0</v>
      </c>
      <c r="DA8" s="156" t="s">
        <v>389</v>
      </c>
    </row>
    <row r="9" spans="1:105" ht="12" customHeight="1" x14ac:dyDescent="0.25">
      <c r="A9" s="131" t="s">
        <v>78</v>
      </c>
      <c r="B9" s="132">
        <f>IF(SER_hh_fec!B9=0,0,11630*1000*SER_hh_fec!B9/SER_hh_num!B9)</f>
        <v>287968.73627650179</v>
      </c>
      <c r="C9" s="132">
        <f>IF(SER_hh_fec!C9=0,0,11630*1000*SER_hh_fec!C9/SER_hh_num!C9)</f>
        <v>673623.39076870854</v>
      </c>
      <c r="D9" s="132">
        <f>IF(SER_hh_fec!D9=0,0,11630*1000*SER_hh_fec!D9/SER_hh_num!D9)</f>
        <v>60808.471238629354</v>
      </c>
      <c r="E9" s="132">
        <f>IF(SER_hh_fec!E9=0,0,11630*1000*SER_hh_fec!E9/SER_hh_num!E9)</f>
        <v>324541.81817919487</v>
      </c>
      <c r="F9" s="132">
        <f>IF(SER_hh_fec!F9=0,0,11630*1000*SER_hh_fec!F9/SER_hh_num!F9)</f>
        <v>320660.52013342601</v>
      </c>
      <c r="G9" s="132">
        <f>IF(SER_hh_fec!G9=0,0,11630*1000*SER_hh_fec!G9/SER_hh_num!G9)</f>
        <v>320643.33848355454</v>
      </c>
      <c r="H9" s="132">
        <f>IF(SER_hh_fec!H9=0,0,11630*1000*SER_hh_fec!H9/SER_hh_num!H9)</f>
        <v>598839.6573765605</v>
      </c>
      <c r="I9" s="132">
        <f>IF(SER_hh_fec!I9=0,0,11630*1000*SER_hh_fec!I9/SER_hh_num!I9)</f>
        <v>391844.00557244022</v>
      </c>
      <c r="J9" s="132">
        <f>IF(SER_hh_fec!J9=0,0,11630*1000*SER_hh_fec!J9/SER_hh_num!J9)</f>
        <v>267134.88879453758</v>
      </c>
      <c r="K9" s="132">
        <f>IF(SER_hh_fec!K9=0,0,11630*1000*SER_hh_fec!K9/SER_hh_num!K9)</f>
        <v>299147.42002203962</v>
      </c>
      <c r="L9" s="132">
        <f>IF(SER_hh_fec!L9=0,0,11630*1000*SER_hh_fec!L9/SER_hh_num!L9)</f>
        <v>297420.88168098597</v>
      </c>
      <c r="M9" s="132">
        <f>IF(SER_hh_fec!M9=0,0,11630*1000*SER_hh_fec!M9/SER_hh_num!M9)</f>
        <v>224207.00045490777</v>
      </c>
      <c r="N9" s="132">
        <f>IF(SER_hh_fec!N9=0,0,11630*1000*SER_hh_fec!N9/SER_hh_num!N9)</f>
        <v>221982.79230071575</v>
      </c>
      <c r="O9" s="132">
        <f>IF(SER_hh_fec!O9=0,0,11630*1000*SER_hh_fec!O9/SER_hh_num!O9)</f>
        <v>206381.03843283025</v>
      </c>
      <c r="P9" s="132">
        <f>IF(SER_hh_fec!P9=0,0,11630*1000*SER_hh_fec!P9/SER_hh_num!P9)</f>
        <v>186557.06630314011</v>
      </c>
      <c r="Q9" s="132">
        <f>IF(SER_hh_fec!Q9=0,0,11630*1000*SER_hh_fec!Q9/SER_hh_num!Q9)</f>
        <v>163727.94754101086</v>
      </c>
      <c r="R9" s="132">
        <f>IF(SER_hh_fec!R9=0,0,11630*1000*SER_hh_fec!R9/SER_hh_num!R9)</f>
        <v>161436.14915183696</v>
      </c>
      <c r="S9" s="132">
        <f>IF(SER_hh_fec!S9=0,0,11630*1000*SER_hh_fec!S9/SER_hh_num!S9)</f>
        <v>167623.33478119937</v>
      </c>
      <c r="T9" s="132">
        <f>IF(SER_hh_fec!T9=0,0,11630*1000*SER_hh_fec!T9/SER_hh_num!T9)</f>
        <v>162521.8571015911</v>
      </c>
      <c r="U9" s="132">
        <f>IF(SER_hh_fec!U9=0,0,11630*1000*SER_hh_fec!U9/SER_hh_num!U9)</f>
        <v>156284.86148029359</v>
      </c>
      <c r="V9" s="132">
        <f>IF(SER_hh_fec!V9=0,0,11630*1000*SER_hh_fec!V9/SER_hh_num!V9)</f>
        <v>143423.814146333</v>
      </c>
      <c r="W9" s="132">
        <f>IF(SER_hh_fec!W9=0,0,11630*1000*SER_hh_fec!W9/SER_hh_num!W9)</f>
        <v>139413.70769572433</v>
      </c>
      <c r="X9" s="132">
        <f>IF(SER_hh_fec!X9=0,0,11630*1000*SER_hh_fec!X9/SER_hh_num!X9)</f>
        <v>146497.9515626154</v>
      </c>
      <c r="Y9" s="132">
        <f>IF(SER_hh_fec!Y9=0,0,11630*1000*SER_hh_fec!Y9/SER_hh_num!Y9)</f>
        <v>179247.09308966983</v>
      </c>
      <c r="DA9" s="156" t="s">
        <v>390</v>
      </c>
    </row>
    <row r="10" spans="1:105" ht="12" customHeight="1" x14ac:dyDescent="0.25">
      <c r="A10" s="131" t="s">
        <v>128</v>
      </c>
      <c r="B10" s="132">
        <f>IF(SER_hh_fec!B10=0,0,11630*1000*SER_hh_fec!B10/SER_hh_num!B10)</f>
        <v>0</v>
      </c>
      <c r="C10" s="132">
        <f>IF(SER_hh_fec!C10=0,0,11630*1000*SER_hh_fec!C10/SER_hh_num!C10)</f>
        <v>331668.60340832971</v>
      </c>
      <c r="D10" s="132">
        <f>IF(SER_hh_fec!D10=0,0,11630*1000*SER_hh_fec!D10/SER_hh_num!D10)</f>
        <v>251600.78587715569</v>
      </c>
      <c r="E10" s="132">
        <f>IF(SER_hh_fec!E10=0,0,11630*1000*SER_hh_fec!E10/SER_hh_num!E10)</f>
        <v>252302.07515681203</v>
      </c>
      <c r="F10" s="132">
        <f>IF(SER_hh_fec!F10=0,0,11630*1000*SER_hh_fec!F10/SER_hh_num!F10)</f>
        <v>232750.69866857232</v>
      </c>
      <c r="G10" s="132">
        <f>IF(SER_hh_fec!G10=0,0,11630*1000*SER_hh_fec!G10/SER_hh_num!G10)</f>
        <v>421481.91730729042</v>
      </c>
      <c r="H10" s="132">
        <f>IF(SER_hh_fec!H10=0,0,11630*1000*SER_hh_fec!H10/SER_hh_num!H10)</f>
        <v>430270.53848444211</v>
      </c>
      <c r="I10" s="132">
        <f>IF(SER_hh_fec!I10=0,0,11630*1000*SER_hh_fec!I10/SER_hh_num!I10)</f>
        <v>357852.09054637916</v>
      </c>
      <c r="J10" s="132">
        <f>IF(SER_hh_fec!J10=0,0,11630*1000*SER_hh_fec!J10/SER_hh_num!J10)</f>
        <v>316623.88993454952</v>
      </c>
      <c r="K10" s="132">
        <f>IF(SER_hh_fec!K10=0,0,11630*1000*SER_hh_fec!K10/SER_hh_num!K10)</f>
        <v>284197.75698267511</v>
      </c>
      <c r="L10" s="132">
        <f>IF(SER_hh_fec!L10=0,0,11630*1000*SER_hh_fec!L10/SER_hh_num!L10)</f>
        <v>326105.1549665393</v>
      </c>
      <c r="M10" s="132">
        <f>IF(SER_hh_fec!M10=0,0,11630*1000*SER_hh_fec!M10/SER_hh_num!M10)</f>
        <v>194311.15017675076</v>
      </c>
      <c r="N10" s="132">
        <f>IF(SER_hh_fec!N10=0,0,11630*1000*SER_hh_fec!N10/SER_hh_num!N10)</f>
        <v>222838.64553426162</v>
      </c>
      <c r="O10" s="132">
        <f>IF(SER_hh_fec!O10=0,0,11630*1000*SER_hh_fec!O10/SER_hh_num!O10)</f>
        <v>165731.13882403501</v>
      </c>
      <c r="P10" s="132">
        <f>IF(SER_hh_fec!P10=0,0,11630*1000*SER_hh_fec!P10/SER_hh_num!P10)</f>
        <v>130175.44493058934</v>
      </c>
      <c r="Q10" s="132">
        <f>IF(SER_hh_fec!Q10=0,0,11630*1000*SER_hh_fec!Q10/SER_hh_num!Q10)</f>
        <v>208888.38777191725</v>
      </c>
      <c r="R10" s="132">
        <f>IF(SER_hh_fec!R10=0,0,11630*1000*SER_hh_fec!R10/SER_hh_num!R10)</f>
        <v>214570.72786247262</v>
      </c>
      <c r="S10" s="132">
        <f>IF(SER_hh_fec!S10=0,0,11630*1000*SER_hh_fec!S10/SER_hh_num!S10)</f>
        <v>181643.05613953862</v>
      </c>
      <c r="T10" s="132">
        <f>IF(SER_hh_fec!T10=0,0,11630*1000*SER_hh_fec!T10/SER_hh_num!T10)</f>
        <v>180218.93823200819</v>
      </c>
      <c r="U10" s="132">
        <f>IF(SER_hh_fec!U10=0,0,11630*1000*SER_hh_fec!U10/SER_hh_num!U10)</f>
        <v>190796.49439624869</v>
      </c>
      <c r="V10" s="132">
        <f>IF(SER_hh_fec!V10=0,0,11630*1000*SER_hh_fec!V10/SER_hh_num!V10)</f>
        <v>166184.76097341769</v>
      </c>
      <c r="W10" s="132">
        <f>IF(SER_hh_fec!W10=0,0,11630*1000*SER_hh_fec!W10/SER_hh_num!W10)</f>
        <v>199325.99398568159</v>
      </c>
      <c r="X10" s="132">
        <f>IF(SER_hh_fec!X10=0,0,11630*1000*SER_hh_fec!X10/SER_hh_num!X10)</f>
        <v>195395.60557472424</v>
      </c>
      <c r="Y10" s="132">
        <f>IF(SER_hh_fec!Y10=0,0,11630*1000*SER_hh_fec!Y10/SER_hh_num!Y10)</f>
        <v>216584.38160400323</v>
      </c>
      <c r="DA10" s="156" t="s">
        <v>391</v>
      </c>
    </row>
    <row r="11" spans="1:105" ht="12" customHeight="1" x14ac:dyDescent="0.25">
      <c r="A11" s="131" t="s">
        <v>25</v>
      </c>
      <c r="B11" s="132">
        <f>IF(SER_hh_fec!B11=0,0,11630*1000*SER_hh_fec!B11/SER_hh_num!B11)</f>
        <v>309629.26415951736</v>
      </c>
      <c r="C11" s="132">
        <f>IF(SER_hh_fec!C11=0,0,11630*1000*SER_hh_fec!C11/SER_hh_num!C11)</f>
        <v>98222.06177372302</v>
      </c>
      <c r="D11" s="132">
        <f>IF(SER_hh_fec!D11=0,0,11630*1000*SER_hh_fec!D11/SER_hh_num!D11)</f>
        <v>180586.64358759814</v>
      </c>
      <c r="E11" s="132">
        <f>IF(SER_hh_fec!E11=0,0,11630*1000*SER_hh_fec!E11/SER_hh_num!E11)</f>
        <v>217922.00042840384</v>
      </c>
      <c r="F11" s="132">
        <f>IF(SER_hh_fec!F11=0,0,11630*1000*SER_hh_fec!F11/SER_hh_num!F11)</f>
        <v>147135.3227521813</v>
      </c>
      <c r="G11" s="132">
        <f>IF(SER_hh_fec!G11=0,0,11630*1000*SER_hh_fec!G11/SER_hh_num!G11)</f>
        <v>326958.18105483777</v>
      </c>
      <c r="H11" s="132">
        <f>IF(SER_hh_fec!H11=0,0,11630*1000*SER_hh_fec!H11/SER_hh_num!H11)</f>
        <v>214521.88353118976</v>
      </c>
      <c r="I11" s="132">
        <f>IF(SER_hh_fec!I11=0,0,11630*1000*SER_hh_fec!I11/SER_hh_num!I11)</f>
        <v>184985.83559019314</v>
      </c>
      <c r="J11" s="132">
        <f>IF(SER_hh_fec!J11=0,0,11630*1000*SER_hh_fec!J11/SER_hh_num!J11)</f>
        <v>285456.57364922937</v>
      </c>
      <c r="K11" s="132">
        <f>IF(SER_hh_fec!K11=0,0,11630*1000*SER_hh_fec!K11/SER_hh_num!K11)</f>
        <v>243848.43740533519</v>
      </c>
      <c r="L11" s="132">
        <f>IF(SER_hh_fec!L11=0,0,11630*1000*SER_hh_fec!L11/SER_hh_num!L11)</f>
        <v>93928.777631839854</v>
      </c>
      <c r="M11" s="132">
        <f>IF(SER_hh_fec!M11=0,0,11630*1000*SER_hh_fec!M11/SER_hh_num!M11)</f>
        <v>163711.29277769316</v>
      </c>
      <c r="N11" s="132">
        <f>IF(SER_hh_fec!N11=0,0,11630*1000*SER_hh_fec!N11/SER_hh_num!N11)</f>
        <v>136110.90698451654</v>
      </c>
      <c r="O11" s="132">
        <f>IF(SER_hh_fec!O11=0,0,11630*1000*SER_hh_fec!O11/SER_hh_num!O11)</f>
        <v>146685.51078827612</v>
      </c>
      <c r="P11" s="132">
        <f>IF(SER_hh_fec!P11=0,0,11630*1000*SER_hh_fec!P11/SER_hh_num!P11)</f>
        <v>134589.63486887928</v>
      </c>
      <c r="Q11" s="132">
        <f>IF(SER_hh_fec!Q11=0,0,11630*1000*SER_hh_fec!Q11/SER_hh_num!Q11)</f>
        <v>114803.28254509992</v>
      </c>
      <c r="R11" s="132">
        <f>IF(SER_hh_fec!R11=0,0,11630*1000*SER_hh_fec!R11/SER_hh_num!R11)</f>
        <v>124217.86584175253</v>
      </c>
      <c r="S11" s="132">
        <f>IF(SER_hh_fec!S11=0,0,11630*1000*SER_hh_fec!S11/SER_hh_num!S11)</f>
        <v>133657.10928094992</v>
      </c>
      <c r="T11" s="132">
        <f>IF(SER_hh_fec!T11=0,0,11630*1000*SER_hh_fec!T11/SER_hh_num!T11)</f>
        <v>136092.49124548057</v>
      </c>
      <c r="U11" s="132">
        <f>IF(SER_hh_fec!U11=0,0,11630*1000*SER_hh_fec!U11/SER_hh_num!U11)</f>
        <v>157766.21770814076</v>
      </c>
      <c r="V11" s="132">
        <f>IF(SER_hh_fec!V11=0,0,11630*1000*SER_hh_fec!V11/SER_hh_num!V11)</f>
        <v>65683.225707524485</v>
      </c>
      <c r="W11" s="132">
        <f>IF(SER_hh_fec!W11=0,0,11630*1000*SER_hh_fec!W11/SER_hh_num!W11)</f>
        <v>85737.635964634042</v>
      </c>
      <c r="X11" s="132">
        <f>IF(SER_hh_fec!X11=0,0,11630*1000*SER_hh_fec!X11/SER_hh_num!X11)</f>
        <v>161625.38508815924</v>
      </c>
      <c r="Y11" s="132">
        <f>IF(SER_hh_fec!Y11=0,0,11630*1000*SER_hh_fec!Y11/SER_hh_num!Y11)</f>
        <v>131145.82327262434</v>
      </c>
      <c r="DA11" s="156" t="s">
        <v>392</v>
      </c>
    </row>
    <row r="12" spans="1:105" ht="12" customHeight="1" x14ac:dyDescent="0.25">
      <c r="A12" s="131" t="s">
        <v>162</v>
      </c>
      <c r="B12" s="132">
        <f>IF(SER_hh_fec!B12=0,0,11630*1000*SER_hh_fec!B12/SER_hh_num!B12)</f>
        <v>288398.7459637791</v>
      </c>
      <c r="C12" s="132">
        <f>IF(SER_hh_fec!C12=0,0,11630*1000*SER_hh_fec!C12/SER_hh_num!C12)</f>
        <v>250475.73981507283</v>
      </c>
      <c r="D12" s="132">
        <f>IF(SER_hh_fec!D12=0,0,11630*1000*SER_hh_fec!D12/SER_hh_num!D12)</f>
        <v>116775.01364908024</v>
      </c>
      <c r="E12" s="132">
        <f>IF(SER_hh_fec!E12=0,0,11630*1000*SER_hh_fec!E12/SER_hh_num!E12)</f>
        <v>169107.13273808101</v>
      </c>
      <c r="F12" s="132">
        <f>IF(SER_hh_fec!F12=0,0,11630*1000*SER_hh_fec!F12/SER_hh_num!F12)</f>
        <v>128102.67175649817</v>
      </c>
      <c r="G12" s="132">
        <f>IF(SER_hh_fec!G12=0,0,11630*1000*SER_hh_fec!G12/SER_hh_num!G12)</f>
        <v>373277.82770709583</v>
      </c>
      <c r="H12" s="132">
        <f>IF(SER_hh_fec!H12=0,0,11630*1000*SER_hh_fec!H12/SER_hh_num!H12)</f>
        <v>302104.09222698904</v>
      </c>
      <c r="I12" s="132">
        <f>IF(SER_hh_fec!I12=0,0,11630*1000*SER_hh_fec!I12/SER_hh_num!I12)</f>
        <v>249387.08695483673</v>
      </c>
      <c r="J12" s="132">
        <f>IF(SER_hh_fec!J12=0,0,11630*1000*SER_hh_fec!J12/SER_hh_num!J12)</f>
        <v>241197.80835461343</v>
      </c>
      <c r="K12" s="132">
        <f>IF(SER_hh_fec!K12=0,0,11630*1000*SER_hh_fec!K12/SER_hh_num!K12)</f>
        <v>181699.97890594482</v>
      </c>
      <c r="L12" s="132">
        <f>IF(SER_hh_fec!L12=0,0,11630*1000*SER_hh_fec!L12/SER_hh_num!L12)</f>
        <v>185847.18272083878</v>
      </c>
      <c r="M12" s="132">
        <f>IF(SER_hh_fec!M12=0,0,11630*1000*SER_hh_fec!M12/SER_hh_num!M12)</f>
        <v>174142.06157119983</v>
      </c>
      <c r="N12" s="132">
        <f>IF(SER_hh_fec!N12=0,0,11630*1000*SER_hh_fec!N12/SER_hh_num!N12)</f>
        <v>165356.10021112041</v>
      </c>
      <c r="O12" s="132">
        <f>IF(SER_hh_fec!O12=0,0,11630*1000*SER_hh_fec!O12/SER_hh_num!O12)</f>
        <v>148719.52548961923</v>
      </c>
      <c r="P12" s="132">
        <f>IF(SER_hh_fec!P12=0,0,11630*1000*SER_hh_fec!P12/SER_hh_num!P12)</f>
        <v>121817.98357286933</v>
      </c>
      <c r="Q12" s="132">
        <f>IF(SER_hh_fec!Q12=0,0,11630*1000*SER_hh_fec!Q12/SER_hh_num!Q12)</f>
        <v>120857.70247726052</v>
      </c>
      <c r="R12" s="132">
        <f>IF(SER_hh_fec!R12=0,0,11630*1000*SER_hh_fec!R12/SER_hh_num!R12)</f>
        <v>129712.14187849723</v>
      </c>
      <c r="S12" s="132">
        <f>IF(SER_hh_fec!S12=0,0,11630*1000*SER_hh_fec!S12/SER_hh_num!S12)</f>
        <v>127753.72522028939</v>
      </c>
      <c r="T12" s="132">
        <f>IF(SER_hh_fec!T12=0,0,11630*1000*SER_hh_fec!T12/SER_hh_num!T12)</f>
        <v>128970.32969403443</v>
      </c>
      <c r="U12" s="132">
        <f>IF(SER_hh_fec!U12=0,0,11630*1000*SER_hh_fec!U12/SER_hh_num!U12)</f>
        <v>119290.63946053773</v>
      </c>
      <c r="V12" s="132">
        <f>IF(SER_hh_fec!V12=0,0,11630*1000*SER_hh_fec!V12/SER_hh_num!V12)</f>
        <v>120098.24423388546</v>
      </c>
      <c r="W12" s="132">
        <f>IF(SER_hh_fec!W12=0,0,11630*1000*SER_hh_fec!W12/SER_hh_num!W12)</f>
        <v>131454.43580469504</v>
      </c>
      <c r="X12" s="132">
        <f>IF(SER_hh_fec!X12=0,0,11630*1000*SER_hh_fec!X12/SER_hh_num!X12)</f>
        <v>123565.74641994602</v>
      </c>
      <c r="Y12" s="132">
        <f>IF(SER_hh_fec!Y12=0,0,11630*1000*SER_hh_fec!Y12/SER_hh_num!Y12)</f>
        <v>149814.31446929762</v>
      </c>
      <c r="DA12" s="156" t="s">
        <v>393</v>
      </c>
    </row>
    <row r="13" spans="1:105" ht="12" customHeight="1" x14ac:dyDescent="0.25">
      <c r="A13" s="131" t="s">
        <v>77</v>
      </c>
      <c r="B13" s="132">
        <f>IF(SER_hh_fec!B13=0,0,11630*1000*SER_hh_fec!B13/SER_hh_num!B13)</f>
        <v>0</v>
      </c>
      <c r="C13" s="132">
        <f>IF(SER_hh_fec!C13=0,0,11630*1000*SER_hh_fec!C13/SER_hh_num!C13)</f>
        <v>0</v>
      </c>
      <c r="D13" s="132">
        <f>IF(SER_hh_fec!D13=0,0,11630*1000*SER_hh_fec!D13/SER_hh_num!D13)</f>
        <v>0</v>
      </c>
      <c r="E13" s="132">
        <f>IF(SER_hh_fec!E13=0,0,11630*1000*SER_hh_fec!E13/SER_hh_num!E13)</f>
        <v>0</v>
      </c>
      <c r="F13" s="132">
        <f>IF(SER_hh_fec!F13=0,0,11630*1000*SER_hh_fec!F13/SER_hh_num!F13)</f>
        <v>0</v>
      </c>
      <c r="G13" s="132">
        <f>IF(SER_hh_fec!G13=0,0,11630*1000*SER_hh_fec!G13/SER_hh_num!G13)</f>
        <v>0</v>
      </c>
      <c r="H13" s="132">
        <f>IF(SER_hh_fec!H13=0,0,11630*1000*SER_hh_fec!H13/SER_hh_num!H13)</f>
        <v>0</v>
      </c>
      <c r="I13" s="132">
        <f>IF(SER_hh_fec!I13=0,0,11630*1000*SER_hh_fec!I13/SER_hh_num!I13)</f>
        <v>0</v>
      </c>
      <c r="J13" s="132">
        <f>IF(SER_hh_fec!J13=0,0,11630*1000*SER_hh_fec!J13/SER_hh_num!J13)</f>
        <v>0</v>
      </c>
      <c r="K13" s="132">
        <f>IF(SER_hh_fec!K13=0,0,11630*1000*SER_hh_fec!K13/SER_hh_num!K13)</f>
        <v>0</v>
      </c>
      <c r="L13" s="132">
        <f>IF(SER_hh_fec!L13=0,0,11630*1000*SER_hh_fec!L13/SER_hh_num!L13)</f>
        <v>0</v>
      </c>
      <c r="M13" s="132">
        <f>IF(SER_hh_fec!M13=0,0,11630*1000*SER_hh_fec!M13/SER_hh_num!M13)</f>
        <v>0</v>
      </c>
      <c r="N13" s="132">
        <f>IF(SER_hh_fec!N13=0,0,11630*1000*SER_hh_fec!N13/SER_hh_num!N13)</f>
        <v>0</v>
      </c>
      <c r="O13" s="132">
        <f>IF(SER_hh_fec!O13=0,0,11630*1000*SER_hh_fec!O13/SER_hh_num!O13)</f>
        <v>0</v>
      </c>
      <c r="P13" s="132">
        <f>IF(SER_hh_fec!P13=0,0,11630*1000*SER_hh_fec!P13/SER_hh_num!P13)</f>
        <v>0</v>
      </c>
      <c r="Q13" s="132">
        <f>IF(SER_hh_fec!Q13=0,0,11630*1000*SER_hh_fec!Q13/SER_hh_num!Q13)</f>
        <v>0</v>
      </c>
      <c r="R13" s="132">
        <f>IF(SER_hh_fec!R13=0,0,11630*1000*SER_hh_fec!R13/SER_hh_num!R13)</f>
        <v>0</v>
      </c>
      <c r="S13" s="132">
        <f>IF(SER_hh_fec!S13=0,0,11630*1000*SER_hh_fec!S13/SER_hh_num!S13)</f>
        <v>0</v>
      </c>
      <c r="T13" s="132">
        <f>IF(SER_hh_fec!T13=0,0,11630*1000*SER_hh_fec!T13/SER_hh_num!T13)</f>
        <v>0</v>
      </c>
      <c r="U13" s="132">
        <f>IF(SER_hh_fec!U13=0,0,11630*1000*SER_hh_fec!U13/SER_hh_num!U13)</f>
        <v>0</v>
      </c>
      <c r="V13" s="132">
        <f>IF(SER_hh_fec!V13=0,0,11630*1000*SER_hh_fec!V13/SER_hh_num!V13)</f>
        <v>0</v>
      </c>
      <c r="W13" s="132">
        <f>IF(SER_hh_fec!W13=0,0,11630*1000*SER_hh_fec!W13/SER_hh_num!W13)</f>
        <v>0</v>
      </c>
      <c r="X13" s="132">
        <f>IF(SER_hh_fec!X13=0,0,11630*1000*SER_hh_fec!X13/SER_hh_num!X13)</f>
        <v>0</v>
      </c>
      <c r="Y13" s="132">
        <f>IF(SER_hh_fec!Y13=0,0,11630*1000*SER_hh_fec!Y13/SER_hh_num!Y13)</f>
        <v>52675.963489441274</v>
      </c>
      <c r="DA13" s="156" t="s">
        <v>394</v>
      </c>
    </row>
    <row r="14" spans="1:105" ht="12" customHeight="1" x14ac:dyDescent="0.25">
      <c r="A14" s="60" t="s">
        <v>76</v>
      </c>
      <c r="B14" s="65">
        <f>IF(SER_hh_fec!B14=0,0,11630*1000*SER_hh_fec!B14/SER_hh_num!B14)</f>
        <v>266609.46045079688</v>
      </c>
      <c r="C14" s="65">
        <f>IF(SER_hh_fec!C14=0,0,11630*1000*SER_hh_fec!C14/SER_hh_num!C14)</f>
        <v>476972.29354338441</v>
      </c>
      <c r="D14" s="65">
        <f>IF(SER_hh_fec!D14=0,0,11630*1000*SER_hh_fec!D14/SER_hh_num!D14)</f>
        <v>4210.3411188592991</v>
      </c>
      <c r="E14" s="65">
        <f>IF(SER_hh_fec!E14=0,0,11630*1000*SER_hh_fec!E14/SER_hh_num!E14)</f>
        <v>392847.99426344479</v>
      </c>
      <c r="F14" s="65">
        <f>IF(SER_hh_fec!F14=0,0,11630*1000*SER_hh_fec!F14/SER_hh_num!F14)</f>
        <v>19173.933583802835</v>
      </c>
      <c r="G14" s="65">
        <f>IF(SER_hh_fec!G14=0,0,11630*1000*SER_hh_fec!G14/SER_hh_num!G14)</f>
        <v>266429.5295020201</v>
      </c>
      <c r="H14" s="65">
        <f>IF(SER_hh_fec!H14=0,0,11630*1000*SER_hh_fec!H14/SER_hh_num!H14)</f>
        <v>297071.24144193047</v>
      </c>
      <c r="I14" s="65">
        <f>IF(SER_hh_fec!I14=0,0,11630*1000*SER_hh_fec!I14/SER_hh_num!I14)</f>
        <v>394445.10504991212</v>
      </c>
      <c r="J14" s="65">
        <f>IF(SER_hh_fec!J14=0,0,11630*1000*SER_hh_fec!J14/SER_hh_num!J14)</f>
        <v>205563.29144812247</v>
      </c>
      <c r="K14" s="65">
        <f>IF(SER_hh_fec!K14=0,0,11630*1000*SER_hh_fec!K14/SER_hh_num!K14)</f>
        <v>169322.14059305243</v>
      </c>
      <c r="L14" s="65">
        <f>IF(SER_hh_fec!L14=0,0,11630*1000*SER_hh_fec!L14/SER_hh_num!L14)</f>
        <v>280523.7029470632</v>
      </c>
      <c r="M14" s="65">
        <f>IF(SER_hh_fec!M14=0,0,11630*1000*SER_hh_fec!M14/SER_hh_num!M14)</f>
        <v>226835.13337191736</v>
      </c>
      <c r="N14" s="65">
        <f>IF(SER_hh_fec!N14=0,0,11630*1000*SER_hh_fec!N14/SER_hh_num!N14)</f>
        <v>160896.79582407849</v>
      </c>
      <c r="O14" s="65">
        <f>IF(SER_hh_fec!O14=0,0,11630*1000*SER_hh_fec!O14/SER_hh_num!O14)</f>
        <v>131485.53995080345</v>
      </c>
      <c r="P14" s="65">
        <f>IF(SER_hh_fec!P14=0,0,11630*1000*SER_hh_fec!P14/SER_hh_num!P14)</f>
        <v>137501.52752581314</v>
      </c>
      <c r="Q14" s="65">
        <f>IF(SER_hh_fec!Q14=0,0,11630*1000*SER_hh_fec!Q14/SER_hh_num!Q14)</f>
        <v>84246.1138607006</v>
      </c>
      <c r="R14" s="65">
        <f>IF(SER_hh_fec!R14=0,0,11630*1000*SER_hh_fec!R14/SER_hh_num!R14)</f>
        <v>121539.19812433065</v>
      </c>
      <c r="S14" s="65">
        <f>IF(SER_hh_fec!S14=0,0,11630*1000*SER_hh_fec!S14/SER_hh_num!S14)</f>
        <v>137144.28387128841</v>
      </c>
      <c r="T14" s="65">
        <f>IF(SER_hh_fec!T14=0,0,11630*1000*SER_hh_fec!T14/SER_hh_num!T14)</f>
        <v>143857.97667083336</v>
      </c>
      <c r="U14" s="65">
        <f>IF(SER_hh_fec!U14=0,0,11630*1000*SER_hh_fec!U14/SER_hh_num!U14)</f>
        <v>138666.29330175035</v>
      </c>
      <c r="V14" s="65">
        <f>IF(SER_hh_fec!V14=0,0,11630*1000*SER_hh_fec!V14/SER_hh_num!V14)</f>
        <v>104798.57240539936</v>
      </c>
      <c r="W14" s="65">
        <f>IF(SER_hh_fec!W14=0,0,11630*1000*SER_hh_fec!W14/SER_hh_num!W14)</f>
        <v>86016.76806275241</v>
      </c>
      <c r="X14" s="65">
        <f>IF(SER_hh_fec!X14=0,0,11630*1000*SER_hh_fec!X14/SER_hh_num!X14)</f>
        <v>130682.44796380276</v>
      </c>
      <c r="Y14" s="65">
        <f>IF(SER_hh_fec!Y14=0,0,11630*1000*SER_hh_fec!Y14/SER_hh_num!Y14)</f>
        <v>176287.65273616693</v>
      </c>
      <c r="DA14" s="109" t="s">
        <v>395</v>
      </c>
    </row>
    <row r="15" spans="1:105" ht="12" customHeight="1" x14ac:dyDescent="0.25">
      <c r="A15" s="133" t="s">
        <v>80</v>
      </c>
      <c r="B15" s="134">
        <f>IF(SER_hh_fec!B15=0,0,11630*1000*SER_hh_fec!B15/SER_hh_num!B15)</f>
        <v>1731.6524160750498</v>
      </c>
      <c r="C15" s="134">
        <f>IF(SER_hh_fec!C15=0,0,11630*1000*SER_hh_fec!C15/SER_hh_num!C15)</f>
        <v>2651.8675517987272</v>
      </c>
      <c r="D15" s="134">
        <f>IF(SER_hh_fec!D15=0,0,11630*1000*SER_hh_fec!D15/SER_hh_num!D15)</f>
        <v>1157.9989910480936</v>
      </c>
      <c r="E15" s="134">
        <f>IF(SER_hh_fec!E15=0,0,11630*1000*SER_hh_fec!E15/SER_hh_num!E15)</f>
        <v>1960.7002510540001</v>
      </c>
      <c r="F15" s="134">
        <f>IF(SER_hh_fec!F15=0,0,11630*1000*SER_hh_fec!F15/SER_hh_num!F15)</f>
        <v>2432.1096176645106</v>
      </c>
      <c r="G15" s="134">
        <f>IF(SER_hh_fec!G15=0,0,11630*1000*SER_hh_fec!G15/SER_hh_num!G15)</f>
        <v>2731.1281104711693</v>
      </c>
      <c r="H15" s="134">
        <f>IF(SER_hh_fec!H15=0,0,11630*1000*SER_hh_fec!H15/SER_hh_num!H15)</f>
        <v>3910.0006757622891</v>
      </c>
      <c r="I15" s="134">
        <f>IF(SER_hh_fec!I15=0,0,11630*1000*SER_hh_fec!I15/SER_hh_num!I15)</f>
        <v>2961.8608064563691</v>
      </c>
      <c r="J15" s="134">
        <f>IF(SER_hh_fec!J15=0,0,11630*1000*SER_hh_fec!J15/SER_hh_num!J15)</f>
        <v>2136.8903996389486</v>
      </c>
      <c r="K15" s="134">
        <f>IF(SER_hh_fec!K15=0,0,11630*1000*SER_hh_fec!K15/SER_hh_num!K15)</f>
        <v>1959.0121118068384</v>
      </c>
      <c r="L15" s="134">
        <f>IF(SER_hh_fec!L15=0,0,11630*1000*SER_hh_fec!L15/SER_hh_num!L15)</f>
        <v>1947.3147986052263</v>
      </c>
      <c r="M15" s="134">
        <f>IF(SER_hh_fec!M15=0,0,11630*1000*SER_hh_fec!M15/SER_hh_num!M15)</f>
        <v>1693.6207832034502</v>
      </c>
      <c r="N15" s="134">
        <f>IF(SER_hh_fec!N15=0,0,11630*1000*SER_hh_fec!N15/SER_hh_num!N15)</f>
        <v>1586.5508868661082</v>
      </c>
      <c r="O15" s="134">
        <f>IF(SER_hh_fec!O15=0,0,11630*1000*SER_hh_fec!O15/SER_hh_num!O15)</f>
        <v>1422.6715267137481</v>
      </c>
      <c r="P15" s="134">
        <f>IF(SER_hh_fec!P15=0,0,11630*1000*SER_hh_fec!P15/SER_hh_num!P15)</f>
        <v>1284.9759366255719</v>
      </c>
      <c r="Q15" s="134">
        <f>IF(SER_hh_fec!Q15=0,0,11630*1000*SER_hh_fec!Q15/SER_hh_num!Q15)</f>
        <v>1200.2583206617007</v>
      </c>
      <c r="R15" s="134">
        <f>IF(SER_hh_fec!R15=0,0,11630*1000*SER_hh_fec!R15/SER_hh_num!R15)</f>
        <v>1202.0715432783261</v>
      </c>
      <c r="S15" s="134">
        <f>IF(SER_hh_fec!S15=0,0,11630*1000*SER_hh_fec!S15/SER_hh_num!S15)</f>
        <v>1310.4673779695834</v>
      </c>
      <c r="T15" s="134">
        <f>IF(SER_hh_fec!T15=0,0,11630*1000*SER_hh_fec!T15/SER_hh_num!T15)</f>
        <v>1331.4154734617462</v>
      </c>
      <c r="U15" s="134">
        <f>IF(SER_hh_fec!U15=0,0,11630*1000*SER_hh_fec!U15/SER_hh_num!U15)</f>
        <v>1316.6236051960468</v>
      </c>
      <c r="V15" s="134">
        <f>IF(SER_hh_fec!V15=0,0,11630*1000*SER_hh_fec!V15/SER_hh_num!V15)</f>
        <v>1210.2293683658445</v>
      </c>
      <c r="W15" s="134">
        <f>IF(SER_hh_fec!W15=0,0,11630*1000*SER_hh_fec!W15/SER_hh_num!W15)</f>
        <v>1376.684384647388</v>
      </c>
      <c r="X15" s="134">
        <f>IF(SER_hh_fec!X15=0,0,11630*1000*SER_hh_fec!X15/SER_hh_num!X15)</f>
        <v>1462.2777384880326</v>
      </c>
      <c r="Y15" s="134">
        <f>IF(SER_hh_fec!Y15=0,0,11630*1000*SER_hh_fec!Y15/SER_hh_num!Y15)</f>
        <v>1719.4529378943632</v>
      </c>
      <c r="DA15" s="157" t="s">
        <v>396</v>
      </c>
    </row>
    <row r="16" spans="1:105" ht="12.95" customHeight="1" x14ac:dyDescent="0.25">
      <c r="A16" s="129" t="s">
        <v>74</v>
      </c>
      <c r="B16" s="130">
        <f>IF(SER_hh_fec!B16=0,0,11630*1000*SER_hh_fec!B16/SER_hh_num!B16)</f>
        <v>17382.471003500381</v>
      </c>
      <c r="C16" s="130">
        <f>IF(SER_hh_fec!C16=0,0,11630*1000*SER_hh_fec!C16/SER_hh_num!C16)</f>
        <v>13468.903237708022</v>
      </c>
      <c r="D16" s="130">
        <f>IF(SER_hh_fec!D16=0,0,11630*1000*SER_hh_fec!D16/SER_hh_num!D16)</f>
        <v>12506.826102642588</v>
      </c>
      <c r="E16" s="130">
        <f>IF(SER_hh_fec!E16=0,0,11630*1000*SER_hh_fec!E16/SER_hh_num!E16)</f>
        <v>12399.810928143725</v>
      </c>
      <c r="F16" s="130">
        <f>IF(SER_hh_fec!F16=0,0,11630*1000*SER_hh_fec!F16/SER_hh_num!F16)</f>
        <v>10590.678346088764</v>
      </c>
      <c r="G16" s="130">
        <f>IF(SER_hh_fec!G16=0,0,11630*1000*SER_hh_fec!G16/SER_hh_num!G16)</f>
        <v>10479.394905212554</v>
      </c>
      <c r="H16" s="130">
        <f>IF(SER_hh_fec!H16=0,0,11630*1000*SER_hh_fec!H16/SER_hh_num!H16)</f>
        <v>10939.261585603226</v>
      </c>
      <c r="I16" s="130">
        <f>IF(SER_hh_fec!I16=0,0,11630*1000*SER_hh_fec!I16/SER_hh_num!I16)</f>
        <v>14157.282778024959</v>
      </c>
      <c r="J16" s="130">
        <f>IF(SER_hh_fec!J16=0,0,11630*1000*SER_hh_fec!J16/SER_hh_num!J16)</f>
        <v>10921.4711350016</v>
      </c>
      <c r="K16" s="130">
        <f>IF(SER_hh_fec!K16=0,0,11630*1000*SER_hh_fec!K16/SER_hh_num!K16)</f>
        <v>10130.117009157568</v>
      </c>
      <c r="L16" s="130">
        <f>IF(SER_hh_fec!L16=0,0,11630*1000*SER_hh_fec!L16/SER_hh_num!L16)</f>
        <v>11657.34146335552</v>
      </c>
      <c r="M16" s="130">
        <f>IF(SER_hh_fec!M16=0,0,11630*1000*SER_hh_fec!M16/SER_hh_num!M16)</f>
        <v>9645.1418741950656</v>
      </c>
      <c r="N16" s="130">
        <f>IF(SER_hh_fec!N16=0,0,11630*1000*SER_hh_fec!N16/SER_hh_num!N16)</f>
        <v>14185.413765331845</v>
      </c>
      <c r="O16" s="130">
        <f>IF(SER_hh_fec!O16=0,0,11630*1000*SER_hh_fec!O16/SER_hh_num!O16)</f>
        <v>9361.0342461385244</v>
      </c>
      <c r="P16" s="130">
        <f>IF(SER_hh_fec!P16=0,0,11630*1000*SER_hh_fec!P16/SER_hh_num!P16)</f>
        <v>8498.1503768774128</v>
      </c>
      <c r="Q16" s="130">
        <f>IF(SER_hh_fec!Q16=0,0,11630*1000*SER_hh_fec!Q16/SER_hh_num!Q16)</f>
        <v>10817.36309550674</v>
      </c>
      <c r="R16" s="130">
        <f>IF(SER_hh_fec!R16=0,0,11630*1000*SER_hh_fec!R16/SER_hh_num!R16)</f>
        <v>8974.7510337241747</v>
      </c>
      <c r="S16" s="130">
        <f>IF(SER_hh_fec!S16=0,0,11630*1000*SER_hh_fec!S16/SER_hh_num!S16)</f>
        <v>9394.3266364024021</v>
      </c>
      <c r="T16" s="130">
        <f>IF(SER_hh_fec!T16=0,0,11630*1000*SER_hh_fec!T16/SER_hh_num!T16)</f>
        <v>8013.4952934532575</v>
      </c>
      <c r="U16" s="130">
        <f>IF(SER_hh_fec!U16=0,0,11630*1000*SER_hh_fec!U16/SER_hh_num!U16)</f>
        <v>8775.0970633180223</v>
      </c>
      <c r="V16" s="130">
        <f>IF(SER_hh_fec!V16=0,0,11630*1000*SER_hh_fec!V16/SER_hh_num!V16)</f>
        <v>7622.170963054582</v>
      </c>
      <c r="W16" s="130">
        <f>IF(SER_hh_fec!W16=0,0,11630*1000*SER_hh_fec!W16/SER_hh_num!W16)</f>
        <v>8529.3344372430001</v>
      </c>
      <c r="X16" s="130">
        <f>IF(SER_hh_fec!X16=0,0,11630*1000*SER_hh_fec!X16/SER_hh_num!X16)</f>
        <v>8826.0970000481138</v>
      </c>
      <c r="Y16" s="130">
        <f>IF(SER_hh_fec!Y16=0,0,11630*1000*SER_hh_fec!Y16/SER_hh_num!Y16)</f>
        <v>9092.173320459262</v>
      </c>
      <c r="DA16" s="155" t="s">
        <v>397</v>
      </c>
    </row>
    <row r="17" spans="1:105" ht="12.95" customHeight="1" x14ac:dyDescent="0.25">
      <c r="A17" s="131" t="s">
        <v>73</v>
      </c>
      <c r="B17" s="132">
        <f>IF(SER_hh_fec!B17=0,0,11630*1000*SER_hh_fec!B17/SER_hh_num!B17)</f>
        <v>0</v>
      </c>
      <c r="C17" s="132">
        <f>IF(SER_hh_fec!C17=0,0,11630*1000*SER_hh_fec!C17/SER_hh_num!C17)</f>
        <v>0</v>
      </c>
      <c r="D17" s="132">
        <f>IF(SER_hh_fec!D17=0,0,11630*1000*SER_hh_fec!D17/SER_hh_num!D17)</f>
        <v>0</v>
      </c>
      <c r="E17" s="132">
        <f>IF(SER_hh_fec!E17=0,0,11630*1000*SER_hh_fec!E17/SER_hh_num!E17)</f>
        <v>0</v>
      </c>
      <c r="F17" s="132">
        <f>IF(SER_hh_fec!F17=0,0,11630*1000*SER_hh_fec!F17/SER_hh_num!F17)</f>
        <v>0</v>
      </c>
      <c r="G17" s="132">
        <f>IF(SER_hh_fec!G17=0,0,11630*1000*SER_hh_fec!G17/SER_hh_num!G17)</f>
        <v>0</v>
      </c>
      <c r="H17" s="132">
        <f>IF(SER_hh_fec!H17=0,0,11630*1000*SER_hh_fec!H17/SER_hh_num!H17)</f>
        <v>0</v>
      </c>
      <c r="I17" s="132">
        <f>IF(SER_hh_fec!I17=0,0,11630*1000*SER_hh_fec!I17/SER_hh_num!I17)</f>
        <v>0</v>
      </c>
      <c r="J17" s="132">
        <f>IF(SER_hh_fec!J17=0,0,11630*1000*SER_hh_fec!J17/SER_hh_num!J17)</f>
        <v>0</v>
      </c>
      <c r="K17" s="132">
        <f>IF(SER_hh_fec!K17=0,0,11630*1000*SER_hh_fec!K17/SER_hh_num!K17)</f>
        <v>0</v>
      </c>
      <c r="L17" s="132">
        <f>IF(SER_hh_fec!L17=0,0,11630*1000*SER_hh_fec!L17/SER_hh_num!L17)</f>
        <v>0</v>
      </c>
      <c r="M17" s="132">
        <f>IF(SER_hh_fec!M17=0,0,11630*1000*SER_hh_fec!M17/SER_hh_num!M17)</f>
        <v>0</v>
      </c>
      <c r="N17" s="132">
        <f>IF(SER_hh_fec!N17=0,0,11630*1000*SER_hh_fec!N17/SER_hh_num!N17)</f>
        <v>0</v>
      </c>
      <c r="O17" s="132">
        <f>IF(SER_hh_fec!O17=0,0,11630*1000*SER_hh_fec!O17/SER_hh_num!O17)</f>
        <v>0</v>
      </c>
      <c r="P17" s="132">
        <f>IF(SER_hh_fec!P17=0,0,11630*1000*SER_hh_fec!P17/SER_hh_num!P17)</f>
        <v>0</v>
      </c>
      <c r="Q17" s="132">
        <f>IF(SER_hh_fec!Q17=0,0,11630*1000*SER_hh_fec!Q17/SER_hh_num!Q17)</f>
        <v>0</v>
      </c>
      <c r="R17" s="132">
        <f>IF(SER_hh_fec!R17=0,0,11630*1000*SER_hh_fec!R17/SER_hh_num!R17)</f>
        <v>0</v>
      </c>
      <c r="S17" s="132">
        <f>IF(SER_hh_fec!S17=0,0,11630*1000*SER_hh_fec!S17/SER_hh_num!S17)</f>
        <v>0</v>
      </c>
      <c r="T17" s="132">
        <f>IF(SER_hh_fec!T17=0,0,11630*1000*SER_hh_fec!T17/SER_hh_num!T17)</f>
        <v>0</v>
      </c>
      <c r="U17" s="132">
        <f>IF(SER_hh_fec!U17=0,0,11630*1000*SER_hh_fec!U17/SER_hh_num!U17)</f>
        <v>0</v>
      </c>
      <c r="V17" s="132">
        <f>IF(SER_hh_fec!V17=0,0,11630*1000*SER_hh_fec!V17/SER_hh_num!V17)</f>
        <v>0</v>
      </c>
      <c r="W17" s="132">
        <f>IF(SER_hh_fec!W17=0,0,11630*1000*SER_hh_fec!W17/SER_hh_num!W17)</f>
        <v>0</v>
      </c>
      <c r="X17" s="132">
        <f>IF(SER_hh_fec!X17=0,0,11630*1000*SER_hh_fec!X17/SER_hh_num!X17)</f>
        <v>0</v>
      </c>
      <c r="Y17" s="132">
        <f>IF(SER_hh_fec!Y17=0,0,11630*1000*SER_hh_fec!Y17/SER_hh_num!Y17)</f>
        <v>0</v>
      </c>
      <c r="DA17" s="156" t="s">
        <v>398</v>
      </c>
    </row>
    <row r="18" spans="1:105" ht="12" customHeight="1" x14ac:dyDescent="0.25">
      <c r="A18" s="131" t="s">
        <v>72</v>
      </c>
      <c r="B18" s="132">
        <f>IF(SER_hh_fec!B18=0,0,11630*1000*SER_hh_fec!B18/SER_hh_num!B18)</f>
        <v>17382.471003500381</v>
      </c>
      <c r="C18" s="132">
        <f>IF(SER_hh_fec!C18=0,0,11630*1000*SER_hh_fec!C18/SER_hh_num!C18)</f>
        <v>13468.903237708022</v>
      </c>
      <c r="D18" s="132">
        <f>IF(SER_hh_fec!D18=0,0,11630*1000*SER_hh_fec!D18/SER_hh_num!D18)</f>
        <v>12506.826102642588</v>
      </c>
      <c r="E18" s="132">
        <f>IF(SER_hh_fec!E18=0,0,11630*1000*SER_hh_fec!E18/SER_hh_num!E18)</f>
        <v>12399.810928143725</v>
      </c>
      <c r="F18" s="132">
        <f>IF(SER_hh_fec!F18=0,0,11630*1000*SER_hh_fec!F18/SER_hh_num!F18)</f>
        <v>10590.678346088764</v>
      </c>
      <c r="G18" s="132">
        <f>IF(SER_hh_fec!G18=0,0,11630*1000*SER_hh_fec!G18/SER_hh_num!G18)</f>
        <v>10479.394905212554</v>
      </c>
      <c r="H18" s="132">
        <f>IF(SER_hh_fec!H18=0,0,11630*1000*SER_hh_fec!H18/SER_hh_num!H18)</f>
        <v>10939.261585603226</v>
      </c>
      <c r="I18" s="132">
        <f>IF(SER_hh_fec!I18=0,0,11630*1000*SER_hh_fec!I18/SER_hh_num!I18)</f>
        <v>14157.282778024959</v>
      </c>
      <c r="J18" s="132">
        <f>IF(SER_hh_fec!J18=0,0,11630*1000*SER_hh_fec!J18/SER_hh_num!J18)</f>
        <v>10921.4711350016</v>
      </c>
      <c r="K18" s="132">
        <f>IF(SER_hh_fec!K18=0,0,11630*1000*SER_hh_fec!K18/SER_hh_num!K18)</f>
        <v>10130.117009157568</v>
      </c>
      <c r="L18" s="132">
        <f>IF(SER_hh_fec!L18=0,0,11630*1000*SER_hh_fec!L18/SER_hh_num!L18)</f>
        <v>11657.34146335552</v>
      </c>
      <c r="M18" s="132">
        <f>IF(SER_hh_fec!M18=0,0,11630*1000*SER_hh_fec!M18/SER_hh_num!M18)</f>
        <v>9645.1418741950656</v>
      </c>
      <c r="N18" s="132">
        <f>IF(SER_hh_fec!N18=0,0,11630*1000*SER_hh_fec!N18/SER_hh_num!N18)</f>
        <v>14185.413765331845</v>
      </c>
      <c r="O18" s="132">
        <f>IF(SER_hh_fec!O18=0,0,11630*1000*SER_hh_fec!O18/SER_hh_num!O18)</f>
        <v>9361.0342461385244</v>
      </c>
      <c r="P18" s="132">
        <f>IF(SER_hh_fec!P18=0,0,11630*1000*SER_hh_fec!P18/SER_hh_num!P18)</f>
        <v>8498.1503768774128</v>
      </c>
      <c r="Q18" s="132">
        <f>IF(SER_hh_fec!Q18=0,0,11630*1000*SER_hh_fec!Q18/SER_hh_num!Q18)</f>
        <v>10817.36309550674</v>
      </c>
      <c r="R18" s="132">
        <f>IF(SER_hh_fec!R18=0,0,11630*1000*SER_hh_fec!R18/SER_hh_num!R18)</f>
        <v>8974.7510337241747</v>
      </c>
      <c r="S18" s="132">
        <f>IF(SER_hh_fec!S18=0,0,11630*1000*SER_hh_fec!S18/SER_hh_num!S18)</f>
        <v>9394.3266364024021</v>
      </c>
      <c r="T18" s="132">
        <f>IF(SER_hh_fec!T18=0,0,11630*1000*SER_hh_fec!T18/SER_hh_num!T18)</f>
        <v>8013.4952934532575</v>
      </c>
      <c r="U18" s="132">
        <f>IF(SER_hh_fec!U18=0,0,11630*1000*SER_hh_fec!U18/SER_hh_num!U18)</f>
        <v>8775.0970633180223</v>
      </c>
      <c r="V18" s="132">
        <f>IF(SER_hh_fec!V18=0,0,11630*1000*SER_hh_fec!V18/SER_hh_num!V18)</f>
        <v>7622.170963054582</v>
      </c>
      <c r="W18" s="132">
        <f>IF(SER_hh_fec!W18=0,0,11630*1000*SER_hh_fec!W18/SER_hh_num!W18)</f>
        <v>8529.3344372430001</v>
      </c>
      <c r="X18" s="132">
        <f>IF(SER_hh_fec!X18=0,0,11630*1000*SER_hh_fec!X18/SER_hh_num!X18)</f>
        <v>8826.0970000481138</v>
      </c>
      <c r="Y18" s="132">
        <f>IF(SER_hh_fec!Y18=0,0,11630*1000*SER_hh_fec!Y18/SER_hh_num!Y18)</f>
        <v>9092.173320459262</v>
      </c>
      <c r="DA18" s="156" t="s">
        <v>399</v>
      </c>
    </row>
    <row r="19" spans="1:105" ht="12.95" customHeight="1" x14ac:dyDescent="0.25">
      <c r="A19" s="129" t="s">
        <v>35</v>
      </c>
      <c r="B19" s="130">
        <f>IF(SER_hh_fec!B19=0,0,11630*1000*SER_hh_fec!B19/SER_hh_num!B19)</f>
        <v>34367.153064578306</v>
      </c>
      <c r="C19" s="130">
        <f>IF(SER_hh_fec!C19=0,0,11630*1000*SER_hh_fec!C19/SER_hh_num!C19)</f>
        <v>37905.050780718339</v>
      </c>
      <c r="D19" s="130">
        <f>IF(SER_hh_fec!D19=0,0,11630*1000*SER_hh_fec!D19/SER_hh_num!D19)</f>
        <v>20880.048393231653</v>
      </c>
      <c r="E19" s="130">
        <f>IF(SER_hh_fec!E19=0,0,11630*1000*SER_hh_fec!E19/SER_hh_num!E19)</f>
        <v>42482.341057061945</v>
      </c>
      <c r="F19" s="130">
        <f>IF(SER_hh_fec!F19=0,0,11630*1000*SER_hh_fec!F19/SER_hh_num!F19)</f>
        <v>48891.147438121021</v>
      </c>
      <c r="G19" s="130">
        <f>IF(SER_hh_fec!G19=0,0,11630*1000*SER_hh_fec!G19/SER_hh_num!G19)</f>
        <v>48085.538212884159</v>
      </c>
      <c r="H19" s="130">
        <f>IF(SER_hh_fec!H19=0,0,11630*1000*SER_hh_fec!H19/SER_hh_num!H19)</f>
        <v>48815.293731513615</v>
      </c>
      <c r="I19" s="130">
        <f>IF(SER_hh_fec!I19=0,0,11630*1000*SER_hh_fec!I19/SER_hh_num!I19)</f>
        <v>49257.198087499368</v>
      </c>
      <c r="J19" s="130">
        <f>IF(SER_hh_fec!J19=0,0,11630*1000*SER_hh_fec!J19/SER_hh_num!J19)</f>
        <v>47653.502965527623</v>
      </c>
      <c r="K19" s="130">
        <f>IF(SER_hh_fec!K19=0,0,11630*1000*SER_hh_fec!K19/SER_hh_num!K19)</f>
        <v>48006.21463877341</v>
      </c>
      <c r="L19" s="130">
        <f>IF(SER_hh_fec!L19=0,0,11630*1000*SER_hh_fec!L19/SER_hh_num!L19)</f>
        <v>46034.254253894796</v>
      </c>
      <c r="M19" s="130">
        <f>IF(SER_hh_fec!M19=0,0,11630*1000*SER_hh_fec!M19/SER_hh_num!M19)</f>
        <v>46825.945352709881</v>
      </c>
      <c r="N19" s="130">
        <f>IF(SER_hh_fec!N19=0,0,11630*1000*SER_hh_fec!N19/SER_hh_num!N19)</f>
        <v>46103.781231703993</v>
      </c>
      <c r="O19" s="130">
        <f>IF(SER_hh_fec!O19=0,0,11630*1000*SER_hh_fec!O19/SER_hh_num!O19)</f>
        <v>46593.65483681373</v>
      </c>
      <c r="P19" s="130">
        <f>IF(SER_hh_fec!P19=0,0,11630*1000*SER_hh_fec!P19/SER_hh_num!P19)</f>
        <v>46873.215660824004</v>
      </c>
      <c r="Q19" s="130">
        <f>IF(SER_hh_fec!Q19=0,0,11630*1000*SER_hh_fec!Q19/SER_hh_num!Q19)</f>
        <v>47048.785160430998</v>
      </c>
      <c r="R19" s="130">
        <f>IF(SER_hh_fec!R19=0,0,11630*1000*SER_hh_fec!R19/SER_hh_num!R19)</f>
        <v>46047.286570614895</v>
      </c>
      <c r="S19" s="130">
        <f>IF(SER_hh_fec!S19=0,0,11630*1000*SER_hh_fec!S19/SER_hh_num!S19)</f>
        <v>45307.002713888956</v>
      </c>
      <c r="T19" s="130">
        <f>IF(SER_hh_fec!T19=0,0,11630*1000*SER_hh_fec!T19/SER_hh_num!T19)</f>
        <v>43464.655220971777</v>
      </c>
      <c r="U19" s="130">
        <f>IF(SER_hh_fec!U19=0,0,11630*1000*SER_hh_fec!U19/SER_hh_num!U19)</f>
        <v>40824.976917464548</v>
      </c>
      <c r="V19" s="130">
        <f>IF(SER_hh_fec!V19=0,0,11630*1000*SER_hh_fec!V19/SER_hh_num!V19)</f>
        <v>38037.295391438078</v>
      </c>
      <c r="W19" s="130">
        <f>IF(SER_hh_fec!W19=0,0,11630*1000*SER_hh_fec!W19/SER_hh_num!W19)</f>
        <v>41653.343902956942</v>
      </c>
      <c r="X19" s="130">
        <f>IF(SER_hh_fec!X19=0,0,11630*1000*SER_hh_fec!X19/SER_hh_num!X19)</f>
        <v>41597.526473672886</v>
      </c>
      <c r="Y19" s="130">
        <f>IF(SER_hh_fec!Y19=0,0,11630*1000*SER_hh_fec!Y19/SER_hh_num!Y19)</f>
        <v>42080.022729000593</v>
      </c>
      <c r="DA19" s="155" t="s">
        <v>400</v>
      </c>
    </row>
    <row r="20" spans="1:105" ht="12" customHeight="1" x14ac:dyDescent="0.25">
      <c r="A20" s="131" t="s">
        <v>29</v>
      </c>
      <c r="B20" s="132">
        <f>IF(SER_hh_fec!B20=0,0,11630*1000*SER_hh_fec!B20/SER_hh_num!B20)</f>
        <v>0</v>
      </c>
      <c r="C20" s="132">
        <f>IF(SER_hh_fec!C20=0,0,11630*1000*SER_hh_fec!C20/SER_hh_num!C20)</f>
        <v>0</v>
      </c>
      <c r="D20" s="132">
        <f>IF(SER_hh_fec!D20=0,0,11630*1000*SER_hh_fec!D20/SER_hh_num!D20)</f>
        <v>0</v>
      </c>
      <c r="E20" s="132">
        <f>IF(SER_hh_fec!E20=0,0,11630*1000*SER_hh_fec!E20/SER_hh_num!E20)</f>
        <v>0</v>
      </c>
      <c r="F20" s="132">
        <f>IF(SER_hh_fec!F20=0,0,11630*1000*SER_hh_fec!F20/SER_hh_num!F20)</f>
        <v>0</v>
      </c>
      <c r="G20" s="132">
        <f>IF(SER_hh_fec!G20=0,0,11630*1000*SER_hh_fec!G20/SER_hh_num!G20)</f>
        <v>0</v>
      </c>
      <c r="H20" s="132">
        <f>IF(SER_hh_fec!H20=0,0,11630*1000*SER_hh_fec!H20/SER_hh_num!H20)</f>
        <v>0</v>
      </c>
      <c r="I20" s="132">
        <f>IF(SER_hh_fec!I20=0,0,11630*1000*SER_hh_fec!I20/SER_hh_num!I20)</f>
        <v>0</v>
      </c>
      <c r="J20" s="132">
        <f>IF(SER_hh_fec!J20=0,0,11630*1000*SER_hh_fec!J20/SER_hh_num!J20)</f>
        <v>0</v>
      </c>
      <c r="K20" s="132">
        <f>IF(SER_hh_fec!K20=0,0,11630*1000*SER_hh_fec!K20/SER_hh_num!K20)</f>
        <v>0</v>
      </c>
      <c r="L20" s="132">
        <f>IF(SER_hh_fec!L20=0,0,11630*1000*SER_hh_fec!L20/SER_hh_num!L20)</f>
        <v>0</v>
      </c>
      <c r="M20" s="132">
        <f>IF(SER_hh_fec!M20=0,0,11630*1000*SER_hh_fec!M20/SER_hh_num!M20)</f>
        <v>0</v>
      </c>
      <c r="N20" s="132">
        <f>IF(SER_hh_fec!N20=0,0,11630*1000*SER_hh_fec!N20/SER_hh_num!N20)</f>
        <v>0</v>
      </c>
      <c r="O20" s="132">
        <f>IF(SER_hh_fec!O20=0,0,11630*1000*SER_hh_fec!O20/SER_hh_num!O20)</f>
        <v>0</v>
      </c>
      <c r="P20" s="132">
        <f>IF(SER_hh_fec!P20=0,0,11630*1000*SER_hh_fec!P20/SER_hh_num!P20)</f>
        <v>0</v>
      </c>
      <c r="Q20" s="132">
        <f>IF(SER_hh_fec!Q20=0,0,11630*1000*SER_hh_fec!Q20/SER_hh_num!Q20)</f>
        <v>0</v>
      </c>
      <c r="R20" s="132">
        <f>IF(SER_hh_fec!R20=0,0,11630*1000*SER_hh_fec!R20/SER_hh_num!R20)</f>
        <v>0</v>
      </c>
      <c r="S20" s="132">
        <f>IF(SER_hh_fec!S20=0,0,11630*1000*SER_hh_fec!S20/SER_hh_num!S20)</f>
        <v>0</v>
      </c>
      <c r="T20" s="132">
        <f>IF(SER_hh_fec!T20=0,0,11630*1000*SER_hh_fec!T20/SER_hh_num!T20)</f>
        <v>0</v>
      </c>
      <c r="U20" s="132">
        <f>IF(SER_hh_fec!U20=0,0,11630*1000*SER_hh_fec!U20/SER_hh_num!U20)</f>
        <v>0</v>
      </c>
      <c r="V20" s="132">
        <f>IF(SER_hh_fec!V20=0,0,11630*1000*SER_hh_fec!V20/SER_hh_num!V20)</f>
        <v>0</v>
      </c>
      <c r="W20" s="132">
        <f>IF(SER_hh_fec!W20=0,0,11630*1000*SER_hh_fec!W20/SER_hh_num!W20)</f>
        <v>0</v>
      </c>
      <c r="X20" s="132">
        <f>IF(SER_hh_fec!X20=0,0,11630*1000*SER_hh_fec!X20/SER_hh_num!X20)</f>
        <v>0</v>
      </c>
      <c r="Y20" s="132">
        <f>IF(SER_hh_fec!Y20=0,0,11630*1000*SER_hh_fec!Y20/SER_hh_num!Y20)</f>
        <v>0</v>
      </c>
      <c r="DA20" s="156" t="s">
        <v>401</v>
      </c>
    </row>
    <row r="21" spans="1:105" s="2" customFormat="1" ht="12" customHeight="1" x14ac:dyDescent="0.25">
      <c r="A21" s="131" t="s">
        <v>52</v>
      </c>
      <c r="B21" s="132">
        <f>IF(SER_hh_fec!B21=0,0,11630*1000*SER_hh_fec!B21/SER_hh_num!B21)</f>
        <v>0</v>
      </c>
      <c r="C21" s="132">
        <f>IF(SER_hh_fec!C21=0,0,11630*1000*SER_hh_fec!C21/SER_hh_num!C21)</f>
        <v>0</v>
      </c>
      <c r="D21" s="132">
        <f>IF(SER_hh_fec!D21=0,0,11630*1000*SER_hh_fec!D21/SER_hh_num!D21)</f>
        <v>0</v>
      </c>
      <c r="E21" s="132">
        <f>IF(SER_hh_fec!E21=0,0,11630*1000*SER_hh_fec!E21/SER_hh_num!E21)</f>
        <v>0</v>
      </c>
      <c r="F21" s="132">
        <f>IF(SER_hh_fec!F21=0,0,11630*1000*SER_hh_fec!F21/SER_hh_num!F21)</f>
        <v>0</v>
      </c>
      <c r="G21" s="132">
        <f>IF(SER_hh_fec!G21=0,0,11630*1000*SER_hh_fec!G21/SER_hh_num!G21)</f>
        <v>0</v>
      </c>
      <c r="H21" s="132">
        <f>IF(SER_hh_fec!H21=0,0,11630*1000*SER_hh_fec!H21/SER_hh_num!H21)</f>
        <v>0</v>
      </c>
      <c r="I21" s="132">
        <f>IF(SER_hh_fec!I21=0,0,11630*1000*SER_hh_fec!I21/SER_hh_num!I21)</f>
        <v>0</v>
      </c>
      <c r="J21" s="132">
        <f>IF(SER_hh_fec!J21=0,0,11630*1000*SER_hh_fec!J21/SER_hh_num!J21)</f>
        <v>0</v>
      </c>
      <c r="K21" s="132">
        <f>IF(SER_hh_fec!K21=0,0,11630*1000*SER_hh_fec!K21/SER_hh_num!K21)</f>
        <v>0</v>
      </c>
      <c r="L21" s="132">
        <f>IF(SER_hh_fec!L21=0,0,11630*1000*SER_hh_fec!L21/SER_hh_num!L21)</f>
        <v>0</v>
      </c>
      <c r="M21" s="132">
        <f>IF(SER_hh_fec!M21=0,0,11630*1000*SER_hh_fec!M21/SER_hh_num!M21)</f>
        <v>0</v>
      </c>
      <c r="N21" s="132">
        <f>IF(SER_hh_fec!N21=0,0,11630*1000*SER_hh_fec!N21/SER_hh_num!N21)</f>
        <v>0</v>
      </c>
      <c r="O21" s="132">
        <f>IF(SER_hh_fec!O21=0,0,11630*1000*SER_hh_fec!O21/SER_hh_num!O21)</f>
        <v>0</v>
      </c>
      <c r="P21" s="132">
        <f>IF(SER_hh_fec!P21=0,0,11630*1000*SER_hh_fec!P21/SER_hh_num!P21)</f>
        <v>0</v>
      </c>
      <c r="Q21" s="132">
        <f>IF(SER_hh_fec!Q21=0,0,11630*1000*SER_hh_fec!Q21/SER_hh_num!Q21)</f>
        <v>0</v>
      </c>
      <c r="R21" s="132">
        <f>IF(SER_hh_fec!R21=0,0,11630*1000*SER_hh_fec!R21/SER_hh_num!R21)</f>
        <v>0</v>
      </c>
      <c r="S21" s="132">
        <f>IF(SER_hh_fec!S21=0,0,11630*1000*SER_hh_fec!S21/SER_hh_num!S21)</f>
        <v>0</v>
      </c>
      <c r="T21" s="132">
        <f>IF(SER_hh_fec!T21=0,0,11630*1000*SER_hh_fec!T21/SER_hh_num!T21)</f>
        <v>0</v>
      </c>
      <c r="U21" s="132">
        <f>IF(SER_hh_fec!U21=0,0,11630*1000*SER_hh_fec!U21/SER_hh_num!U21)</f>
        <v>0</v>
      </c>
      <c r="V21" s="132">
        <f>IF(SER_hh_fec!V21=0,0,11630*1000*SER_hh_fec!V21/SER_hh_num!V21)</f>
        <v>0</v>
      </c>
      <c r="W21" s="132">
        <f>IF(SER_hh_fec!W21=0,0,11630*1000*SER_hh_fec!W21/SER_hh_num!W21)</f>
        <v>0</v>
      </c>
      <c r="X21" s="132">
        <f>IF(SER_hh_fec!X21=0,0,11630*1000*SER_hh_fec!X21/SER_hh_num!X21)</f>
        <v>0</v>
      </c>
      <c r="Y21" s="132">
        <f>IF(SER_hh_fec!Y21=0,0,11630*1000*SER_hh_fec!Y21/SER_hh_num!Y21)</f>
        <v>0</v>
      </c>
      <c r="DA21" s="156" t="s">
        <v>402</v>
      </c>
    </row>
    <row r="22" spans="1:105" ht="12" customHeight="1" x14ac:dyDescent="0.25">
      <c r="A22" s="131" t="s">
        <v>161</v>
      </c>
      <c r="B22" s="132">
        <f>IF(SER_hh_fec!B22=0,0,11630*1000*SER_hh_fec!B22/SER_hh_num!B22)</f>
        <v>7105.0989316675805</v>
      </c>
      <c r="C22" s="132">
        <f>IF(SER_hh_fec!C22=0,0,11630*1000*SER_hh_fec!C22/SER_hh_num!C22)</f>
        <v>11443.516098817023</v>
      </c>
      <c r="D22" s="132">
        <f>IF(SER_hh_fec!D22=0,0,11630*1000*SER_hh_fec!D22/SER_hh_num!D22)</f>
        <v>34149.12438440165</v>
      </c>
      <c r="E22" s="132">
        <f>IF(SER_hh_fec!E22=0,0,11630*1000*SER_hh_fec!E22/SER_hh_num!E22)</f>
        <v>47873.898096218254</v>
      </c>
      <c r="F22" s="132">
        <f>IF(SER_hh_fec!F22=0,0,11630*1000*SER_hh_fec!F22/SER_hh_num!F22)</f>
        <v>54920.52434695921</v>
      </c>
      <c r="G22" s="132">
        <f>IF(SER_hh_fec!G22=0,0,11630*1000*SER_hh_fec!G22/SER_hh_num!G22)</f>
        <v>64752.308795430741</v>
      </c>
      <c r="H22" s="132">
        <f>IF(SER_hh_fec!H22=0,0,11630*1000*SER_hh_fec!H22/SER_hh_num!H22)</f>
        <v>45699.276197565574</v>
      </c>
      <c r="I22" s="132">
        <f>IF(SER_hh_fec!I22=0,0,11630*1000*SER_hh_fec!I22/SER_hh_num!I22)</f>
        <v>53022.898580963039</v>
      </c>
      <c r="J22" s="132">
        <f>IF(SER_hh_fec!J22=0,0,11630*1000*SER_hh_fec!J22/SER_hh_num!J22)</f>
        <v>58556.76125767966</v>
      </c>
      <c r="K22" s="132">
        <f>IF(SER_hh_fec!K22=0,0,11630*1000*SER_hh_fec!K22/SER_hh_num!K22)</f>
        <v>55744.28847875214</v>
      </c>
      <c r="L22" s="132">
        <f>IF(SER_hh_fec!L22=0,0,11630*1000*SER_hh_fec!L22/SER_hh_num!L22)</f>
        <v>53725.085346745953</v>
      </c>
      <c r="M22" s="132">
        <f>IF(SER_hh_fec!M22=0,0,11630*1000*SER_hh_fec!M22/SER_hh_num!M22)</f>
        <v>48764.75187831217</v>
      </c>
      <c r="N22" s="132">
        <f>IF(SER_hh_fec!N22=0,0,11630*1000*SER_hh_fec!N22/SER_hh_num!N22)</f>
        <v>51572.105370180296</v>
      </c>
      <c r="O22" s="132">
        <f>IF(SER_hh_fec!O22=0,0,11630*1000*SER_hh_fec!O22/SER_hh_num!O22)</f>
        <v>58536.582426993664</v>
      </c>
      <c r="P22" s="132">
        <f>IF(SER_hh_fec!P22=0,0,11630*1000*SER_hh_fec!P22/SER_hh_num!P22)</f>
        <v>54936.211631419537</v>
      </c>
      <c r="Q22" s="132">
        <f>IF(SER_hh_fec!Q22=0,0,11630*1000*SER_hh_fec!Q22/SER_hh_num!Q22)</f>
        <v>53615.512398885709</v>
      </c>
      <c r="R22" s="132">
        <f>IF(SER_hh_fec!R22=0,0,11630*1000*SER_hh_fec!R22/SER_hh_num!R22)</f>
        <v>44434.561711890172</v>
      </c>
      <c r="S22" s="132">
        <f>IF(SER_hh_fec!S22=0,0,11630*1000*SER_hh_fec!S22/SER_hh_num!S22)</f>
        <v>50647.205409685776</v>
      </c>
      <c r="T22" s="132">
        <f>IF(SER_hh_fec!T22=0,0,11630*1000*SER_hh_fec!T22/SER_hh_num!T22)</f>
        <v>49734.898337305727</v>
      </c>
      <c r="U22" s="132">
        <f>IF(SER_hh_fec!U22=0,0,11630*1000*SER_hh_fec!U22/SER_hh_num!U22)</f>
        <v>42039.975246116344</v>
      </c>
      <c r="V22" s="132">
        <f>IF(SER_hh_fec!V22=0,0,11630*1000*SER_hh_fec!V22/SER_hh_num!V22)</f>
        <v>37366.408825188984</v>
      </c>
      <c r="W22" s="132">
        <f>IF(SER_hh_fec!W22=0,0,11630*1000*SER_hh_fec!W22/SER_hh_num!W22)</f>
        <v>49414.389536922674</v>
      </c>
      <c r="X22" s="132">
        <f>IF(SER_hh_fec!X22=0,0,11630*1000*SER_hh_fec!X22/SER_hh_num!X22)</f>
        <v>45925.988338503834</v>
      </c>
      <c r="Y22" s="132">
        <f>IF(SER_hh_fec!Y22=0,0,11630*1000*SER_hh_fec!Y22/SER_hh_num!Y22)</f>
        <v>45636.797216023275</v>
      </c>
      <c r="DA22" s="156" t="s">
        <v>403</v>
      </c>
    </row>
    <row r="23" spans="1:105" ht="12" customHeight="1" x14ac:dyDescent="0.25">
      <c r="A23" s="131" t="s">
        <v>149</v>
      </c>
      <c r="B23" s="132">
        <f>IF(SER_hh_fec!B23=0,0,11630*1000*SER_hh_fec!B23/SER_hh_num!B23)</f>
        <v>44155.122051144906</v>
      </c>
      <c r="C23" s="132">
        <f>IF(SER_hh_fec!C23=0,0,11630*1000*SER_hh_fec!C23/SER_hh_num!C23)</f>
        <v>34494.595711432659</v>
      </c>
      <c r="D23" s="132">
        <f>IF(SER_hh_fec!D23=0,0,11630*1000*SER_hh_fec!D23/SER_hh_num!D23)</f>
        <v>19390.401585021256</v>
      </c>
      <c r="E23" s="132">
        <f>IF(SER_hh_fec!E23=0,0,11630*1000*SER_hh_fec!E23/SER_hh_num!E23)</f>
        <v>38165.426627044202</v>
      </c>
      <c r="F23" s="132">
        <f>IF(SER_hh_fec!F23=0,0,11630*1000*SER_hh_fec!F23/SER_hh_num!F23)</f>
        <v>57485.350207482981</v>
      </c>
      <c r="G23" s="132">
        <f>IF(SER_hh_fec!G23=0,0,11630*1000*SER_hh_fec!G23/SER_hh_num!G23)</f>
        <v>49131.740101659772</v>
      </c>
      <c r="H23" s="132">
        <f>IF(SER_hh_fec!H23=0,0,11630*1000*SER_hh_fec!H23/SER_hh_num!H23)</f>
        <v>56769.657101445518</v>
      </c>
      <c r="I23" s="132">
        <f>IF(SER_hh_fec!I23=0,0,11630*1000*SER_hh_fec!I23/SER_hh_num!I23)</f>
        <v>50632.140477351335</v>
      </c>
      <c r="J23" s="132">
        <f>IF(SER_hh_fec!J23=0,0,11630*1000*SER_hh_fec!J23/SER_hh_num!J23)</f>
        <v>42367.327306174695</v>
      </c>
      <c r="K23" s="132">
        <f>IF(SER_hh_fec!K23=0,0,11630*1000*SER_hh_fec!K23/SER_hh_num!K23)</f>
        <v>56972.100711951651</v>
      </c>
      <c r="L23" s="132">
        <f>IF(SER_hh_fec!L23=0,0,11630*1000*SER_hh_fec!L23/SER_hh_num!L23)</f>
        <v>53352.230415165999</v>
      </c>
      <c r="M23" s="132">
        <f>IF(SER_hh_fec!M23=0,0,11630*1000*SER_hh_fec!M23/SER_hh_num!M23)</f>
        <v>48386.51328240116</v>
      </c>
      <c r="N23" s="132">
        <f>IF(SER_hh_fec!N23=0,0,11630*1000*SER_hh_fec!N23/SER_hh_num!N23)</f>
        <v>48911.292700087783</v>
      </c>
      <c r="O23" s="132">
        <f>IF(SER_hh_fec!O23=0,0,11630*1000*SER_hh_fec!O23/SER_hh_num!O23)</f>
        <v>49009.800584107754</v>
      </c>
      <c r="P23" s="132">
        <f>IF(SER_hh_fec!P23=0,0,11630*1000*SER_hh_fec!P23/SER_hh_num!P23)</f>
        <v>49361.820298154642</v>
      </c>
      <c r="Q23" s="132">
        <f>IF(SER_hh_fec!Q23=0,0,11630*1000*SER_hh_fec!Q23/SER_hh_num!Q23)</f>
        <v>48356.252253036568</v>
      </c>
      <c r="R23" s="132">
        <f>IF(SER_hh_fec!R23=0,0,11630*1000*SER_hh_fec!R23/SER_hh_num!R23)</f>
        <v>47987.11141072835</v>
      </c>
      <c r="S23" s="132">
        <f>IF(SER_hh_fec!S23=0,0,11630*1000*SER_hh_fec!S23/SER_hh_num!S23)</f>
        <v>46967.855765532295</v>
      </c>
      <c r="T23" s="132">
        <f>IF(SER_hh_fec!T23=0,0,11630*1000*SER_hh_fec!T23/SER_hh_num!T23)</f>
        <v>43043.426519593158</v>
      </c>
      <c r="U23" s="132">
        <f>IF(SER_hh_fec!U23=0,0,11630*1000*SER_hh_fec!U23/SER_hh_num!U23)</f>
        <v>41829.052102864567</v>
      </c>
      <c r="V23" s="132">
        <f>IF(SER_hh_fec!V23=0,0,11630*1000*SER_hh_fec!V23/SER_hh_num!V23)</f>
        <v>39883.434757301788</v>
      </c>
      <c r="W23" s="132">
        <f>IF(SER_hh_fec!W23=0,0,11630*1000*SER_hh_fec!W23/SER_hh_num!W23)</f>
        <v>40698.078594616796</v>
      </c>
      <c r="X23" s="132">
        <f>IF(SER_hh_fec!X23=0,0,11630*1000*SER_hh_fec!X23/SER_hh_num!X23)</f>
        <v>42782.988979309426</v>
      </c>
      <c r="Y23" s="132">
        <f>IF(SER_hh_fec!Y23=0,0,11630*1000*SER_hh_fec!Y23/SER_hh_num!Y23)</f>
        <v>41244.484145683993</v>
      </c>
      <c r="DA23" s="156" t="s">
        <v>404</v>
      </c>
    </row>
    <row r="24" spans="1:105" ht="12" customHeight="1" x14ac:dyDescent="0.25">
      <c r="A24" s="131" t="s">
        <v>128</v>
      </c>
      <c r="B24" s="132">
        <f>IF(SER_hh_fec!B24=0,0,11630*1000*SER_hh_fec!B24/SER_hh_num!B24)</f>
        <v>43597.3374116946</v>
      </c>
      <c r="C24" s="132">
        <f>IF(SER_hh_fec!C24=0,0,11630*1000*SER_hh_fec!C24/SER_hh_num!C24)</f>
        <v>26639.481846469957</v>
      </c>
      <c r="D24" s="132">
        <f>IF(SER_hh_fec!D24=0,0,11630*1000*SER_hh_fec!D24/SER_hh_num!D24)</f>
        <v>50310.468353096476</v>
      </c>
      <c r="E24" s="132">
        <f>IF(SER_hh_fec!E24=0,0,11630*1000*SER_hh_fec!E24/SER_hh_num!E24)</f>
        <v>49464.553284021044</v>
      </c>
      <c r="F24" s="132">
        <f>IF(SER_hh_fec!F24=0,0,11630*1000*SER_hh_fec!F24/SER_hh_num!F24)</f>
        <v>50208.202379347553</v>
      </c>
      <c r="G24" s="132">
        <f>IF(SER_hh_fec!G24=0,0,11630*1000*SER_hh_fec!G24/SER_hh_num!G24)</f>
        <v>57420.932789039616</v>
      </c>
      <c r="H24" s="132">
        <f>IF(SER_hh_fec!H24=0,0,11630*1000*SER_hh_fec!H24/SER_hh_num!H24)</f>
        <v>62414.182219515904</v>
      </c>
      <c r="I24" s="132">
        <f>IF(SER_hh_fec!I24=0,0,11630*1000*SER_hh_fec!I24/SER_hh_num!I24)</f>
        <v>62725.959044012765</v>
      </c>
      <c r="J24" s="132">
        <f>IF(SER_hh_fec!J24=0,0,11630*1000*SER_hh_fec!J24/SER_hh_num!J24)</f>
        <v>61560.741155753545</v>
      </c>
      <c r="K24" s="132">
        <f>IF(SER_hh_fec!K24=0,0,11630*1000*SER_hh_fec!K24/SER_hh_num!K24)</f>
        <v>58411.650094549994</v>
      </c>
      <c r="L24" s="132">
        <f>IF(SER_hh_fec!L24=0,0,11630*1000*SER_hh_fec!L24/SER_hh_num!L24)</f>
        <v>53769.84623028482</v>
      </c>
      <c r="M24" s="132">
        <f>IF(SER_hh_fec!M24=0,0,11630*1000*SER_hh_fec!M24/SER_hh_num!M24)</f>
        <v>50641.545626282845</v>
      </c>
      <c r="N24" s="132">
        <f>IF(SER_hh_fec!N24=0,0,11630*1000*SER_hh_fec!N24/SER_hh_num!N24)</f>
        <v>47615.414357069567</v>
      </c>
      <c r="O24" s="132">
        <f>IF(SER_hh_fec!O24=0,0,11630*1000*SER_hh_fec!O24/SER_hh_num!O24)</f>
        <v>45065.943999782954</v>
      </c>
      <c r="P24" s="132">
        <f>IF(SER_hh_fec!P24=0,0,11630*1000*SER_hh_fec!P24/SER_hh_num!P24)</f>
        <v>45920.032427683538</v>
      </c>
      <c r="Q24" s="132">
        <f>IF(SER_hh_fec!Q24=0,0,11630*1000*SER_hh_fec!Q24/SER_hh_num!Q24)</f>
        <v>49331.835756398381</v>
      </c>
      <c r="R24" s="132">
        <f>IF(SER_hh_fec!R24=0,0,11630*1000*SER_hh_fec!R24/SER_hh_num!R24)</f>
        <v>45490.901004979627</v>
      </c>
      <c r="S24" s="132">
        <f>IF(SER_hh_fec!S24=0,0,11630*1000*SER_hh_fec!S24/SER_hh_num!S24)</f>
        <v>43073.546795943745</v>
      </c>
      <c r="T24" s="132">
        <f>IF(SER_hh_fec!T24=0,0,11630*1000*SER_hh_fec!T24/SER_hh_num!T24)</f>
        <v>48723.122266477556</v>
      </c>
      <c r="U24" s="132">
        <f>IF(SER_hh_fec!U24=0,0,11630*1000*SER_hh_fec!U24/SER_hh_num!U24)</f>
        <v>40984.947786990386</v>
      </c>
      <c r="V24" s="132">
        <f>IF(SER_hh_fec!V24=0,0,11630*1000*SER_hh_fec!V24/SER_hh_num!V24)</f>
        <v>40699.852376272262</v>
      </c>
      <c r="W24" s="132">
        <f>IF(SER_hh_fec!W24=0,0,11630*1000*SER_hh_fec!W24/SER_hh_num!W24)</f>
        <v>45596.169611606012</v>
      </c>
      <c r="X24" s="132">
        <f>IF(SER_hh_fec!X24=0,0,11630*1000*SER_hh_fec!X24/SER_hh_num!X24)</f>
        <v>45415.34945362735</v>
      </c>
      <c r="Y24" s="132">
        <f>IF(SER_hh_fec!Y24=0,0,11630*1000*SER_hh_fec!Y24/SER_hh_num!Y24)</f>
        <v>47152.753860339122</v>
      </c>
      <c r="DA24" s="156" t="s">
        <v>405</v>
      </c>
    </row>
    <row r="25" spans="1:105" ht="12" customHeight="1" x14ac:dyDescent="0.25">
      <c r="A25" s="131" t="s">
        <v>162</v>
      </c>
      <c r="B25" s="132">
        <f>IF(SER_hh_fec!B25=0,0,11630*1000*SER_hh_fec!B25/SER_hh_num!B25)</f>
        <v>36225.901924385835</v>
      </c>
      <c r="C25" s="132">
        <f>IF(SER_hh_fec!C25=0,0,11630*1000*SER_hh_fec!C25/SER_hh_num!C25)</f>
        <v>23856.383806283724</v>
      </c>
      <c r="D25" s="132">
        <f>IF(SER_hh_fec!D25=0,0,11630*1000*SER_hh_fec!D25/SER_hh_num!D25)</f>
        <v>13789.009457563023</v>
      </c>
      <c r="E25" s="132">
        <f>IF(SER_hh_fec!E25=0,0,11630*1000*SER_hh_fec!E25/SER_hh_num!E25)</f>
        <v>30061.377546352542</v>
      </c>
      <c r="F25" s="132">
        <f>IF(SER_hh_fec!F25=0,0,11630*1000*SER_hh_fec!F25/SER_hh_num!F25)</f>
        <v>25415.251682155089</v>
      </c>
      <c r="G25" s="132">
        <f>IF(SER_hh_fec!G25=0,0,11630*1000*SER_hh_fec!G25/SER_hh_num!G25)</f>
        <v>40864.023052967204</v>
      </c>
      <c r="H25" s="132">
        <f>IF(SER_hh_fec!H25=0,0,11630*1000*SER_hh_fec!H25/SER_hh_num!H25)</f>
        <v>37536.474595837652</v>
      </c>
      <c r="I25" s="132">
        <f>IF(SER_hh_fec!I25=0,0,11630*1000*SER_hh_fec!I25/SER_hh_num!I25)</f>
        <v>35599.221550026188</v>
      </c>
      <c r="J25" s="132">
        <f>IF(SER_hh_fec!J25=0,0,11630*1000*SER_hh_fec!J25/SER_hh_num!J25)</f>
        <v>41029.652594147658</v>
      </c>
      <c r="K25" s="132">
        <f>IF(SER_hh_fec!K25=0,0,11630*1000*SER_hh_fec!K25/SER_hh_num!K25)</f>
        <v>37737.087799700712</v>
      </c>
      <c r="L25" s="132">
        <f>IF(SER_hh_fec!L25=0,0,11630*1000*SER_hh_fec!L25/SER_hh_num!L25)</f>
        <v>35784.569155581165</v>
      </c>
      <c r="M25" s="132">
        <f>IF(SER_hh_fec!M25=0,0,11630*1000*SER_hh_fec!M25/SER_hh_num!M25)</f>
        <v>37283.877909185016</v>
      </c>
      <c r="N25" s="132">
        <f>IF(SER_hh_fec!N25=0,0,11630*1000*SER_hh_fec!N25/SER_hh_num!N25)</f>
        <v>38138.689806958449</v>
      </c>
      <c r="O25" s="132">
        <f>IF(SER_hh_fec!O25=0,0,11630*1000*SER_hh_fec!O25/SER_hh_num!O25)</f>
        <v>38903.981656137461</v>
      </c>
      <c r="P25" s="132">
        <f>IF(SER_hh_fec!P25=0,0,11630*1000*SER_hh_fec!P25/SER_hh_num!P25)</f>
        <v>36826.329023621292</v>
      </c>
      <c r="Q25" s="132">
        <f>IF(SER_hh_fec!Q25=0,0,11630*1000*SER_hh_fec!Q25/SER_hh_num!Q25)</f>
        <v>38769.588652578939</v>
      </c>
      <c r="R25" s="132">
        <f>IF(SER_hh_fec!R25=0,0,11630*1000*SER_hh_fec!R25/SER_hh_num!R25)</f>
        <v>39874.505048193307</v>
      </c>
      <c r="S25" s="132">
        <f>IF(SER_hh_fec!S25=0,0,11630*1000*SER_hh_fec!S25/SER_hh_num!S25)</f>
        <v>38651.083921895581</v>
      </c>
      <c r="T25" s="132">
        <f>IF(SER_hh_fec!T25=0,0,11630*1000*SER_hh_fec!T25/SER_hh_num!T25)</f>
        <v>37743.847598530811</v>
      </c>
      <c r="U25" s="132">
        <f>IF(SER_hh_fec!U25=0,0,11630*1000*SER_hh_fec!U25/SER_hh_num!U25)</f>
        <v>35474.41919821778</v>
      </c>
      <c r="V25" s="132">
        <f>IF(SER_hh_fec!V25=0,0,11630*1000*SER_hh_fec!V25/SER_hh_num!V25)</f>
        <v>36156.093183043093</v>
      </c>
      <c r="W25" s="132">
        <f>IF(SER_hh_fec!W25=0,0,11630*1000*SER_hh_fec!W25/SER_hh_num!W25)</f>
        <v>39307.362642608205</v>
      </c>
      <c r="X25" s="132">
        <f>IF(SER_hh_fec!X25=0,0,11630*1000*SER_hh_fec!X25/SER_hh_num!X25)</f>
        <v>36210.955904221308</v>
      </c>
      <c r="Y25" s="132">
        <f>IF(SER_hh_fec!Y25=0,0,11630*1000*SER_hh_fec!Y25/SER_hh_num!Y25)</f>
        <v>39584.234732808698</v>
      </c>
      <c r="DA25" s="156" t="s">
        <v>406</v>
      </c>
    </row>
    <row r="26" spans="1:105" ht="12" customHeight="1" x14ac:dyDescent="0.25">
      <c r="A26" s="131" t="s">
        <v>24</v>
      </c>
      <c r="B26" s="65">
        <f>IF(SER_hh_fec!B26=0,0,11630*1000*SER_hh_fec!B26/SER_hh_num!B26)</f>
        <v>39150.363866021617</v>
      </c>
      <c r="C26" s="65">
        <f>IF(SER_hh_fec!C26=0,0,11630*1000*SER_hh_fec!C26/SER_hh_num!C26)</f>
        <v>78450.608993805421</v>
      </c>
      <c r="D26" s="65">
        <f>IF(SER_hh_fec!D26=0,0,11630*1000*SER_hh_fec!D26/SER_hh_num!D26)</f>
        <v>6836.7820891951451</v>
      </c>
      <c r="E26" s="65">
        <f>IF(SER_hh_fec!E26=0,0,11630*1000*SER_hh_fec!E26/SER_hh_num!E26)</f>
        <v>46439.747226877436</v>
      </c>
      <c r="F26" s="65">
        <f>IF(SER_hh_fec!F26=0,0,11630*1000*SER_hh_fec!F26/SER_hh_num!F26)</f>
        <v>44090.240451740392</v>
      </c>
      <c r="G26" s="65">
        <f>IF(SER_hh_fec!G26=0,0,11630*1000*SER_hh_fec!G26/SER_hh_num!G26)</f>
        <v>41417.917558653535</v>
      </c>
      <c r="H26" s="65">
        <f>IF(SER_hh_fec!H26=0,0,11630*1000*SER_hh_fec!H26/SER_hh_num!H26)</f>
        <v>42350.253426400152</v>
      </c>
      <c r="I26" s="65">
        <f>IF(SER_hh_fec!I26=0,0,11630*1000*SER_hh_fec!I26/SER_hh_num!I26)</f>
        <v>50408.029623806433</v>
      </c>
      <c r="J26" s="65">
        <f>IF(SER_hh_fec!J26=0,0,11630*1000*SER_hh_fec!J26/SER_hh_num!J26)</f>
        <v>52724.006043645473</v>
      </c>
      <c r="K26" s="65">
        <f>IF(SER_hh_fec!K26=0,0,11630*1000*SER_hh_fec!K26/SER_hh_num!K26)</f>
        <v>38719.881141462152</v>
      </c>
      <c r="L26" s="65">
        <f>IF(SER_hh_fec!L26=0,0,11630*1000*SER_hh_fec!L26/SER_hh_num!L26)</f>
        <v>38571.879542613038</v>
      </c>
      <c r="M26" s="65">
        <f>IF(SER_hh_fec!M26=0,0,11630*1000*SER_hh_fec!M26/SER_hh_num!M26)</f>
        <v>49101.539244311898</v>
      </c>
      <c r="N26" s="65">
        <f>IF(SER_hh_fec!N26=0,0,11630*1000*SER_hh_fec!N26/SER_hh_num!N26)</f>
        <v>45382.349448066139</v>
      </c>
      <c r="O26" s="65">
        <f>IF(SER_hh_fec!O26=0,0,11630*1000*SER_hh_fec!O26/SER_hh_num!O26)</f>
        <v>44057.734737652921</v>
      </c>
      <c r="P26" s="65">
        <f>IF(SER_hh_fec!P26=0,0,11630*1000*SER_hh_fec!P26/SER_hh_num!P26)</f>
        <v>46216.196153698605</v>
      </c>
      <c r="Q26" s="65">
        <f>IF(SER_hh_fec!Q26=0,0,11630*1000*SER_hh_fec!Q26/SER_hh_num!Q26)</f>
        <v>46588.268891115571</v>
      </c>
      <c r="R26" s="65">
        <f>IF(SER_hh_fec!R26=0,0,11630*1000*SER_hh_fec!R26/SER_hh_num!R26)</f>
        <v>47022.426840287051</v>
      </c>
      <c r="S26" s="65">
        <f>IF(SER_hh_fec!S26=0,0,11630*1000*SER_hh_fec!S26/SER_hh_num!S26)</f>
        <v>42566.171306130789</v>
      </c>
      <c r="T26" s="65">
        <f>IF(SER_hh_fec!T26=0,0,11630*1000*SER_hh_fec!T26/SER_hh_num!T26)</f>
        <v>42438.386522277215</v>
      </c>
      <c r="U26" s="65">
        <f>IF(SER_hh_fec!U26=0,0,11630*1000*SER_hh_fec!U26/SER_hh_num!U26)</f>
        <v>40367.557780113762</v>
      </c>
      <c r="V26" s="65">
        <f>IF(SER_hh_fec!V26=0,0,11630*1000*SER_hh_fec!V26/SER_hh_num!V26)</f>
        <v>34889.32612274315</v>
      </c>
      <c r="W26" s="65">
        <f>IF(SER_hh_fec!W26=0,0,11630*1000*SER_hh_fec!W26/SER_hh_num!W26)</f>
        <v>36090.099839999326</v>
      </c>
      <c r="X26" s="65">
        <f>IF(SER_hh_fec!X26=0,0,11630*1000*SER_hh_fec!X26/SER_hh_num!X26)</f>
        <v>37158.794929428201</v>
      </c>
      <c r="Y26" s="65">
        <f>IF(SER_hh_fec!Y26=0,0,11630*1000*SER_hh_fec!Y26/SER_hh_num!Y26)</f>
        <v>40613.217766512978</v>
      </c>
      <c r="DA26" s="109" t="s">
        <v>407</v>
      </c>
    </row>
    <row r="27" spans="1:105" ht="12" customHeight="1" x14ac:dyDescent="0.25">
      <c r="A27" s="144" t="s">
        <v>86</v>
      </c>
      <c r="B27" s="145">
        <f>IF(SER_hh_fec!B27=0,0,11630*1000*SER_hh_fec!B27/SER_hh_num!B19)</f>
        <v>0</v>
      </c>
      <c r="C27" s="145">
        <f>IF(SER_hh_fec!C27=0,0,11630*1000*SER_hh_fec!C27/SER_hh_num!C19)</f>
        <v>0</v>
      </c>
      <c r="D27" s="145">
        <f>IF(SER_hh_fec!D27=0,0,11630*1000*SER_hh_fec!D27/SER_hh_num!D19)</f>
        <v>0</v>
      </c>
      <c r="E27" s="145">
        <f>IF(SER_hh_fec!E27=0,0,11630*1000*SER_hh_fec!E27/SER_hh_num!E19)</f>
        <v>0</v>
      </c>
      <c r="F27" s="145">
        <f>IF(SER_hh_fec!F27=0,0,11630*1000*SER_hh_fec!F27/SER_hh_num!F19)</f>
        <v>0</v>
      </c>
      <c r="G27" s="145">
        <f>IF(SER_hh_fec!G27=0,0,11630*1000*SER_hh_fec!G27/SER_hh_num!G19)</f>
        <v>0</v>
      </c>
      <c r="H27" s="145">
        <f>IF(SER_hh_fec!H27=0,0,11630*1000*SER_hh_fec!H27/SER_hh_num!H19)</f>
        <v>0</v>
      </c>
      <c r="I27" s="145">
        <f>IF(SER_hh_fec!I27=0,0,11630*1000*SER_hh_fec!I27/SER_hh_num!I19)</f>
        <v>5.5596709972051128</v>
      </c>
      <c r="J27" s="145">
        <f>IF(SER_hh_fec!J27=0,0,11630*1000*SER_hh_fec!J27/SER_hh_num!J19)</f>
        <v>0</v>
      </c>
      <c r="K27" s="145">
        <f>IF(SER_hh_fec!K27=0,0,11630*1000*SER_hh_fec!K27/SER_hh_num!K19)</f>
        <v>0</v>
      </c>
      <c r="L27" s="145">
        <f>IF(SER_hh_fec!L27=0,0,11630*1000*SER_hh_fec!L27/SER_hh_num!L19)</f>
        <v>15.203213882492948</v>
      </c>
      <c r="M27" s="145">
        <f>IF(SER_hh_fec!M27=0,0,11630*1000*SER_hh_fec!M27/SER_hh_num!M19)</f>
        <v>9.7610677083939823</v>
      </c>
      <c r="N27" s="145">
        <f>IF(SER_hh_fec!N27=0,0,11630*1000*SER_hh_fec!N27/SER_hh_num!N19)</f>
        <v>19.017293480813709</v>
      </c>
      <c r="O27" s="145">
        <f>IF(SER_hh_fec!O27=0,0,11630*1000*SER_hh_fec!O27/SER_hh_num!O19)</f>
        <v>9.0893125607996321</v>
      </c>
      <c r="P27" s="145">
        <f>IF(SER_hh_fec!P27=0,0,11630*1000*SER_hh_fec!P27/SER_hh_num!P19)</f>
        <v>8.724872711075772</v>
      </c>
      <c r="Q27" s="145">
        <f>IF(SER_hh_fec!Q27=0,0,11630*1000*SER_hh_fec!Q27/SER_hh_num!Q19)</f>
        <v>4.1495418222433473</v>
      </c>
      <c r="R27" s="145">
        <f>IF(SER_hh_fec!R27=0,0,11630*1000*SER_hh_fec!R27/SER_hh_num!R19)</f>
        <v>3.9933990955162195</v>
      </c>
      <c r="S27" s="145">
        <f>IF(SER_hh_fec!S27=0,0,11630*1000*SER_hh_fec!S27/SER_hh_num!S19)</f>
        <v>9.9739022183709167</v>
      </c>
      <c r="T27" s="145">
        <f>IF(SER_hh_fec!T27=0,0,11630*1000*SER_hh_fec!T27/SER_hh_num!T19)</f>
        <v>8.9349058395791179</v>
      </c>
      <c r="U27" s="145">
        <f>IF(SER_hh_fec!U27=0,0,11630*1000*SER_hh_fec!U27/SER_hh_num!U19)</f>
        <v>10.221802840423727</v>
      </c>
      <c r="V27" s="145">
        <f>IF(SER_hh_fec!V27=0,0,11630*1000*SER_hh_fec!V27/SER_hh_num!V19)</f>
        <v>5.6325735821749499</v>
      </c>
      <c r="W27" s="145">
        <f>IF(SER_hh_fec!W27=0,0,11630*1000*SER_hh_fec!W27/SER_hh_num!W19)</f>
        <v>58.391799533231818</v>
      </c>
      <c r="X27" s="145">
        <f>IF(SER_hh_fec!X27=0,0,11630*1000*SER_hh_fec!X27/SER_hh_num!X19)</f>
        <v>52.515728497268263</v>
      </c>
      <c r="Y27" s="145">
        <f>IF(SER_hh_fec!Y27=0,0,11630*1000*SER_hh_fec!Y27/SER_hh_num!Y19)</f>
        <v>55.112390199666862</v>
      </c>
      <c r="DA27" s="158" t="s">
        <v>408</v>
      </c>
    </row>
    <row r="28" spans="1:105" ht="12" customHeight="1" x14ac:dyDescent="0.25">
      <c r="A28" s="78" t="s">
        <v>85</v>
      </c>
      <c r="B28" s="146">
        <f>IF(SER_hh_fec!B27=0,0,11630*1000*SER_hh_fec!B27/SER_hh_num!B27)</f>
        <v>0</v>
      </c>
      <c r="C28" s="146">
        <f>IF(SER_hh_fec!C27=0,0,11630*1000*SER_hh_fec!C27/SER_hh_num!C27)</f>
        <v>0</v>
      </c>
      <c r="D28" s="146">
        <f>IF(SER_hh_fec!D27=0,0,11630*1000*SER_hh_fec!D27/SER_hh_num!D27)</f>
        <v>0</v>
      </c>
      <c r="E28" s="146">
        <f>IF(SER_hh_fec!E27=0,0,11630*1000*SER_hh_fec!E27/SER_hh_num!E27)</f>
        <v>0</v>
      </c>
      <c r="F28" s="146">
        <f>IF(SER_hh_fec!F27=0,0,11630*1000*SER_hh_fec!F27/SER_hh_num!F27)</f>
        <v>0</v>
      </c>
      <c r="G28" s="146">
        <f>IF(SER_hh_fec!G27=0,0,11630*1000*SER_hh_fec!G27/SER_hh_num!G27)</f>
        <v>0</v>
      </c>
      <c r="H28" s="146">
        <f>IF(SER_hh_fec!H27=0,0,11630*1000*SER_hh_fec!H27/SER_hh_num!H27)</f>
        <v>0</v>
      </c>
      <c r="I28" s="146">
        <f>IF(SER_hh_fec!I27=0,0,11630*1000*SER_hh_fec!I27/SER_hh_num!I27)</f>
        <v>22836.68078896252</v>
      </c>
      <c r="J28" s="146">
        <f>IF(SER_hh_fec!J27=0,0,11630*1000*SER_hh_fec!J27/SER_hh_num!J27)</f>
        <v>0</v>
      </c>
      <c r="K28" s="146">
        <f>IF(SER_hh_fec!K27=0,0,11630*1000*SER_hh_fec!K27/SER_hh_num!K27)</f>
        <v>0</v>
      </c>
      <c r="L28" s="146">
        <f>IF(SER_hh_fec!L27=0,0,11630*1000*SER_hh_fec!L27/SER_hh_num!L27)</f>
        <v>21780.731801041577</v>
      </c>
      <c r="M28" s="146">
        <f>IF(SER_hh_fec!M27=0,0,11630*1000*SER_hh_fec!M27/SER_hh_num!M27)</f>
        <v>22632.563043772716</v>
      </c>
      <c r="N28" s="146">
        <f>IF(SER_hh_fec!N27=0,0,11630*1000*SER_hh_fec!N27/SER_hh_num!N27)</f>
        <v>22543.320297552731</v>
      </c>
      <c r="O28" s="146">
        <f>IF(SER_hh_fec!O27=0,0,11630*1000*SER_hh_fec!O27/SER_hh_num!O27)</f>
        <v>23043.253037907667</v>
      </c>
      <c r="P28" s="146">
        <f>IF(SER_hh_fec!P27=0,0,11630*1000*SER_hh_fec!P27/SER_hh_num!P27)</f>
        <v>23378.490379024173</v>
      </c>
      <c r="Q28" s="146">
        <f>IF(SER_hh_fec!Q27=0,0,11630*1000*SER_hh_fec!Q27/SER_hh_num!Q27)</f>
        <v>23890.52544239242</v>
      </c>
      <c r="R28" s="146">
        <f>IF(SER_hh_fec!R27=0,0,11630*1000*SER_hh_fec!R27/SER_hh_num!R27)</f>
        <v>23912.308071953004</v>
      </c>
      <c r="S28" s="146">
        <f>IF(SER_hh_fec!S27=0,0,11630*1000*SER_hh_fec!S27/SER_hh_num!S27)</f>
        <v>24016.980126271163</v>
      </c>
      <c r="T28" s="146">
        <f>IF(SER_hh_fec!T27=0,0,11630*1000*SER_hh_fec!T27/SER_hh_num!T27)</f>
        <v>23551.034221168313</v>
      </c>
      <c r="U28" s="146">
        <f>IF(SER_hh_fec!U27=0,0,11630*1000*SER_hh_fec!U27/SER_hh_num!U27)</f>
        <v>22613.372558928942</v>
      </c>
      <c r="V28" s="146">
        <f>IF(SER_hh_fec!V27=0,0,11630*1000*SER_hh_fec!V27/SER_hh_num!V27)</f>
        <v>21496.443664321541</v>
      </c>
      <c r="W28" s="146">
        <f>IF(SER_hh_fec!W27=0,0,11630*1000*SER_hh_fec!W27/SER_hh_num!W27)</f>
        <v>23860.366160758687</v>
      </c>
      <c r="X28" s="146">
        <f>IF(SER_hh_fec!X27=0,0,11630*1000*SER_hh_fec!X27/SER_hh_num!X27)</f>
        <v>24314.553186191471</v>
      </c>
      <c r="Y28" s="146">
        <f>IF(SER_hh_fec!Y27=0,0,11630*1000*SER_hh_fec!Y27/SER_hh_num!Y27)</f>
        <v>25064.198064762964</v>
      </c>
      <c r="DA28" s="159"/>
    </row>
    <row r="29" spans="1:105" ht="12.95" customHeight="1" x14ac:dyDescent="0.25">
      <c r="A29" s="129" t="s">
        <v>34</v>
      </c>
      <c r="B29" s="130">
        <f>IF(SER_hh_fec!B29=0,0,11630*1000*SER_hh_fec!B29/SER_hh_num!B29)</f>
        <v>50120.123170299266</v>
      </c>
      <c r="C29" s="130">
        <f>IF(SER_hh_fec!C29=0,0,11630*1000*SER_hh_fec!C29/SER_hh_num!C29)</f>
        <v>48455.744407731872</v>
      </c>
      <c r="D29" s="130">
        <f>IF(SER_hh_fec!D29=0,0,11630*1000*SER_hh_fec!D29/SER_hh_num!D29)</f>
        <v>34866.146656231074</v>
      </c>
      <c r="E29" s="130">
        <f>IF(SER_hh_fec!E29=0,0,11630*1000*SER_hh_fec!E29/SER_hh_num!E29)</f>
        <v>50477.275835165441</v>
      </c>
      <c r="F29" s="130">
        <f>IF(SER_hh_fec!F29=0,0,11630*1000*SER_hh_fec!F29/SER_hh_num!F29)</f>
        <v>58666.007814855948</v>
      </c>
      <c r="G29" s="130">
        <f>IF(SER_hh_fec!G29=0,0,11630*1000*SER_hh_fec!G29/SER_hh_num!G29)</f>
        <v>59903.606895132863</v>
      </c>
      <c r="H29" s="130">
        <f>IF(SER_hh_fec!H29=0,0,11630*1000*SER_hh_fec!H29/SER_hh_num!H29)</f>
        <v>59910.027610336678</v>
      </c>
      <c r="I29" s="130">
        <f>IF(SER_hh_fec!I29=0,0,11630*1000*SER_hh_fec!I29/SER_hh_num!I29)</f>
        <v>61859.948357125191</v>
      </c>
      <c r="J29" s="130">
        <f>IF(SER_hh_fec!J29=0,0,11630*1000*SER_hh_fec!J29/SER_hh_num!J29)</f>
        <v>59302.711961163033</v>
      </c>
      <c r="K29" s="130">
        <f>IF(SER_hh_fec!K29=0,0,11630*1000*SER_hh_fec!K29/SER_hh_num!K29)</f>
        <v>58442.892467819795</v>
      </c>
      <c r="L29" s="130">
        <f>IF(SER_hh_fec!L29=0,0,11630*1000*SER_hh_fec!L29/SER_hh_num!L29)</f>
        <v>58900.943041144725</v>
      </c>
      <c r="M29" s="130">
        <f>IF(SER_hh_fec!M29=0,0,11630*1000*SER_hh_fec!M29/SER_hh_num!M29)</f>
        <v>57960.860042161381</v>
      </c>
      <c r="N29" s="130">
        <f>IF(SER_hh_fec!N29=0,0,11630*1000*SER_hh_fec!N29/SER_hh_num!N29)</f>
        <v>58461.518761086918</v>
      </c>
      <c r="O29" s="130">
        <f>IF(SER_hh_fec!O29=0,0,11630*1000*SER_hh_fec!O29/SER_hh_num!O29)</f>
        <v>60263.512134945981</v>
      </c>
      <c r="P29" s="130">
        <f>IF(SER_hh_fec!P29=0,0,11630*1000*SER_hh_fec!P29/SER_hh_num!P29)</f>
        <v>60798.240997487992</v>
      </c>
      <c r="Q29" s="130">
        <f>IF(SER_hh_fec!Q29=0,0,11630*1000*SER_hh_fec!Q29/SER_hh_num!Q29)</f>
        <v>61844.470542331437</v>
      </c>
      <c r="R29" s="130">
        <f>IF(SER_hh_fec!R29=0,0,11630*1000*SER_hh_fec!R29/SER_hh_num!R29)</f>
        <v>59551.714255414387</v>
      </c>
      <c r="S29" s="130">
        <f>IF(SER_hh_fec!S29=0,0,11630*1000*SER_hh_fec!S29/SER_hh_num!S29)</f>
        <v>58335.506414901982</v>
      </c>
      <c r="T29" s="130">
        <f>IF(SER_hh_fec!T29=0,0,11630*1000*SER_hh_fec!T29/SER_hh_num!T29)</f>
        <v>58330.367420279872</v>
      </c>
      <c r="U29" s="130">
        <f>IF(SER_hh_fec!U29=0,0,11630*1000*SER_hh_fec!U29/SER_hh_num!U29)</f>
        <v>58022.39531206723</v>
      </c>
      <c r="V29" s="130">
        <f>IF(SER_hh_fec!V29=0,0,11630*1000*SER_hh_fec!V29/SER_hh_num!V29)</f>
        <v>52321.0927815662</v>
      </c>
      <c r="W29" s="130">
        <f>IF(SER_hh_fec!W29=0,0,11630*1000*SER_hh_fec!W29/SER_hh_num!W29)</f>
        <v>54734.213581639196</v>
      </c>
      <c r="X29" s="130">
        <f>IF(SER_hh_fec!X29=0,0,11630*1000*SER_hh_fec!X29/SER_hh_num!X29)</f>
        <v>57049.710563919944</v>
      </c>
      <c r="Y29" s="130">
        <f>IF(SER_hh_fec!Y29=0,0,11630*1000*SER_hh_fec!Y29/SER_hh_num!Y29)</f>
        <v>57857.180055743062</v>
      </c>
      <c r="DA29" s="155" t="s">
        <v>409</v>
      </c>
    </row>
    <row r="30" spans="1:105" ht="12" customHeight="1" x14ac:dyDescent="0.25">
      <c r="A30" s="131" t="s">
        <v>52</v>
      </c>
      <c r="B30" s="132">
        <f>IF(SER_hh_fec!B30=0,0,11630*1000*SER_hh_fec!B30/SER_hh_num!B30)</f>
        <v>95496.158666158022</v>
      </c>
      <c r="C30" s="132">
        <f>IF(SER_hh_fec!C30=0,0,11630*1000*SER_hh_fec!C30/SER_hh_num!C30)</f>
        <v>37186.400216452683</v>
      </c>
      <c r="D30" s="132">
        <f>IF(SER_hh_fec!D30=0,0,11630*1000*SER_hh_fec!D30/SER_hh_num!D30)</f>
        <v>16352.128128221006</v>
      </c>
      <c r="E30" s="132">
        <f>IF(SER_hh_fec!E30=0,0,11630*1000*SER_hh_fec!E30/SER_hh_num!E30)</f>
        <v>49178.761265819201</v>
      </c>
      <c r="F30" s="132">
        <f>IF(SER_hh_fec!F30=0,0,11630*1000*SER_hh_fec!F30/SER_hh_num!F30)</f>
        <v>74995.947446018268</v>
      </c>
      <c r="G30" s="132">
        <f>IF(SER_hh_fec!G30=0,0,11630*1000*SER_hh_fec!G30/SER_hh_num!G30)</f>
        <v>90518.093432213675</v>
      </c>
      <c r="H30" s="132">
        <f>IF(SER_hh_fec!H30=0,0,11630*1000*SER_hh_fec!H30/SER_hh_num!H30)</f>
        <v>37538.46954274772</v>
      </c>
      <c r="I30" s="132">
        <f>IF(SER_hh_fec!I30=0,0,11630*1000*SER_hh_fec!I30/SER_hh_num!I30)</f>
        <v>115055.90698345963</v>
      </c>
      <c r="J30" s="132">
        <f>IF(SER_hh_fec!J30=0,0,11630*1000*SER_hh_fec!J30/SER_hh_num!J30)</f>
        <v>40865.690192750357</v>
      </c>
      <c r="K30" s="132">
        <f>IF(SER_hh_fec!K30=0,0,11630*1000*SER_hh_fec!K30/SER_hh_num!K30)</f>
        <v>33712.139541962038</v>
      </c>
      <c r="L30" s="132">
        <f>IF(SER_hh_fec!L30=0,0,11630*1000*SER_hh_fec!L30/SER_hh_num!L30)</f>
        <v>80845.571023677097</v>
      </c>
      <c r="M30" s="132">
        <f>IF(SER_hh_fec!M30=0,0,11630*1000*SER_hh_fec!M30/SER_hh_num!M30)</f>
        <v>57278.288609215313</v>
      </c>
      <c r="N30" s="132">
        <f>IF(SER_hh_fec!N30=0,0,11630*1000*SER_hh_fec!N30/SER_hh_num!N30)</f>
        <v>66403.604396721159</v>
      </c>
      <c r="O30" s="132">
        <f>IF(SER_hh_fec!O30=0,0,11630*1000*SER_hh_fec!O30/SER_hh_num!O30)</f>
        <v>67261.928218100453</v>
      </c>
      <c r="P30" s="132">
        <f>IF(SER_hh_fec!P30=0,0,11630*1000*SER_hh_fec!P30/SER_hh_num!P30)</f>
        <v>73011.756731179717</v>
      </c>
      <c r="Q30" s="132">
        <f>IF(SER_hh_fec!Q30=0,0,11630*1000*SER_hh_fec!Q30/SER_hh_num!Q30)</f>
        <v>81029.252355248478</v>
      </c>
      <c r="R30" s="132">
        <f>IF(SER_hh_fec!R30=0,0,11630*1000*SER_hh_fec!R30/SER_hh_num!R30)</f>
        <v>71446.65125582875</v>
      </c>
      <c r="S30" s="132">
        <f>IF(SER_hh_fec!S30=0,0,11630*1000*SER_hh_fec!S30/SER_hh_num!S30)</f>
        <v>69380.223140991206</v>
      </c>
      <c r="T30" s="132">
        <f>IF(SER_hh_fec!T30=0,0,11630*1000*SER_hh_fec!T30/SER_hh_num!T30)</f>
        <v>71201.477465627657</v>
      </c>
      <c r="U30" s="132">
        <f>IF(SER_hh_fec!U30=0,0,11630*1000*SER_hh_fec!U30/SER_hh_num!U30)</f>
        <v>70703.110015886239</v>
      </c>
      <c r="V30" s="132">
        <f>IF(SER_hh_fec!V30=0,0,11630*1000*SER_hh_fec!V30/SER_hh_num!V30)</f>
        <v>65405.885990967239</v>
      </c>
      <c r="W30" s="132">
        <f>IF(SER_hh_fec!W30=0,0,11630*1000*SER_hh_fec!W30/SER_hh_num!W30)</f>
        <v>68872.565211359397</v>
      </c>
      <c r="X30" s="132">
        <f>IF(SER_hh_fec!X30=0,0,11630*1000*SER_hh_fec!X30/SER_hh_num!X30)</f>
        <v>73158.894886456386</v>
      </c>
      <c r="Y30" s="132">
        <f>IF(SER_hh_fec!Y30=0,0,11630*1000*SER_hh_fec!Y30/SER_hh_num!Y30)</f>
        <v>69836.004362700449</v>
      </c>
      <c r="DA30" s="156" t="s">
        <v>410</v>
      </c>
    </row>
    <row r="31" spans="1:105" ht="12" customHeight="1" x14ac:dyDescent="0.25">
      <c r="A31" s="131" t="s">
        <v>149</v>
      </c>
      <c r="B31" s="132">
        <f>IF(SER_hh_fec!B31=0,0,11630*1000*SER_hh_fec!B31/SER_hh_num!B31)</f>
        <v>52773.212516781197</v>
      </c>
      <c r="C31" s="132">
        <f>IF(SER_hh_fec!C31=0,0,11630*1000*SER_hh_fec!C31/SER_hh_num!C31)</f>
        <v>55521.932808350815</v>
      </c>
      <c r="D31" s="132">
        <f>IF(SER_hh_fec!D31=0,0,11630*1000*SER_hh_fec!D31/SER_hh_num!D31)</f>
        <v>31861.893742217751</v>
      </c>
      <c r="E31" s="132">
        <f>IF(SER_hh_fec!E31=0,0,11630*1000*SER_hh_fec!E31/SER_hh_num!E31)</f>
        <v>52498.366108733877</v>
      </c>
      <c r="F31" s="132">
        <f>IF(SER_hh_fec!F31=0,0,11630*1000*SER_hh_fec!F31/SER_hh_num!F31)</f>
        <v>70046.412112847363</v>
      </c>
      <c r="G31" s="132">
        <f>IF(SER_hh_fec!G31=0,0,11630*1000*SER_hh_fec!G31/SER_hh_num!G31)</f>
        <v>57028.066747336219</v>
      </c>
      <c r="H31" s="132">
        <f>IF(SER_hh_fec!H31=0,0,11630*1000*SER_hh_fec!H31/SER_hh_num!H31)</f>
        <v>78156.26899686351</v>
      </c>
      <c r="I31" s="132">
        <f>IF(SER_hh_fec!I31=0,0,11630*1000*SER_hh_fec!I31/SER_hh_num!I31)</f>
        <v>59323.504793709842</v>
      </c>
      <c r="J31" s="132">
        <f>IF(SER_hh_fec!J31=0,0,11630*1000*SER_hh_fec!J31/SER_hh_num!J31)</f>
        <v>64652.172348384913</v>
      </c>
      <c r="K31" s="132">
        <f>IF(SER_hh_fec!K31=0,0,11630*1000*SER_hh_fec!K31/SER_hh_num!K31)</f>
        <v>67471.91316169803</v>
      </c>
      <c r="L31" s="132">
        <f>IF(SER_hh_fec!L31=0,0,11630*1000*SER_hh_fec!L31/SER_hh_num!L31)</f>
        <v>67659.983040347957</v>
      </c>
      <c r="M31" s="132">
        <f>IF(SER_hh_fec!M31=0,0,11630*1000*SER_hh_fec!M31/SER_hh_num!M31)</f>
        <v>68103.131269243866</v>
      </c>
      <c r="N31" s="132">
        <f>IF(SER_hh_fec!N31=0,0,11630*1000*SER_hh_fec!N31/SER_hh_num!N31)</f>
        <v>68056.91408738977</v>
      </c>
      <c r="O31" s="132">
        <f>IF(SER_hh_fec!O31=0,0,11630*1000*SER_hh_fec!O31/SER_hh_num!O31)</f>
        <v>70090.341636057303</v>
      </c>
      <c r="P31" s="132">
        <f>IF(SER_hh_fec!P31=0,0,11630*1000*SER_hh_fec!P31/SER_hh_num!P31)</f>
        <v>69244.19767352716</v>
      </c>
      <c r="Q31" s="132">
        <f>IF(SER_hh_fec!Q31=0,0,11630*1000*SER_hh_fec!Q31/SER_hh_num!Q31)</f>
        <v>72512.599222366523</v>
      </c>
      <c r="R31" s="132">
        <f>IF(SER_hh_fec!R31=0,0,11630*1000*SER_hh_fec!R31/SER_hh_num!R31)</f>
        <v>68674.467506099987</v>
      </c>
      <c r="S31" s="132">
        <f>IF(SER_hh_fec!S31=0,0,11630*1000*SER_hh_fec!S31/SER_hh_num!S31)</f>
        <v>71541.855477380013</v>
      </c>
      <c r="T31" s="132">
        <f>IF(SER_hh_fec!T31=0,0,11630*1000*SER_hh_fec!T31/SER_hh_num!T31)</f>
        <v>68801.897086194338</v>
      </c>
      <c r="U31" s="132">
        <f>IF(SER_hh_fec!U31=0,0,11630*1000*SER_hh_fec!U31/SER_hh_num!U31)</f>
        <v>68474.152655524114</v>
      </c>
      <c r="V31" s="132">
        <f>IF(SER_hh_fec!V31=0,0,11630*1000*SER_hh_fec!V31/SER_hh_num!V31)</f>
        <v>64753.62149092678</v>
      </c>
      <c r="W31" s="132">
        <f>IF(SER_hh_fec!W31=0,0,11630*1000*SER_hh_fec!W31/SER_hh_num!W31)</f>
        <v>67107.747306628662</v>
      </c>
      <c r="X31" s="132">
        <f>IF(SER_hh_fec!X31=0,0,11630*1000*SER_hh_fec!X31/SER_hh_num!X31)</f>
        <v>69456.647887973755</v>
      </c>
      <c r="Y31" s="132">
        <f>IF(SER_hh_fec!Y31=0,0,11630*1000*SER_hh_fec!Y31/SER_hh_num!Y31)</f>
        <v>71808.519200374882</v>
      </c>
      <c r="DA31" s="156" t="s">
        <v>411</v>
      </c>
    </row>
    <row r="32" spans="1:105" ht="12" customHeight="1" x14ac:dyDescent="0.25">
      <c r="A32" s="131" t="s">
        <v>128</v>
      </c>
      <c r="B32" s="132">
        <f>IF(SER_hh_fec!B32=0,0,11630*1000*SER_hh_fec!B32/SER_hh_num!B32)</f>
        <v>0</v>
      </c>
      <c r="C32" s="132">
        <f>IF(SER_hh_fec!C32=0,0,11630*1000*SER_hh_fec!C32/SER_hh_num!C32)</f>
        <v>0</v>
      </c>
      <c r="D32" s="132">
        <f>IF(SER_hh_fec!D32=0,0,11630*1000*SER_hh_fec!D32/SER_hh_num!D32)</f>
        <v>0</v>
      </c>
      <c r="E32" s="132">
        <f>IF(SER_hh_fec!E32=0,0,11630*1000*SER_hh_fec!E32/SER_hh_num!E32)</f>
        <v>0</v>
      </c>
      <c r="F32" s="132">
        <f>IF(SER_hh_fec!F32=0,0,11630*1000*SER_hh_fec!F32/SER_hh_num!F32)</f>
        <v>0</v>
      </c>
      <c r="G32" s="132">
        <f>IF(SER_hh_fec!G32=0,0,11630*1000*SER_hh_fec!G32/SER_hh_num!G32)</f>
        <v>0</v>
      </c>
      <c r="H32" s="132">
        <f>IF(SER_hh_fec!H32=0,0,11630*1000*SER_hh_fec!H32/SER_hh_num!H32)</f>
        <v>0</v>
      </c>
      <c r="I32" s="132">
        <f>IF(SER_hh_fec!I32=0,0,11630*1000*SER_hh_fec!I32/SER_hh_num!I32)</f>
        <v>0</v>
      </c>
      <c r="J32" s="132">
        <f>IF(SER_hh_fec!J32=0,0,11630*1000*SER_hh_fec!J32/SER_hh_num!J32)</f>
        <v>0</v>
      </c>
      <c r="K32" s="132">
        <f>IF(SER_hh_fec!K32=0,0,11630*1000*SER_hh_fec!K32/SER_hh_num!K32)</f>
        <v>0</v>
      </c>
      <c r="L32" s="132">
        <f>IF(SER_hh_fec!L32=0,0,11630*1000*SER_hh_fec!L32/SER_hh_num!L32)</f>
        <v>0</v>
      </c>
      <c r="M32" s="132">
        <f>IF(SER_hh_fec!M32=0,0,11630*1000*SER_hh_fec!M32/SER_hh_num!M32)</f>
        <v>0</v>
      </c>
      <c r="N32" s="132">
        <f>IF(SER_hh_fec!N32=0,0,11630*1000*SER_hh_fec!N32/SER_hh_num!N32)</f>
        <v>0</v>
      </c>
      <c r="O32" s="132">
        <f>IF(SER_hh_fec!O32=0,0,11630*1000*SER_hh_fec!O32/SER_hh_num!O32)</f>
        <v>0</v>
      </c>
      <c r="P32" s="132">
        <f>IF(SER_hh_fec!P32=0,0,11630*1000*SER_hh_fec!P32/SER_hh_num!P32)</f>
        <v>0</v>
      </c>
      <c r="Q32" s="132">
        <f>IF(SER_hh_fec!Q32=0,0,11630*1000*SER_hh_fec!Q32/SER_hh_num!Q32)</f>
        <v>0</v>
      </c>
      <c r="R32" s="132">
        <f>IF(SER_hh_fec!R32=0,0,11630*1000*SER_hh_fec!R32/SER_hh_num!R32)</f>
        <v>0</v>
      </c>
      <c r="S32" s="132">
        <f>IF(SER_hh_fec!S32=0,0,11630*1000*SER_hh_fec!S32/SER_hh_num!S32)</f>
        <v>0</v>
      </c>
      <c r="T32" s="132">
        <f>IF(SER_hh_fec!T32=0,0,11630*1000*SER_hh_fec!T32/SER_hh_num!T32)</f>
        <v>0</v>
      </c>
      <c r="U32" s="132">
        <f>IF(SER_hh_fec!U32=0,0,11630*1000*SER_hh_fec!U32/SER_hh_num!U32)</f>
        <v>0</v>
      </c>
      <c r="V32" s="132">
        <f>IF(SER_hh_fec!V32=0,0,11630*1000*SER_hh_fec!V32/SER_hh_num!V32)</f>
        <v>0</v>
      </c>
      <c r="W32" s="132">
        <f>IF(SER_hh_fec!W32=0,0,11630*1000*SER_hh_fec!W32/SER_hh_num!W32)</f>
        <v>0</v>
      </c>
      <c r="X32" s="132">
        <f>IF(SER_hh_fec!X32=0,0,11630*1000*SER_hh_fec!X32/SER_hh_num!X32)</f>
        <v>0</v>
      </c>
      <c r="Y32" s="132">
        <f>IF(SER_hh_fec!Y32=0,0,11630*1000*SER_hh_fec!Y32/SER_hh_num!Y32)</f>
        <v>0</v>
      </c>
      <c r="DA32" s="156" t="s">
        <v>412</v>
      </c>
    </row>
    <row r="33" spans="1:105" ht="12" customHeight="1" x14ac:dyDescent="0.25">
      <c r="A33" s="62" t="s">
        <v>24</v>
      </c>
      <c r="B33" s="68">
        <f>IF(SER_hh_fec!B33=0,0,11630*1000*SER_hh_fec!B33/SER_hh_num!B33)</f>
        <v>43677.802835113434</v>
      </c>
      <c r="C33" s="68">
        <f>IF(SER_hh_fec!C33=0,0,11630*1000*SER_hh_fec!C33/SER_hh_num!C33)</f>
        <v>47393.327785268288</v>
      </c>
      <c r="D33" s="68">
        <f>IF(SER_hh_fec!D33=0,0,11630*1000*SER_hh_fec!D33/SER_hh_num!D33)</f>
        <v>41896.678464296572</v>
      </c>
      <c r="E33" s="68">
        <f>IF(SER_hh_fec!E33=0,0,11630*1000*SER_hh_fec!E33/SER_hh_num!E33)</f>
        <v>49079.235116027216</v>
      </c>
      <c r="F33" s="68">
        <f>IF(SER_hh_fec!F33=0,0,11630*1000*SER_hh_fec!F33/SER_hh_num!F33)</f>
        <v>11339.999061084483</v>
      </c>
      <c r="G33" s="68">
        <f>IF(SER_hh_fec!G33=0,0,11630*1000*SER_hh_fec!G33/SER_hh_num!G33)</f>
        <v>28778.654213250571</v>
      </c>
      <c r="H33" s="68">
        <f>IF(SER_hh_fec!H33=0,0,11630*1000*SER_hh_fec!H33/SER_hh_num!H33)</f>
        <v>41549.571717386898</v>
      </c>
      <c r="I33" s="68">
        <f>IF(SER_hh_fec!I33=0,0,11630*1000*SER_hh_fec!I33/SER_hh_num!I33)</f>
        <v>24006.122581989075</v>
      </c>
      <c r="J33" s="68">
        <f>IF(SER_hh_fec!J33=0,0,11630*1000*SER_hh_fec!J33/SER_hh_num!J33)</f>
        <v>59519.450845934123</v>
      </c>
      <c r="K33" s="68">
        <f>IF(SER_hh_fec!K33=0,0,11630*1000*SER_hh_fec!K33/SER_hh_num!K33)</f>
        <v>54986.964464771605</v>
      </c>
      <c r="L33" s="68">
        <f>IF(SER_hh_fec!L33=0,0,11630*1000*SER_hh_fec!L33/SER_hh_num!L33)</f>
        <v>50035.927658624627</v>
      </c>
      <c r="M33" s="68">
        <f>IF(SER_hh_fec!M33=0,0,11630*1000*SER_hh_fec!M33/SER_hh_num!M33)</f>
        <v>51386.84656989386</v>
      </c>
      <c r="N33" s="68">
        <f>IF(SER_hh_fec!N33=0,0,11630*1000*SER_hh_fec!N33/SER_hh_num!N33)</f>
        <v>52051.831785703922</v>
      </c>
      <c r="O33" s="68">
        <f>IF(SER_hh_fec!O33=0,0,11630*1000*SER_hh_fec!O33/SER_hh_num!O33)</f>
        <v>54287.999741347638</v>
      </c>
      <c r="P33" s="68">
        <f>IF(SER_hh_fec!P33=0,0,11630*1000*SER_hh_fec!P33/SER_hh_num!P33)</f>
        <v>55129.442472296374</v>
      </c>
      <c r="Q33" s="68">
        <f>IF(SER_hh_fec!Q33=0,0,11630*1000*SER_hh_fec!Q33/SER_hh_num!Q33)</f>
        <v>53995.892032617747</v>
      </c>
      <c r="R33" s="68">
        <f>IF(SER_hh_fec!R33=0,0,11630*1000*SER_hh_fec!R33/SER_hh_num!R33)</f>
        <v>53132.064319710829</v>
      </c>
      <c r="S33" s="68">
        <f>IF(SER_hh_fec!S33=0,0,11630*1000*SER_hh_fec!S33/SER_hh_num!S33)</f>
        <v>49421.905462204384</v>
      </c>
      <c r="T33" s="68">
        <f>IF(SER_hh_fec!T33=0,0,11630*1000*SER_hh_fec!T33/SER_hh_num!T33)</f>
        <v>50747.064945205282</v>
      </c>
      <c r="U33" s="68">
        <f>IF(SER_hh_fec!U33=0,0,11630*1000*SER_hh_fec!U33/SER_hh_num!U33)</f>
        <v>50486.144541148387</v>
      </c>
      <c r="V33" s="68">
        <f>IF(SER_hh_fec!V33=0,0,11630*1000*SER_hh_fec!V33/SER_hh_num!V33)</f>
        <v>43713.504947549802</v>
      </c>
      <c r="W33" s="68">
        <f>IF(SER_hh_fec!W33=0,0,11630*1000*SER_hh_fec!W33/SER_hh_num!W33)</f>
        <v>46524.52703114273</v>
      </c>
      <c r="X33" s="68">
        <f>IF(SER_hh_fec!X33=0,0,11630*1000*SER_hh_fec!X33/SER_hh_num!X33)</f>
        <v>49295.142504837881</v>
      </c>
      <c r="Y33" s="68">
        <f>IF(SER_hh_fec!Y33=0,0,11630*1000*SER_hh_fec!Y33/SER_hh_num!Y33)</f>
        <v>50109.035122769092</v>
      </c>
      <c r="DA33" s="111" t="s">
        <v>413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6">
    <tabColor theme="6" tint="0.39997558519241921"/>
    <pageSetUpPr fitToPage="1"/>
  </sheetPr>
  <dimension ref="A1:DA33"/>
  <sheetViews>
    <sheetView showGridLines="0" zoomScaleNormal="100" workbookViewId="0">
      <pane xSplit="1" ySplit="1" topLeftCell="G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40.7109375" style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12.95" customHeight="1" x14ac:dyDescent="0.25">
      <c r="A1" s="28" t="s">
        <v>414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X1" s="27">
        <v>2022</v>
      </c>
      <c r="Y1" s="27">
        <v>2023</v>
      </c>
      <c r="DA1" s="87" t="s">
        <v>150</v>
      </c>
    </row>
    <row r="2" spans="1:105" s="2" customFormat="1" ht="12" customHeight="1" x14ac:dyDescent="0.25">
      <c r="DA2" s="7"/>
    </row>
    <row r="3" spans="1:105" ht="12.95" customHeight="1" x14ac:dyDescent="0.25">
      <c r="A3" s="123" t="s">
        <v>88</v>
      </c>
      <c r="B3" s="125">
        <f>IF(SER_hh_tes!B3=0,0,11630*1000*SER_hh_tes!B3/SER_hh_num!B3)</f>
        <v>242803.24397337338</v>
      </c>
      <c r="C3" s="125">
        <f>IF(SER_hh_tes!C3=0,0,11630*1000*SER_hh_tes!C3/SER_hh_num!C3)</f>
        <v>282220.92867542728</v>
      </c>
      <c r="D3" s="125">
        <f>IF(SER_hh_tes!D3=0,0,11630*1000*SER_hh_tes!D3/SER_hh_num!D3)</f>
        <v>122988.88790206102</v>
      </c>
      <c r="E3" s="125">
        <f>IF(SER_hh_tes!E3=0,0,11630*1000*SER_hh_tes!E3/SER_hh_num!E3)</f>
        <v>207008.26703561848</v>
      </c>
      <c r="F3" s="125">
        <f>IF(SER_hh_tes!F3=0,0,11630*1000*SER_hh_tes!F3/SER_hh_num!F3)</f>
        <v>214970.42031755269</v>
      </c>
      <c r="G3" s="125">
        <f>IF(SER_hh_tes!G3=0,0,11630*1000*SER_hh_tes!G3/SER_hh_num!G3)</f>
        <v>272395.34422899893</v>
      </c>
      <c r="H3" s="125">
        <f>IF(SER_hh_tes!H3=0,0,11630*1000*SER_hh_tes!H3/SER_hh_num!H3)</f>
        <v>331167.08922759711</v>
      </c>
      <c r="I3" s="125">
        <f>IF(SER_hh_tes!I3=0,0,11630*1000*SER_hh_tes!I3/SER_hh_num!I3)</f>
        <v>282678.63015479682</v>
      </c>
      <c r="J3" s="125">
        <f>IF(SER_hh_tes!J3=0,0,11630*1000*SER_hh_tes!J3/SER_hh_num!J3)</f>
        <v>234687.10276302477</v>
      </c>
      <c r="K3" s="125">
        <f>IF(SER_hh_tes!K3=0,0,11630*1000*SER_hh_tes!K3/SER_hh_num!K3)</f>
        <v>218176.27129263117</v>
      </c>
      <c r="L3" s="125">
        <f>IF(SER_hh_tes!L3=0,0,11630*1000*SER_hh_tes!L3/SER_hh_num!L3)</f>
        <v>227214.48124135152</v>
      </c>
      <c r="M3" s="125">
        <f>IF(SER_hh_tes!M3=0,0,11630*1000*SER_hh_tes!M3/SER_hh_num!M3)</f>
        <v>208625.32271727739</v>
      </c>
      <c r="N3" s="125">
        <f>IF(SER_hh_tes!N3=0,0,11630*1000*SER_hh_tes!N3/SER_hh_num!N3)</f>
        <v>202231.83325945365</v>
      </c>
      <c r="O3" s="125">
        <f>IF(SER_hh_tes!O3=0,0,11630*1000*SER_hh_tes!O3/SER_hh_num!O3)</f>
        <v>190227.85134536531</v>
      </c>
      <c r="P3" s="125">
        <f>IF(SER_hh_tes!P3=0,0,11630*1000*SER_hh_tes!P3/SER_hh_num!P3)</f>
        <v>178915.77054273424</v>
      </c>
      <c r="Q3" s="125">
        <f>IF(SER_hh_tes!Q3=0,0,11630*1000*SER_hh_tes!Q3/SER_hh_num!Q3)</f>
        <v>177284.89687376708</v>
      </c>
      <c r="R3" s="125">
        <f>IF(SER_hh_tes!R3=0,0,11630*1000*SER_hh_tes!R3/SER_hh_num!R3)</f>
        <v>177202.29589184333</v>
      </c>
      <c r="S3" s="125">
        <f>IF(SER_hh_tes!S3=0,0,11630*1000*SER_hh_tes!S3/SER_hh_num!S3)</f>
        <v>181283.84809371392</v>
      </c>
      <c r="T3" s="125">
        <f>IF(SER_hh_tes!T3=0,0,11630*1000*SER_hh_tes!T3/SER_hh_num!T3)</f>
        <v>180874.71667029505</v>
      </c>
      <c r="U3" s="125">
        <f>IF(SER_hh_tes!U3=0,0,11630*1000*SER_hh_tes!U3/SER_hh_num!U3)</f>
        <v>177704.22110933749</v>
      </c>
      <c r="V3" s="125">
        <f>IF(SER_hh_tes!V3=0,0,11630*1000*SER_hh_tes!V3/SER_hh_num!V3)</f>
        <v>162449.41857551408</v>
      </c>
      <c r="W3" s="125">
        <f>IF(SER_hh_tes!W3=0,0,11630*1000*SER_hh_tes!W3/SER_hh_num!W3)</f>
        <v>179418.86536824147</v>
      </c>
      <c r="X3" s="125">
        <f>IF(SER_hh_tes!X3=0,0,11630*1000*SER_hh_tes!X3/SER_hh_num!X3)</f>
        <v>187104.73647777707</v>
      </c>
      <c r="Y3" s="125">
        <f>IF(SER_hh_tes!Y3=0,0,11630*1000*SER_hh_tes!Y3/SER_hh_num!Y3)</f>
        <v>212428.58731020184</v>
      </c>
      <c r="DA3" s="154" t="s">
        <v>415</v>
      </c>
    </row>
    <row r="4" spans="1:105" ht="12.95" customHeight="1" x14ac:dyDescent="0.25">
      <c r="A4" s="129" t="s">
        <v>32</v>
      </c>
      <c r="B4" s="130">
        <f>IF(SER_hh_tes!B4=0,0,11630*1000*SER_hh_tes!B4/SER_hh_num!B4)</f>
        <v>186191.75938090094</v>
      </c>
      <c r="C4" s="130">
        <f>IF(SER_hh_tes!C4=0,0,11630*1000*SER_hh_tes!C4/SER_hh_num!C4)</f>
        <v>224229.1320264547</v>
      </c>
      <c r="D4" s="130">
        <f>IF(SER_hh_tes!D4=0,0,11630*1000*SER_hh_tes!D4/SER_hh_num!D4)</f>
        <v>85896.055318189668</v>
      </c>
      <c r="E4" s="130">
        <f>IF(SER_hh_tes!E4=0,0,11630*1000*SER_hh_tes!E4/SER_hh_num!E4)</f>
        <v>147740.45895756726</v>
      </c>
      <c r="F4" s="130">
        <f>IF(SER_hh_tes!F4=0,0,11630*1000*SER_hh_tes!F4/SER_hh_num!F4)</f>
        <v>150321.30170004899</v>
      </c>
      <c r="G4" s="130">
        <f>IF(SER_hh_tes!G4=0,0,11630*1000*SER_hh_tes!G4/SER_hh_num!G4)</f>
        <v>206022.96653118756</v>
      </c>
      <c r="H4" s="130">
        <f>IF(SER_hh_tes!H4=0,0,11630*1000*SER_hh_tes!H4/SER_hh_num!H4)</f>
        <v>262601.65403041075</v>
      </c>
      <c r="I4" s="130">
        <f>IF(SER_hh_tes!I4=0,0,11630*1000*SER_hh_tes!I4/SER_hh_num!I4)</f>
        <v>211808.90561832962</v>
      </c>
      <c r="J4" s="130">
        <f>IF(SER_hh_tes!J4=0,0,11630*1000*SER_hh_tes!J4/SER_hh_num!J4)</f>
        <v>162512.76084036793</v>
      </c>
      <c r="K4" s="130">
        <f>IF(SER_hh_tes!K4=0,0,11630*1000*SER_hh_tes!K4/SER_hh_num!K4)</f>
        <v>145709.32909044132</v>
      </c>
      <c r="L4" s="130">
        <f>IF(SER_hh_tes!L4=0,0,11630*1000*SER_hh_tes!L4/SER_hh_num!L4)</f>
        <v>154411.76297219284</v>
      </c>
      <c r="M4" s="130">
        <f>IF(SER_hh_tes!M4=0,0,11630*1000*SER_hh_tes!M4/SER_hh_num!M4)</f>
        <v>134959.54986845847</v>
      </c>
      <c r="N4" s="130">
        <f>IF(SER_hh_tes!N4=0,0,11630*1000*SER_hh_tes!N4/SER_hh_num!N4)</f>
        <v>125926.36584878598</v>
      </c>
      <c r="O4" s="130">
        <f>IF(SER_hh_tes!O4=0,0,11630*1000*SER_hh_tes!O4/SER_hh_num!O4)</f>
        <v>113199.95104064305</v>
      </c>
      <c r="P4" s="130">
        <f>IF(SER_hh_tes!P4=0,0,11630*1000*SER_hh_tes!P4/SER_hh_num!P4)</f>
        <v>100956.06757761052</v>
      </c>
      <c r="Q4" s="130">
        <f>IF(SER_hh_tes!Q4=0,0,11630*1000*SER_hh_tes!Q4/SER_hh_num!Q4)</f>
        <v>96862.319731758515</v>
      </c>
      <c r="R4" s="130">
        <f>IF(SER_hh_tes!R4=0,0,11630*1000*SER_hh_tes!R4/SER_hh_num!R4)</f>
        <v>98954.0042990972</v>
      </c>
      <c r="S4" s="130">
        <f>IF(SER_hh_tes!S4=0,0,11630*1000*SER_hh_tes!S4/SER_hh_num!S4)</f>
        <v>103631.08942005789</v>
      </c>
      <c r="T4" s="130">
        <f>IF(SER_hh_tes!T4=0,0,11630*1000*SER_hh_tes!T4/SER_hh_num!T4)</f>
        <v>103884.32481311045</v>
      </c>
      <c r="U4" s="130">
        <f>IF(SER_hh_tes!U4=0,0,11630*1000*SER_hh_tes!U4/SER_hh_num!U4)</f>
        <v>101146.23052884317</v>
      </c>
      <c r="V4" s="130">
        <f>IF(SER_hh_tes!V4=0,0,11630*1000*SER_hh_tes!V4/SER_hh_num!V4)</f>
        <v>91764.552065947166</v>
      </c>
      <c r="W4" s="130">
        <f>IF(SER_hh_tes!W4=0,0,11630*1000*SER_hh_tes!W4/SER_hh_num!W4)</f>
        <v>102543.01528700015</v>
      </c>
      <c r="X4" s="130">
        <f>IF(SER_hh_tes!X4=0,0,11630*1000*SER_hh_tes!X4/SER_hh_num!X4)</f>
        <v>106869.34687871744</v>
      </c>
      <c r="Y4" s="130">
        <f>IF(SER_hh_tes!Y4=0,0,11630*1000*SER_hh_tes!Y4/SER_hh_num!Y4)</f>
        <v>129848.81591425033</v>
      </c>
      <c r="DA4" s="155" t="s">
        <v>416</v>
      </c>
    </row>
    <row r="5" spans="1:105" ht="12" customHeight="1" x14ac:dyDescent="0.25">
      <c r="A5" s="131" t="s">
        <v>29</v>
      </c>
      <c r="B5" s="132">
        <f>IF(SER_hh_tes!B5=0,0,11630*1000*SER_hh_tes!B5/SER_hh_num!B5)</f>
        <v>100066.03882508633</v>
      </c>
      <c r="C5" s="132">
        <f>IF(SER_hh_tes!C5=0,0,11630*1000*SER_hh_tes!C5/SER_hh_num!C5)</f>
        <v>213724.31547392256</v>
      </c>
      <c r="D5" s="132">
        <f>IF(SER_hh_tes!D5=0,0,11630*1000*SER_hh_tes!D5/SER_hh_num!D5)</f>
        <v>137048.14996745219</v>
      </c>
      <c r="E5" s="132">
        <f>IF(SER_hh_tes!E5=0,0,11630*1000*SER_hh_tes!E5/SER_hh_num!E5)</f>
        <v>121181.16431518862</v>
      </c>
      <c r="F5" s="132">
        <f>IF(SER_hh_tes!F5=0,0,11630*1000*SER_hh_tes!F5/SER_hh_num!F5)</f>
        <v>84513.636541346248</v>
      </c>
      <c r="G5" s="132">
        <f>IF(SER_hh_tes!G5=0,0,11630*1000*SER_hh_tes!G5/SER_hh_num!G5)</f>
        <v>52559.620449604859</v>
      </c>
      <c r="H5" s="132">
        <f>IF(SER_hh_tes!H5=0,0,11630*1000*SER_hh_tes!H5/SER_hh_num!H5)</f>
        <v>407431.67445369699</v>
      </c>
      <c r="I5" s="132">
        <f>IF(SER_hh_tes!I5=0,0,11630*1000*SER_hh_tes!I5/SER_hh_num!I5)</f>
        <v>242837.23410981556</v>
      </c>
      <c r="J5" s="132">
        <f>IF(SER_hh_tes!J5=0,0,11630*1000*SER_hh_tes!J5/SER_hh_num!J5)</f>
        <v>96463.77582849763</v>
      </c>
      <c r="K5" s="132">
        <f>IF(SER_hh_tes!K5=0,0,11630*1000*SER_hh_tes!K5/SER_hh_num!K5)</f>
        <v>62903.125297195082</v>
      </c>
      <c r="L5" s="132">
        <f>IF(SER_hh_tes!L5=0,0,11630*1000*SER_hh_tes!L5/SER_hh_num!L5)</f>
        <v>158823.1022730266</v>
      </c>
      <c r="M5" s="132">
        <f>IF(SER_hh_tes!M5=0,0,11630*1000*SER_hh_tes!M5/SER_hh_num!M5)</f>
        <v>172440.91996947484</v>
      </c>
      <c r="N5" s="132">
        <f>IF(SER_hh_tes!N5=0,0,11630*1000*SER_hh_tes!N5/SER_hh_num!N5)</f>
        <v>93148.335772517516</v>
      </c>
      <c r="O5" s="132">
        <f>IF(SER_hh_tes!O5=0,0,11630*1000*SER_hh_tes!O5/SER_hh_num!O5)</f>
        <v>134835.13644573931</v>
      </c>
      <c r="P5" s="132">
        <f>IF(SER_hh_tes!P5=0,0,11630*1000*SER_hh_tes!P5/SER_hh_num!P5)</f>
        <v>84300.946950425481</v>
      </c>
      <c r="Q5" s="132">
        <f>IF(SER_hh_tes!Q5=0,0,11630*1000*SER_hh_tes!Q5/SER_hh_num!Q5)</f>
        <v>88565.556754944046</v>
      </c>
      <c r="R5" s="132">
        <f>IF(SER_hh_tes!R5=0,0,11630*1000*SER_hh_tes!R5/SER_hh_num!R5)</f>
        <v>157712.63371392907</v>
      </c>
      <c r="S5" s="132">
        <f>IF(SER_hh_tes!S5=0,0,11630*1000*SER_hh_tes!S5/SER_hh_num!S5)</f>
        <v>0</v>
      </c>
      <c r="T5" s="132">
        <f>IF(SER_hh_tes!T5=0,0,11630*1000*SER_hh_tes!T5/SER_hh_num!T5)</f>
        <v>152625.68326960542</v>
      </c>
      <c r="U5" s="132">
        <f>IF(SER_hh_tes!U5=0,0,11630*1000*SER_hh_tes!U5/SER_hh_num!U5)</f>
        <v>127584.63067058488</v>
      </c>
      <c r="V5" s="132">
        <f>IF(SER_hh_tes!V5=0,0,11630*1000*SER_hh_tes!V5/SER_hh_num!V5)</f>
        <v>35629.270727777846</v>
      </c>
      <c r="W5" s="132">
        <f>IF(SER_hh_tes!W5=0,0,11630*1000*SER_hh_tes!W5/SER_hh_num!W5)</f>
        <v>96870.158150573829</v>
      </c>
      <c r="X5" s="132">
        <f>IF(SER_hh_tes!X5=0,0,11630*1000*SER_hh_tes!X5/SER_hh_num!X5)</f>
        <v>126012.0954143644</v>
      </c>
      <c r="Y5" s="132">
        <f>IF(SER_hh_tes!Y5=0,0,11630*1000*SER_hh_tes!Y5/SER_hh_num!Y5)</f>
        <v>78861.503450399847</v>
      </c>
      <c r="DA5" s="156" t="s">
        <v>417</v>
      </c>
    </row>
    <row r="6" spans="1:105" ht="12" customHeight="1" x14ac:dyDescent="0.25">
      <c r="A6" s="131" t="s">
        <v>52</v>
      </c>
      <c r="B6" s="132">
        <f>IF(SER_hh_tes!B6=0,0,11630*1000*SER_hh_tes!B6/SER_hh_num!B6)</f>
        <v>0</v>
      </c>
      <c r="C6" s="132">
        <f>IF(SER_hh_tes!C6=0,0,11630*1000*SER_hh_tes!C6/SER_hh_num!C6)</f>
        <v>0</v>
      </c>
      <c r="D6" s="132">
        <f>IF(SER_hh_tes!D6=0,0,11630*1000*SER_hh_tes!D6/SER_hh_num!D6)</f>
        <v>0</v>
      </c>
      <c r="E6" s="132">
        <f>IF(SER_hh_tes!E6=0,0,11630*1000*SER_hh_tes!E6/SER_hh_num!E6)</f>
        <v>0</v>
      </c>
      <c r="F6" s="132">
        <f>IF(SER_hh_tes!F6=0,0,11630*1000*SER_hh_tes!F6/SER_hh_num!F6)</f>
        <v>0</v>
      </c>
      <c r="G6" s="132">
        <f>IF(SER_hh_tes!G6=0,0,11630*1000*SER_hh_tes!G6/SER_hh_num!G6)</f>
        <v>0</v>
      </c>
      <c r="H6" s="132">
        <f>IF(SER_hh_tes!H6=0,0,11630*1000*SER_hh_tes!H6/SER_hh_num!H6)</f>
        <v>0</v>
      </c>
      <c r="I6" s="132">
        <f>IF(SER_hh_tes!I6=0,0,11630*1000*SER_hh_tes!I6/SER_hh_num!I6)</f>
        <v>0</v>
      </c>
      <c r="J6" s="132">
        <f>IF(SER_hh_tes!J6=0,0,11630*1000*SER_hh_tes!J6/SER_hh_num!J6)</f>
        <v>0</v>
      </c>
      <c r="K6" s="132">
        <f>IF(SER_hh_tes!K6=0,0,11630*1000*SER_hh_tes!K6/SER_hh_num!K6)</f>
        <v>0</v>
      </c>
      <c r="L6" s="132">
        <f>IF(SER_hh_tes!L6=0,0,11630*1000*SER_hh_tes!L6/SER_hh_num!L6)</f>
        <v>0</v>
      </c>
      <c r="M6" s="132">
        <f>IF(SER_hh_tes!M6=0,0,11630*1000*SER_hh_tes!M6/SER_hh_num!M6)</f>
        <v>0</v>
      </c>
      <c r="N6" s="132">
        <f>IF(SER_hh_tes!N6=0,0,11630*1000*SER_hh_tes!N6/SER_hh_num!N6)</f>
        <v>0</v>
      </c>
      <c r="O6" s="132">
        <f>IF(SER_hh_tes!O6=0,0,11630*1000*SER_hh_tes!O6/SER_hh_num!O6)</f>
        <v>0</v>
      </c>
      <c r="P6" s="132">
        <f>IF(SER_hh_tes!P6=0,0,11630*1000*SER_hh_tes!P6/SER_hh_num!P6)</f>
        <v>0</v>
      </c>
      <c r="Q6" s="132">
        <f>IF(SER_hh_tes!Q6=0,0,11630*1000*SER_hh_tes!Q6/SER_hh_num!Q6)</f>
        <v>0</v>
      </c>
      <c r="R6" s="132">
        <f>IF(SER_hh_tes!R6=0,0,11630*1000*SER_hh_tes!R6/SER_hh_num!R6)</f>
        <v>0</v>
      </c>
      <c r="S6" s="132">
        <f>IF(SER_hh_tes!S6=0,0,11630*1000*SER_hh_tes!S6/SER_hh_num!S6)</f>
        <v>0</v>
      </c>
      <c r="T6" s="132">
        <f>IF(SER_hh_tes!T6=0,0,11630*1000*SER_hh_tes!T6/SER_hh_num!T6)</f>
        <v>0</v>
      </c>
      <c r="U6" s="132">
        <f>IF(SER_hh_tes!U6=0,0,11630*1000*SER_hh_tes!U6/SER_hh_num!U6)</f>
        <v>0</v>
      </c>
      <c r="V6" s="132">
        <f>IF(SER_hh_tes!V6=0,0,11630*1000*SER_hh_tes!V6/SER_hh_num!V6)</f>
        <v>0</v>
      </c>
      <c r="W6" s="132">
        <f>IF(SER_hh_tes!W6=0,0,11630*1000*SER_hh_tes!W6/SER_hh_num!W6)</f>
        <v>0</v>
      </c>
      <c r="X6" s="132">
        <f>IF(SER_hh_tes!X6=0,0,11630*1000*SER_hh_tes!X6/SER_hh_num!X6)</f>
        <v>0</v>
      </c>
      <c r="Y6" s="132">
        <f>IF(SER_hh_tes!Y6=0,0,11630*1000*SER_hh_tes!Y6/SER_hh_num!Y6)</f>
        <v>0</v>
      </c>
      <c r="DA6" s="156" t="s">
        <v>418</v>
      </c>
    </row>
    <row r="7" spans="1:105" ht="12" customHeight="1" x14ac:dyDescent="0.25">
      <c r="A7" s="131" t="s">
        <v>161</v>
      </c>
      <c r="B7" s="132">
        <f>IF(SER_hh_tes!B7=0,0,11630*1000*SER_hh_tes!B7/SER_hh_num!B7)</f>
        <v>165121.99855301215</v>
      </c>
      <c r="C7" s="132">
        <f>IF(SER_hh_tes!C7=0,0,11630*1000*SER_hh_tes!C7/SER_hh_num!C7)</f>
        <v>117465.87266655787</v>
      </c>
      <c r="D7" s="132">
        <f>IF(SER_hh_tes!D7=0,0,11630*1000*SER_hh_tes!D7/SER_hh_num!D7)</f>
        <v>124798.04129129737</v>
      </c>
      <c r="E7" s="132">
        <f>IF(SER_hh_tes!E7=0,0,11630*1000*SER_hh_tes!E7/SER_hh_num!E7)</f>
        <v>111650.33832341334</v>
      </c>
      <c r="F7" s="132">
        <f>IF(SER_hh_tes!F7=0,0,11630*1000*SER_hh_tes!F7/SER_hh_num!F7)</f>
        <v>191351.07167056779</v>
      </c>
      <c r="G7" s="132">
        <f>IF(SER_hh_tes!G7=0,0,11630*1000*SER_hh_tes!G7/SER_hh_num!G7)</f>
        <v>212596.59769533025</v>
      </c>
      <c r="H7" s="132">
        <f>IF(SER_hh_tes!H7=0,0,11630*1000*SER_hh_tes!H7/SER_hh_num!H7)</f>
        <v>151567.1259729442</v>
      </c>
      <c r="I7" s="132">
        <f>IF(SER_hh_tes!I7=0,0,11630*1000*SER_hh_tes!I7/SER_hh_num!I7)</f>
        <v>241021.45721518446</v>
      </c>
      <c r="J7" s="132">
        <f>IF(SER_hh_tes!J7=0,0,11630*1000*SER_hh_tes!J7/SER_hh_num!J7)</f>
        <v>201858.47061214739</v>
      </c>
      <c r="K7" s="132">
        <f>IF(SER_hh_tes!K7=0,0,11630*1000*SER_hh_tes!K7/SER_hh_num!K7)</f>
        <v>94851.52762256228</v>
      </c>
      <c r="L7" s="132">
        <f>IF(SER_hh_tes!L7=0,0,11630*1000*SER_hh_tes!L7/SER_hh_num!L7)</f>
        <v>98040.897569634821</v>
      </c>
      <c r="M7" s="132">
        <f>IF(SER_hh_tes!M7=0,0,11630*1000*SER_hh_tes!M7/SER_hh_num!M7)</f>
        <v>170270.78476974729</v>
      </c>
      <c r="N7" s="132">
        <f>IF(SER_hh_tes!N7=0,0,11630*1000*SER_hh_tes!N7/SER_hh_num!N7)</f>
        <v>134627.69551887002</v>
      </c>
      <c r="O7" s="132">
        <f>IF(SER_hh_tes!O7=0,0,11630*1000*SER_hh_tes!O7/SER_hh_num!O7)</f>
        <v>102014.4394959128</v>
      </c>
      <c r="P7" s="132">
        <f>IF(SER_hh_tes!P7=0,0,11630*1000*SER_hh_tes!P7/SER_hh_num!P7)</f>
        <v>93318.20897937601</v>
      </c>
      <c r="Q7" s="132">
        <f>IF(SER_hh_tes!Q7=0,0,11630*1000*SER_hh_tes!Q7/SER_hh_num!Q7)</f>
        <v>93227.761907061315</v>
      </c>
      <c r="R7" s="132">
        <f>IF(SER_hh_tes!R7=0,0,11630*1000*SER_hh_tes!R7/SER_hh_num!R7)</f>
        <v>88721.530868912887</v>
      </c>
      <c r="S7" s="132">
        <f>IF(SER_hh_tes!S7=0,0,11630*1000*SER_hh_tes!S7/SER_hh_num!S7)</f>
        <v>106366.57021071072</v>
      </c>
      <c r="T7" s="132">
        <f>IF(SER_hh_tes!T7=0,0,11630*1000*SER_hh_tes!T7/SER_hh_num!T7)</f>
        <v>106104.72293882513</v>
      </c>
      <c r="U7" s="132">
        <f>IF(SER_hh_tes!U7=0,0,11630*1000*SER_hh_tes!U7/SER_hh_num!U7)</f>
        <v>97390.357124556409</v>
      </c>
      <c r="V7" s="132">
        <f>IF(SER_hh_tes!V7=0,0,11630*1000*SER_hh_tes!V7/SER_hh_num!V7)</f>
        <v>80813.737552739476</v>
      </c>
      <c r="W7" s="132">
        <f>IF(SER_hh_tes!W7=0,0,11630*1000*SER_hh_tes!W7/SER_hh_num!W7)</f>
        <v>112323.13219474233</v>
      </c>
      <c r="X7" s="132">
        <f>IF(SER_hh_tes!X7=0,0,11630*1000*SER_hh_tes!X7/SER_hh_num!X7)</f>
        <v>114803.90471069068</v>
      </c>
      <c r="Y7" s="132">
        <f>IF(SER_hh_tes!Y7=0,0,11630*1000*SER_hh_tes!Y7/SER_hh_num!Y7)</f>
        <v>120492.60837257614</v>
      </c>
      <c r="DA7" s="156" t="s">
        <v>419</v>
      </c>
    </row>
    <row r="8" spans="1:105" ht="12" customHeight="1" x14ac:dyDescent="0.25">
      <c r="A8" s="131" t="s">
        <v>73</v>
      </c>
      <c r="B8" s="132">
        <f>IF(SER_hh_tes!B8=0,0,11630*1000*SER_hh_tes!B8/SER_hh_num!B8)</f>
        <v>0</v>
      </c>
      <c r="C8" s="132">
        <f>IF(SER_hh_tes!C8=0,0,11630*1000*SER_hh_tes!C8/SER_hh_num!C8)</f>
        <v>0</v>
      </c>
      <c r="D8" s="132">
        <f>IF(SER_hh_tes!D8=0,0,11630*1000*SER_hh_tes!D8/SER_hh_num!D8)</f>
        <v>0</v>
      </c>
      <c r="E8" s="132">
        <f>IF(SER_hh_tes!E8=0,0,11630*1000*SER_hh_tes!E8/SER_hh_num!E8)</f>
        <v>0</v>
      </c>
      <c r="F8" s="132">
        <f>IF(SER_hh_tes!F8=0,0,11630*1000*SER_hh_tes!F8/SER_hh_num!F8)</f>
        <v>0</v>
      </c>
      <c r="G8" s="132">
        <f>IF(SER_hh_tes!G8=0,0,11630*1000*SER_hh_tes!G8/SER_hh_num!G8)</f>
        <v>0</v>
      </c>
      <c r="H8" s="132">
        <f>IF(SER_hh_tes!H8=0,0,11630*1000*SER_hh_tes!H8/SER_hh_num!H8)</f>
        <v>0</v>
      </c>
      <c r="I8" s="132">
        <f>IF(SER_hh_tes!I8=0,0,11630*1000*SER_hh_tes!I8/SER_hh_num!I8)</f>
        <v>0</v>
      </c>
      <c r="J8" s="132">
        <f>IF(SER_hh_tes!J8=0,0,11630*1000*SER_hh_tes!J8/SER_hh_num!J8)</f>
        <v>0</v>
      </c>
      <c r="K8" s="132">
        <f>IF(SER_hh_tes!K8=0,0,11630*1000*SER_hh_tes!K8/SER_hh_num!K8)</f>
        <v>0</v>
      </c>
      <c r="L8" s="132">
        <f>IF(SER_hh_tes!L8=0,0,11630*1000*SER_hh_tes!L8/SER_hh_num!L8)</f>
        <v>0</v>
      </c>
      <c r="M8" s="132">
        <f>IF(SER_hh_tes!M8=0,0,11630*1000*SER_hh_tes!M8/SER_hh_num!M8)</f>
        <v>0</v>
      </c>
      <c r="N8" s="132">
        <f>IF(SER_hh_tes!N8=0,0,11630*1000*SER_hh_tes!N8/SER_hh_num!N8)</f>
        <v>0</v>
      </c>
      <c r="O8" s="132">
        <f>IF(SER_hh_tes!O8=0,0,11630*1000*SER_hh_tes!O8/SER_hh_num!O8)</f>
        <v>0</v>
      </c>
      <c r="P8" s="132">
        <f>IF(SER_hh_tes!P8=0,0,11630*1000*SER_hh_tes!P8/SER_hh_num!P8)</f>
        <v>0</v>
      </c>
      <c r="Q8" s="132">
        <f>IF(SER_hh_tes!Q8=0,0,11630*1000*SER_hh_tes!Q8/SER_hh_num!Q8)</f>
        <v>0</v>
      </c>
      <c r="R8" s="132">
        <f>IF(SER_hh_tes!R8=0,0,11630*1000*SER_hh_tes!R8/SER_hh_num!R8)</f>
        <v>0</v>
      </c>
      <c r="S8" s="132">
        <f>IF(SER_hh_tes!S8=0,0,11630*1000*SER_hh_tes!S8/SER_hh_num!S8)</f>
        <v>0</v>
      </c>
      <c r="T8" s="132">
        <f>IF(SER_hh_tes!T8=0,0,11630*1000*SER_hh_tes!T8/SER_hh_num!T8)</f>
        <v>0</v>
      </c>
      <c r="U8" s="132">
        <f>IF(SER_hh_tes!U8=0,0,11630*1000*SER_hh_tes!U8/SER_hh_num!U8)</f>
        <v>0</v>
      </c>
      <c r="V8" s="132">
        <f>IF(SER_hh_tes!V8=0,0,11630*1000*SER_hh_tes!V8/SER_hh_num!V8)</f>
        <v>0</v>
      </c>
      <c r="W8" s="132">
        <f>IF(SER_hh_tes!W8=0,0,11630*1000*SER_hh_tes!W8/SER_hh_num!W8)</f>
        <v>0</v>
      </c>
      <c r="X8" s="132">
        <f>IF(SER_hh_tes!X8=0,0,11630*1000*SER_hh_tes!X8/SER_hh_num!X8)</f>
        <v>0</v>
      </c>
      <c r="Y8" s="132">
        <f>IF(SER_hh_tes!Y8=0,0,11630*1000*SER_hh_tes!Y8/SER_hh_num!Y8)</f>
        <v>0</v>
      </c>
      <c r="DA8" s="156" t="s">
        <v>420</v>
      </c>
    </row>
    <row r="9" spans="1:105" ht="12" customHeight="1" x14ac:dyDescent="0.25">
      <c r="A9" s="131" t="s">
        <v>78</v>
      </c>
      <c r="B9" s="132">
        <f>IF(SER_hh_tes!B9=0,0,11630*1000*SER_hh_tes!B9/SER_hh_num!B9)</f>
        <v>135283.62069994526</v>
      </c>
      <c r="C9" s="132">
        <f>IF(SER_hh_tes!C9=0,0,11630*1000*SER_hh_tes!C9/SER_hh_num!C9)</f>
        <v>320324.01194288424</v>
      </c>
      <c r="D9" s="132">
        <f>IF(SER_hh_tes!D9=0,0,11630*1000*SER_hh_tes!D9/SER_hh_num!D9)</f>
        <v>29377.61339029896</v>
      </c>
      <c r="E9" s="132">
        <f>IF(SER_hh_tes!E9=0,0,11630*1000*SER_hh_tes!E9/SER_hh_num!E9)</f>
        <v>161624.09860203342</v>
      </c>
      <c r="F9" s="132">
        <f>IF(SER_hh_tes!F9=0,0,11630*1000*SER_hh_tes!F9/SER_hh_num!F9)</f>
        <v>162862.32206023211</v>
      </c>
      <c r="G9" s="132">
        <f>IF(SER_hh_tes!G9=0,0,11630*1000*SER_hh_tes!G9/SER_hh_num!G9)</f>
        <v>165071.43828252636</v>
      </c>
      <c r="H9" s="132">
        <f>IF(SER_hh_tes!H9=0,0,11630*1000*SER_hh_tes!H9/SER_hh_num!H9)</f>
        <v>311875.06905933446</v>
      </c>
      <c r="I9" s="132">
        <f>IF(SER_hh_tes!I9=0,0,11630*1000*SER_hh_tes!I9/SER_hh_num!I9)</f>
        <v>204815.21695145118</v>
      </c>
      <c r="J9" s="132">
        <f>IF(SER_hh_tes!J9=0,0,11630*1000*SER_hh_tes!J9/SER_hh_num!J9)</f>
        <v>140308.67641821783</v>
      </c>
      <c r="K9" s="132">
        <f>IF(SER_hh_tes!K9=0,0,11630*1000*SER_hh_tes!K9/SER_hh_num!K9)</f>
        <v>158039.51260588341</v>
      </c>
      <c r="L9" s="132">
        <f>IF(SER_hh_tes!L9=0,0,11630*1000*SER_hh_tes!L9/SER_hh_num!L9)</f>
        <v>158138.06651075452</v>
      </c>
      <c r="M9" s="132">
        <f>IF(SER_hh_tes!M9=0,0,11630*1000*SER_hh_tes!M9/SER_hh_num!M9)</f>
        <v>120089.15978113888</v>
      </c>
      <c r="N9" s="132">
        <f>IF(SER_hh_tes!N9=0,0,11630*1000*SER_hh_tes!N9/SER_hh_num!N9)</f>
        <v>120395.62900330046</v>
      </c>
      <c r="O9" s="132">
        <f>IF(SER_hh_tes!O9=0,0,11630*1000*SER_hh_tes!O9/SER_hh_num!O9)</f>
        <v>114460.01442169948</v>
      </c>
      <c r="P9" s="132">
        <f>IF(SER_hh_tes!P9=0,0,11630*1000*SER_hh_tes!P9/SER_hh_num!P9)</f>
        <v>105444.31666080734</v>
      </c>
      <c r="Q9" s="132">
        <f>IF(SER_hh_tes!Q9=0,0,11630*1000*SER_hh_tes!Q9/SER_hh_num!Q9)</f>
        <v>94289.571507239423</v>
      </c>
      <c r="R9" s="132">
        <f>IF(SER_hh_tes!R9=0,0,11630*1000*SER_hh_tes!R9/SER_hh_num!R9)</f>
        <v>94808.428035031538</v>
      </c>
      <c r="S9" s="132">
        <f>IF(SER_hh_tes!S9=0,0,11630*1000*SER_hh_tes!S9/SER_hh_num!S9)</f>
        <v>101306.73718575155</v>
      </c>
      <c r="T9" s="132">
        <f>IF(SER_hh_tes!T9=0,0,11630*1000*SER_hh_tes!T9/SER_hh_num!T9)</f>
        <v>101242.76846411597</v>
      </c>
      <c r="U9" s="132">
        <f>IF(SER_hh_tes!U9=0,0,11630*1000*SER_hh_tes!U9/SER_hh_num!U9)</f>
        <v>100451.84666045498</v>
      </c>
      <c r="V9" s="132">
        <f>IF(SER_hh_tes!V9=0,0,11630*1000*SER_hh_tes!V9/SER_hh_num!V9)</f>
        <v>94740.930008219759</v>
      </c>
      <c r="W9" s="132">
        <f>IF(SER_hh_tes!W9=0,0,11630*1000*SER_hh_tes!W9/SER_hh_num!W9)</f>
        <v>94084.242249359668</v>
      </c>
      <c r="X9" s="132">
        <f>IF(SER_hh_tes!X9=0,0,11630*1000*SER_hh_tes!X9/SER_hh_num!X9)</f>
        <v>100858.3592551703</v>
      </c>
      <c r="Y9" s="132">
        <f>IF(SER_hh_tes!Y9=0,0,11630*1000*SER_hh_tes!Y9/SER_hh_num!Y9)</f>
        <v>124279.90108541325</v>
      </c>
      <c r="DA9" s="156" t="s">
        <v>421</v>
      </c>
    </row>
    <row r="10" spans="1:105" ht="12" customHeight="1" x14ac:dyDescent="0.25">
      <c r="A10" s="131" t="s">
        <v>128</v>
      </c>
      <c r="B10" s="132">
        <f>IF(SER_hh_tes!B10=0,0,11630*1000*SER_hh_tes!B10/SER_hh_num!B10)</f>
        <v>0</v>
      </c>
      <c r="C10" s="132">
        <f>IF(SER_hh_tes!C10=0,0,11630*1000*SER_hh_tes!C10/SER_hh_num!C10)</f>
        <v>179198.98474944691</v>
      </c>
      <c r="D10" s="132">
        <f>IF(SER_hh_tes!D10=0,0,11630*1000*SER_hh_tes!D10/SER_hh_num!D10)</f>
        <v>135961.38590264716</v>
      </c>
      <c r="E10" s="132">
        <f>IF(SER_hh_tes!E10=0,0,11630*1000*SER_hh_tes!E10/SER_hh_num!E10)</f>
        <v>136340.37471292549</v>
      </c>
      <c r="F10" s="132">
        <f>IF(SER_hh_tes!F10=0,0,11630*1000*SER_hh_tes!F10/SER_hh_num!F10)</f>
        <v>125775.09499850651</v>
      </c>
      <c r="G10" s="132">
        <f>IF(SER_hh_tes!G10=0,0,11630*1000*SER_hh_tes!G10/SER_hh_num!G10)</f>
        <v>227762.7027232429</v>
      </c>
      <c r="H10" s="132">
        <f>IF(SER_hh_tes!H10=0,0,11630*1000*SER_hh_tes!H10/SER_hh_num!H10)</f>
        <v>232511.94588249191</v>
      </c>
      <c r="I10" s="132">
        <f>IF(SER_hh_tes!I10=0,0,11630*1000*SER_hh_tes!I10/SER_hh_num!I10)</f>
        <v>193378.06907284877</v>
      </c>
      <c r="J10" s="132">
        <f>IF(SER_hh_tes!J10=0,0,11630*1000*SER_hh_tes!J10/SER_hh_num!J10)</f>
        <v>171119.20831299113</v>
      </c>
      <c r="K10" s="132">
        <f>IF(SER_hh_tes!K10=0,0,11630*1000*SER_hh_tes!K10/SER_hh_num!K10)</f>
        <v>153594.51818939805</v>
      </c>
      <c r="L10" s="132">
        <f>IF(SER_hh_tes!L10=0,0,11630*1000*SER_hh_tes!L10/SER_hh_num!L10)</f>
        <v>176243.34789953328</v>
      </c>
      <c r="M10" s="132">
        <f>IF(SER_hh_tes!M10=0,0,11630*1000*SER_hh_tes!M10/SER_hh_num!M10)</f>
        <v>105015.35201083658</v>
      </c>
      <c r="N10" s="132">
        <f>IF(SER_hh_tes!N10=0,0,11630*1000*SER_hh_tes!N10/SER_hh_num!N10)</f>
        <v>120433.02085913179</v>
      </c>
      <c r="O10" s="132">
        <f>IF(SER_hh_tes!O10=0,0,11630*1000*SER_hh_tes!O10/SER_hh_num!O10)</f>
        <v>89591.381166095613</v>
      </c>
      <c r="P10" s="132">
        <f>IF(SER_hh_tes!P10=0,0,11630*1000*SER_hh_tes!P10/SER_hh_num!P10)</f>
        <v>70459.307156871</v>
      </c>
      <c r="Q10" s="132">
        <f>IF(SER_hh_tes!Q10=0,0,11630*1000*SER_hh_tes!Q10/SER_hh_num!Q10)</f>
        <v>113260.41369470907</v>
      </c>
      <c r="R10" s="132">
        <f>IF(SER_hh_tes!R10=0,0,11630*1000*SER_hh_tes!R10/SER_hh_num!R10)</f>
        <v>116507.54933613825</v>
      </c>
      <c r="S10" s="132">
        <f>IF(SER_hh_tes!S10=0,0,11630*1000*SER_hh_tes!S10/SER_hh_num!S10)</f>
        <v>98761.523568139179</v>
      </c>
      <c r="T10" s="132">
        <f>IF(SER_hh_tes!T10=0,0,11630*1000*SER_hh_tes!T10/SER_hh_num!T10)</f>
        <v>98029.147639903647</v>
      </c>
      <c r="U10" s="132">
        <f>IF(SER_hh_tes!U10=0,0,11630*1000*SER_hh_tes!U10/SER_hh_num!U10)</f>
        <v>103782.95140247174</v>
      </c>
      <c r="V10" s="132">
        <f>IF(SER_hh_tes!V10=0,0,11630*1000*SER_hh_tes!V10/SER_hh_num!V10)</f>
        <v>90395.656730616611</v>
      </c>
      <c r="W10" s="132">
        <f>IF(SER_hh_tes!W10=0,0,11630*1000*SER_hh_tes!W10/SER_hh_num!W10)</f>
        <v>108423.68995568184</v>
      </c>
      <c r="X10" s="132">
        <f>IF(SER_hh_tes!X10=0,0,11630*1000*SER_hh_tes!X10/SER_hh_num!X10)</f>
        <v>106286.9771443658</v>
      </c>
      <c r="Y10" s="132">
        <f>IF(SER_hh_tes!Y10=0,0,11630*1000*SER_hh_tes!Y10/SER_hh_num!Y10)</f>
        <v>117814.49195548854</v>
      </c>
      <c r="DA10" s="156" t="s">
        <v>422</v>
      </c>
    </row>
    <row r="11" spans="1:105" ht="12" customHeight="1" x14ac:dyDescent="0.25">
      <c r="A11" s="131" t="s">
        <v>25</v>
      </c>
      <c r="B11" s="132">
        <f>IF(SER_hh_tes!B11=0,0,11630*1000*SER_hh_tes!B11/SER_hh_num!B11)</f>
        <v>221732.69614674841</v>
      </c>
      <c r="C11" s="132">
        <f>IF(SER_hh_tes!C11=0,0,11630*1000*SER_hh_tes!C11/SER_hh_num!C11)</f>
        <v>72690.979987931729</v>
      </c>
      <c r="D11" s="132">
        <f>IF(SER_hh_tes!D11=0,0,11630*1000*SER_hh_tes!D11/SER_hh_num!D11)</f>
        <v>136017.0782048938</v>
      </c>
      <c r="E11" s="132">
        <f>IF(SER_hh_tes!E11=0,0,11630*1000*SER_hh_tes!E11/SER_hh_num!E11)</f>
        <v>164456.98144367491</v>
      </c>
      <c r="F11" s="132">
        <f>IF(SER_hh_tes!F11=0,0,11630*1000*SER_hh_tes!F11/SER_hh_num!F11)</f>
        <v>111185.50121818784</v>
      </c>
      <c r="G11" s="132">
        <f>IF(SER_hh_tes!G11=0,0,11630*1000*SER_hh_tes!G11/SER_hh_num!G11)</f>
        <v>247071.93730222204</v>
      </c>
      <c r="H11" s="132">
        <f>IF(SER_hh_tes!H11=0,0,11630*1000*SER_hh_tes!H11/SER_hh_num!H11)</f>
        <v>162107.38996276437</v>
      </c>
      <c r="I11" s="132">
        <f>IF(SER_hh_tes!I11=0,0,11630*1000*SER_hh_tes!I11/SER_hh_num!I11)</f>
        <v>141149.97871948348</v>
      </c>
      <c r="J11" s="132">
        <f>IF(SER_hh_tes!J11=0,0,11630*1000*SER_hh_tes!J11/SER_hh_num!J11)</f>
        <v>220251.50996825864</v>
      </c>
      <c r="K11" s="132">
        <f>IF(SER_hh_tes!K11=0,0,11630*1000*SER_hh_tes!K11/SER_hh_num!K11)</f>
        <v>188888.98390549177</v>
      </c>
      <c r="L11" s="132">
        <f>IF(SER_hh_tes!L11=0,0,11630*1000*SER_hh_tes!L11/SER_hh_num!L11)</f>
        <v>72889.061550365674</v>
      </c>
      <c r="M11" s="132">
        <f>IF(SER_hh_tes!M11=0,0,11630*1000*SER_hh_tes!M11/SER_hh_num!M11)</f>
        <v>127850.6399085516</v>
      </c>
      <c r="N11" s="132">
        <f>IF(SER_hh_tes!N11=0,0,11630*1000*SER_hh_tes!N11/SER_hh_num!N11)</f>
        <v>107355.9314282117</v>
      </c>
      <c r="O11" s="132">
        <f>IF(SER_hh_tes!O11=0,0,11630*1000*SER_hh_tes!O11/SER_hh_num!O11)</f>
        <v>116864.07298091747</v>
      </c>
      <c r="P11" s="132">
        <f>IF(SER_hh_tes!P11=0,0,11630*1000*SER_hh_tes!P11/SER_hh_num!P11)</f>
        <v>107895.80946889899</v>
      </c>
      <c r="Q11" s="132">
        <f>IF(SER_hh_tes!Q11=0,0,11630*1000*SER_hh_tes!Q11/SER_hh_num!Q11)</f>
        <v>92552.65367215802</v>
      </c>
      <c r="R11" s="132">
        <f>IF(SER_hh_tes!R11=0,0,11630*1000*SER_hh_tes!R11/SER_hh_num!R11)</f>
        <v>100685.84038771564</v>
      </c>
      <c r="S11" s="132">
        <f>IF(SER_hh_tes!S11=0,0,11630*1000*SER_hh_tes!S11/SER_hh_num!S11)</f>
        <v>108880.18515557669</v>
      </c>
      <c r="T11" s="132">
        <f>IF(SER_hh_tes!T11=0,0,11630*1000*SER_hh_tes!T11/SER_hh_num!T11)</f>
        <v>111075.92722712146</v>
      </c>
      <c r="U11" s="132">
        <f>IF(SER_hh_tes!U11=0,0,11630*1000*SER_hh_tes!U11/SER_hh_num!U11)</f>
        <v>128837.52403868904</v>
      </c>
      <c r="V11" s="132">
        <f>IF(SER_hh_tes!V11=0,0,11630*1000*SER_hh_tes!V11/SER_hh_num!V11)</f>
        <v>53647.907346915446</v>
      </c>
      <c r="W11" s="132">
        <f>IF(SER_hh_tes!W11=0,0,11630*1000*SER_hh_tes!W11/SER_hh_num!W11)</f>
        <v>70027.69277586395</v>
      </c>
      <c r="X11" s="132">
        <f>IF(SER_hh_tes!X11=0,0,11630*1000*SER_hh_tes!X11/SER_hh_num!X11)</f>
        <v>132040.84045392953</v>
      </c>
      <c r="Y11" s="132">
        <f>IF(SER_hh_tes!Y11=0,0,11630*1000*SER_hh_tes!Y11/SER_hh_num!Y11)</f>
        <v>107301.61895121307</v>
      </c>
      <c r="DA11" s="156" t="s">
        <v>423</v>
      </c>
    </row>
    <row r="12" spans="1:105" ht="12" customHeight="1" x14ac:dyDescent="0.25">
      <c r="A12" s="131" t="s">
        <v>162</v>
      </c>
      <c r="B12" s="132">
        <f>IF(SER_hh_tes!B12=0,0,11630*1000*SER_hh_tes!B12/SER_hh_num!B12)</f>
        <v>214608.03452915329</v>
      </c>
      <c r="C12" s="132">
        <f>IF(SER_hh_tes!C12=0,0,11630*1000*SER_hh_tes!C12/SER_hh_num!C12)</f>
        <v>186388.14131910101</v>
      </c>
      <c r="D12" s="132">
        <f>IF(SER_hh_tes!D12=0,0,11630*1000*SER_hh_tes!D12/SER_hh_num!D12)</f>
        <v>86896.55039100493</v>
      </c>
      <c r="E12" s="132">
        <f>IF(SER_hh_tes!E12=0,0,11630*1000*SER_hh_tes!E12/SER_hh_num!E12)</f>
        <v>125838.79052767517</v>
      </c>
      <c r="F12" s="132">
        <f>IF(SER_hh_tes!F12=0,0,11630*1000*SER_hh_tes!F12/SER_hh_num!F12)</f>
        <v>95325.874291589804</v>
      </c>
      <c r="G12" s="132">
        <f>IF(SER_hh_tes!G12=0,0,11630*1000*SER_hh_tes!G12/SER_hh_num!G12)</f>
        <v>279847.52675945894</v>
      </c>
      <c r="H12" s="132">
        <f>IF(SER_hh_tes!H12=0,0,11630*1000*SER_hh_tes!H12/SER_hh_num!H12)</f>
        <v>226529.08527643938</v>
      </c>
      <c r="I12" s="132">
        <f>IF(SER_hh_tes!I12=0,0,11630*1000*SER_hh_tes!I12/SER_hh_num!I12)</f>
        <v>187665.58873272678</v>
      </c>
      <c r="J12" s="132">
        <f>IF(SER_hh_tes!J12=0,0,11630*1000*SER_hh_tes!J12/SER_hh_num!J12)</f>
        <v>183165.49575614239</v>
      </c>
      <c r="K12" s="132">
        <f>IF(SER_hh_tes!K12=0,0,11630*1000*SER_hh_tes!K12/SER_hh_num!K12)</f>
        <v>139342.07408321009</v>
      </c>
      <c r="L12" s="132">
        <f>IF(SER_hh_tes!L12=0,0,11630*1000*SER_hh_tes!L12/SER_hh_num!L12)</f>
        <v>143985.19440553209</v>
      </c>
      <c r="M12" s="132">
        <f>IF(SER_hh_tes!M12=0,0,11630*1000*SER_hh_tes!M12/SER_hh_num!M12)</f>
        <v>136350.7096765172</v>
      </c>
      <c r="N12" s="132">
        <f>IF(SER_hh_tes!N12=0,0,11630*1000*SER_hh_tes!N12/SER_hh_num!N12)</f>
        <v>130800.79865318115</v>
      </c>
      <c r="O12" s="132">
        <f>IF(SER_hh_tes!O12=0,0,11630*1000*SER_hh_tes!O12/SER_hh_num!O12)</f>
        <v>118600.16641071149</v>
      </c>
      <c r="P12" s="132">
        <f>IF(SER_hh_tes!P12=0,0,11630*1000*SER_hh_tes!P12/SER_hh_num!P12)</f>
        <v>97174.268693880353</v>
      </c>
      <c r="Q12" s="132">
        <f>IF(SER_hh_tes!Q12=0,0,11630*1000*SER_hh_tes!Q12/SER_hh_num!Q12)</f>
        <v>96465.856266449759</v>
      </c>
      <c r="R12" s="132">
        <f>IF(SER_hh_tes!R12=0,0,11630*1000*SER_hh_tes!R12/SER_hh_num!R12)</f>
        <v>103600.68362474322</v>
      </c>
      <c r="S12" s="132">
        <f>IF(SER_hh_tes!S12=0,0,11630*1000*SER_hh_tes!S12/SER_hh_num!S12)</f>
        <v>102077.35717543967</v>
      </c>
      <c r="T12" s="132">
        <f>IF(SER_hh_tes!T12=0,0,11630*1000*SER_hh_tes!T12/SER_hh_num!T12)</f>
        <v>103099.98199293439</v>
      </c>
      <c r="U12" s="132">
        <f>IF(SER_hh_tes!U12=0,0,11630*1000*SER_hh_tes!U12/SER_hh_num!U12)</f>
        <v>95425.878531624185</v>
      </c>
      <c r="V12" s="132">
        <f>IF(SER_hh_tes!V12=0,0,11630*1000*SER_hh_tes!V12/SER_hh_num!V12)</f>
        <v>96511.12883904051</v>
      </c>
      <c r="W12" s="132">
        <f>IF(SER_hh_tes!W12=0,0,11630*1000*SER_hh_tes!W12/SER_hh_num!W12)</f>
        <v>106114.56665541207</v>
      </c>
      <c r="X12" s="132">
        <f>IF(SER_hh_tes!X12=0,0,11630*1000*SER_hh_tes!X12/SER_hh_num!X12)</f>
        <v>100310.8726273411</v>
      </c>
      <c r="Y12" s="132">
        <f>IF(SER_hh_tes!Y12=0,0,11630*1000*SER_hh_tes!Y12/SER_hh_num!Y12)</f>
        <v>122044.0197712923</v>
      </c>
      <c r="DA12" s="156" t="s">
        <v>424</v>
      </c>
    </row>
    <row r="13" spans="1:105" ht="12" customHeight="1" x14ac:dyDescent="0.25">
      <c r="A13" s="131" t="s">
        <v>77</v>
      </c>
      <c r="B13" s="132">
        <f>IF(SER_hh_tes!B13=0,0,11630*1000*SER_hh_tes!B13/SER_hh_num!B13)</f>
        <v>0</v>
      </c>
      <c r="C13" s="132">
        <f>IF(SER_hh_tes!C13=0,0,11630*1000*SER_hh_tes!C13/SER_hh_num!C13)</f>
        <v>0</v>
      </c>
      <c r="D13" s="132">
        <f>IF(SER_hh_tes!D13=0,0,11630*1000*SER_hh_tes!D13/SER_hh_num!D13)</f>
        <v>0</v>
      </c>
      <c r="E13" s="132">
        <f>IF(SER_hh_tes!E13=0,0,11630*1000*SER_hh_tes!E13/SER_hh_num!E13)</f>
        <v>0</v>
      </c>
      <c r="F13" s="132">
        <f>IF(SER_hh_tes!F13=0,0,11630*1000*SER_hh_tes!F13/SER_hh_num!F13)</f>
        <v>0</v>
      </c>
      <c r="G13" s="132">
        <f>IF(SER_hh_tes!G13=0,0,11630*1000*SER_hh_tes!G13/SER_hh_num!G13)</f>
        <v>0</v>
      </c>
      <c r="H13" s="132">
        <f>IF(SER_hh_tes!H13=0,0,11630*1000*SER_hh_tes!H13/SER_hh_num!H13)</f>
        <v>0</v>
      </c>
      <c r="I13" s="132">
        <f>IF(SER_hh_tes!I13=0,0,11630*1000*SER_hh_tes!I13/SER_hh_num!I13)</f>
        <v>0</v>
      </c>
      <c r="J13" s="132">
        <f>IF(SER_hh_tes!J13=0,0,11630*1000*SER_hh_tes!J13/SER_hh_num!J13)</f>
        <v>0</v>
      </c>
      <c r="K13" s="132">
        <f>IF(SER_hh_tes!K13=0,0,11630*1000*SER_hh_tes!K13/SER_hh_num!K13)</f>
        <v>0</v>
      </c>
      <c r="L13" s="132">
        <f>IF(SER_hh_tes!L13=0,0,11630*1000*SER_hh_tes!L13/SER_hh_num!L13)</f>
        <v>0</v>
      </c>
      <c r="M13" s="132">
        <f>IF(SER_hh_tes!M13=0,0,11630*1000*SER_hh_tes!M13/SER_hh_num!M13)</f>
        <v>0</v>
      </c>
      <c r="N13" s="132">
        <f>IF(SER_hh_tes!N13=0,0,11630*1000*SER_hh_tes!N13/SER_hh_num!N13)</f>
        <v>0</v>
      </c>
      <c r="O13" s="132">
        <f>IF(SER_hh_tes!O13=0,0,11630*1000*SER_hh_tes!O13/SER_hh_num!O13)</f>
        <v>0</v>
      </c>
      <c r="P13" s="132">
        <f>IF(SER_hh_tes!P13=0,0,11630*1000*SER_hh_tes!P13/SER_hh_num!P13)</f>
        <v>0</v>
      </c>
      <c r="Q13" s="132">
        <f>IF(SER_hh_tes!Q13=0,0,11630*1000*SER_hh_tes!Q13/SER_hh_num!Q13)</f>
        <v>0</v>
      </c>
      <c r="R13" s="132">
        <f>IF(SER_hh_tes!R13=0,0,11630*1000*SER_hh_tes!R13/SER_hh_num!R13)</f>
        <v>0</v>
      </c>
      <c r="S13" s="132">
        <f>IF(SER_hh_tes!S13=0,0,11630*1000*SER_hh_tes!S13/SER_hh_num!S13)</f>
        <v>0</v>
      </c>
      <c r="T13" s="132">
        <f>IF(SER_hh_tes!T13=0,0,11630*1000*SER_hh_tes!T13/SER_hh_num!T13)</f>
        <v>0</v>
      </c>
      <c r="U13" s="132">
        <f>IF(SER_hh_tes!U13=0,0,11630*1000*SER_hh_tes!U13/SER_hh_num!U13)</f>
        <v>0</v>
      </c>
      <c r="V13" s="132">
        <f>IF(SER_hh_tes!V13=0,0,11630*1000*SER_hh_tes!V13/SER_hh_num!V13)</f>
        <v>0</v>
      </c>
      <c r="W13" s="132">
        <f>IF(SER_hh_tes!W13=0,0,11630*1000*SER_hh_tes!W13/SER_hh_num!W13)</f>
        <v>0</v>
      </c>
      <c r="X13" s="132">
        <f>IF(SER_hh_tes!X13=0,0,11630*1000*SER_hh_tes!X13/SER_hh_num!X13)</f>
        <v>0</v>
      </c>
      <c r="Y13" s="132">
        <f>IF(SER_hh_tes!Y13=0,0,11630*1000*SER_hh_tes!Y13/SER_hh_num!Y13)</f>
        <v>194773.22423255228</v>
      </c>
      <c r="DA13" s="156" t="s">
        <v>425</v>
      </c>
    </row>
    <row r="14" spans="1:105" ht="12" customHeight="1" x14ac:dyDescent="0.25">
      <c r="A14" s="60" t="s">
        <v>76</v>
      </c>
      <c r="B14" s="65">
        <f>IF(SER_hh_tes!B14=0,0,11630*1000*SER_hh_tes!B14/SER_hh_num!B14)</f>
        <v>175394.84808034252</v>
      </c>
      <c r="C14" s="65">
        <f>IF(SER_hh_tes!C14=0,0,11630*1000*SER_hh_tes!C14/SER_hh_num!C14)</f>
        <v>313786.62566257181</v>
      </c>
      <c r="D14" s="65">
        <f>IF(SER_hh_tes!D14=0,0,11630*1000*SER_hh_tes!D14/SER_hh_num!D14)</f>
        <v>2769.8647289563523</v>
      </c>
      <c r="E14" s="65">
        <f>IF(SER_hh_tes!E14=0,0,11630*1000*SER_hh_tes!E14/SER_hh_num!E14)</f>
        <v>258443.62070272595</v>
      </c>
      <c r="F14" s="65">
        <f>IF(SER_hh_tes!F14=0,0,11630*1000*SER_hh_tes!F14/SER_hh_num!F14)</f>
        <v>12613.990375087697</v>
      </c>
      <c r="G14" s="65">
        <f>IF(SER_hh_tes!G14=0,0,11630*1000*SER_hh_tes!G14/SER_hh_num!G14)</f>
        <v>177015.23695239323</v>
      </c>
      <c r="H14" s="65">
        <f>IF(SER_hh_tes!H14=0,0,11630*1000*SER_hh_tes!H14/SER_hh_num!H14)</f>
        <v>197897.51659331404</v>
      </c>
      <c r="I14" s="65">
        <f>IF(SER_hh_tes!I14=0,0,11630*1000*SER_hh_tes!I14/SER_hh_num!I14)</f>
        <v>268943.163076456</v>
      </c>
      <c r="J14" s="65">
        <f>IF(SER_hh_tes!J14=0,0,11630*1000*SER_hh_tes!J14/SER_hh_num!J14)</f>
        <v>141551.27984554417</v>
      </c>
      <c r="K14" s="65">
        <f>IF(SER_hh_tes!K14=0,0,11630*1000*SER_hh_tes!K14/SER_hh_num!K14)</f>
        <v>117868.62315961529</v>
      </c>
      <c r="L14" s="65">
        <f>IF(SER_hh_tes!L14=0,0,11630*1000*SER_hh_tes!L14/SER_hh_num!L14)</f>
        <v>197777.70215769086</v>
      </c>
      <c r="M14" s="65">
        <f>IF(SER_hh_tes!M14=0,0,11630*1000*SER_hh_tes!M14/SER_hh_num!M14)</f>
        <v>161545.20360677419</v>
      </c>
      <c r="N14" s="65">
        <f>IF(SER_hh_tes!N14=0,0,11630*1000*SER_hh_tes!N14/SER_hh_num!N14)</f>
        <v>115716.48087620731</v>
      </c>
      <c r="O14" s="65">
        <f>IF(SER_hh_tes!O14=0,0,11630*1000*SER_hh_tes!O14/SER_hh_num!O14)</f>
        <v>95504.73320799222</v>
      </c>
      <c r="P14" s="65">
        <f>IF(SER_hh_tes!P14=0,0,11630*1000*SER_hh_tes!P14/SER_hh_num!P14)</f>
        <v>99874.455449303889</v>
      </c>
      <c r="Q14" s="65">
        <f>IF(SER_hh_tes!Q14=0,0,11630*1000*SER_hh_tes!Q14/SER_hh_num!Q14)</f>
        <v>61192.300165377848</v>
      </c>
      <c r="R14" s="65">
        <f>IF(SER_hh_tes!R14=0,0,11630*1000*SER_hh_tes!R14/SER_hh_num!R14)</f>
        <v>88280.19184102361</v>
      </c>
      <c r="S14" s="65">
        <f>IF(SER_hh_tes!S14=0,0,11630*1000*SER_hh_tes!S14/SER_hh_num!S14)</f>
        <v>99614.970946837726</v>
      </c>
      <c r="T14" s="65">
        <f>IF(SER_hh_tes!T14=0,0,11630*1000*SER_hh_tes!T14/SER_hh_num!T14)</f>
        <v>104491.47249903018</v>
      </c>
      <c r="U14" s="65">
        <f>IF(SER_hh_tes!U14=0,0,11630*1000*SER_hh_tes!U14/SER_hh_num!U14)</f>
        <v>100720.48494214626</v>
      </c>
      <c r="V14" s="65">
        <f>IF(SER_hh_tes!V14=0,0,11630*1000*SER_hh_tes!V14/SER_hh_num!V14)</f>
        <v>77460.558211663301</v>
      </c>
      <c r="W14" s="65">
        <f>IF(SER_hh_tes!W14=0,0,11630*1000*SER_hh_tes!W14/SER_hh_num!W14)</f>
        <v>66628.980079482237</v>
      </c>
      <c r="X14" s="65">
        <f>IF(SER_hh_tes!X14=0,0,11630*1000*SER_hh_tes!X14/SER_hh_num!X14)</f>
        <v>105726.79767898603</v>
      </c>
      <c r="Y14" s="65">
        <f>IF(SER_hh_tes!Y14=0,0,11630*1000*SER_hh_tes!Y14/SER_hh_num!Y14)</f>
        <v>148881.23733343647</v>
      </c>
      <c r="DA14" s="109" t="s">
        <v>426</v>
      </c>
    </row>
    <row r="15" spans="1:105" ht="12" customHeight="1" x14ac:dyDescent="0.25">
      <c r="A15" s="133" t="s">
        <v>80</v>
      </c>
      <c r="B15" s="134">
        <f>IF(SER_hh_tes!B15=0,0,11630*1000*SER_hh_tes!B15/SER_hh_num!B15)</f>
        <v>1731.6524160750498</v>
      </c>
      <c r="C15" s="134">
        <f>IF(SER_hh_tes!C15=0,0,11630*1000*SER_hh_tes!C15/SER_hh_num!C15)</f>
        <v>2651.8675517987272</v>
      </c>
      <c r="D15" s="134">
        <f>IF(SER_hh_tes!D15=0,0,11630*1000*SER_hh_tes!D15/SER_hh_num!D15)</f>
        <v>1157.9989910480936</v>
      </c>
      <c r="E15" s="134">
        <f>IF(SER_hh_tes!E15=0,0,11630*1000*SER_hh_tes!E15/SER_hh_num!E15)</f>
        <v>1960.7002510540001</v>
      </c>
      <c r="F15" s="134">
        <f>IF(SER_hh_tes!F15=0,0,11630*1000*SER_hh_tes!F15/SER_hh_num!F15)</f>
        <v>2432.1096176645106</v>
      </c>
      <c r="G15" s="134">
        <f>IF(SER_hh_tes!G15=0,0,11630*1000*SER_hh_tes!G15/SER_hh_num!G15)</f>
        <v>2731.1281104711693</v>
      </c>
      <c r="H15" s="134">
        <f>IF(SER_hh_tes!H15=0,0,11630*1000*SER_hh_tes!H15/SER_hh_num!H15)</f>
        <v>3910.0006757622891</v>
      </c>
      <c r="I15" s="134">
        <f>IF(SER_hh_tes!I15=0,0,11630*1000*SER_hh_tes!I15/SER_hh_num!I15)</f>
        <v>2961.8608064563691</v>
      </c>
      <c r="J15" s="134">
        <f>IF(SER_hh_tes!J15=0,0,11630*1000*SER_hh_tes!J15/SER_hh_num!J15)</f>
        <v>2136.8903996389486</v>
      </c>
      <c r="K15" s="134">
        <f>IF(SER_hh_tes!K15=0,0,11630*1000*SER_hh_tes!K15/SER_hh_num!K15)</f>
        <v>1959.0121118068384</v>
      </c>
      <c r="L15" s="134">
        <f>IF(SER_hh_tes!L15=0,0,11630*1000*SER_hh_tes!L15/SER_hh_num!L15)</f>
        <v>1947.3147986052263</v>
      </c>
      <c r="M15" s="134">
        <f>IF(SER_hh_tes!M15=0,0,11630*1000*SER_hh_tes!M15/SER_hh_num!M15)</f>
        <v>1693.6207832034502</v>
      </c>
      <c r="N15" s="134">
        <f>IF(SER_hh_tes!N15=0,0,11630*1000*SER_hh_tes!N15/SER_hh_num!N15)</f>
        <v>1586.5508868661082</v>
      </c>
      <c r="O15" s="134">
        <f>IF(SER_hh_tes!O15=0,0,11630*1000*SER_hh_tes!O15/SER_hh_num!O15)</f>
        <v>1422.6715267137481</v>
      </c>
      <c r="P15" s="134">
        <f>IF(SER_hh_tes!P15=0,0,11630*1000*SER_hh_tes!P15/SER_hh_num!P15)</f>
        <v>1284.9759366255719</v>
      </c>
      <c r="Q15" s="134">
        <f>IF(SER_hh_tes!Q15=0,0,11630*1000*SER_hh_tes!Q15/SER_hh_num!Q15)</f>
        <v>1200.2583206617007</v>
      </c>
      <c r="R15" s="134">
        <f>IF(SER_hh_tes!R15=0,0,11630*1000*SER_hh_tes!R15/SER_hh_num!R15)</f>
        <v>1202.0715432783261</v>
      </c>
      <c r="S15" s="134">
        <f>IF(SER_hh_tes!S15=0,0,11630*1000*SER_hh_tes!S15/SER_hh_num!S15)</f>
        <v>1310.4673779695834</v>
      </c>
      <c r="T15" s="134">
        <f>IF(SER_hh_tes!T15=0,0,11630*1000*SER_hh_tes!T15/SER_hh_num!T15)</f>
        <v>1331.4154734617462</v>
      </c>
      <c r="U15" s="134">
        <f>IF(SER_hh_tes!U15=0,0,11630*1000*SER_hh_tes!U15/SER_hh_num!U15)</f>
        <v>1316.6236051960468</v>
      </c>
      <c r="V15" s="134">
        <f>IF(SER_hh_tes!V15=0,0,11630*1000*SER_hh_tes!V15/SER_hh_num!V15)</f>
        <v>1210.2293683658445</v>
      </c>
      <c r="W15" s="134">
        <f>IF(SER_hh_tes!W15=0,0,11630*1000*SER_hh_tes!W15/SER_hh_num!W15)</f>
        <v>1376.684384647388</v>
      </c>
      <c r="X15" s="134">
        <f>IF(SER_hh_tes!X15=0,0,11630*1000*SER_hh_tes!X15/SER_hh_num!X15)</f>
        <v>1462.2777384880326</v>
      </c>
      <c r="Y15" s="134">
        <f>IF(SER_hh_tes!Y15=0,0,11630*1000*SER_hh_tes!Y15/SER_hh_num!Y15)</f>
        <v>1719.4529378943632</v>
      </c>
      <c r="DA15" s="157" t="s">
        <v>427</v>
      </c>
    </row>
    <row r="16" spans="1:105" ht="12.95" customHeight="1" x14ac:dyDescent="0.25">
      <c r="A16" s="129" t="s">
        <v>74</v>
      </c>
      <c r="B16" s="130">
        <f>IF(SER_hh_tes!B16=0,0,11630*1000*SER_hh_tes!B16/SER_hh_num!B16)</f>
        <v>28790.19428827611</v>
      </c>
      <c r="C16" s="130">
        <f>IF(SER_hh_tes!C16=0,0,11630*1000*SER_hh_tes!C16/SER_hh_num!C16)</f>
        <v>27783.926803394112</v>
      </c>
      <c r="D16" s="130">
        <f>IF(SER_hh_tes!D16=0,0,11630*1000*SER_hh_tes!D16/SER_hh_num!D16)</f>
        <v>26606.595364933706</v>
      </c>
      <c r="E16" s="130">
        <f>IF(SER_hh_tes!E16=0,0,11630*1000*SER_hh_tes!E16/SER_hh_num!E16)</f>
        <v>26924.560439569381</v>
      </c>
      <c r="F16" s="130">
        <f>IF(SER_hh_tes!F16=0,0,11630*1000*SER_hh_tes!F16/SER_hh_num!F16)</f>
        <v>23534.845317605068</v>
      </c>
      <c r="G16" s="130">
        <f>IF(SER_hh_tes!G16=0,0,11630*1000*SER_hh_tes!G16/SER_hh_num!G16)</f>
        <v>23746.462672696023</v>
      </c>
      <c r="H16" s="130">
        <f>IF(SER_hh_tes!H16=0,0,11630*1000*SER_hh_tes!H16/SER_hh_num!H16)</f>
        <v>25415.342722697154</v>
      </c>
      <c r="I16" s="130">
        <f>IF(SER_hh_tes!I16=0,0,11630*1000*SER_hh_tes!I16/SER_hh_num!I16)</f>
        <v>33704.879583579503</v>
      </c>
      <c r="J16" s="130">
        <f>IF(SER_hh_tes!J16=0,0,11630*1000*SER_hh_tes!J16/SER_hh_num!J16)</f>
        <v>26683.076862787908</v>
      </c>
      <c r="K16" s="130">
        <f>IF(SER_hh_tes!K16=0,0,11630*1000*SER_hh_tes!K16/SER_hh_num!K16)</f>
        <v>25372.737583578251</v>
      </c>
      <c r="L16" s="130">
        <f>IF(SER_hh_tes!L16=0,0,11630*1000*SER_hh_tes!L16/SER_hh_num!L16)</f>
        <v>29985.923063898394</v>
      </c>
      <c r="M16" s="130">
        <f>IF(SER_hh_tes!M16=0,0,11630*1000*SER_hh_tes!M16/SER_hh_num!M16)</f>
        <v>25720.225560134371</v>
      </c>
      <c r="N16" s="130">
        <f>IF(SER_hh_tes!N16=0,0,11630*1000*SER_hh_tes!N16/SER_hh_num!N16)</f>
        <v>39164.063883139424</v>
      </c>
      <c r="O16" s="130">
        <f>IF(SER_hh_tes!O16=0,0,11630*1000*SER_hh_tes!O16/SER_hh_num!O16)</f>
        <v>26700.447071839939</v>
      </c>
      <c r="P16" s="130">
        <f>IF(SER_hh_tes!P16=0,0,11630*1000*SER_hh_tes!P16/SER_hh_num!P16)</f>
        <v>25117.63502297684</v>
      </c>
      <c r="Q16" s="130">
        <f>IF(SER_hh_tes!Q16=0,0,11630*1000*SER_hh_tes!Q16/SER_hh_num!Q16)</f>
        <v>33030.684681551749</v>
      </c>
      <c r="R16" s="130">
        <f>IF(SER_hh_tes!R16=0,0,11630*1000*SER_hh_tes!R16/SER_hh_num!R16)</f>
        <v>28243.834850164938</v>
      </c>
      <c r="S16" s="130">
        <f>IF(SER_hh_tes!S16=0,0,11630*1000*SER_hh_tes!S16/SER_hh_num!S16)</f>
        <v>30479.817095034643</v>
      </c>
      <c r="T16" s="130">
        <f>IF(SER_hh_tes!T16=0,0,11630*1000*SER_hh_tes!T16/SER_hh_num!T16)</f>
        <v>26735.746207884706</v>
      </c>
      <c r="U16" s="130">
        <f>IF(SER_hh_tes!U16=0,0,11630*1000*SER_hh_tes!U16/SER_hh_num!U16)</f>
        <v>30030.434914157449</v>
      </c>
      <c r="V16" s="130">
        <f>IF(SER_hh_tes!V16=0,0,11630*1000*SER_hh_tes!V16/SER_hh_num!V16)</f>
        <v>26696.130106725341</v>
      </c>
      <c r="W16" s="130">
        <f>IF(SER_hh_tes!W16=0,0,11630*1000*SER_hh_tes!W16/SER_hh_num!W16)</f>
        <v>30498.775229327952</v>
      </c>
      <c r="X16" s="130">
        <f>IF(SER_hh_tes!X16=0,0,11630*1000*SER_hh_tes!X16/SER_hh_num!X16)</f>
        <v>32065.085341158632</v>
      </c>
      <c r="Y16" s="130">
        <f>IF(SER_hh_tes!Y16=0,0,11630*1000*SER_hh_tes!Y16/SER_hh_num!Y16)</f>
        <v>33440.62431778985</v>
      </c>
      <c r="DA16" s="155" t="s">
        <v>428</v>
      </c>
    </row>
    <row r="17" spans="1:105" ht="12.95" customHeight="1" x14ac:dyDescent="0.25">
      <c r="A17" s="131" t="s">
        <v>73</v>
      </c>
      <c r="B17" s="132">
        <f>IF(SER_hh_tes!B17=0,0,11630*1000*SER_hh_tes!B17/SER_hh_num!B17)</f>
        <v>0</v>
      </c>
      <c r="C17" s="132">
        <f>IF(SER_hh_tes!C17=0,0,11630*1000*SER_hh_tes!C17/SER_hh_num!C17)</f>
        <v>0</v>
      </c>
      <c r="D17" s="132">
        <f>IF(SER_hh_tes!D17=0,0,11630*1000*SER_hh_tes!D17/SER_hh_num!D17)</f>
        <v>0</v>
      </c>
      <c r="E17" s="132">
        <f>IF(SER_hh_tes!E17=0,0,11630*1000*SER_hh_tes!E17/SER_hh_num!E17)</f>
        <v>0</v>
      </c>
      <c r="F17" s="132">
        <f>IF(SER_hh_tes!F17=0,0,11630*1000*SER_hh_tes!F17/SER_hh_num!F17)</f>
        <v>0</v>
      </c>
      <c r="G17" s="132">
        <f>IF(SER_hh_tes!G17=0,0,11630*1000*SER_hh_tes!G17/SER_hh_num!G17)</f>
        <v>0</v>
      </c>
      <c r="H17" s="132">
        <f>IF(SER_hh_tes!H17=0,0,11630*1000*SER_hh_tes!H17/SER_hh_num!H17)</f>
        <v>0</v>
      </c>
      <c r="I17" s="132">
        <f>IF(SER_hh_tes!I17=0,0,11630*1000*SER_hh_tes!I17/SER_hh_num!I17)</f>
        <v>0</v>
      </c>
      <c r="J17" s="132">
        <f>IF(SER_hh_tes!J17=0,0,11630*1000*SER_hh_tes!J17/SER_hh_num!J17)</f>
        <v>0</v>
      </c>
      <c r="K17" s="132">
        <f>IF(SER_hh_tes!K17=0,0,11630*1000*SER_hh_tes!K17/SER_hh_num!K17)</f>
        <v>0</v>
      </c>
      <c r="L17" s="132">
        <f>IF(SER_hh_tes!L17=0,0,11630*1000*SER_hh_tes!L17/SER_hh_num!L17)</f>
        <v>0</v>
      </c>
      <c r="M17" s="132">
        <f>IF(SER_hh_tes!M17=0,0,11630*1000*SER_hh_tes!M17/SER_hh_num!M17)</f>
        <v>0</v>
      </c>
      <c r="N17" s="132">
        <f>IF(SER_hh_tes!N17=0,0,11630*1000*SER_hh_tes!N17/SER_hh_num!N17)</f>
        <v>0</v>
      </c>
      <c r="O17" s="132">
        <f>IF(SER_hh_tes!O17=0,0,11630*1000*SER_hh_tes!O17/SER_hh_num!O17)</f>
        <v>0</v>
      </c>
      <c r="P17" s="132">
        <f>IF(SER_hh_tes!P17=0,0,11630*1000*SER_hh_tes!P17/SER_hh_num!P17)</f>
        <v>0</v>
      </c>
      <c r="Q17" s="132">
        <f>IF(SER_hh_tes!Q17=0,0,11630*1000*SER_hh_tes!Q17/SER_hh_num!Q17)</f>
        <v>0</v>
      </c>
      <c r="R17" s="132">
        <f>IF(SER_hh_tes!R17=0,0,11630*1000*SER_hh_tes!R17/SER_hh_num!R17)</f>
        <v>0</v>
      </c>
      <c r="S17" s="132">
        <f>IF(SER_hh_tes!S17=0,0,11630*1000*SER_hh_tes!S17/SER_hh_num!S17)</f>
        <v>0</v>
      </c>
      <c r="T17" s="132">
        <f>IF(SER_hh_tes!T17=0,0,11630*1000*SER_hh_tes!T17/SER_hh_num!T17)</f>
        <v>0</v>
      </c>
      <c r="U17" s="132">
        <f>IF(SER_hh_tes!U17=0,0,11630*1000*SER_hh_tes!U17/SER_hh_num!U17)</f>
        <v>0</v>
      </c>
      <c r="V17" s="132">
        <f>IF(SER_hh_tes!V17=0,0,11630*1000*SER_hh_tes!V17/SER_hh_num!V17)</f>
        <v>0</v>
      </c>
      <c r="W17" s="132">
        <f>IF(SER_hh_tes!W17=0,0,11630*1000*SER_hh_tes!W17/SER_hh_num!W17)</f>
        <v>0</v>
      </c>
      <c r="X17" s="132">
        <f>IF(SER_hh_tes!X17=0,0,11630*1000*SER_hh_tes!X17/SER_hh_num!X17)</f>
        <v>0</v>
      </c>
      <c r="Y17" s="132">
        <f>IF(SER_hh_tes!Y17=0,0,11630*1000*SER_hh_tes!Y17/SER_hh_num!Y17)</f>
        <v>0</v>
      </c>
      <c r="DA17" s="156" t="s">
        <v>429</v>
      </c>
    </row>
    <row r="18" spans="1:105" ht="12" customHeight="1" x14ac:dyDescent="0.25">
      <c r="A18" s="131" t="s">
        <v>72</v>
      </c>
      <c r="B18" s="132">
        <f>IF(SER_hh_tes!B18=0,0,11630*1000*SER_hh_tes!B18/SER_hh_num!B18)</f>
        <v>28790.19428827611</v>
      </c>
      <c r="C18" s="132">
        <f>IF(SER_hh_tes!C18=0,0,11630*1000*SER_hh_tes!C18/SER_hh_num!C18)</f>
        <v>27783.926803394112</v>
      </c>
      <c r="D18" s="132">
        <f>IF(SER_hh_tes!D18=0,0,11630*1000*SER_hh_tes!D18/SER_hh_num!D18)</f>
        <v>26606.595364933706</v>
      </c>
      <c r="E18" s="132">
        <f>IF(SER_hh_tes!E18=0,0,11630*1000*SER_hh_tes!E18/SER_hh_num!E18)</f>
        <v>26924.560439569381</v>
      </c>
      <c r="F18" s="132">
        <f>IF(SER_hh_tes!F18=0,0,11630*1000*SER_hh_tes!F18/SER_hh_num!F18)</f>
        <v>23534.845317605068</v>
      </c>
      <c r="G18" s="132">
        <f>IF(SER_hh_tes!G18=0,0,11630*1000*SER_hh_tes!G18/SER_hh_num!G18)</f>
        <v>23746.462672696023</v>
      </c>
      <c r="H18" s="132">
        <f>IF(SER_hh_tes!H18=0,0,11630*1000*SER_hh_tes!H18/SER_hh_num!H18)</f>
        <v>25415.342722697154</v>
      </c>
      <c r="I18" s="132">
        <f>IF(SER_hh_tes!I18=0,0,11630*1000*SER_hh_tes!I18/SER_hh_num!I18)</f>
        <v>33704.879583579503</v>
      </c>
      <c r="J18" s="132">
        <f>IF(SER_hh_tes!J18=0,0,11630*1000*SER_hh_tes!J18/SER_hh_num!J18)</f>
        <v>26683.076862787908</v>
      </c>
      <c r="K18" s="132">
        <f>IF(SER_hh_tes!K18=0,0,11630*1000*SER_hh_tes!K18/SER_hh_num!K18)</f>
        <v>25372.737583578251</v>
      </c>
      <c r="L18" s="132">
        <f>IF(SER_hh_tes!L18=0,0,11630*1000*SER_hh_tes!L18/SER_hh_num!L18)</f>
        <v>29985.923063898394</v>
      </c>
      <c r="M18" s="132">
        <f>IF(SER_hh_tes!M18=0,0,11630*1000*SER_hh_tes!M18/SER_hh_num!M18)</f>
        <v>25720.225560134371</v>
      </c>
      <c r="N18" s="132">
        <f>IF(SER_hh_tes!N18=0,0,11630*1000*SER_hh_tes!N18/SER_hh_num!N18)</f>
        <v>39164.063883139424</v>
      </c>
      <c r="O18" s="132">
        <f>IF(SER_hh_tes!O18=0,0,11630*1000*SER_hh_tes!O18/SER_hh_num!O18)</f>
        <v>26700.447071839939</v>
      </c>
      <c r="P18" s="132">
        <f>IF(SER_hh_tes!P18=0,0,11630*1000*SER_hh_tes!P18/SER_hh_num!P18)</f>
        <v>25117.63502297684</v>
      </c>
      <c r="Q18" s="132">
        <f>IF(SER_hh_tes!Q18=0,0,11630*1000*SER_hh_tes!Q18/SER_hh_num!Q18)</f>
        <v>33030.684681551749</v>
      </c>
      <c r="R18" s="132">
        <f>IF(SER_hh_tes!R18=0,0,11630*1000*SER_hh_tes!R18/SER_hh_num!R18)</f>
        <v>28243.834850164938</v>
      </c>
      <c r="S18" s="132">
        <f>IF(SER_hh_tes!S18=0,0,11630*1000*SER_hh_tes!S18/SER_hh_num!S18)</f>
        <v>30479.817095034643</v>
      </c>
      <c r="T18" s="132">
        <f>IF(SER_hh_tes!T18=0,0,11630*1000*SER_hh_tes!T18/SER_hh_num!T18)</f>
        <v>26735.746207884706</v>
      </c>
      <c r="U18" s="132">
        <f>IF(SER_hh_tes!U18=0,0,11630*1000*SER_hh_tes!U18/SER_hh_num!U18)</f>
        <v>30030.434914157449</v>
      </c>
      <c r="V18" s="132">
        <f>IF(SER_hh_tes!V18=0,0,11630*1000*SER_hh_tes!V18/SER_hh_num!V18)</f>
        <v>26696.130106725341</v>
      </c>
      <c r="W18" s="132">
        <f>IF(SER_hh_tes!W18=0,0,11630*1000*SER_hh_tes!W18/SER_hh_num!W18)</f>
        <v>30498.775229327952</v>
      </c>
      <c r="X18" s="132">
        <f>IF(SER_hh_tes!X18=0,0,11630*1000*SER_hh_tes!X18/SER_hh_num!X18)</f>
        <v>32065.085341158632</v>
      </c>
      <c r="Y18" s="132">
        <f>IF(SER_hh_tes!Y18=0,0,11630*1000*SER_hh_tes!Y18/SER_hh_num!Y18)</f>
        <v>33440.62431778985</v>
      </c>
      <c r="DA18" s="156" t="s">
        <v>430</v>
      </c>
    </row>
    <row r="19" spans="1:105" ht="12.95" customHeight="1" x14ac:dyDescent="0.25">
      <c r="A19" s="129" t="s">
        <v>35</v>
      </c>
      <c r="B19" s="130">
        <f>IF(SER_hh_tes!B19=0,0,11630*1000*SER_hh_tes!B19/SER_hh_num!B19)</f>
        <v>20865.918980589246</v>
      </c>
      <c r="C19" s="130">
        <f>IF(SER_hh_tes!C19=0,0,11630*1000*SER_hh_tes!C19/SER_hh_num!C19)</f>
        <v>22905.537727643448</v>
      </c>
      <c r="D19" s="130">
        <f>IF(SER_hh_tes!D19=0,0,11630*1000*SER_hh_tes!D19/SER_hh_num!D19)</f>
        <v>11176.652461155621</v>
      </c>
      <c r="E19" s="130">
        <f>IF(SER_hh_tes!E19=0,0,11630*1000*SER_hh_tes!E19/SER_hh_num!E19)</f>
        <v>24140.642584859503</v>
      </c>
      <c r="F19" s="130">
        <f>IF(SER_hh_tes!F19=0,0,11630*1000*SER_hh_tes!F19/SER_hh_num!F19)</f>
        <v>27482.991940086704</v>
      </c>
      <c r="G19" s="130">
        <f>IF(SER_hh_tes!G19=0,0,11630*1000*SER_hh_tes!G19/SER_hh_num!G19)</f>
        <v>27647.934633429384</v>
      </c>
      <c r="H19" s="130">
        <f>IF(SER_hh_tes!H19=0,0,11630*1000*SER_hh_tes!H19/SER_hh_num!H19)</f>
        <v>28515.876923782838</v>
      </c>
      <c r="I19" s="130">
        <f>IF(SER_hh_tes!I19=0,0,11630*1000*SER_hh_tes!I19/SER_hh_num!I19)</f>
        <v>29277.795472430997</v>
      </c>
      <c r="J19" s="130">
        <f>IF(SER_hh_tes!J19=0,0,11630*1000*SER_hh_tes!J19/SER_hh_num!J19)</f>
        <v>28830.151626848179</v>
      </c>
      <c r="K19" s="130">
        <f>IF(SER_hh_tes!K19=0,0,11630*1000*SER_hh_tes!K19/SER_hh_num!K19)</f>
        <v>28782.600231343076</v>
      </c>
      <c r="L19" s="130">
        <f>IF(SER_hh_tes!L19=0,0,11630*1000*SER_hh_tes!L19/SER_hh_num!L19)</f>
        <v>27924.022053143115</v>
      </c>
      <c r="M19" s="130">
        <f>IF(SER_hh_tes!M19=0,0,11630*1000*SER_hh_tes!M19/SER_hh_num!M19)</f>
        <v>29015.802491574716</v>
      </c>
      <c r="N19" s="130">
        <f>IF(SER_hh_tes!N19=0,0,11630*1000*SER_hh_tes!N19/SER_hh_num!N19)</f>
        <v>28901.693737322785</v>
      </c>
      <c r="O19" s="130">
        <f>IF(SER_hh_tes!O19=0,0,11630*1000*SER_hh_tes!O19/SER_hh_num!O19)</f>
        <v>29542.632645640148</v>
      </c>
      <c r="P19" s="130">
        <f>IF(SER_hh_tes!P19=0,0,11630*1000*SER_hh_tes!P19/SER_hh_num!P19)</f>
        <v>29972.425022047904</v>
      </c>
      <c r="Q19" s="130">
        <f>IF(SER_hh_tes!Q19=0,0,11630*1000*SER_hh_tes!Q19/SER_hh_num!Q19)</f>
        <v>30628.879910677042</v>
      </c>
      <c r="R19" s="130">
        <f>IF(SER_hh_tes!R19=0,0,11630*1000*SER_hh_tes!R19/SER_hh_num!R19)</f>
        <v>30656.80382708905</v>
      </c>
      <c r="S19" s="130">
        <f>IF(SER_hh_tes!S19=0,0,11630*1000*SER_hh_tes!S19/SER_hh_num!S19)</f>
        <v>30790.996929705274</v>
      </c>
      <c r="T19" s="130">
        <f>IF(SER_hh_tes!T19=0,0,11630*1000*SER_hh_tes!T19/SER_hh_num!T19)</f>
        <v>30193.625464059765</v>
      </c>
      <c r="U19" s="130">
        <f>IF(SER_hh_tes!U19=0,0,11630*1000*SER_hh_tes!U19/SER_hh_num!U19)</f>
        <v>28991.496582358966</v>
      </c>
      <c r="V19" s="130">
        <f>IF(SER_hh_tes!V19=0,0,11630*1000*SER_hh_tes!V19/SER_hh_num!V19)</f>
        <v>27559.541089899216</v>
      </c>
      <c r="W19" s="130">
        <f>IF(SER_hh_tes!W19=0,0,11630*1000*SER_hh_tes!W19/SER_hh_num!W19)</f>
        <v>30590.215142081957</v>
      </c>
      <c r="X19" s="130">
        <f>IF(SER_hh_tes!X19=0,0,11630*1000*SER_hh_tes!X19/SER_hh_num!X19)</f>
        <v>31172.515485295185</v>
      </c>
      <c r="Y19" s="130">
        <f>IF(SER_hh_tes!Y19=0,0,11630*1000*SER_hh_tes!Y19/SER_hh_num!Y19)</f>
        <v>32133.601363447386</v>
      </c>
      <c r="DA19" s="155" t="s">
        <v>431</v>
      </c>
    </row>
    <row r="20" spans="1:105" ht="12" customHeight="1" x14ac:dyDescent="0.25">
      <c r="A20" s="131" t="s">
        <v>29</v>
      </c>
      <c r="B20" s="132">
        <f>IF(SER_hh_tes!B20=0,0,11630*1000*SER_hh_tes!B20/SER_hh_num!B20)</f>
        <v>0</v>
      </c>
      <c r="C20" s="132">
        <f>IF(SER_hh_tes!C20=0,0,11630*1000*SER_hh_tes!C20/SER_hh_num!C20)</f>
        <v>0</v>
      </c>
      <c r="D20" s="132">
        <f>IF(SER_hh_tes!D20=0,0,11630*1000*SER_hh_tes!D20/SER_hh_num!D20)</f>
        <v>0</v>
      </c>
      <c r="E20" s="132">
        <f>IF(SER_hh_tes!E20=0,0,11630*1000*SER_hh_tes!E20/SER_hh_num!E20)</f>
        <v>0</v>
      </c>
      <c r="F20" s="132">
        <f>IF(SER_hh_tes!F20=0,0,11630*1000*SER_hh_tes!F20/SER_hh_num!F20)</f>
        <v>0</v>
      </c>
      <c r="G20" s="132">
        <f>IF(SER_hh_tes!G20=0,0,11630*1000*SER_hh_tes!G20/SER_hh_num!G20)</f>
        <v>0</v>
      </c>
      <c r="H20" s="132">
        <f>IF(SER_hh_tes!H20=0,0,11630*1000*SER_hh_tes!H20/SER_hh_num!H20)</f>
        <v>0</v>
      </c>
      <c r="I20" s="132">
        <f>IF(SER_hh_tes!I20=0,0,11630*1000*SER_hh_tes!I20/SER_hh_num!I20)</f>
        <v>0</v>
      </c>
      <c r="J20" s="132">
        <f>IF(SER_hh_tes!J20=0,0,11630*1000*SER_hh_tes!J20/SER_hh_num!J20)</f>
        <v>0</v>
      </c>
      <c r="K20" s="132">
        <f>IF(SER_hh_tes!K20=0,0,11630*1000*SER_hh_tes!K20/SER_hh_num!K20)</f>
        <v>0</v>
      </c>
      <c r="L20" s="132">
        <f>IF(SER_hh_tes!L20=0,0,11630*1000*SER_hh_tes!L20/SER_hh_num!L20)</f>
        <v>0</v>
      </c>
      <c r="M20" s="132">
        <f>IF(SER_hh_tes!M20=0,0,11630*1000*SER_hh_tes!M20/SER_hh_num!M20)</f>
        <v>0</v>
      </c>
      <c r="N20" s="132">
        <f>IF(SER_hh_tes!N20=0,0,11630*1000*SER_hh_tes!N20/SER_hh_num!N20)</f>
        <v>0</v>
      </c>
      <c r="O20" s="132">
        <f>IF(SER_hh_tes!O20=0,0,11630*1000*SER_hh_tes!O20/SER_hh_num!O20)</f>
        <v>0</v>
      </c>
      <c r="P20" s="132">
        <f>IF(SER_hh_tes!P20=0,0,11630*1000*SER_hh_tes!P20/SER_hh_num!P20)</f>
        <v>0</v>
      </c>
      <c r="Q20" s="132">
        <f>IF(SER_hh_tes!Q20=0,0,11630*1000*SER_hh_tes!Q20/SER_hh_num!Q20)</f>
        <v>0</v>
      </c>
      <c r="R20" s="132">
        <f>IF(SER_hh_tes!R20=0,0,11630*1000*SER_hh_tes!R20/SER_hh_num!R20)</f>
        <v>0</v>
      </c>
      <c r="S20" s="132">
        <f>IF(SER_hh_tes!S20=0,0,11630*1000*SER_hh_tes!S20/SER_hh_num!S20)</f>
        <v>0</v>
      </c>
      <c r="T20" s="132">
        <f>IF(SER_hh_tes!T20=0,0,11630*1000*SER_hh_tes!T20/SER_hh_num!T20)</f>
        <v>0</v>
      </c>
      <c r="U20" s="132">
        <f>IF(SER_hh_tes!U20=0,0,11630*1000*SER_hh_tes!U20/SER_hh_num!U20)</f>
        <v>0</v>
      </c>
      <c r="V20" s="132">
        <f>IF(SER_hh_tes!V20=0,0,11630*1000*SER_hh_tes!V20/SER_hh_num!V20)</f>
        <v>0</v>
      </c>
      <c r="W20" s="132">
        <f>IF(SER_hh_tes!W20=0,0,11630*1000*SER_hh_tes!W20/SER_hh_num!W20)</f>
        <v>0</v>
      </c>
      <c r="X20" s="132">
        <f>IF(SER_hh_tes!X20=0,0,11630*1000*SER_hh_tes!X20/SER_hh_num!X20)</f>
        <v>0</v>
      </c>
      <c r="Y20" s="132">
        <f>IF(SER_hh_tes!Y20=0,0,11630*1000*SER_hh_tes!Y20/SER_hh_num!Y20)</f>
        <v>0</v>
      </c>
      <c r="DA20" s="156" t="s">
        <v>432</v>
      </c>
    </row>
    <row r="21" spans="1:105" s="2" customFormat="1" ht="12" customHeight="1" x14ac:dyDescent="0.25">
      <c r="A21" s="131" t="s">
        <v>52</v>
      </c>
      <c r="B21" s="132">
        <f>IF(SER_hh_tes!B21=0,0,11630*1000*SER_hh_tes!B21/SER_hh_num!B21)</f>
        <v>0</v>
      </c>
      <c r="C21" s="132">
        <f>IF(SER_hh_tes!C21=0,0,11630*1000*SER_hh_tes!C21/SER_hh_num!C21)</f>
        <v>0</v>
      </c>
      <c r="D21" s="132">
        <f>IF(SER_hh_tes!D21=0,0,11630*1000*SER_hh_tes!D21/SER_hh_num!D21)</f>
        <v>0</v>
      </c>
      <c r="E21" s="132">
        <f>IF(SER_hh_tes!E21=0,0,11630*1000*SER_hh_tes!E21/SER_hh_num!E21)</f>
        <v>0</v>
      </c>
      <c r="F21" s="132">
        <f>IF(SER_hh_tes!F21=0,0,11630*1000*SER_hh_tes!F21/SER_hh_num!F21)</f>
        <v>0</v>
      </c>
      <c r="G21" s="132">
        <f>IF(SER_hh_tes!G21=0,0,11630*1000*SER_hh_tes!G21/SER_hh_num!G21)</f>
        <v>0</v>
      </c>
      <c r="H21" s="132">
        <f>IF(SER_hh_tes!H21=0,0,11630*1000*SER_hh_tes!H21/SER_hh_num!H21)</f>
        <v>0</v>
      </c>
      <c r="I21" s="132">
        <f>IF(SER_hh_tes!I21=0,0,11630*1000*SER_hh_tes!I21/SER_hh_num!I21)</f>
        <v>0</v>
      </c>
      <c r="J21" s="132">
        <f>IF(SER_hh_tes!J21=0,0,11630*1000*SER_hh_tes!J21/SER_hh_num!J21)</f>
        <v>0</v>
      </c>
      <c r="K21" s="132">
        <f>IF(SER_hh_tes!K21=0,0,11630*1000*SER_hh_tes!K21/SER_hh_num!K21)</f>
        <v>0</v>
      </c>
      <c r="L21" s="132">
        <f>IF(SER_hh_tes!L21=0,0,11630*1000*SER_hh_tes!L21/SER_hh_num!L21)</f>
        <v>0</v>
      </c>
      <c r="M21" s="132">
        <f>IF(SER_hh_tes!M21=0,0,11630*1000*SER_hh_tes!M21/SER_hh_num!M21)</f>
        <v>0</v>
      </c>
      <c r="N21" s="132">
        <f>IF(SER_hh_tes!N21=0,0,11630*1000*SER_hh_tes!N21/SER_hh_num!N21)</f>
        <v>0</v>
      </c>
      <c r="O21" s="132">
        <f>IF(SER_hh_tes!O21=0,0,11630*1000*SER_hh_tes!O21/SER_hh_num!O21)</f>
        <v>0</v>
      </c>
      <c r="P21" s="132">
        <f>IF(SER_hh_tes!P21=0,0,11630*1000*SER_hh_tes!P21/SER_hh_num!P21)</f>
        <v>0</v>
      </c>
      <c r="Q21" s="132">
        <f>IF(SER_hh_tes!Q21=0,0,11630*1000*SER_hh_tes!Q21/SER_hh_num!Q21)</f>
        <v>0</v>
      </c>
      <c r="R21" s="132">
        <f>IF(SER_hh_tes!R21=0,0,11630*1000*SER_hh_tes!R21/SER_hh_num!R21)</f>
        <v>0</v>
      </c>
      <c r="S21" s="132">
        <f>IF(SER_hh_tes!S21=0,0,11630*1000*SER_hh_tes!S21/SER_hh_num!S21)</f>
        <v>0</v>
      </c>
      <c r="T21" s="132">
        <f>IF(SER_hh_tes!T21=0,0,11630*1000*SER_hh_tes!T21/SER_hh_num!T21)</f>
        <v>0</v>
      </c>
      <c r="U21" s="132">
        <f>IF(SER_hh_tes!U21=0,0,11630*1000*SER_hh_tes!U21/SER_hh_num!U21)</f>
        <v>0</v>
      </c>
      <c r="V21" s="132">
        <f>IF(SER_hh_tes!V21=0,0,11630*1000*SER_hh_tes!V21/SER_hh_num!V21)</f>
        <v>0</v>
      </c>
      <c r="W21" s="132">
        <f>IF(SER_hh_tes!W21=0,0,11630*1000*SER_hh_tes!W21/SER_hh_num!W21)</f>
        <v>0</v>
      </c>
      <c r="X21" s="132">
        <f>IF(SER_hh_tes!X21=0,0,11630*1000*SER_hh_tes!X21/SER_hh_num!X21)</f>
        <v>0</v>
      </c>
      <c r="Y21" s="132">
        <f>IF(SER_hh_tes!Y21=0,0,11630*1000*SER_hh_tes!Y21/SER_hh_num!Y21)</f>
        <v>0</v>
      </c>
      <c r="DA21" s="156" t="s">
        <v>433</v>
      </c>
    </row>
    <row r="22" spans="1:105" ht="12" customHeight="1" x14ac:dyDescent="0.25">
      <c r="A22" s="131" t="s">
        <v>161</v>
      </c>
      <c r="B22" s="132">
        <f>IF(SER_hh_tes!B22=0,0,11630*1000*SER_hh_tes!B22/SER_hh_num!B22)</f>
        <v>3431.3552398252455</v>
      </c>
      <c r="C22" s="132">
        <f>IF(SER_hh_tes!C22=0,0,11630*1000*SER_hh_tes!C22/SER_hh_num!C22)</f>
        <v>5582.6221754513072</v>
      </c>
      <c r="D22" s="132">
        <f>IF(SER_hh_tes!D22=0,0,11630*1000*SER_hh_tes!D22/SER_hh_num!D22)</f>
        <v>16797.323653595609</v>
      </c>
      <c r="E22" s="132">
        <f>IF(SER_hh_tes!E22=0,0,11630*1000*SER_hh_tes!E22/SER_hh_num!E22)</f>
        <v>23593.25201647581</v>
      </c>
      <c r="F22" s="132">
        <f>IF(SER_hh_tes!F22=0,0,11630*1000*SER_hh_tes!F22/SER_hh_num!F22)</f>
        <v>27108.546668651768</v>
      </c>
      <c r="G22" s="132">
        <f>IF(SER_hh_tes!G22=0,0,11630*1000*SER_hh_tes!G22/SER_hh_num!G22)</f>
        <v>32000.777153231138</v>
      </c>
      <c r="H22" s="132">
        <f>IF(SER_hh_tes!H22=0,0,11630*1000*SER_hh_tes!H22/SER_hh_num!H22)</f>
        <v>22586.641409620668</v>
      </c>
      <c r="I22" s="132">
        <f>IF(SER_hh_tes!I22=0,0,11630*1000*SER_hh_tes!I22/SER_hh_num!I22)</f>
        <v>26206.305578439209</v>
      </c>
      <c r="J22" s="132">
        <f>IF(SER_hh_tes!J22=0,0,11630*1000*SER_hh_tes!J22/SER_hh_num!J22)</f>
        <v>28941.389857426973</v>
      </c>
      <c r="K22" s="132">
        <f>IF(SER_hh_tes!K22=0,0,11630*1000*SER_hh_tes!K22/SER_hh_num!K22)</f>
        <v>27551.339086002747</v>
      </c>
      <c r="L22" s="132">
        <f>IF(SER_hh_tes!L22=0,0,11630*1000*SER_hh_tes!L22/SER_hh_num!L22)</f>
        <v>26954.053427637176</v>
      </c>
      <c r="M22" s="132">
        <f>IF(SER_hh_tes!M22=0,0,11630*1000*SER_hh_tes!M22/SER_hh_num!M22)</f>
        <v>25068.881047946063</v>
      </c>
      <c r="N22" s="132">
        <f>IF(SER_hh_tes!N22=0,0,11630*1000*SER_hh_tes!N22/SER_hh_num!N22)</f>
        <v>27415.911119069588</v>
      </c>
      <c r="O22" s="132">
        <f>IF(SER_hh_tes!O22=0,0,11630*1000*SER_hh_tes!O22/SER_hh_num!O22)</f>
        <v>32204.851862229079</v>
      </c>
      <c r="P22" s="132">
        <f>IF(SER_hh_tes!P22=0,0,11630*1000*SER_hh_tes!P22/SER_hh_num!P22)</f>
        <v>30704.807584736584</v>
      </c>
      <c r="Q22" s="132">
        <f>IF(SER_hh_tes!Q22=0,0,11630*1000*SER_hh_tes!Q22/SER_hh_num!Q22)</f>
        <v>30748.693423605215</v>
      </c>
      <c r="R22" s="132">
        <f>IF(SER_hh_tes!R22=0,0,11630*1000*SER_hh_tes!R22/SER_hh_num!R22)</f>
        <v>26418.684082070544</v>
      </c>
      <c r="S22" s="132">
        <f>IF(SER_hh_tes!S22=0,0,11630*1000*SER_hh_tes!S22/SER_hh_num!S22)</f>
        <v>31636.529422450676</v>
      </c>
      <c r="T22" s="132">
        <f>IF(SER_hh_tes!T22=0,0,11630*1000*SER_hh_tes!T22/SER_hh_num!T22)</f>
        <v>32114.596341365126</v>
      </c>
      <c r="U22" s="132">
        <f>IF(SER_hh_tes!U22=0,0,11630*1000*SER_hh_tes!U22/SER_hh_num!U22)</f>
        <v>27709.831708250367</v>
      </c>
      <c r="V22" s="132">
        <f>IF(SER_hh_tes!V22=0,0,11630*1000*SER_hh_tes!V22/SER_hh_num!V22)</f>
        <v>25113.045347832529</v>
      </c>
      <c r="W22" s="132">
        <f>IF(SER_hh_tes!W22=0,0,11630*1000*SER_hh_tes!W22/SER_hh_num!W22)</f>
        <v>33926.005593377115</v>
      </c>
      <c r="X22" s="132">
        <f>IF(SER_hh_tes!X22=0,0,11630*1000*SER_hh_tes!X22/SER_hh_num!X22)</f>
        <v>31920.989413935091</v>
      </c>
      <c r="Y22" s="132">
        <f>IF(SER_hh_tes!Y22=0,0,11630*1000*SER_hh_tes!Y22/SER_hh_num!Y22)</f>
        <v>32018.426031991577</v>
      </c>
      <c r="DA22" s="156" t="s">
        <v>434</v>
      </c>
    </row>
    <row r="23" spans="1:105" ht="12" customHeight="1" x14ac:dyDescent="0.25">
      <c r="A23" s="131" t="s">
        <v>149</v>
      </c>
      <c r="B23" s="132">
        <f>IF(SER_hh_tes!B23=0,0,11630*1000*SER_hh_tes!B23/SER_hh_num!B23)</f>
        <v>21803.494091624972</v>
      </c>
      <c r="C23" s="132">
        <f>IF(SER_hh_tes!C23=0,0,11630*1000*SER_hh_tes!C23/SER_hh_num!C23)</f>
        <v>17406.373054107058</v>
      </c>
      <c r="D23" s="132">
        <f>IF(SER_hh_tes!D23=0,0,11630*1000*SER_hh_tes!D23/SER_hh_num!D23)</f>
        <v>10160.594458321881</v>
      </c>
      <c r="E23" s="132">
        <f>IF(SER_hh_tes!E23=0,0,11630*1000*SER_hh_tes!E23/SER_hh_num!E23)</f>
        <v>20358.101293170977</v>
      </c>
      <c r="F23" s="132">
        <f>IF(SER_hh_tes!F23=0,0,11630*1000*SER_hh_tes!F23/SER_hh_num!F23)</f>
        <v>31260.270130389086</v>
      </c>
      <c r="G23" s="132">
        <f>IF(SER_hh_tes!G23=0,0,11630*1000*SER_hh_tes!G23/SER_hh_num!G23)</f>
        <v>27027.413658098358</v>
      </c>
      <c r="H23" s="132">
        <f>IF(SER_hh_tes!H23=0,0,11630*1000*SER_hh_tes!H23/SER_hh_num!H23)</f>
        <v>31493.320081387363</v>
      </c>
      <c r="I23" s="132">
        <f>IF(SER_hh_tes!I23=0,0,11630*1000*SER_hh_tes!I23/SER_hh_num!I23)</f>
        <v>28149.12713110193</v>
      </c>
      <c r="J23" s="132">
        <f>IF(SER_hh_tes!J23=0,0,11630*1000*SER_hh_tes!J23/SER_hh_num!J23)</f>
        <v>23687.712651243048</v>
      </c>
      <c r="K23" s="132">
        <f>IF(SER_hh_tes!K23=0,0,11630*1000*SER_hh_tes!K23/SER_hh_num!K23)</f>
        <v>32196.373440027764</v>
      </c>
      <c r="L23" s="132">
        <f>IF(SER_hh_tes!L23=0,0,11630*1000*SER_hh_tes!L23/SER_hh_num!L23)</f>
        <v>30439.358560706387</v>
      </c>
      <c r="M23" s="132">
        <f>IF(SER_hh_tes!M23=0,0,11630*1000*SER_hh_tes!M23/SER_hh_num!M23)</f>
        <v>27780.348176489919</v>
      </c>
      <c r="N23" s="132">
        <f>IF(SER_hh_tes!N23=0,0,11630*1000*SER_hh_tes!N23/SER_hh_num!N23)</f>
        <v>28223.272411074482</v>
      </c>
      <c r="O23" s="132">
        <f>IF(SER_hh_tes!O23=0,0,11630*1000*SER_hh_tes!O23/SER_hh_num!O23)</f>
        <v>28794.455422854127</v>
      </c>
      <c r="P23" s="132">
        <f>IF(SER_hh_tes!P23=0,0,11630*1000*SER_hh_tes!P23/SER_hh_num!P23)</f>
        <v>29714.76267225698</v>
      </c>
      <c r="Q23" s="132">
        <f>IF(SER_hh_tes!Q23=0,0,11630*1000*SER_hh_tes!Q23/SER_hh_num!Q23)</f>
        <v>30138.241760216839</v>
      </c>
      <c r="R23" s="132">
        <f>IF(SER_hh_tes!R23=0,0,11630*1000*SER_hh_tes!R23/SER_hh_num!R23)</f>
        <v>30936.318569194769</v>
      </c>
      <c r="S23" s="132">
        <f>IF(SER_hh_tes!S23=0,0,11630*1000*SER_hh_tes!S23/SER_hh_num!S23)</f>
        <v>31390.48451422466</v>
      </c>
      <c r="T23" s="132">
        <f>IF(SER_hh_tes!T23=0,0,11630*1000*SER_hh_tes!T23/SER_hh_num!T23)</f>
        <v>29664.571157561764</v>
      </c>
      <c r="U23" s="132">
        <f>IF(SER_hh_tes!U23=0,0,11630*1000*SER_hh_tes!U23/SER_hh_num!U23)</f>
        <v>29582.801878274709</v>
      </c>
      <c r="V23" s="132">
        <f>IF(SER_hh_tes!V23=0,0,11630*1000*SER_hh_tes!V23/SER_hh_num!V23)</f>
        <v>28814.181770651092</v>
      </c>
      <c r="W23" s="132">
        <f>IF(SER_hh_tes!W23=0,0,11630*1000*SER_hh_tes!W23/SER_hh_num!W23)</f>
        <v>29797.430245710748</v>
      </c>
      <c r="X23" s="132">
        <f>IF(SER_hh_tes!X23=0,0,11630*1000*SER_hh_tes!X23/SER_hh_num!X23)</f>
        <v>31589.118994438792</v>
      </c>
      <c r="Y23" s="132">
        <f>IF(SER_hh_tes!Y23=0,0,11630*1000*SER_hh_tes!Y23/SER_hh_num!Y23)</f>
        <v>30636.376991304202</v>
      </c>
      <c r="DA23" s="156" t="s">
        <v>435</v>
      </c>
    </row>
    <row r="24" spans="1:105" ht="12" customHeight="1" x14ac:dyDescent="0.25">
      <c r="A24" s="131" t="s">
        <v>128</v>
      </c>
      <c r="B24" s="132">
        <f>IF(SER_hh_tes!B24=0,0,11630*1000*SER_hh_tes!B24/SER_hh_num!B24)</f>
        <v>19041.407467006189</v>
      </c>
      <c r="C24" s="132">
        <f>IF(SER_hh_tes!C24=0,0,11630*1000*SER_hh_tes!C24/SER_hh_num!C24)</f>
        <v>11773.572226831378</v>
      </c>
      <c r="D24" s="132">
        <f>IF(SER_hh_tes!D24=0,0,11630*1000*SER_hh_tes!D24/SER_hh_num!D24)</f>
        <v>22258.188964933837</v>
      </c>
      <c r="E24" s="132">
        <f>IF(SER_hh_tes!E24=0,0,11630*1000*SER_hh_tes!E24/SER_hh_num!E24)</f>
        <v>21975.96869126616</v>
      </c>
      <c r="F24" s="132">
        <f>IF(SER_hh_tes!F24=0,0,11630*1000*SER_hh_tes!F24/SER_hh_num!F24)</f>
        <v>22327.102304721426</v>
      </c>
      <c r="G24" s="132">
        <f>IF(SER_hh_tes!G24=0,0,11630*1000*SER_hh_tes!G24/SER_hh_num!G24)</f>
        <v>25534.533802404578</v>
      </c>
      <c r="H24" s="132">
        <f>IF(SER_hh_tes!H24=0,0,11630*1000*SER_hh_tes!H24/SER_hh_num!H24)</f>
        <v>27754.983561288867</v>
      </c>
      <c r="I24" s="132">
        <f>IF(SER_hh_tes!I24=0,0,11630*1000*SER_hh_tes!I24/SER_hh_num!I24)</f>
        <v>27893.627701626516</v>
      </c>
      <c r="J24" s="132">
        <f>IF(SER_hh_tes!J24=0,0,11630*1000*SER_hh_tes!J24/SER_hh_num!J24)</f>
        <v>27526.220893341761</v>
      </c>
      <c r="K24" s="132">
        <f>IF(SER_hh_tes!K24=0,0,11630*1000*SER_hh_tes!K24/SER_hh_num!K24)</f>
        <v>27766.151825392462</v>
      </c>
      <c r="L24" s="132">
        <f>IF(SER_hh_tes!L24=0,0,11630*1000*SER_hh_tes!L24/SER_hh_num!L24)</f>
        <v>28148.125182045682</v>
      </c>
      <c r="M24" s="132">
        <f>IF(SER_hh_tes!M24=0,0,11630*1000*SER_hh_tes!M24/SER_hh_num!M24)</f>
        <v>28996.638555417587</v>
      </c>
      <c r="N24" s="132">
        <f>IF(SER_hh_tes!N24=0,0,11630*1000*SER_hh_tes!N24/SER_hh_num!N24)</f>
        <v>29630.390568846084</v>
      </c>
      <c r="O24" s="132">
        <f>IF(SER_hh_tes!O24=0,0,11630*1000*SER_hh_tes!O24/SER_hh_num!O24)</f>
        <v>29873.173307203233</v>
      </c>
      <c r="P24" s="132">
        <f>IF(SER_hh_tes!P24=0,0,11630*1000*SER_hh_tes!P24/SER_hh_num!P24)</f>
        <v>30476.20577077007</v>
      </c>
      <c r="Q24" s="132">
        <f>IF(SER_hh_tes!Q24=0,0,11630*1000*SER_hh_tes!Q24/SER_hh_num!Q24)</f>
        <v>32803.612829572368</v>
      </c>
      <c r="R24" s="132">
        <f>IF(SER_hh_tes!R24=0,0,11630*1000*SER_hh_tes!R24/SER_hh_num!R24)</f>
        <v>30346.527274363547</v>
      </c>
      <c r="S24" s="132">
        <f>IF(SER_hh_tes!S24=0,0,11630*1000*SER_hh_tes!S24/SER_hh_num!S24)</f>
        <v>28851.077184708996</v>
      </c>
      <c r="T24" s="132">
        <f>IF(SER_hh_tes!T24=0,0,11630*1000*SER_hh_tes!T24/SER_hh_num!T24)</f>
        <v>32655.297940932018</v>
      </c>
      <c r="U24" s="132">
        <f>IF(SER_hh_tes!U24=0,0,11630*1000*SER_hh_tes!U24/SER_hh_num!U24)</f>
        <v>27493.156304539752</v>
      </c>
      <c r="V24" s="132">
        <f>IF(SER_hh_tes!V24=0,0,11630*1000*SER_hh_tes!V24/SER_hh_num!V24)</f>
        <v>27303.142012329015</v>
      </c>
      <c r="W24" s="132">
        <f>IF(SER_hh_tes!W24=0,0,11630*1000*SER_hh_tes!W24/SER_hh_num!W24)</f>
        <v>30598.516418326031</v>
      </c>
      <c r="X24" s="132">
        <f>IF(SER_hh_tes!X24=0,0,11630*1000*SER_hh_tes!X24/SER_hh_num!X24)</f>
        <v>30498.917778372917</v>
      </c>
      <c r="Y24" s="132">
        <f>IF(SER_hh_tes!Y24=0,0,11630*1000*SER_hh_tes!Y24/SER_hh_num!Y24)</f>
        <v>31816.916063465225</v>
      </c>
      <c r="DA24" s="156" t="s">
        <v>436</v>
      </c>
    </row>
    <row r="25" spans="1:105" ht="12" customHeight="1" x14ac:dyDescent="0.25">
      <c r="A25" s="131" t="s">
        <v>162</v>
      </c>
      <c r="B25" s="132">
        <f>IF(SER_hh_tes!B25=0,0,11630*1000*SER_hh_tes!B25/SER_hh_num!B25)</f>
        <v>26693.482907118032</v>
      </c>
      <c r="C25" s="132">
        <f>IF(SER_hh_tes!C25=0,0,11630*1000*SER_hh_tes!C25/SER_hh_num!C25)</f>
        <v>17578.857655163225</v>
      </c>
      <c r="D25" s="132">
        <f>IF(SER_hh_tes!D25=0,0,11630*1000*SER_hh_tes!D25/SER_hh_num!D25)</f>
        <v>10160.594180093358</v>
      </c>
      <c r="E25" s="132">
        <f>IF(SER_hh_tes!E25=0,0,11630*1000*SER_hh_tes!E25/SER_hh_num!E25)</f>
        <v>22151.080444399122</v>
      </c>
      <c r="F25" s="132">
        <f>IF(SER_hh_tes!F25=0,0,11630*1000*SER_hh_tes!F25/SER_hh_num!F25)</f>
        <v>18727.527827292641</v>
      </c>
      <c r="G25" s="132">
        <f>IF(SER_hh_tes!G25=0,0,11630*1000*SER_hh_tes!G25/SER_hh_num!G25)</f>
        <v>30179.641414778132</v>
      </c>
      <c r="H25" s="132">
        <f>IF(SER_hh_tes!H25=0,0,11630*1000*SER_hh_tes!H25/SER_hh_num!H25)</f>
        <v>27845.297651586734</v>
      </c>
      <c r="I25" s="132">
        <f>IF(SER_hh_tes!I25=0,0,11630*1000*SER_hh_tes!I25/SER_hh_num!I25)</f>
        <v>26573.271881518649</v>
      </c>
      <c r="J25" s="132">
        <f>IF(SER_hh_tes!J25=0,0,11630*1000*SER_hh_tes!J25/SER_hh_num!J25)</f>
        <v>30868.654971741649</v>
      </c>
      <c r="K25" s="132">
        <f>IF(SER_hh_tes!K25=0,0,11630*1000*SER_hh_tes!K25/SER_hh_num!K25)</f>
        <v>28734.293167515661</v>
      </c>
      <c r="L25" s="132">
        <f>IF(SER_hh_tes!L25=0,0,11630*1000*SER_hh_tes!L25/SER_hh_num!L25)</f>
        <v>27545.653703179054</v>
      </c>
      <c r="M25" s="132">
        <f>IF(SER_hh_tes!M25=0,0,11630*1000*SER_hh_tes!M25/SER_hh_num!M25)</f>
        <v>28992.660991133402</v>
      </c>
      <c r="N25" s="132">
        <f>IF(SER_hh_tes!N25=0,0,11630*1000*SER_hh_tes!N25/SER_hh_num!N25)</f>
        <v>29954.183828809026</v>
      </c>
      <c r="O25" s="132">
        <f>IF(SER_hh_tes!O25=0,0,11630*1000*SER_hh_tes!O25/SER_hh_num!O25)</f>
        <v>30804.249983971455</v>
      </c>
      <c r="P25" s="132">
        <f>IF(SER_hh_tes!P25=0,0,11630*1000*SER_hh_tes!P25/SER_hh_num!P25)</f>
        <v>29164.572036391532</v>
      </c>
      <c r="Q25" s="132">
        <f>IF(SER_hh_tes!Q25=0,0,11630*1000*SER_hh_tes!Q25/SER_hh_num!Q25)</f>
        <v>30719.353641409791</v>
      </c>
      <c r="R25" s="132">
        <f>IF(SER_hh_tes!R25=0,0,11630*1000*SER_hh_tes!R25/SER_hh_num!R25)</f>
        <v>31611.746595040742</v>
      </c>
      <c r="S25" s="132">
        <f>IF(SER_hh_tes!S25=0,0,11630*1000*SER_hh_tes!S25/SER_hh_num!S25)</f>
        <v>30651.927226804779</v>
      </c>
      <c r="T25" s="132">
        <f>IF(SER_hh_tes!T25=0,0,11630*1000*SER_hh_tes!T25/SER_hh_num!T25)</f>
        <v>29952.113562373266</v>
      </c>
      <c r="U25" s="132">
        <f>IF(SER_hh_tes!U25=0,0,11630*1000*SER_hh_tes!U25/SER_hh_num!U25)</f>
        <v>28218.779171246948</v>
      </c>
      <c r="V25" s="132">
        <f>IF(SER_hh_tes!V25=0,0,11630*1000*SER_hh_tes!V25/SER_hh_num!V25)</f>
        <v>28902.373664060655</v>
      </c>
      <c r="W25" s="132">
        <f>IF(SER_hh_tes!W25=0,0,11630*1000*SER_hh_tes!W25/SER_hh_num!W25)</f>
        <v>31582.372548898846</v>
      </c>
      <c r="X25" s="132">
        <f>IF(SER_hh_tes!X25=0,0,11630*1000*SER_hh_tes!X25/SER_hh_num!X25)</f>
        <v>29237.11167699494</v>
      </c>
      <c r="Y25" s="132">
        <f>IF(SER_hh_tes!Y25=0,0,11630*1000*SER_hh_tes!Y25/SER_hh_num!Y25)</f>
        <v>32399.213768705758</v>
      </c>
      <c r="DA25" s="156" t="s">
        <v>437</v>
      </c>
    </row>
    <row r="26" spans="1:105" ht="12" customHeight="1" x14ac:dyDescent="0.25">
      <c r="A26" s="131" t="s">
        <v>24</v>
      </c>
      <c r="B26" s="65">
        <f>IF(SER_hh_tes!B26=0,0,11630*1000*SER_hh_tes!B26/SER_hh_num!B26)</f>
        <v>23991.096268016099</v>
      </c>
      <c r="C26" s="65">
        <f>IF(SER_hh_tes!C26=0,0,11630*1000*SER_hh_tes!C26/SER_hh_num!C26)</f>
        <v>48578.490548311122</v>
      </c>
      <c r="D26" s="65">
        <f>IF(SER_hh_tes!D26=0,0,11630*1000*SER_hh_tes!D26/SER_hh_num!D26)</f>
        <v>4240.744854818432</v>
      </c>
      <c r="E26" s="65">
        <f>IF(SER_hh_tes!E26=0,0,11630*1000*SER_hh_tes!E26/SER_hh_num!E26)</f>
        <v>29074.303086588607</v>
      </c>
      <c r="F26" s="65">
        <f>IF(SER_hh_tes!F26=0,0,11630*1000*SER_hh_tes!F26/SER_hh_num!F26)</f>
        <v>27675.775974556323</v>
      </c>
      <c r="G26" s="65">
        <f>IF(SER_hh_tes!G26=0,0,11630*1000*SER_hh_tes!G26/SER_hh_num!G26)</f>
        <v>26129.156178385325</v>
      </c>
      <c r="H26" s="65">
        <f>IF(SER_hh_tes!H26=0,0,11630*1000*SER_hh_tes!H26/SER_hh_num!H26)</f>
        <v>26833.455114530381</v>
      </c>
      <c r="I26" s="65">
        <f>IF(SER_hh_tes!I26=0,0,11630*1000*SER_hh_tes!I26/SER_hh_num!I26)</f>
        <v>32080.014360142646</v>
      </c>
      <c r="J26" s="65">
        <f>IF(SER_hh_tes!J26=0,0,11630*1000*SER_hh_tes!J26/SER_hh_num!J26)</f>
        <v>33638.603197396696</v>
      </c>
      <c r="K26" s="65">
        <f>IF(SER_hh_tes!K26=0,0,11630*1000*SER_hh_tes!K26/SER_hh_num!K26)</f>
        <v>24734.868325229581</v>
      </c>
      <c r="L26" s="65">
        <f>IF(SER_hh_tes!L26=0,0,11630*1000*SER_hh_tes!L26/SER_hh_num!L26)</f>
        <v>24667.972880581103</v>
      </c>
      <c r="M26" s="65">
        <f>IF(SER_hh_tes!M26=0,0,11630*1000*SER_hh_tes!M26/SER_hh_num!M26)</f>
        <v>31579.590275596413</v>
      </c>
      <c r="N26" s="65">
        <f>IF(SER_hh_tes!N26=0,0,11630*1000*SER_hh_tes!N26/SER_hh_num!N26)</f>
        <v>29403.452231272971</v>
      </c>
      <c r="O26" s="65">
        <f>IF(SER_hh_tes!O26=0,0,11630*1000*SER_hh_tes!O26/SER_hh_num!O26)</f>
        <v>28790.743260662239</v>
      </c>
      <c r="P26" s="65">
        <f>IF(SER_hh_tes!P26=0,0,11630*1000*SER_hh_tes!P26/SER_hh_num!P26)</f>
        <v>30441.485479052753</v>
      </c>
      <c r="Q26" s="65">
        <f>IF(SER_hh_tes!Q26=0,0,11630*1000*SER_hh_tes!Q26/SER_hh_num!Q26)</f>
        <v>31000.43543349372</v>
      </c>
      <c r="R26" s="65">
        <f>IF(SER_hh_tes!R26=0,0,11630*1000*SER_hh_tes!R26/SER_hh_num!R26)</f>
        <v>31730.739694283791</v>
      </c>
      <c r="S26" s="65">
        <f>IF(SER_hh_tes!S26=0,0,11630*1000*SER_hh_tes!S26/SER_hh_num!S26)</f>
        <v>29212.021171869586</v>
      </c>
      <c r="T26" s="65">
        <f>IF(SER_hh_tes!T26=0,0,11630*1000*SER_hh_tes!T26/SER_hh_num!T26)</f>
        <v>29759.507540727773</v>
      </c>
      <c r="U26" s="65">
        <f>IF(SER_hh_tes!U26=0,0,11630*1000*SER_hh_tes!U26/SER_hh_num!U26)</f>
        <v>29231.781167526671</v>
      </c>
      <c r="V26" s="65">
        <f>IF(SER_hh_tes!V26=0,0,11630*1000*SER_hh_tes!V26/SER_hh_num!V26)</f>
        <v>26093.456215595237</v>
      </c>
      <c r="W26" s="65">
        <f>IF(SER_hh_tes!W26=0,0,11630*1000*SER_hh_tes!W26/SER_hh_num!W26)</f>
        <v>28056.802154073077</v>
      </c>
      <c r="X26" s="65">
        <f>IF(SER_hh_tes!X26=0,0,11630*1000*SER_hh_tes!X26/SER_hh_num!X26)</f>
        <v>30329.453908630898</v>
      </c>
      <c r="Y26" s="65">
        <f>IF(SER_hh_tes!Y26=0,0,11630*1000*SER_hh_tes!Y26/SER_hh_num!Y26)</f>
        <v>34089.763355529489</v>
      </c>
      <c r="DA26" s="109" t="s">
        <v>438</v>
      </c>
    </row>
    <row r="27" spans="1:105" ht="12" customHeight="1" x14ac:dyDescent="0.25">
      <c r="A27" s="144" t="s">
        <v>86</v>
      </c>
      <c r="B27" s="145">
        <f>IF(SER_hh_tes!B27=0,0,11630*1000*SER_hh_tes!B27/SER_hh_num!B19)</f>
        <v>0</v>
      </c>
      <c r="C27" s="145">
        <f>IF(SER_hh_tes!C27=0,0,11630*1000*SER_hh_tes!C27/SER_hh_num!C19)</f>
        <v>0</v>
      </c>
      <c r="D27" s="145">
        <f>IF(SER_hh_tes!D27=0,0,11630*1000*SER_hh_tes!D27/SER_hh_num!D19)</f>
        <v>0</v>
      </c>
      <c r="E27" s="145">
        <f>IF(SER_hh_tes!E27=0,0,11630*1000*SER_hh_tes!E27/SER_hh_num!E19)</f>
        <v>0</v>
      </c>
      <c r="F27" s="145">
        <f>IF(SER_hh_tes!F27=0,0,11630*1000*SER_hh_tes!F27/SER_hh_num!F19)</f>
        <v>0</v>
      </c>
      <c r="G27" s="145">
        <f>IF(SER_hh_tes!G27=0,0,11630*1000*SER_hh_tes!G27/SER_hh_num!G19)</f>
        <v>0</v>
      </c>
      <c r="H27" s="145">
        <f>IF(SER_hh_tes!H27=0,0,11630*1000*SER_hh_tes!H27/SER_hh_num!H19)</f>
        <v>0</v>
      </c>
      <c r="I27" s="145">
        <f>IF(SER_hh_tes!I27=0,0,11630*1000*SER_hh_tes!I27/SER_hh_num!I19)</f>
        <v>5.5596709972051128</v>
      </c>
      <c r="J27" s="145">
        <f>IF(SER_hh_tes!J27=0,0,11630*1000*SER_hh_tes!J27/SER_hh_num!J19)</f>
        <v>0</v>
      </c>
      <c r="K27" s="145">
        <f>IF(SER_hh_tes!K27=0,0,11630*1000*SER_hh_tes!K27/SER_hh_num!K19)</f>
        <v>0</v>
      </c>
      <c r="L27" s="145">
        <f>IF(SER_hh_tes!L27=0,0,11630*1000*SER_hh_tes!L27/SER_hh_num!L19)</f>
        <v>15.203213882492948</v>
      </c>
      <c r="M27" s="145">
        <f>IF(SER_hh_tes!M27=0,0,11630*1000*SER_hh_tes!M27/SER_hh_num!M19)</f>
        <v>9.7610677083939823</v>
      </c>
      <c r="N27" s="145">
        <f>IF(SER_hh_tes!N27=0,0,11630*1000*SER_hh_tes!N27/SER_hh_num!N19)</f>
        <v>19.017293480813709</v>
      </c>
      <c r="O27" s="145">
        <f>IF(SER_hh_tes!O27=0,0,11630*1000*SER_hh_tes!O27/SER_hh_num!O19)</f>
        <v>9.0893125607996321</v>
      </c>
      <c r="P27" s="145">
        <f>IF(SER_hh_tes!P27=0,0,11630*1000*SER_hh_tes!P27/SER_hh_num!P19)</f>
        <v>8.724872711075772</v>
      </c>
      <c r="Q27" s="145">
        <f>IF(SER_hh_tes!Q27=0,0,11630*1000*SER_hh_tes!Q27/SER_hh_num!Q19)</f>
        <v>4.1495418222433473</v>
      </c>
      <c r="R27" s="145">
        <f>IF(SER_hh_tes!R27=0,0,11630*1000*SER_hh_tes!R27/SER_hh_num!R19)</f>
        <v>3.9933990955162195</v>
      </c>
      <c r="S27" s="145">
        <f>IF(SER_hh_tes!S27=0,0,11630*1000*SER_hh_tes!S27/SER_hh_num!S19)</f>
        <v>9.9739022183709167</v>
      </c>
      <c r="T27" s="145">
        <f>IF(SER_hh_tes!T27=0,0,11630*1000*SER_hh_tes!T27/SER_hh_num!T19)</f>
        <v>8.9349058395791179</v>
      </c>
      <c r="U27" s="145">
        <f>IF(SER_hh_tes!U27=0,0,11630*1000*SER_hh_tes!U27/SER_hh_num!U19)</f>
        <v>10.221802840423727</v>
      </c>
      <c r="V27" s="145">
        <f>IF(SER_hh_tes!V27=0,0,11630*1000*SER_hh_tes!V27/SER_hh_num!V19)</f>
        <v>5.6325735821749499</v>
      </c>
      <c r="W27" s="145">
        <f>IF(SER_hh_tes!W27=0,0,11630*1000*SER_hh_tes!W27/SER_hh_num!W19)</f>
        <v>58.391799533231818</v>
      </c>
      <c r="X27" s="145">
        <f>IF(SER_hh_tes!X27=0,0,11630*1000*SER_hh_tes!X27/SER_hh_num!X19)</f>
        <v>52.515728497268263</v>
      </c>
      <c r="Y27" s="145">
        <f>IF(SER_hh_tes!Y27=0,0,11630*1000*SER_hh_tes!Y27/SER_hh_num!Y19)</f>
        <v>55.112390199666862</v>
      </c>
      <c r="DA27" s="158" t="s">
        <v>439</v>
      </c>
    </row>
    <row r="28" spans="1:105" ht="12" customHeight="1" x14ac:dyDescent="0.25">
      <c r="A28" s="78" t="s">
        <v>85</v>
      </c>
      <c r="B28" s="146">
        <f>IF(SER_hh_tes!B27=0,0,11630*1000*SER_hh_tes!B27/SER_hh_num!B27)</f>
        <v>0</v>
      </c>
      <c r="C28" s="146">
        <f>IF(SER_hh_tes!C27=0,0,11630*1000*SER_hh_tes!C27/SER_hh_num!C27)</f>
        <v>0</v>
      </c>
      <c r="D28" s="146">
        <f>IF(SER_hh_tes!D27=0,0,11630*1000*SER_hh_tes!D27/SER_hh_num!D27)</f>
        <v>0</v>
      </c>
      <c r="E28" s="146">
        <f>IF(SER_hh_tes!E27=0,0,11630*1000*SER_hh_tes!E27/SER_hh_num!E27)</f>
        <v>0</v>
      </c>
      <c r="F28" s="146">
        <f>IF(SER_hh_tes!F27=0,0,11630*1000*SER_hh_tes!F27/SER_hh_num!F27)</f>
        <v>0</v>
      </c>
      <c r="G28" s="146">
        <f>IF(SER_hh_tes!G27=0,0,11630*1000*SER_hh_tes!G27/SER_hh_num!G27)</f>
        <v>0</v>
      </c>
      <c r="H28" s="146">
        <f>IF(SER_hh_tes!H27=0,0,11630*1000*SER_hh_tes!H27/SER_hh_num!H27)</f>
        <v>0</v>
      </c>
      <c r="I28" s="146">
        <f>IF(SER_hh_tes!I27=0,0,11630*1000*SER_hh_tes!I27/SER_hh_num!I27)</f>
        <v>22836.68078896252</v>
      </c>
      <c r="J28" s="146">
        <f>IF(SER_hh_tes!J27=0,0,11630*1000*SER_hh_tes!J27/SER_hh_num!J27)</f>
        <v>0</v>
      </c>
      <c r="K28" s="146">
        <f>IF(SER_hh_tes!K27=0,0,11630*1000*SER_hh_tes!K27/SER_hh_num!K27)</f>
        <v>0</v>
      </c>
      <c r="L28" s="146">
        <f>IF(SER_hh_tes!L27=0,0,11630*1000*SER_hh_tes!L27/SER_hh_num!L27)</f>
        <v>21780.731801041577</v>
      </c>
      <c r="M28" s="146">
        <f>IF(SER_hh_tes!M27=0,0,11630*1000*SER_hh_tes!M27/SER_hh_num!M27)</f>
        <v>22632.563043772716</v>
      </c>
      <c r="N28" s="146">
        <f>IF(SER_hh_tes!N27=0,0,11630*1000*SER_hh_tes!N27/SER_hh_num!N27)</f>
        <v>22543.320297552731</v>
      </c>
      <c r="O28" s="146">
        <f>IF(SER_hh_tes!O27=0,0,11630*1000*SER_hh_tes!O27/SER_hh_num!O27)</f>
        <v>23043.253037907667</v>
      </c>
      <c r="P28" s="146">
        <f>IF(SER_hh_tes!P27=0,0,11630*1000*SER_hh_tes!P27/SER_hh_num!P27)</f>
        <v>23378.490379024173</v>
      </c>
      <c r="Q28" s="146">
        <f>IF(SER_hh_tes!Q27=0,0,11630*1000*SER_hh_tes!Q27/SER_hh_num!Q27)</f>
        <v>23890.52544239242</v>
      </c>
      <c r="R28" s="146">
        <f>IF(SER_hh_tes!R27=0,0,11630*1000*SER_hh_tes!R27/SER_hh_num!R27)</f>
        <v>23912.308071953004</v>
      </c>
      <c r="S28" s="146">
        <f>IF(SER_hh_tes!S27=0,0,11630*1000*SER_hh_tes!S27/SER_hh_num!S27)</f>
        <v>24016.980126271163</v>
      </c>
      <c r="T28" s="146">
        <f>IF(SER_hh_tes!T27=0,0,11630*1000*SER_hh_tes!T27/SER_hh_num!T27)</f>
        <v>23551.034221168313</v>
      </c>
      <c r="U28" s="146">
        <f>IF(SER_hh_tes!U27=0,0,11630*1000*SER_hh_tes!U27/SER_hh_num!U27)</f>
        <v>22613.372558928942</v>
      </c>
      <c r="V28" s="146">
        <f>IF(SER_hh_tes!V27=0,0,11630*1000*SER_hh_tes!V27/SER_hh_num!V27)</f>
        <v>21496.443664321541</v>
      </c>
      <c r="W28" s="146">
        <f>IF(SER_hh_tes!W27=0,0,11630*1000*SER_hh_tes!W27/SER_hh_num!W27)</f>
        <v>23860.366160758687</v>
      </c>
      <c r="X28" s="146">
        <f>IF(SER_hh_tes!X27=0,0,11630*1000*SER_hh_tes!X27/SER_hh_num!X27)</f>
        <v>24314.553186191471</v>
      </c>
      <c r="Y28" s="146">
        <f>IF(SER_hh_tes!Y27=0,0,11630*1000*SER_hh_tes!Y27/SER_hh_num!Y27)</f>
        <v>25064.198064762964</v>
      </c>
      <c r="DA28" s="159"/>
    </row>
    <row r="29" spans="1:105" ht="12.95" customHeight="1" x14ac:dyDescent="0.25">
      <c r="A29" s="129" t="s">
        <v>34</v>
      </c>
      <c r="B29" s="130">
        <f>IF(SER_hh_tes!B29=0,0,11630*1000*SER_hh_tes!B29/SER_hh_num!B29)</f>
        <v>35718.825615234135</v>
      </c>
      <c r="C29" s="130">
        <f>IF(SER_hh_tes!C29=0,0,11630*1000*SER_hh_tes!C29/SER_hh_num!C29)</f>
        <v>34751.274589392226</v>
      </c>
      <c r="D29" s="130">
        <f>IF(SER_hh_tes!D29=0,0,11630*1000*SER_hh_tes!D29/SER_hh_num!D29)</f>
        <v>25227.623185977776</v>
      </c>
      <c r="E29" s="130">
        <f>IF(SER_hh_tes!E29=0,0,11630*1000*SER_hh_tes!E29/SER_hh_num!E29)</f>
        <v>34159.596976597764</v>
      </c>
      <c r="F29" s="130">
        <f>IF(SER_hh_tes!F29=0,0,11630*1000*SER_hh_tes!F29/SER_hh_num!F29)</f>
        <v>36037.388515002851</v>
      </c>
      <c r="G29" s="130">
        <f>IF(SER_hh_tes!G29=0,0,11630*1000*SER_hh_tes!G29/SER_hh_num!G29)</f>
        <v>37388.9992464979</v>
      </c>
      <c r="H29" s="130">
        <f>IF(SER_hh_tes!H29=0,0,11630*1000*SER_hh_tes!H29/SER_hh_num!H29)</f>
        <v>38307.402393243734</v>
      </c>
      <c r="I29" s="130">
        <f>IF(SER_hh_tes!I29=0,0,11630*1000*SER_hh_tes!I29/SER_hh_num!I29)</f>
        <v>38818.839777626294</v>
      </c>
      <c r="J29" s="130">
        <f>IF(SER_hh_tes!J29=0,0,11630*1000*SER_hh_tes!J29/SER_hh_num!J29)</f>
        <v>40778.216648950278</v>
      </c>
      <c r="K29" s="130">
        <f>IF(SER_hh_tes!K29=0,0,11630*1000*SER_hh_tes!K29/SER_hh_num!K29)</f>
        <v>40943.351782179736</v>
      </c>
      <c r="L29" s="130">
        <f>IF(SER_hh_tes!L29=0,0,11630*1000*SER_hh_tes!L29/SER_hh_num!L29)</f>
        <v>41420.390275680234</v>
      </c>
      <c r="M29" s="130">
        <f>IF(SER_hh_tes!M29=0,0,11630*1000*SER_hh_tes!M29/SER_hh_num!M29)</f>
        <v>41402.266239517186</v>
      </c>
      <c r="N29" s="130">
        <f>IF(SER_hh_tes!N29=0,0,11630*1000*SER_hh_tes!N29/SER_hh_num!N29)</f>
        <v>42024.93250541055</v>
      </c>
      <c r="O29" s="130">
        <f>IF(SER_hh_tes!O29=0,0,11630*1000*SER_hh_tes!O29/SER_hh_num!O29)</f>
        <v>43668.302369602017</v>
      </c>
      <c r="P29" s="130">
        <f>IF(SER_hh_tes!P29=0,0,11630*1000*SER_hh_tes!P29/SER_hh_num!P29)</f>
        <v>44209.750957525473</v>
      </c>
      <c r="Q29" s="130">
        <f>IF(SER_hh_tes!Q29=0,0,11630*1000*SER_hh_tes!Q29/SER_hh_num!Q29)</f>
        <v>44735.700075457316</v>
      </c>
      <c r="R29" s="130">
        <f>IF(SER_hh_tes!R29=0,0,11630*1000*SER_hh_tes!R29/SER_hh_num!R29)</f>
        <v>43296.03669882215</v>
      </c>
      <c r="S29" s="130">
        <f>IF(SER_hh_tes!S29=0,0,11630*1000*SER_hh_tes!S29/SER_hh_num!S29)</f>
        <v>42222.444194612559</v>
      </c>
      <c r="T29" s="130">
        <f>IF(SER_hh_tes!T29=0,0,11630*1000*SER_hh_tes!T29/SER_hh_num!T29)</f>
        <v>42701.934100303108</v>
      </c>
      <c r="U29" s="130">
        <f>IF(SER_hh_tes!U29=0,0,11630*1000*SER_hh_tes!U29/SER_hh_num!U29)</f>
        <v>42899.643262239406</v>
      </c>
      <c r="V29" s="130">
        <f>IF(SER_hh_tes!V29=0,0,11630*1000*SER_hh_tes!V29/SER_hh_num!V29)</f>
        <v>38900.912377684261</v>
      </c>
      <c r="W29" s="130">
        <f>IF(SER_hh_tes!W29=0,0,11630*1000*SER_hh_tes!W29/SER_hh_num!W29)</f>
        <v>41395.919150878952</v>
      </c>
      <c r="X29" s="130">
        <f>IF(SER_hh_tes!X29=0,0,11630*1000*SER_hh_tes!X29/SER_hh_num!X29)</f>
        <v>43921.689154569329</v>
      </c>
      <c r="Y29" s="130">
        <f>IF(SER_hh_tes!Y29=0,0,11630*1000*SER_hh_tes!Y29/SER_hh_num!Y29)</f>
        <v>45114.035332439664</v>
      </c>
      <c r="DA29" s="155" t="s">
        <v>440</v>
      </c>
    </row>
    <row r="30" spans="1:105" ht="12" customHeight="1" x14ac:dyDescent="0.25">
      <c r="A30" s="131" t="s">
        <v>52</v>
      </c>
      <c r="B30" s="132">
        <f>IF(SER_hh_tes!B30=0,0,11630*1000*SER_hh_tes!B30/SER_hh_num!B30)</f>
        <v>56902.503905682192</v>
      </c>
      <c r="C30" s="132">
        <f>IF(SER_hh_tes!C30=0,0,11630*1000*SER_hh_tes!C30/SER_hh_num!C30)</f>
        <v>22244.363489909108</v>
      </c>
      <c r="D30" s="132">
        <f>IF(SER_hh_tes!D30=0,0,11630*1000*SER_hh_tes!D30/SER_hh_num!D30)</f>
        <v>9809.6337498594494</v>
      </c>
      <c r="E30" s="132">
        <f>IF(SER_hh_tes!E30=0,0,11630*1000*SER_hh_tes!E30/SER_hh_num!E30)</f>
        <v>29560.507213582398</v>
      </c>
      <c r="F30" s="132">
        <f>IF(SER_hh_tes!F30=0,0,11630*1000*SER_hh_tes!F30/SER_hh_num!F30)</f>
        <v>45144.410324573546</v>
      </c>
      <c r="G30" s="132">
        <f>IF(SER_hh_tes!G30=0,0,11630*1000*SER_hh_tes!G30/SER_hh_num!G30)</f>
        <v>54510.381329498727</v>
      </c>
      <c r="H30" s="132">
        <f>IF(SER_hh_tes!H30=0,0,11630*1000*SER_hh_tes!H30/SER_hh_num!H30)</f>
        <v>22612.655625828804</v>
      </c>
      <c r="I30" s="132">
        <f>IF(SER_hh_tes!I30=0,0,11630*1000*SER_hh_tes!I30/SER_hh_num!I30)</f>
        <v>69330.757201555403</v>
      </c>
      <c r="J30" s="132">
        <f>IF(SER_hh_tes!J30=0,0,11630*1000*SER_hh_tes!J30/SER_hh_num!J30)</f>
        <v>24632.327403509833</v>
      </c>
      <c r="K30" s="132">
        <f>IF(SER_hh_tes!K30=0,0,11630*1000*SER_hh_tes!K30/SER_hh_num!K30)</f>
        <v>20325.326773553734</v>
      </c>
      <c r="L30" s="132">
        <f>IF(SER_hh_tes!L30=0,0,11630*1000*SER_hh_tes!L30/SER_hh_num!L30)</f>
        <v>48756.874926497701</v>
      </c>
      <c r="M30" s="132">
        <f>IF(SER_hh_tes!M30=0,0,11630*1000*SER_hh_tes!M30/SER_hh_num!M30)</f>
        <v>34543.764344313364</v>
      </c>
      <c r="N30" s="132">
        <f>IF(SER_hh_tes!N30=0,0,11630*1000*SER_hh_tes!N30/SER_hh_num!N30)</f>
        <v>40061.609627454796</v>
      </c>
      <c r="O30" s="132">
        <f>IF(SER_hh_tes!O30=0,0,11630*1000*SER_hh_tes!O30/SER_hh_num!O30)</f>
        <v>40627.900972066338</v>
      </c>
      <c r="P30" s="132">
        <f>IF(SER_hh_tes!P30=0,0,11630*1000*SER_hh_tes!P30/SER_hh_num!P30)</f>
        <v>44167.504155383074</v>
      </c>
      <c r="Q30" s="132">
        <f>IF(SER_hh_tes!Q30=0,0,11630*1000*SER_hh_tes!Q30/SER_hh_num!Q30)</f>
        <v>49105.591885001646</v>
      </c>
      <c r="R30" s="132">
        <f>IF(SER_hh_tes!R30=0,0,11630*1000*SER_hh_tes!R30/SER_hh_num!R30)</f>
        <v>43405.594259918798</v>
      </c>
      <c r="S30" s="132">
        <f>IF(SER_hh_tes!S30=0,0,11630*1000*SER_hh_tes!S30/SER_hh_num!S30)</f>
        <v>42187.717597837705</v>
      </c>
      <c r="T30" s="132">
        <f>IF(SER_hh_tes!T30=0,0,11630*1000*SER_hh_tes!T30/SER_hh_num!T30)</f>
        <v>43318.826841812435</v>
      </c>
      <c r="U30" s="132">
        <f>IF(SER_hh_tes!U30=0,0,11630*1000*SER_hh_tes!U30/SER_hh_num!U30)</f>
        <v>43044.111033413858</v>
      </c>
      <c r="V30" s="132">
        <f>IF(SER_hh_tes!V30=0,0,11630*1000*SER_hh_tes!V30/SER_hh_num!V30)</f>
        <v>39841.89339303079</v>
      </c>
      <c r="W30" s="132">
        <f>IF(SER_hh_tes!W30=0,0,11630*1000*SER_hh_tes!W30/SER_hh_num!W30)</f>
        <v>41966.86214918115</v>
      </c>
      <c r="X30" s="132">
        <f>IF(SER_hh_tes!X30=0,0,11630*1000*SER_hh_tes!X30/SER_hh_num!X30)</f>
        <v>44610.732601598473</v>
      </c>
      <c r="Y30" s="132">
        <f>IF(SER_hh_tes!Y30=0,0,11630*1000*SER_hh_tes!Y30/SER_hh_num!Y30)</f>
        <v>42670.65163886243</v>
      </c>
      <c r="DA30" s="156" t="s">
        <v>441</v>
      </c>
    </row>
    <row r="31" spans="1:105" ht="12" customHeight="1" x14ac:dyDescent="0.25">
      <c r="A31" s="131" t="s">
        <v>149</v>
      </c>
      <c r="B31" s="132">
        <f>IF(SER_hh_tes!B31=0,0,11630*1000*SER_hh_tes!B31/SER_hh_num!B31)</f>
        <v>31834.422517411913</v>
      </c>
      <c r="C31" s="132">
        <f>IF(SER_hh_tes!C31=0,0,11630*1000*SER_hh_tes!C31/SER_hh_num!C31)</f>
        <v>33596.970338214858</v>
      </c>
      <c r="D31" s="132">
        <f>IF(SER_hh_tes!D31=0,0,11630*1000*SER_hh_tes!D31/SER_hh_num!D31)</f>
        <v>19325.299672247991</v>
      </c>
      <c r="E31" s="132">
        <f>IF(SER_hh_tes!E31=0,0,11630*1000*SER_hh_tes!E31/SER_hh_num!E31)</f>
        <v>31921.061524138353</v>
      </c>
      <c r="F31" s="132">
        <f>IF(SER_hh_tes!F31=0,0,11630*1000*SER_hh_tes!F31/SER_hh_num!F31)</f>
        <v>42671.016269945132</v>
      </c>
      <c r="G31" s="132">
        <f>IF(SER_hh_tes!G31=0,0,11630*1000*SER_hh_tes!G31/SER_hh_num!G31)</f>
        <v>34773.901943246667</v>
      </c>
      <c r="H31" s="132">
        <f>IF(SER_hh_tes!H31=0,0,11630*1000*SER_hh_tes!H31/SER_hh_num!H31)</f>
        <v>47684.4527981953</v>
      </c>
      <c r="I31" s="132">
        <f>IF(SER_hh_tes!I31=0,0,11630*1000*SER_hh_tes!I31/SER_hh_num!I31)</f>
        <v>36211.165224265191</v>
      </c>
      <c r="J31" s="132">
        <f>IF(SER_hh_tes!J31=0,0,11630*1000*SER_hh_tes!J31/SER_hh_num!J31)</f>
        <v>39481.717915596055</v>
      </c>
      <c r="K31" s="132">
        <f>IF(SER_hh_tes!K31=0,0,11630*1000*SER_hh_tes!K31/SER_hh_num!K31)</f>
        <v>41226.727513317084</v>
      </c>
      <c r="L31" s="132">
        <f>IF(SER_hh_tes!L31=0,0,11630*1000*SER_hh_tes!L31/SER_hh_num!L31)</f>
        <v>41367.781903242234</v>
      </c>
      <c r="M31" s="132">
        <f>IF(SER_hh_tes!M31=0,0,11630*1000*SER_hh_tes!M31/SER_hh_num!M31)</f>
        <v>41656.975191306105</v>
      </c>
      <c r="N31" s="132">
        <f>IF(SER_hh_tes!N31=0,0,11630*1000*SER_hh_tes!N31/SER_hh_num!N31)</f>
        <v>41656.047372814741</v>
      </c>
      <c r="O31" s="132">
        <f>IF(SER_hh_tes!O31=0,0,11630*1000*SER_hh_tes!O31/SER_hh_num!O31)</f>
        <v>42944.123361130863</v>
      </c>
      <c r="P31" s="132">
        <f>IF(SER_hh_tes!P31=0,0,11630*1000*SER_hh_tes!P31/SER_hh_num!P31)</f>
        <v>42474.222723855048</v>
      </c>
      <c r="Q31" s="132">
        <f>IF(SER_hh_tes!Q31=0,0,11630*1000*SER_hh_tes!Q31/SER_hh_num!Q31)</f>
        <v>44551.373325041757</v>
      </c>
      <c r="R31" s="132">
        <f>IF(SER_hh_tes!R31=0,0,11630*1000*SER_hh_tes!R31/SER_hh_num!R31)</f>
        <v>42289.035969706121</v>
      </c>
      <c r="S31" s="132">
        <f>IF(SER_hh_tes!S31=0,0,11630*1000*SER_hh_tes!S31/SER_hh_num!S31)</f>
        <v>44167.072233148116</v>
      </c>
      <c r="T31" s="132">
        <f>IF(SER_hh_tes!T31=0,0,11630*1000*SER_hh_tes!T31/SER_hh_num!T31)</f>
        <v>42564.961148673094</v>
      </c>
      <c r="U31" s="132">
        <f>IF(SER_hh_tes!U31=0,0,11630*1000*SER_hh_tes!U31/SER_hh_num!U31)</f>
        <v>42462.55598843257</v>
      </c>
      <c r="V31" s="132">
        <f>IF(SER_hh_tes!V31=0,0,11630*1000*SER_hh_tes!V31/SER_hh_num!V31)</f>
        <v>40262.774426977121</v>
      </c>
      <c r="W31" s="132">
        <f>IF(SER_hh_tes!W31=0,0,11630*1000*SER_hh_tes!W31/SER_hh_num!W31)</f>
        <v>41839.196228510591</v>
      </c>
      <c r="X31" s="132">
        <f>IF(SER_hh_tes!X31=0,0,11630*1000*SER_hh_tes!X31/SER_hh_num!X31)</f>
        <v>43433.070724123521</v>
      </c>
      <c r="Y31" s="132">
        <f>IF(SER_hh_tes!Y31=0,0,11630*1000*SER_hh_tes!Y31/SER_hh_num!Y31)</f>
        <v>45074.522139034947</v>
      </c>
      <c r="DA31" s="156" t="s">
        <v>442</v>
      </c>
    </row>
    <row r="32" spans="1:105" ht="12" customHeight="1" x14ac:dyDescent="0.25">
      <c r="A32" s="131" t="s">
        <v>128</v>
      </c>
      <c r="B32" s="132">
        <f>IF(SER_hh_tes!B32=0,0,11630*1000*SER_hh_tes!B32/SER_hh_num!B32)</f>
        <v>0</v>
      </c>
      <c r="C32" s="132">
        <f>IF(SER_hh_tes!C32=0,0,11630*1000*SER_hh_tes!C32/SER_hh_num!C32)</f>
        <v>0</v>
      </c>
      <c r="D32" s="132">
        <f>IF(SER_hh_tes!D32=0,0,11630*1000*SER_hh_tes!D32/SER_hh_num!D32)</f>
        <v>0</v>
      </c>
      <c r="E32" s="132">
        <f>IF(SER_hh_tes!E32=0,0,11630*1000*SER_hh_tes!E32/SER_hh_num!E32)</f>
        <v>0</v>
      </c>
      <c r="F32" s="132">
        <f>IF(SER_hh_tes!F32=0,0,11630*1000*SER_hh_tes!F32/SER_hh_num!F32)</f>
        <v>0</v>
      </c>
      <c r="G32" s="132">
        <f>IF(SER_hh_tes!G32=0,0,11630*1000*SER_hh_tes!G32/SER_hh_num!G32)</f>
        <v>0</v>
      </c>
      <c r="H32" s="132">
        <f>IF(SER_hh_tes!H32=0,0,11630*1000*SER_hh_tes!H32/SER_hh_num!H32)</f>
        <v>0</v>
      </c>
      <c r="I32" s="132">
        <f>IF(SER_hh_tes!I32=0,0,11630*1000*SER_hh_tes!I32/SER_hh_num!I32)</f>
        <v>0</v>
      </c>
      <c r="J32" s="132">
        <f>IF(SER_hh_tes!J32=0,0,11630*1000*SER_hh_tes!J32/SER_hh_num!J32)</f>
        <v>0</v>
      </c>
      <c r="K32" s="132">
        <f>IF(SER_hh_tes!K32=0,0,11630*1000*SER_hh_tes!K32/SER_hh_num!K32)</f>
        <v>0</v>
      </c>
      <c r="L32" s="132">
        <f>IF(SER_hh_tes!L32=0,0,11630*1000*SER_hh_tes!L32/SER_hh_num!L32)</f>
        <v>0</v>
      </c>
      <c r="M32" s="132">
        <f>IF(SER_hh_tes!M32=0,0,11630*1000*SER_hh_tes!M32/SER_hh_num!M32)</f>
        <v>0</v>
      </c>
      <c r="N32" s="132">
        <f>IF(SER_hh_tes!N32=0,0,11630*1000*SER_hh_tes!N32/SER_hh_num!N32)</f>
        <v>0</v>
      </c>
      <c r="O32" s="132">
        <f>IF(SER_hh_tes!O32=0,0,11630*1000*SER_hh_tes!O32/SER_hh_num!O32)</f>
        <v>0</v>
      </c>
      <c r="P32" s="132">
        <f>IF(SER_hh_tes!P32=0,0,11630*1000*SER_hh_tes!P32/SER_hh_num!P32)</f>
        <v>0</v>
      </c>
      <c r="Q32" s="132">
        <f>IF(SER_hh_tes!Q32=0,0,11630*1000*SER_hh_tes!Q32/SER_hh_num!Q32)</f>
        <v>0</v>
      </c>
      <c r="R32" s="132">
        <f>IF(SER_hh_tes!R32=0,0,11630*1000*SER_hh_tes!R32/SER_hh_num!R32)</f>
        <v>0</v>
      </c>
      <c r="S32" s="132">
        <f>IF(SER_hh_tes!S32=0,0,11630*1000*SER_hh_tes!S32/SER_hh_num!S32)</f>
        <v>0</v>
      </c>
      <c r="T32" s="132">
        <f>IF(SER_hh_tes!T32=0,0,11630*1000*SER_hh_tes!T32/SER_hh_num!T32)</f>
        <v>0</v>
      </c>
      <c r="U32" s="132">
        <f>IF(SER_hh_tes!U32=0,0,11630*1000*SER_hh_tes!U32/SER_hh_num!U32)</f>
        <v>0</v>
      </c>
      <c r="V32" s="132">
        <f>IF(SER_hh_tes!V32=0,0,11630*1000*SER_hh_tes!V32/SER_hh_num!V32)</f>
        <v>0</v>
      </c>
      <c r="W32" s="132">
        <f>IF(SER_hh_tes!W32=0,0,11630*1000*SER_hh_tes!W32/SER_hh_num!W32)</f>
        <v>0</v>
      </c>
      <c r="X32" s="132">
        <f>IF(SER_hh_tes!X32=0,0,11630*1000*SER_hh_tes!X32/SER_hh_num!X32)</f>
        <v>0</v>
      </c>
      <c r="Y32" s="132">
        <f>IF(SER_hh_tes!Y32=0,0,11630*1000*SER_hh_tes!Y32/SER_hh_num!Y32)</f>
        <v>0</v>
      </c>
      <c r="DA32" s="156" t="s">
        <v>443</v>
      </c>
    </row>
    <row r="33" spans="1:105" ht="12" customHeight="1" x14ac:dyDescent="0.25">
      <c r="A33" s="62" t="s">
        <v>24</v>
      </c>
      <c r="B33" s="68">
        <f>IF(SER_hh_tes!B33=0,0,11630*1000*SER_hh_tes!B33/SER_hh_num!B33)</f>
        <v>34437.387597096153</v>
      </c>
      <c r="C33" s="68">
        <f>IF(SER_hh_tes!C33=0,0,11630*1000*SER_hh_tes!C33/SER_hh_num!C33)</f>
        <v>37427.202976010805</v>
      </c>
      <c r="D33" s="68">
        <f>IF(SER_hh_tes!D33=0,0,11630*1000*SER_hh_tes!D33/SER_hh_num!D33)</f>
        <v>33092.67024534005</v>
      </c>
      <c r="E33" s="68">
        <f>IF(SER_hh_tes!E33=0,0,11630*1000*SER_hh_tes!E33/SER_hh_num!E33)</f>
        <v>38774.806378505215</v>
      </c>
      <c r="F33" s="68">
        <f>IF(SER_hh_tes!F33=0,0,11630*1000*SER_hh_tes!F33/SER_hh_num!F33)</f>
        <v>8960.0288111865757</v>
      </c>
      <c r="G33" s="68">
        <f>IF(SER_hh_tes!G33=0,0,11630*1000*SER_hh_tes!G33/SER_hh_num!G33)</f>
        <v>22738.764748472677</v>
      </c>
      <c r="H33" s="68">
        <f>IF(SER_hh_tes!H33=0,0,11630*1000*SER_hh_tes!H33/SER_hh_num!H33)</f>
        <v>32994.330484227306</v>
      </c>
      <c r="I33" s="68">
        <f>IF(SER_hh_tes!I33=0,0,11630*1000*SER_hh_tes!I33/SER_hh_num!I33)</f>
        <v>19201.551799933484</v>
      </c>
      <c r="J33" s="68">
        <f>IF(SER_hh_tes!J33=0,0,11630*1000*SER_hh_tes!J33/SER_hh_num!J33)</f>
        <v>48017.797661493823</v>
      </c>
      <c r="K33" s="68">
        <f>IF(SER_hh_tes!K33=0,0,11630*1000*SER_hh_tes!K33/SER_hh_num!K33)</f>
        <v>44580.65578683171</v>
      </c>
      <c r="L33" s="68">
        <f>IF(SER_hh_tes!L33=0,0,11630*1000*SER_hh_tes!L33/SER_hh_num!L33)</f>
        <v>40680.29247655518</v>
      </c>
      <c r="M33" s="68">
        <f>IF(SER_hh_tes!M33=0,0,11630*1000*SER_hh_tes!M33/SER_hh_num!M33)</f>
        <v>41822.421188848784</v>
      </c>
      <c r="N33" s="68">
        <f>IF(SER_hh_tes!N33=0,0,11630*1000*SER_hh_tes!N33/SER_hh_num!N33)</f>
        <v>42415.613529398404</v>
      </c>
      <c r="O33" s="68">
        <f>IF(SER_hh_tes!O33=0,0,11630*1000*SER_hh_tes!O33/SER_hh_num!O33)</f>
        <v>44336.578677446967</v>
      </c>
      <c r="P33" s="68">
        <f>IF(SER_hh_tes!P33=0,0,11630*1000*SER_hh_tes!P33/SER_hh_num!P33)</f>
        <v>45121.053227116354</v>
      </c>
      <c r="Q33" s="68">
        <f>IF(SER_hh_tes!Q33=0,0,11630*1000*SER_hh_tes!Q33/SER_hh_num!Q33)</f>
        <v>44337.897975712534</v>
      </c>
      <c r="R33" s="68">
        <f>IF(SER_hh_tes!R33=0,0,11630*1000*SER_hh_tes!R33/SER_hh_num!R33)</f>
        <v>43838.780212217323</v>
      </c>
      <c r="S33" s="68">
        <f>IF(SER_hh_tes!S33=0,0,11630*1000*SER_hh_tes!S33/SER_hh_num!S33)</f>
        <v>41102.592289704371</v>
      </c>
      <c r="T33" s="68">
        <f>IF(SER_hh_tes!T33=0,0,11630*1000*SER_hh_tes!T33/SER_hh_num!T33)</f>
        <v>42712.302436810751</v>
      </c>
      <c r="U33" s="68">
        <f>IF(SER_hh_tes!U33=0,0,11630*1000*SER_hh_tes!U33/SER_hh_num!U33)</f>
        <v>43141.228324387062</v>
      </c>
      <c r="V33" s="68">
        <f>IF(SER_hh_tes!V33=0,0,11630*1000*SER_hh_tes!V33/SER_hh_num!V33)</f>
        <v>38008.891423049499</v>
      </c>
      <c r="W33" s="68">
        <f>IF(SER_hh_tes!W33=0,0,11630*1000*SER_hh_tes!W33/SER_hh_num!W33)</f>
        <v>41095.797989309503</v>
      </c>
      <c r="X33" s="68">
        <f>IF(SER_hh_tes!X33=0,0,11630*1000*SER_hh_tes!X33/SER_hh_num!X33)</f>
        <v>44118.635787973246</v>
      </c>
      <c r="Y33" s="68">
        <f>IF(SER_hh_tes!Y33=0,0,11630*1000*SER_hh_tes!Y33/SER_hh_num!Y33)</f>
        <v>45310.304454940866</v>
      </c>
      <c r="DA33" s="111" t="s">
        <v>444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8">
    <tabColor theme="6" tint="0.39997558519241921"/>
    <pageSetUpPr fitToPage="1"/>
  </sheetPr>
  <dimension ref="A1:DA33"/>
  <sheetViews>
    <sheetView showGridLines="0" zoomScaleNormal="100" workbookViewId="0">
      <pane xSplit="1" ySplit="1" topLeftCell="G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40.7109375" style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12.95" customHeight="1" x14ac:dyDescent="0.25">
      <c r="A1" s="28" t="s">
        <v>445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X1" s="27">
        <v>2022</v>
      </c>
      <c r="Y1" s="27">
        <v>2023</v>
      </c>
      <c r="DA1" s="87" t="s">
        <v>150</v>
      </c>
    </row>
    <row r="2" spans="1:105" s="2" customFormat="1" ht="12" customHeight="1" x14ac:dyDescent="0.25">
      <c r="DA2" s="7"/>
    </row>
    <row r="3" spans="1:105" ht="12.95" customHeight="1" x14ac:dyDescent="0.25">
      <c r="A3" s="123" t="s">
        <v>89</v>
      </c>
      <c r="B3" s="125">
        <f>IF(SER_hh_emi!B3=0,0,1000000*SER_hh_emi!B3/SER_hh_num!B3)</f>
        <v>26477.770907695514</v>
      </c>
      <c r="C3" s="125">
        <f>IF(SER_hh_emi!C3=0,0,1000000*SER_hh_emi!C3/SER_hh_num!C3)</f>
        <v>46055.457702557862</v>
      </c>
      <c r="D3" s="125">
        <f>IF(SER_hh_emi!D3=0,0,1000000*SER_hh_emi!D3/SER_hh_num!D3)</f>
        <v>25755.632012833194</v>
      </c>
      <c r="E3" s="125">
        <f>IF(SER_hh_emi!E3=0,0,1000000*SER_hh_emi!E3/SER_hh_num!E3)</f>
        <v>47306.52180437107</v>
      </c>
      <c r="F3" s="125">
        <f>IF(SER_hh_emi!F3=0,0,1000000*SER_hh_emi!F3/SER_hh_num!F3)</f>
        <v>71381.174989497289</v>
      </c>
      <c r="G3" s="125">
        <f>IF(SER_hh_emi!G3=0,0,1000000*SER_hh_emi!G3/SER_hh_num!G3)</f>
        <v>71068.273261308306</v>
      </c>
      <c r="H3" s="125">
        <f>IF(SER_hh_emi!H3=0,0,1000000*SER_hh_emi!H3/SER_hh_num!H3)</f>
        <v>93518.418809820432</v>
      </c>
      <c r="I3" s="125">
        <f>IF(SER_hh_emi!I3=0,0,1000000*SER_hh_emi!I3/SER_hh_num!I3)</f>
        <v>77166.591934540353</v>
      </c>
      <c r="J3" s="125">
        <f>IF(SER_hh_emi!J3=0,0,1000000*SER_hh_emi!J3/SER_hh_num!J3)</f>
        <v>53662.837781508977</v>
      </c>
      <c r="K3" s="125">
        <f>IF(SER_hh_emi!K3=0,0,1000000*SER_hh_emi!K3/SER_hh_num!K3)</f>
        <v>48921.494673659232</v>
      </c>
      <c r="L3" s="125">
        <f>IF(SER_hh_emi!L3=0,0,1000000*SER_hh_emi!L3/SER_hh_num!L3)</f>
        <v>48024.67797664769</v>
      </c>
      <c r="M3" s="125">
        <f>IF(SER_hh_emi!M3=0,0,1000000*SER_hh_emi!M3/SER_hh_num!M3)</f>
        <v>44956.844928681072</v>
      </c>
      <c r="N3" s="125">
        <f>IF(SER_hh_emi!N3=0,0,1000000*SER_hh_emi!N3/SER_hh_num!N3)</f>
        <v>42695.858601286563</v>
      </c>
      <c r="O3" s="125">
        <f>IF(SER_hh_emi!O3=0,0,1000000*SER_hh_emi!O3/SER_hh_num!O3)</f>
        <v>39793.079697218818</v>
      </c>
      <c r="P3" s="125">
        <f>IF(SER_hh_emi!P3=0,0,1000000*SER_hh_emi!P3/SER_hh_num!P3)</f>
        <v>38042.893018261042</v>
      </c>
      <c r="Q3" s="125">
        <f>IF(SER_hh_emi!Q3=0,0,1000000*SER_hh_emi!Q3/SER_hh_num!Q3)</f>
        <v>36069.91211318659</v>
      </c>
      <c r="R3" s="125">
        <f>IF(SER_hh_emi!R3=0,0,1000000*SER_hh_emi!R3/SER_hh_num!R3)</f>
        <v>35123.596156757289</v>
      </c>
      <c r="S3" s="125">
        <f>IF(SER_hh_emi!S3=0,0,1000000*SER_hh_emi!S3/SER_hh_num!S3)</f>
        <v>38417.887537134426</v>
      </c>
      <c r="T3" s="125">
        <f>IF(SER_hh_emi!T3=0,0,1000000*SER_hh_emi!T3/SER_hh_num!T3)</f>
        <v>38080.241437961973</v>
      </c>
      <c r="U3" s="125">
        <f>IF(SER_hh_emi!U3=0,0,1000000*SER_hh_emi!U3/SER_hh_num!U3)</f>
        <v>37181.066362237711</v>
      </c>
      <c r="V3" s="125">
        <f>IF(SER_hh_emi!V3=0,0,1000000*SER_hh_emi!V3/SER_hh_num!V3)</f>
        <v>34196.384260065133</v>
      </c>
      <c r="W3" s="125">
        <f>IF(SER_hh_emi!W3=0,0,1000000*SER_hh_emi!W3/SER_hh_num!W3)</f>
        <v>38868.156929986864</v>
      </c>
      <c r="X3" s="125">
        <f>IF(SER_hh_emi!X3=0,0,1000000*SER_hh_emi!X3/SER_hh_num!X3)</f>
        <v>40124.470099478458</v>
      </c>
      <c r="Y3" s="125">
        <f>IF(SER_hh_emi!Y3=0,0,1000000*SER_hh_emi!Y3/SER_hh_num!Y3)</f>
        <v>41675.442133331911</v>
      </c>
      <c r="DA3" s="154" t="s">
        <v>446</v>
      </c>
    </row>
    <row r="4" spans="1:105" ht="12.95" customHeight="1" x14ac:dyDescent="0.25">
      <c r="A4" s="129" t="s">
        <v>32</v>
      </c>
      <c r="B4" s="130">
        <f>IF(SER_hh_emi!B4=0,0,1000000*SER_hh_emi!B4/SER_hh_num!B4)</f>
        <v>20772.579603000115</v>
      </c>
      <c r="C4" s="130">
        <f>IF(SER_hh_emi!C4=0,0,1000000*SER_hh_emi!C4/SER_hh_num!C4)</f>
        <v>40642.765398807845</v>
      </c>
      <c r="D4" s="130">
        <f>IF(SER_hh_emi!D4=0,0,1000000*SER_hh_emi!D4/SER_hh_num!D4)</f>
        <v>20446.970818643375</v>
      </c>
      <c r="E4" s="130">
        <f>IF(SER_hh_emi!E4=0,0,1000000*SER_hh_emi!E4/SER_hh_num!E4)</f>
        <v>36389.367180489666</v>
      </c>
      <c r="F4" s="130">
        <f>IF(SER_hh_emi!F4=0,0,1000000*SER_hh_emi!F4/SER_hh_num!F4)</f>
        <v>53051.820446691454</v>
      </c>
      <c r="G4" s="130">
        <f>IF(SER_hh_emi!G4=0,0,1000000*SER_hh_emi!G4/SER_hh_num!G4)</f>
        <v>53463.436521348813</v>
      </c>
      <c r="H4" s="130">
        <f>IF(SER_hh_emi!H4=0,0,1000000*SER_hh_emi!H4/SER_hh_num!H4)</f>
        <v>77355.48695120003</v>
      </c>
      <c r="I4" s="130">
        <f>IF(SER_hh_emi!I4=0,0,1000000*SER_hh_emi!I4/SER_hh_num!I4)</f>
        <v>60325.604863576715</v>
      </c>
      <c r="J4" s="130">
        <f>IF(SER_hh_emi!J4=0,0,1000000*SER_hh_emi!J4/SER_hh_num!J4)</f>
        <v>41943.125943341634</v>
      </c>
      <c r="K4" s="130">
        <f>IF(SER_hh_emi!K4=0,0,1000000*SER_hh_emi!K4/SER_hh_num!K4)</f>
        <v>36591.490013695424</v>
      </c>
      <c r="L4" s="130">
        <f>IF(SER_hh_emi!L4=0,0,1000000*SER_hh_emi!L4/SER_hh_num!L4)</f>
        <v>35926.102602271698</v>
      </c>
      <c r="M4" s="130">
        <f>IF(SER_hh_emi!M4=0,0,1000000*SER_hh_emi!M4/SER_hh_num!M4)</f>
        <v>34197.914768085866</v>
      </c>
      <c r="N4" s="130">
        <f>IF(SER_hh_emi!N4=0,0,1000000*SER_hh_emi!N4/SER_hh_num!N4)</f>
        <v>32035.22278466191</v>
      </c>
      <c r="O4" s="130">
        <f>IF(SER_hh_emi!O4=0,0,1000000*SER_hh_emi!O4/SER_hh_num!O4)</f>
        <v>28816.943299801143</v>
      </c>
      <c r="P4" s="130">
        <f>IF(SER_hh_emi!P4=0,0,1000000*SER_hh_emi!P4/SER_hh_num!P4)</f>
        <v>26786.064563958349</v>
      </c>
      <c r="Q4" s="130">
        <f>IF(SER_hh_emi!Q4=0,0,1000000*SER_hh_emi!Q4/SER_hh_num!Q4)</f>
        <v>24172.600544535821</v>
      </c>
      <c r="R4" s="130">
        <f>IF(SER_hh_emi!R4=0,0,1000000*SER_hh_emi!R4/SER_hh_num!R4)</f>
        <v>23514.448646036308</v>
      </c>
      <c r="S4" s="130">
        <f>IF(SER_hh_emi!S4=0,0,1000000*SER_hh_emi!S4/SER_hh_num!S4)</f>
        <v>25966.011861578339</v>
      </c>
      <c r="T4" s="130">
        <f>IF(SER_hh_emi!T4=0,0,1000000*SER_hh_emi!T4/SER_hh_num!T4)</f>
        <v>25953.44563568482</v>
      </c>
      <c r="U4" s="130">
        <f>IF(SER_hh_emi!U4=0,0,1000000*SER_hh_emi!U4/SER_hh_num!U4)</f>
        <v>25320.998249973934</v>
      </c>
      <c r="V4" s="130">
        <f>IF(SER_hh_emi!V4=0,0,1000000*SER_hh_emi!V4/SER_hh_num!V4)</f>
        <v>23015.424934397721</v>
      </c>
      <c r="W4" s="130">
        <f>IF(SER_hh_emi!W4=0,0,1000000*SER_hh_emi!W4/SER_hh_num!W4)</f>
        <v>26819.687063234862</v>
      </c>
      <c r="X4" s="130">
        <f>IF(SER_hh_emi!X4=0,0,1000000*SER_hh_emi!X4/SER_hh_num!X4)</f>
        <v>28379.103766260552</v>
      </c>
      <c r="Y4" s="130">
        <f>IF(SER_hh_emi!Y4=0,0,1000000*SER_hh_emi!Y4/SER_hh_num!Y4)</f>
        <v>30357.891387925039</v>
      </c>
      <c r="DA4" s="155" t="s">
        <v>447</v>
      </c>
    </row>
    <row r="5" spans="1:105" ht="12" customHeight="1" x14ac:dyDescent="0.25">
      <c r="A5" s="131" t="s">
        <v>29</v>
      </c>
      <c r="B5" s="132">
        <f>IF(SER_hh_emi!B5=0,0,1000000*SER_hh_emi!B5/SER_hh_num!B5)</f>
        <v>72055.634241489577</v>
      </c>
      <c r="C5" s="132">
        <f>IF(SER_hh_emi!C5=0,0,1000000*SER_hh_emi!C5/SER_hh_num!C5)</f>
        <v>153887.98857057528</v>
      </c>
      <c r="D5" s="132">
        <f>IF(SER_hh_emi!D5=0,0,1000000*SER_hh_emi!D5/SER_hh_num!D5)</f>
        <v>97105.183030712753</v>
      </c>
      <c r="E5" s="132">
        <f>IF(SER_hh_emi!E5=0,0,1000000*SER_hh_emi!E5/SER_hh_num!E5)</f>
        <v>85798.081884415762</v>
      </c>
      <c r="F5" s="132">
        <f>IF(SER_hh_emi!F5=0,0,1000000*SER_hh_emi!F5/SER_hh_num!F5)</f>
        <v>57656.298547351427</v>
      </c>
      <c r="G5" s="132">
        <f>IF(SER_hh_emi!G5=0,0,1000000*SER_hh_emi!G5/SER_hh_num!G5)</f>
        <v>37212.999599672927</v>
      </c>
      <c r="H5" s="132">
        <f>IF(SER_hh_emi!H5=0,0,1000000*SER_hh_emi!H5/SER_hh_num!H5)</f>
        <v>287745.50671662344</v>
      </c>
      <c r="I5" s="132">
        <f>IF(SER_hh_emi!I5=0,0,1000000*SER_hh_emi!I5/SER_hh_num!I5)</f>
        <v>176621.20656997809</v>
      </c>
      <c r="J5" s="132">
        <f>IF(SER_hh_emi!J5=0,0,1000000*SER_hh_emi!J5/SER_hh_num!J5)</f>
        <v>68289.251299862182</v>
      </c>
      <c r="K5" s="132">
        <f>IF(SER_hh_emi!K5=0,0,1000000*SER_hh_emi!K5/SER_hh_num!K5)</f>
        <v>43479.789989923476</v>
      </c>
      <c r="L5" s="132">
        <f>IF(SER_hh_emi!L5=0,0,1000000*SER_hh_emi!L5/SER_hh_num!L5)</f>
        <v>106868.70599130054</v>
      </c>
      <c r="M5" s="132">
        <f>IF(SER_hh_emi!M5=0,0,1000000*SER_hh_emi!M5/SER_hh_num!M5)</f>
        <v>104916.63642214065</v>
      </c>
      <c r="N5" s="132">
        <f>IF(SER_hh_emi!N5=0,0,1000000*SER_hh_emi!N5/SER_hh_num!N5)</f>
        <v>57844.590157758415</v>
      </c>
      <c r="O5" s="132">
        <f>IF(SER_hh_emi!O5=0,0,1000000*SER_hh_emi!O5/SER_hh_num!O5)</f>
        <v>73781.988638812021</v>
      </c>
      <c r="P5" s="132">
        <f>IF(SER_hh_emi!P5=0,0,1000000*SER_hh_emi!P5/SER_hh_num!P5)</f>
        <v>45905.852177139641</v>
      </c>
      <c r="Q5" s="132">
        <f>IF(SER_hh_emi!Q5=0,0,1000000*SER_hh_emi!Q5/SER_hh_num!Q5)</f>
        <v>48104.759446229764</v>
      </c>
      <c r="R5" s="132">
        <f>IF(SER_hh_emi!R5=0,0,1000000*SER_hh_emi!R5/SER_hh_num!R5)</f>
        <v>85269.087569078954</v>
      </c>
      <c r="S5" s="132">
        <f>IF(SER_hh_emi!S5=0,0,1000000*SER_hh_emi!S5/SER_hh_num!S5)</f>
        <v>0</v>
      </c>
      <c r="T5" s="132">
        <f>IF(SER_hh_emi!T5=0,0,1000000*SER_hh_emi!T5/SER_hh_num!T5)</f>
        <v>76834.450432252124</v>
      </c>
      <c r="U5" s="132">
        <f>IF(SER_hh_emi!U5=0,0,1000000*SER_hh_emi!U5/SER_hh_num!U5)</f>
        <v>63528.589125626473</v>
      </c>
      <c r="V5" s="132">
        <f>IF(SER_hh_emi!V5=0,0,1000000*SER_hh_emi!V5/SER_hh_num!V5)</f>
        <v>17679.781340092315</v>
      </c>
      <c r="W5" s="132">
        <f>IF(SER_hh_emi!W5=0,0,1000000*SER_hh_emi!W5/SER_hh_num!W5)</f>
        <v>47707.579143527713</v>
      </c>
      <c r="X5" s="132">
        <f>IF(SER_hh_emi!X5=0,0,1000000*SER_hh_emi!X5/SER_hh_num!X5)</f>
        <v>62299.914215034099</v>
      </c>
      <c r="Y5" s="132">
        <f>IF(SER_hh_emi!Y5=0,0,1000000*SER_hh_emi!Y5/SER_hh_num!Y5)</f>
        <v>38988.835823044923</v>
      </c>
      <c r="DA5" s="156" t="s">
        <v>448</v>
      </c>
    </row>
    <row r="6" spans="1:105" ht="12" customHeight="1" x14ac:dyDescent="0.25">
      <c r="A6" s="131" t="s">
        <v>52</v>
      </c>
      <c r="B6" s="132">
        <f>IF(SER_hh_emi!B6=0,0,1000000*SER_hh_emi!B6/SER_hh_num!B6)</f>
        <v>0</v>
      </c>
      <c r="C6" s="132">
        <f>IF(SER_hh_emi!C6=0,0,1000000*SER_hh_emi!C6/SER_hh_num!C6)</f>
        <v>0</v>
      </c>
      <c r="D6" s="132">
        <f>IF(SER_hh_emi!D6=0,0,1000000*SER_hh_emi!D6/SER_hh_num!D6)</f>
        <v>0</v>
      </c>
      <c r="E6" s="132">
        <f>IF(SER_hh_emi!E6=0,0,1000000*SER_hh_emi!E6/SER_hh_num!E6)</f>
        <v>0</v>
      </c>
      <c r="F6" s="132">
        <f>IF(SER_hh_emi!F6=0,0,1000000*SER_hh_emi!F6/SER_hh_num!F6)</f>
        <v>0</v>
      </c>
      <c r="G6" s="132">
        <f>IF(SER_hh_emi!G6=0,0,1000000*SER_hh_emi!G6/SER_hh_num!G6)</f>
        <v>0</v>
      </c>
      <c r="H6" s="132">
        <f>IF(SER_hh_emi!H6=0,0,1000000*SER_hh_emi!H6/SER_hh_num!H6)</f>
        <v>0</v>
      </c>
      <c r="I6" s="132">
        <f>IF(SER_hh_emi!I6=0,0,1000000*SER_hh_emi!I6/SER_hh_num!I6)</f>
        <v>0</v>
      </c>
      <c r="J6" s="132">
        <f>IF(SER_hh_emi!J6=0,0,1000000*SER_hh_emi!J6/SER_hh_num!J6)</f>
        <v>0</v>
      </c>
      <c r="K6" s="132">
        <f>IF(SER_hh_emi!K6=0,0,1000000*SER_hh_emi!K6/SER_hh_num!K6)</f>
        <v>0</v>
      </c>
      <c r="L6" s="132">
        <f>IF(SER_hh_emi!L6=0,0,1000000*SER_hh_emi!L6/SER_hh_num!L6)</f>
        <v>0</v>
      </c>
      <c r="M6" s="132">
        <f>IF(SER_hh_emi!M6=0,0,1000000*SER_hh_emi!M6/SER_hh_num!M6)</f>
        <v>0</v>
      </c>
      <c r="N6" s="132">
        <f>IF(SER_hh_emi!N6=0,0,1000000*SER_hh_emi!N6/SER_hh_num!N6)</f>
        <v>0</v>
      </c>
      <c r="O6" s="132">
        <f>IF(SER_hh_emi!O6=0,0,1000000*SER_hh_emi!O6/SER_hh_num!O6)</f>
        <v>0</v>
      </c>
      <c r="P6" s="132">
        <f>IF(SER_hh_emi!P6=0,0,1000000*SER_hh_emi!P6/SER_hh_num!P6)</f>
        <v>0</v>
      </c>
      <c r="Q6" s="132">
        <f>IF(SER_hh_emi!Q6=0,0,1000000*SER_hh_emi!Q6/SER_hh_num!Q6)</f>
        <v>0</v>
      </c>
      <c r="R6" s="132">
        <f>IF(SER_hh_emi!R6=0,0,1000000*SER_hh_emi!R6/SER_hh_num!R6)</f>
        <v>0</v>
      </c>
      <c r="S6" s="132">
        <f>IF(SER_hh_emi!S6=0,0,1000000*SER_hh_emi!S6/SER_hh_num!S6)</f>
        <v>0</v>
      </c>
      <c r="T6" s="132">
        <f>IF(SER_hh_emi!T6=0,0,1000000*SER_hh_emi!T6/SER_hh_num!T6)</f>
        <v>0</v>
      </c>
      <c r="U6" s="132">
        <f>IF(SER_hh_emi!U6=0,0,1000000*SER_hh_emi!U6/SER_hh_num!U6)</f>
        <v>0</v>
      </c>
      <c r="V6" s="132">
        <f>IF(SER_hh_emi!V6=0,0,1000000*SER_hh_emi!V6/SER_hh_num!V6)</f>
        <v>0</v>
      </c>
      <c r="W6" s="132">
        <f>IF(SER_hh_emi!W6=0,0,1000000*SER_hh_emi!W6/SER_hh_num!W6)</f>
        <v>0</v>
      </c>
      <c r="X6" s="132">
        <f>IF(SER_hh_emi!X6=0,0,1000000*SER_hh_emi!X6/SER_hh_num!X6)</f>
        <v>0</v>
      </c>
      <c r="Y6" s="132">
        <f>IF(SER_hh_emi!Y6=0,0,1000000*SER_hh_emi!Y6/SER_hh_num!Y6)</f>
        <v>0</v>
      </c>
      <c r="DA6" s="156" t="s">
        <v>449</v>
      </c>
    </row>
    <row r="7" spans="1:105" ht="12" customHeight="1" x14ac:dyDescent="0.25">
      <c r="A7" s="131" t="s">
        <v>161</v>
      </c>
      <c r="B7" s="132">
        <f>IF(SER_hh_emi!B7=0,0,1000000*SER_hh_emi!B7/SER_hh_num!B7)</f>
        <v>97857.278901591373</v>
      </c>
      <c r="C7" s="132">
        <f>IF(SER_hh_emi!C7=0,0,1000000*SER_hh_emi!C7/SER_hh_num!C7)</f>
        <v>64874.453891831283</v>
      </c>
      <c r="D7" s="132">
        <f>IF(SER_hh_emi!D7=0,0,1000000*SER_hh_emi!D7/SER_hh_num!D7)</f>
        <v>69553.58560236897</v>
      </c>
      <c r="E7" s="132">
        <f>IF(SER_hh_emi!E7=0,0,1000000*SER_hh_emi!E7/SER_hh_num!E7)</f>
        <v>61517.795807558854</v>
      </c>
      <c r="F7" s="132">
        <f>IF(SER_hh_emi!F7=0,0,1000000*SER_hh_emi!F7/SER_hh_num!F7)</f>
        <v>105339.01959147776</v>
      </c>
      <c r="G7" s="132">
        <f>IF(SER_hh_emi!G7=0,0,1000000*SER_hh_emi!G7/SER_hh_num!G7)</f>
        <v>117252.39405966534</v>
      </c>
      <c r="H7" s="132">
        <f>IF(SER_hh_emi!H7=0,0,1000000*SER_hh_emi!H7/SER_hh_num!H7)</f>
        <v>82308.286694828799</v>
      </c>
      <c r="I7" s="132">
        <f>IF(SER_hh_emi!I7=0,0,1000000*SER_hh_emi!I7/SER_hh_num!I7)</f>
        <v>131120.85531223097</v>
      </c>
      <c r="J7" s="132">
        <f>IF(SER_hh_emi!J7=0,0,1000000*SER_hh_emi!J7/SER_hh_num!J7)</f>
        <v>110343.89492338746</v>
      </c>
      <c r="K7" s="132">
        <f>IF(SER_hh_emi!K7=0,0,1000000*SER_hh_emi!K7/SER_hh_num!K7)</f>
        <v>52275.259554582073</v>
      </c>
      <c r="L7" s="132">
        <f>IF(SER_hh_emi!L7=0,0,1000000*SER_hh_emi!L7/SER_hh_num!L7)</f>
        <v>53339.35166927251</v>
      </c>
      <c r="M7" s="132">
        <f>IF(SER_hh_emi!M7=0,0,1000000*SER_hh_emi!M7/SER_hh_num!M7)</f>
        <v>90082.983420366159</v>
      </c>
      <c r="N7" s="132">
        <f>IF(SER_hh_emi!N7=0,0,1000000*SER_hh_emi!N7/SER_hh_num!N7)</f>
        <v>70322.280034326846</v>
      </c>
      <c r="O7" s="132">
        <f>IF(SER_hh_emi!O7=0,0,1000000*SER_hh_emi!O7/SER_hh_num!O7)</f>
        <v>52749.355537259151</v>
      </c>
      <c r="P7" s="132">
        <f>IF(SER_hh_emi!P7=0,0,1000000*SER_hh_emi!P7/SER_hh_num!P7)</f>
        <v>47721.48463556663</v>
      </c>
      <c r="Q7" s="132">
        <f>IF(SER_hh_emi!Q7=0,0,1000000*SER_hh_emi!Q7/SER_hh_num!Q7)</f>
        <v>45608.618059515378</v>
      </c>
      <c r="R7" s="132">
        <f>IF(SER_hh_emi!R7=0,0,1000000*SER_hh_emi!R7/SER_hh_num!R7)</f>
        <v>40780.519174987676</v>
      </c>
      <c r="S7" s="132">
        <f>IF(SER_hh_emi!S7=0,0,1000000*SER_hh_emi!S7/SER_hh_num!S7)</f>
        <v>45985.839936592078</v>
      </c>
      <c r="T7" s="132">
        <f>IF(SER_hh_emi!T7=0,0,1000000*SER_hh_emi!T7/SER_hh_num!T7)</f>
        <v>44027.322606672373</v>
      </c>
      <c r="U7" s="132">
        <f>IF(SER_hh_emi!U7=0,0,1000000*SER_hh_emi!U7/SER_hh_num!U7)</f>
        <v>39714.617299336605</v>
      </c>
      <c r="V7" s="132">
        <f>IF(SER_hh_emi!V7=0,0,1000000*SER_hh_emi!V7/SER_hh_num!V7)</f>
        <v>32660.696800071495</v>
      </c>
      <c r="W7" s="132">
        <f>IF(SER_hh_emi!W7=0,0,1000000*SER_hh_emi!W7/SER_hh_num!W7)</f>
        <v>45205.198690857498</v>
      </c>
      <c r="X7" s="132">
        <f>IF(SER_hh_emi!X7=0,0,1000000*SER_hh_emi!X7/SER_hh_num!X7)</f>
        <v>46059.468731063993</v>
      </c>
      <c r="Y7" s="132">
        <f>IF(SER_hh_emi!Y7=0,0,1000000*SER_hh_emi!Y7/SER_hh_num!Y7)</f>
        <v>48163.72413998226</v>
      </c>
      <c r="DA7" s="156" t="s">
        <v>450</v>
      </c>
    </row>
    <row r="8" spans="1:105" ht="12" customHeight="1" x14ac:dyDescent="0.25">
      <c r="A8" s="131" t="s">
        <v>73</v>
      </c>
      <c r="B8" s="132">
        <f>IF(SER_hh_emi!B8=0,0,1000000*SER_hh_emi!B8/SER_hh_num!B8)</f>
        <v>0</v>
      </c>
      <c r="C8" s="132">
        <f>IF(SER_hh_emi!C8=0,0,1000000*SER_hh_emi!C8/SER_hh_num!C8)</f>
        <v>0</v>
      </c>
      <c r="D8" s="132">
        <f>IF(SER_hh_emi!D8=0,0,1000000*SER_hh_emi!D8/SER_hh_num!D8)</f>
        <v>0</v>
      </c>
      <c r="E8" s="132">
        <f>IF(SER_hh_emi!E8=0,0,1000000*SER_hh_emi!E8/SER_hh_num!E8)</f>
        <v>0</v>
      </c>
      <c r="F8" s="132">
        <f>IF(SER_hh_emi!F8=0,0,1000000*SER_hh_emi!F8/SER_hh_num!F8)</f>
        <v>0</v>
      </c>
      <c r="G8" s="132">
        <f>IF(SER_hh_emi!G8=0,0,1000000*SER_hh_emi!G8/SER_hh_num!G8)</f>
        <v>0</v>
      </c>
      <c r="H8" s="132">
        <f>IF(SER_hh_emi!H8=0,0,1000000*SER_hh_emi!H8/SER_hh_num!H8)</f>
        <v>0</v>
      </c>
      <c r="I8" s="132">
        <f>IF(SER_hh_emi!I8=0,0,1000000*SER_hh_emi!I8/SER_hh_num!I8)</f>
        <v>0</v>
      </c>
      <c r="J8" s="132">
        <f>IF(SER_hh_emi!J8=0,0,1000000*SER_hh_emi!J8/SER_hh_num!J8)</f>
        <v>0</v>
      </c>
      <c r="K8" s="132">
        <f>IF(SER_hh_emi!K8=0,0,1000000*SER_hh_emi!K8/SER_hh_num!K8)</f>
        <v>0</v>
      </c>
      <c r="L8" s="132">
        <f>IF(SER_hh_emi!L8=0,0,1000000*SER_hh_emi!L8/SER_hh_num!L8)</f>
        <v>0</v>
      </c>
      <c r="M8" s="132">
        <f>IF(SER_hh_emi!M8=0,0,1000000*SER_hh_emi!M8/SER_hh_num!M8)</f>
        <v>0</v>
      </c>
      <c r="N8" s="132">
        <f>IF(SER_hh_emi!N8=0,0,1000000*SER_hh_emi!N8/SER_hh_num!N8)</f>
        <v>0</v>
      </c>
      <c r="O8" s="132">
        <f>IF(SER_hh_emi!O8=0,0,1000000*SER_hh_emi!O8/SER_hh_num!O8)</f>
        <v>0</v>
      </c>
      <c r="P8" s="132">
        <f>IF(SER_hh_emi!P8=0,0,1000000*SER_hh_emi!P8/SER_hh_num!P8)</f>
        <v>0</v>
      </c>
      <c r="Q8" s="132">
        <f>IF(SER_hh_emi!Q8=0,0,1000000*SER_hh_emi!Q8/SER_hh_num!Q8)</f>
        <v>0</v>
      </c>
      <c r="R8" s="132">
        <f>IF(SER_hh_emi!R8=0,0,1000000*SER_hh_emi!R8/SER_hh_num!R8)</f>
        <v>0</v>
      </c>
      <c r="S8" s="132">
        <f>IF(SER_hh_emi!S8=0,0,1000000*SER_hh_emi!S8/SER_hh_num!S8)</f>
        <v>0</v>
      </c>
      <c r="T8" s="132">
        <f>IF(SER_hh_emi!T8=0,0,1000000*SER_hh_emi!T8/SER_hh_num!T8)</f>
        <v>0</v>
      </c>
      <c r="U8" s="132">
        <f>IF(SER_hh_emi!U8=0,0,1000000*SER_hh_emi!U8/SER_hh_num!U8)</f>
        <v>0</v>
      </c>
      <c r="V8" s="132">
        <f>IF(SER_hh_emi!V8=0,0,1000000*SER_hh_emi!V8/SER_hh_num!V8)</f>
        <v>0</v>
      </c>
      <c r="W8" s="132">
        <f>IF(SER_hh_emi!W8=0,0,1000000*SER_hh_emi!W8/SER_hh_num!W8)</f>
        <v>0</v>
      </c>
      <c r="X8" s="132">
        <f>IF(SER_hh_emi!X8=0,0,1000000*SER_hh_emi!X8/SER_hh_num!X8)</f>
        <v>0</v>
      </c>
      <c r="Y8" s="132">
        <f>IF(SER_hh_emi!Y8=0,0,1000000*SER_hh_emi!Y8/SER_hh_num!Y8)</f>
        <v>0</v>
      </c>
      <c r="DA8" s="156" t="s">
        <v>451</v>
      </c>
    </row>
    <row r="9" spans="1:105" ht="12" customHeight="1" x14ac:dyDescent="0.25">
      <c r="A9" s="131" t="s">
        <v>78</v>
      </c>
      <c r="B9" s="132">
        <f>IF(SER_hh_emi!B9=0,0,1000000*SER_hh_emi!B9/SER_hh_num!B9)</f>
        <v>58158.1659784023</v>
      </c>
      <c r="C9" s="132">
        <f>IF(SER_hh_emi!C9=0,0,1000000*SER_hh_emi!C9/SER_hh_num!C9)</f>
        <v>136044.97999964838</v>
      </c>
      <c r="D9" s="132">
        <f>IF(SER_hh_emi!D9=0,0,1000000*SER_hh_emi!D9/SER_hh_num!D9)</f>
        <v>12280.878851353587</v>
      </c>
      <c r="E9" s="132">
        <f>IF(SER_hh_emi!E9=0,0,1000000*SER_hh_emi!E9/SER_hh_num!E9)</f>
        <v>65544.465599470204</v>
      </c>
      <c r="F9" s="132">
        <f>IF(SER_hh_emi!F9=0,0,1000000*SER_hh_emi!F9/SER_hh_num!F9)</f>
        <v>64760.598646146718</v>
      </c>
      <c r="G9" s="132">
        <f>IF(SER_hh_emi!G9=0,0,1000000*SER_hh_emi!G9/SER_hh_num!G9)</f>
        <v>64757.12864013869</v>
      </c>
      <c r="H9" s="132">
        <f>IF(SER_hh_emi!H9=0,0,1000000*SER_hh_emi!H9/SER_hh_num!H9)</f>
        <v>120941.65720377016</v>
      </c>
      <c r="I9" s="132">
        <f>IF(SER_hh_emi!I9=0,0,1000000*SER_hh_emi!I9/SER_hh_num!I9)</f>
        <v>79132.548100022381</v>
      </c>
      <c r="J9" s="132">
        <f>IF(SER_hh_emi!J9=0,0,1000000*SER_hh_emi!J9/SER_hh_num!J9)</f>
        <v>53950.562140944821</v>
      </c>
      <c r="K9" s="132">
        <f>IF(SER_hh_emi!K9=0,0,1000000*SER_hh_emi!K9/SER_hh_num!K9)</f>
        <v>60415.812947651124</v>
      </c>
      <c r="L9" s="132">
        <f>IF(SER_hh_emi!L9=0,0,1000000*SER_hh_emi!L9/SER_hh_num!L9)</f>
        <v>60067.121264291927</v>
      </c>
      <c r="M9" s="132">
        <f>IF(SER_hh_emi!M9=0,0,1000000*SER_hh_emi!M9/SER_hh_num!M9)</f>
        <v>45280.845811873172</v>
      </c>
      <c r="N9" s="132">
        <f>IF(SER_hh_emi!N9=0,0,1000000*SER_hh_emi!N9/SER_hh_num!N9)</f>
        <v>44831.644733052555</v>
      </c>
      <c r="O9" s="132">
        <f>IF(SER_hh_emi!O9=0,0,1000000*SER_hh_emi!O9/SER_hh_num!O9)</f>
        <v>41680.714521894399</v>
      </c>
      <c r="P9" s="132">
        <f>IF(SER_hh_emi!P9=0,0,1000000*SER_hh_emi!P9/SER_hh_num!P9)</f>
        <v>37677.065110582182</v>
      </c>
      <c r="Q9" s="132">
        <f>IF(SER_hh_emi!Q9=0,0,1000000*SER_hh_emi!Q9/SER_hh_num!Q9)</f>
        <v>33066.496285382564</v>
      </c>
      <c r="R9" s="132">
        <f>IF(SER_hh_emi!R9=0,0,1000000*SER_hh_emi!R9/SER_hh_num!R9)</f>
        <v>32603.644682704995</v>
      </c>
      <c r="S9" s="132">
        <f>IF(SER_hh_emi!S9=0,0,1000000*SER_hh_emi!S9/SER_hh_num!S9)</f>
        <v>33853.208692411034</v>
      </c>
      <c r="T9" s="132">
        <f>IF(SER_hh_emi!T9=0,0,1000000*SER_hh_emi!T9/SER_hh_num!T9)</f>
        <v>32654.509662015978</v>
      </c>
      <c r="U9" s="132">
        <f>IF(SER_hh_emi!U9=0,0,1000000*SER_hh_emi!U9/SER_hh_num!U9)</f>
        <v>31417.217544111722</v>
      </c>
      <c r="V9" s="132">
        <f>IF(SER_hh_emi!V9=0,0,1000000*SER_hh_emi!V9/SER_hh_num!V9)</f>
        <v>28898.67618056303</v>
      </c>
      <c r="W9" s="132">
        <f>IF(SER_hh_emi!W9=0,0,1000000*SER_hh_emi!W9/SER_hh_num!W9)</f>
        <v>28118.961570869851</v>
      </c>
      <c r="X9" s="132">
        <f>IF(SER_hh_emi!X9=0,0,1000000*SER_hh_emi!X9/SER_hh_num!X9)</f>
        <v>29528.832088217488</v>
      </c>
      <c r="Y9" s="132">
        <f>IF(SER_hh_emi!Y9=0,0,1000000*SER_hh_emi!Y9/SER_hh_num!Y9)</f>
        <v>36096.604036132128</v>
      </c>
      <c r="DA9" s="156" t="s">
        <v>452</v>
      </c>
    </row>
    <row r="10" spans="1:105" ht="12" customHeight="1" x14ac:dyDescent="0.25">
      <c r="A10" s="131" t="s">
        <v>128</v>
      </c>
      <c r="B10" s="132">
        <f>IF(SER_hh_emi!B10=0,0,1000000*SER_hh_emi!B10/SER_hh_num!B10)</f>
        <v>0</v>
      </c>
      <c r="C10" s="132">
        <f>IF(SER_hh_emi!C10=0,0,1000000*SER_hh_emi!C10/SER_hh_num!C10)</f>
        <v>0</v>
      </c>
      <c r="D10" s="132">
        <f>IF(SER_hh_emi!D10=0,0,1000000*SER_hh_emi!D10/SER_hh_num!D10)</f>
        <v>0</v>
      </c>
      <c r="E10" s="132">
        <f>IF(SER_hh_emi!E10=0,0,1000000*SER_hh_emi!E10/SER_hh_num!E10)</f>
        <v>252.21966927834691</v>
      </c>
      <c r="F10" s="132">
        <f>IF(SER_hh_emi!F10=0,0,1000000*SER_hh_emi!F10/SER_hh_num!F10)</f>
        <v>211.73781787973365</v>
      </c>
      <c r="G10" s="132">
        <f>IF(SER_hh_emi!G10=0,0,1000000*SER_hh_emi!G10/SER_hh_num!G10)</f>
        <v>0</v>
      </c>
      <c r="H10" s="132">
        <f>IF(SER_hh_emi!H10=0,0,1000000*SER_hh_emi!H10/SER_hh_num!H10)</f>
        <v>0</v>
      </c>
      <c r="I10" s="132">
        <f>IF(SER_hh_emi!I10=0,0,1000000*SER_hh_emi!I10/SER_hh_num!I10)</f>
        <v>0</v>
      </c>
      <c r="J10" s="132">
        <f>IF(SER_hh_emi!J10=0,0,1000000*SER_hh_emi!J10/SER_hh_num!J10)</f>
        <v>0</v>
      </c>
      <c r="K10" s="132">
        <f>IF(SER_hh_emi!K10=0,0,1000000*SER_hh_emi!K10/SER_hh_num!K10)</f>
        <v>0</v>
      </c>
      <c r="L10" s="132">
        <f>IF(SER_hh_emi!L10=0,0,1000000*SER_hh_emi!L10/SER_hh_num!L10)</f>
        <v>0</v>
      </c>
      <c r="M10" s="132">
        <f>IF(SER_hh_emi!M10=0,0,1000000*SER_hh_emi!M10/SER_hh_num!M10)</f>
        <v>0</v>
      </c>
      <c r="N10" s="132">
        <f>IF(SER_hh_emi!N10=0,0,1000000*SER_hh_emi!N10/SER_hh_num!N10)</f>
        <v>0</v>
      </c>
      <c r="O10" s="132">
        <f>IF(SER_hh_emi!O10=0,0,1000000*SER_hh_emi!O10/SER_hh_num!O10)</f>
        <v>50.354119709605968</v>
      </c>
      <c r="P10" s="132">
        <f>IF(SER_hh_emi!P10=0,0,1000000*SER_hh_emi!P10/SER_hh_num!P10)</f>
        <v>6082.3095248690815</v>
      </c>
      <c r="Q10" s="132">
        <f>IF(SER_hh_emi!Q10=0,0,1000000*SER_hh_emi!Q10/SER_hh_num!Q10)</f>
        <v>4545.1709629379684</v>
      </c>
      <c r="R10" s="132">
        <f>IF(SER_hh_emi!R10=0,0,1000000*SER_hh_emi!R10/SER_hh_num!R10)</f>
        <v>3575.7974382134275</v>
      </c>
      <c r="S10" s="132">
        <f>IF(SER_hh_emi!S10=0,0,1000000*SER_hh_emi!S10/SER_hh_num!S10)</f>
        <v>2361.780475718168</v>
      </c>
      <c r="T10" s="132">
        <f>IF(SER_hh_emi!T10=0,0,1000000*SER_hh_emi!T10/SER_hh_num!T10)</f>
        <v>1900.8632015533228</v>
      </c>
      <c r="U10" s="132">
        <f>IF(SER_hh_emi!U10=0,0,1000000*SER_hh_emi!U10/SER_hh_num!U10)</f>
        <v>2040.2269966860085</v>
      </c>
      <c r="V10" s="132">
        <f>IF(SER_hh_emi!V10=0,0,1000000*SER_hh_emi!V10/SER_hh_num!V10)</f>
        <v>1561.3081679996019</v>
      </c>
      <c r="W10" s="132">
        <f>IF(SER_hh_emi!W10=0,0,1000000*SER_hh_emi!W10/SER_hh_num!W10)</f>
        <v>1727.9498123473404</v>
      </c>
      <c r="X10" s="132">
        <f>IF(SER_hh_emi!X10=0,0,1000000*SER_hh_emi!X10/SER_hh_num!X10)</f>
        <v>3080.1462265554796</v>
      </c>
      <c r="Y10" s="132">
        <f>IF(SER_hh_emi!Y10=0,0,1000000*SER_hh_emi!Y10/SER_hh_num!Y10)</f>
        <v>2553.2190199773049</v>
      </c>
      <c r="DA10" s="156" t="s">
        <v>453</v>
      </c>
    </row>
    <row r="11" spans="1:105" ht="12" customHeight="1" x14ac:dyDescent="0.25">
      <c r="A11" s="131" t="s">
        <v>25</v>
      </c>
      <c r="B11" s="132">
        <f>IF(SER_hh_emi!B11=0,0,1000000*SER_hh_emi!B11/SER_hh_num!B11)</f>
        <v>0</v>
      </c>
      <c r="C11" s="132">
        <f>IF(SER_hh_emi!C11=0,0,1000000*SER_hh_emi!C11/SER_hh_num!C11)</f>
        <v>0</v>
      </c>
      <c r="D11" s="132">
        <f>IF(SER_hh_emi!D11=0,0,1000000*SER_hh_emi!D11/SER_hh_num!D11)</f>
        <v>0</v>
      </c>
      <c r="E11" s="132">
        <f>IF(SER_hh_emi!E11=0,0,1000000*SER_hh_emi!E11/SER_hh_num!E11)</f>
        <v>0</v>
      </c>
      <c r="F11" s="132">
        <f>IF(SER_hh_emi!F11=0,0,1000000*SER_hh_emi!F11/SER_hh_num!F11)</f>
        <v>0</v>
      </c>
      <c r="G11" s="132">
        <f>IF(SER_hh_emi!G11=0,0,1000000*SER_hh_emi!G11/SER_hh_num!G11)</f>
        <v>0</v>
      </c>
      <c r="H11" s="132">
        <f>IF(SER_hh_emi!H11=0,0,1000000*SER_hh_emi!H11/SER_hh_num!H11)</f>
        <v>0</v>
      </c>
      <c r="I11" s="132">
        <f>IF(SER_hh_emi!I11=0,0,1000000*SER_hh_emi!I11/SER_hh_num!I11)</f>
        <v>0</v>
      </c>
      <c r="J11" s="132">
        <f>IF(SER_hh_emi!J11=0,0,1000000*SER_hh_emi!J11/SER_hh_num!J11)</f>
        <v>0</v>
      </c>
      <c r="K11" s="132">
        <f>IF(SER_hh_emi!K11=0,0,1000000*SER_hh_emi!K11/SER_hh_num!K11)</f>
        <v>0</v>
      </c>
      <c r="L11" s="132">
        <f>IF(SER_hh_emi!L11=0,0,1000000*SER_hh_emi!L11/SER_hh_num!L11)</f>
        <v>0</v>
      </c>
      <c r="M11" s="132">
        <f>IF(SER_hh_emi!M11=0,0,1000000*SER_hh_emi!M11/SER_hh_num!M11)</f>
        <v>0</v>
      </c>
      <c r="N11" s="132">
        <f>IF(SER_hh_emi!N11=0,0,1000000*SER_hh_emi!N11/SER_hh_num!N11)</f>
        <v>0</v>
      </c>
      <c r="O11" s="132">
        <f>IF(SER_hh_emi!O11=0,0,1000000*SER_hh_emi!O11/SER_hh_num!O11)</f>
        <v>0</v>
      </c>
      <c r="P11" s="132">
        <f>IF(SER_hh_emi!P11=0,0,1000000*SER_hh_emi!P11/SER_hh_num!P11)</f>
        <v>0</v>
      </c>
      <c r="Q11" s="132">
        <f>IF(SER_hh_emi!Q11=0,0,1000000*SER_hh_emi!Q11/SER_hh_num!Q11)</f>
        <v>0</v>
      </c>
      <c r="R11" s="132">
        <f>IF(SER_hh_emi!R11=0,0,1000000*SER_hh_emi!R11/SER_hh_num!R11)</f>
        <v>0</v>
      </c>
      <c r="S11" s="132">
        <f>IF(SER_hh_emi!S11=0,0,1000000*SER_hh_emi!S11/SER_hh_num!S11)</f>
        <v>0</v>
      </c>
      <c r="T11" s="132">
        <f>IF(SER_hh_emi!T11=0,0,1000000*SER_hh_emi!T11/SER_hh_num!T11)</f>
        <v>0</v>
      </c>
      <c r="U11" s="132">
        <f>IF(SER_hh_emi!U11=0,0,1000000*SER_hh_emi!U11/SER_hh_num!U11)</f>
        <v>0</v>
      </c>
      <c r="V11" s="132">
        <f>IF(SER_hh_emi!V11=0,0,1000000*SER_hh_emi!V11/SER_hh_num!V11)</f>
        <v>0</v>
      </c>
      <c r="W11" s="132">
        <f>IF(SER_hh_emi!W11=0,0,1000000*SER_hh_emi!W11/SER_hh_num!W11)</f>
        <v>0</v>
      </c>
      <c r="X11" s="132">
        <f>IF(SER_hh_emi!X11=0,0,1000000*SER_hh_emi!X11/SER_hh_num!X11)</f>
        <v>0</v>
      </c>
      <c r="Y11" s="132">
        <f>IF(SER_hh_emi!Y11=0,0,1000000*SER_hh_emi!Y11/SER_hh_num!Y11)</f>
        <v>0</v>
      </c>
      <c r="DA11" s="156" t="s">
        <v>454</v>
      </c>
    </row>
    <row r="12" spans="1:105" ht="12" customHeight="1" x14ac:dyDescent="0.25">
      <c r="A12" s="131" t="s">
        <v>162</v>
      </c>
      <c r="B12" s="132">
        <f>IF(SER_hh_emi!B12=0,0,1000000*SER_hh_emi!B12/SER_hh_num!B12)</f>
        <v>0</v>
      </c>
      <c r="C12" s="132">
        <f>IF(SER_hh_emi!C12=0,0,1000000*SER_hh_emi!C12/SER_hh_num!C12)</f>
        <v>0</v>
      </c>
      <c r="D12" s="132">
        <f>IF(SER_hh_emi!D12=0,0,1000000*SER_hh_emi!D12/SER_hh_num!D12)</f>
        <v>0</v>
      </c>
      <c r="E12" s="132">
        <f>IF(SER_hh_emi!E12=0,0,1000000*SER_hh_emi!E12/SER_hh_num!E12)</f>
        <v>0</v>
      </c>
      <c r="F12" s="132">
        <f>IF(SER_hh_emi!F12=0,0,1000000*SER_hh_emi!F12/SER_hh_num!F12)</f>
        <v>0</v>
      </c>
      <c r="G12" s="132">
        <f>IF(SER_hh_emi!G12=0,0,1000000*SER_hh_emi!G12/SER_hh_num!G12)</f>
        <v>0</v>
      </c>
      <c r="H12" s="132">
        <f>IF(SER_hh_emi!H12=0,0,1000000*SER_hh_emi!H12/SER_hh_num!H12)</f>
        <v>0</v>
      </c>
      <c r="I12" s="132">
        <f>IF(SER_hh_emi!I12=0,0,1000000*SER_hh_emi!I12/SER_hh_num!I12)</f>
        <v>0</v>
      </c>
      <c r="J12" s="132">
        <f>IF(SER_hh_emi!J12=0,0,1000000*SER_hh_emi!J12/SER_hh_num!J12)</f>
        <v>0</v>
      </c>
      <c r="K12" s="132">
        <f>IF(SER_hh_emi!K12=0,0,1000000*SER_hh_emi!K12/SER_hh_num!K12)</f>
        <v>0</v>
      </c>
      <c r="L12" s="132">
        <f>IF(SER_hh_emi!L12=0,0,1000000*SER_hh_emi!L12/SER_hh_num!L12)</f>
        <v>0</v>
      </c>
      <c r="M12" s="132">
        <f>IF(SER_hh_emi!M12=0,0,1000000*SER_hh_emi!M12/SER_hh_num!M12)</f>
        <v>0</v>
      </c>
      <c r="N12" s="132">
        <f>IF(SER_hh_emi!N12=0,0,1000000*SER_hh_emi!N12/SER_hh_num!N12)</f>
        <v>0</v>
      </c>
      <c r="O12" s="132">
        <f>IF(SER_hh_emi!O12=0,0,1000000*SER_hh_emi!O12/SER_hh_num!O12)</f>
        <v>0</v>
      </c>
      <c r="P12" s="132">
        <f>IF(SER_hh_emi!P12=0,0,1000000*SER_hh_emi!P12/SER_hh_num!P12)</f>
        <v>0</v>
      </c>
      <c r="Q12" s="132">
        <f>IF(SER_hh_emi!Q12=0,0,1000000*SER_hh_emi!Q12/SER_hh_num!Q12)</f>
        <v>0</v>
      </c>
      <c r="R12" s="132">
        <f>IF(SER_hh_emi!R12=0,0,1000000*SER_hh_emi!R12/SER_hh_num!R12)</f>
        <v>0</v>
      </c>
      <c r="S12" s="132">
        <f>IF(SER_hh_emi!S12=0,0,1000000*SER_hh_emi!S12/SER_hh_num!S12)</f>
        <v>0</v>
      </c>
      <c r="T12" s="132">
        <f>IF(SER_hh_emi!T12=0,0,1000000*SER_hh_emi!T12/SER_hh_num!T12)</f>
        <v>0</v>
      </c>
      <c r="U12" s="132">
        <f>IF(SER_hh_emi!U12=0,0,1000000*SER_hh_emi!U12/SER_hh_num!U12)</f>
        <v>0</v>
      </c>
      <c r="V12" s="132">
        <f>IF(SER_hh_emi!V12=0,0,1000000*SER_hh_emi!V12/SER_hh_num!V12)</f>
        <v>0</v>
      </c>
      <c r="W12" s="132">
        <f>IF(SER_hh_emi!W12=0,0,1000000*SER_hh_emi!W12/SER_hh_num!W12)</f>
        <v>0</v>
      </c>
      <c r="X12" s="132">
        <f>IF(SER_hh_emi!X12=0,0,1000000*SER_hh_emi!X12/SER_hh_num!X12)</f>
        <v>0</v>
      </c>
      <c r="Y12" s="132">
        <f>IF(SER_hh_emi!Y12=0,0,1000000*SER_hh_emi!Y12/SER_hh_num!Y12)</f>
        <v>0</v>
      </c>
      <c r="DA12" s="156" t="s">
        <v>455</v>
      </c>
    </row>
    <row r="13" spans="1:105" ht="12" customHeight="1" x14ac:dyDescent="0.25">
      <c r="A13" s="131" t="s">
        <v>77</v>
      </c>
      <c r="B13" s="132">
        <f>IF(SER_hh_emi!B13=0,0,1000000*SER_hh_emi!B13/SER_hh_num!B13)</f>
        <v>0</v>
      </c>
      <c r="C13" s="132">
        <f>IF(SER_hh_emi!C13=0,0,1000000*SER_hh_emi!C13/SER_hh_num!C13)</f>
        <v>0</v>
      </c>
      <c r="D13" s="132">
        <f>IF(SER_hh_emi!D13=0,0,1000000*SER_hh_emi!D13/SER_hh_num!D13)</f>
        <v>0</v>
      </c>
      <c r="E13" s="132">
        <f>IF(SER_hh_emi!E13=0,0,1000000*SER_hh_emi!E13/SER_hh_num!E13)</f>
        <v>0</v>
      </c>
      <c r="F13" s="132">
        <f>IF(SER_hh_emi!F13=0,0,1000000*SER_hh_emi!F13/SER_hh_num!F13)</f>
        <v>0</v>
      </c>
      <c r="G13" s="132">
        <f>IF(SER_hh_emi!G13=0,0,1000000*SER_hh_emi!G13/SER_hh_num!G13)</f>
        <v>0</v>
      </c>
      <c r="H13" s="132">
        <f>IF(SER_hh_emi!H13=0,0,1000000*SER_hh_emi!H13/SER_hh_num!H13)</f>
        <v>0</v>
      </c>
      <c r="I13" s="132">
        <f>IF(SER_hh_emi!I13=0,0,1000000*SER_hh_emi!I13/SER_hh_num!I13)</f>
        <v>0</v>
      </c>
      <c r="J13" s="132">
        <f>IF(SER_hh_emi!J13=0,0,1000000*SER_hh_emi!J13/SER_hh_num!J13)</f>
        <v>0</v>
      </c>
      <c r="K13" s="132">
        <f>IF(SER_hh_emi!K13=0,0,1000000*SER_hh_emi!K13/SER_hh_num!K13)</f>
        <v>0</v>
      </c>
      <c r="L13" s="132">
        <f>IF(SER_hh_emi!L13=0,0,1000000*SER_hh_emi!L13/SER_hh_num!L13)</f>
        <v>0</v>
      </c>
      <c r="M13" s="132">
        <f>IF(SER_hh_emi!M13=0,0,1000000*SER_hh_emi!M13/SER_hh_num!M13)</f>
        <v>0</v>
      </c>
      <c r="N13" s="132">
        <f>IF(SER_hh_emi!N13=0,0,1000000*SER_hh_emi!N13/SER_hh_num!N13)</f>
        <v>0</v>
      </c>
      <c r="O13" s="132">
        <f>IF(SER_hh_emi!O13=0,0,1000000*SER_hh_emi!O13/SER_hh_num!O13)</f>
        <v>0</v>
      </c>
      <c r="P13" s="132">
        <f>IF(SER_hh_emi!P13=0,0,1000000*SER_hh_emi!P13/SER_hh_num!P13)</f>
        <v>0</v>
      </c>
      <c r="Q13" s="132">
        <f>IF(SER_hh_emi!Q13=0,0,1000000*SER_hh_emi!Q13/SER_hh_num!Q13)</f>
        <v>0</v>
      </c>
      <c r="R13" s="132">
        <f>IF(SER_hh_emi!R13=0,0,1000000*SER_hh_emi!R13/SER_hh_num!R13)</f>
        <v>0</v>
      </c>
      <c r="S13" s="132">
        <f>IF(SER_hh_emi!S13=0,0,1000000*SER_hh_emi!S13/SER_hh_num!S13)</f>
        <v>0</v>
      </c>
      <c r="T13" s="132">
        <f>IF(SER_hh_emi!T13=0,0,1000000*SER_hh_emi!T13/SER_hh_num!T13)</f>
        <v>0</v>
      </c>
      <c r="U13" s="132">
        <f>IF(SER_hh_emi!U13=0,0,1000000*SER_hh_emi!U13/SER_hh_num!U13)</f>
        <v>0</v>
      </c>
      <c r="V13" s="132">
        <f>IF(SER_hh_emi!V13=0,0,1000000*SER_hh_emi!V13/SER_hh_num!V13)</f>
        <v>0</v>
      </c>
      <c r="W13" s="132">
        <f>IF(SER_hh_emi!W13=0,0,1000000*SER_hh_emi!W13/SER_hh_num!W13)</f>
        <v>0</v>
      </c>
      <c r="X13" s="132">
        <f>IF(SER_hh_emi!X13=0,0,1000000*SER_hh_emi!X13/SER_hh_num!X13)</f>
        <v>0</v>
      </c>
      <c r="Y13" s="132">
        <f>IF(SER_hh_emi!Y13=0,0,1000000*SER_hh_emi!Y13/SER_hh_num!Y13)</f>
        <v>0</v>
      </c>
      <c r="DA13" s="156" t="s">
        <v>456</v>
      </c>
    </row>
    <row r="14" spans="1:105" ht="12" customHeight="1" x14ac:dyDescent="0.25">
      <c r="A14" s="60" t="s">
        <v>76</v>
      </c>
      <c r="B14" s="65">
        <f>IF(SER_hh_emi!B14=0,0,1000000*SER_hh_emi!B14/SER_hh_num!B14)</f>
        <v>0</v>
      </c>
      <c r="C14" s="65">
        <f>IF(SER_hh_emi!C14=0,0,1000000*SER_hh_emi!C14/SER_hh_num!C14)</f>
        <v>0</v>
      </c>
      <c r="D14" s="65">
        <f>IF(SER_hh_emi!D14=0,0,1000000*SER_hh_emi!D14/SER_hh_num!D14)</f>
        <v>0</v>
      </c>
      <c r="E14" s="65">
        <f>IF(SER_hh_emi!E14=0,0,1000000*SER_hh_emi!E14/SER_hh_num!E14)</f>
        <v>0</v>
      </c>
      <c r="F14" s="65">
        <f>IF(SER_hh_emi!F14=0,0,1000000*SER_hh_emi!F14/SER_hh_num!F14)</f>
        <v>0</v>
      </c>
      <c r="G14" s="65">
        <f>IF(SER_hh_emi!G14=0,0,1000000*SER_hh_emi!G14/SER_hh_num!G14)</f>
        <v>0</v>
      </c>
      <c r="H14" s="65">
        <f>IF(SER_hh_emi!H14=0,0,1000000*SER_hh_emi!H14/SER_hh_num!H14)</f>
        <v>0</v>
      </c>
      <c r="I14" s="65">
        <f>IF(SER_hh_emi!I14=0,0,1000000*SER_hh_emi!I14/SER_hh_num!I14)</f>
        <v>0</v>
      </c>
      <c r="J14" s="65">
        <f>IF(SER_hh_emi!J14=0,0,1000000*SER_hh_emi!J14/SER_hh_num!J14)</f>
        <v>0</v>
      </c>
      <c r="K14" s="65">
        <f>IF(SER_hh_emi!K14=0,0,1000000*SER_hh_emi!K14/SER_hh_num!K14)</f>
        <v>0</v>
      </c>
      <c r="L14" s="65">
        <f>IF(SER_hh_emi!L14=0,0,1000000*SER_hh_emi!L14/SER_hh_num!L14)</f>
        <v>0</v>
      </c>
      <c r="M14" s="65">
        <f>IF(SER_hh_emi!M14=0,0,1000000*SER_hh_emi!M14/SER_hh_num!M14)</f>
        <v>0</v>
      </c>
      <c r="N14" s="65">
        <f>IF(SER_hh_emi!N14=0,0,1000000*SER_hh_emi!N14/SER_hh_num!N14)</f>
        <v>0</v>
      </c>
      <c r="O14" s="65">
        <f>IF(SER_hh_emi!O14=0,0,1000000*SER_hh_emi!O14/SER_hh_num!O14)</f>
        <v>0</v>
      </c>
      <c r="P14" s="65">
        <f>IF(SER_hh_emi!P14=0,0,1000000*SER_hh_emi!P14/SER_hh_num!P14)</f>
        <v>0</v>
      </c>
      <c r="Q14" s="65">
        <f>IF(SER_hh_emi!Q14=0,0,1000000*SER_hh_emi!Q14/SER_hh_num!Q14)</f>
        <v>0</v>
      </c>
      <c r="R14" s="65">
        <f>IF(SER_hh_emi!R14=0,0,1000000*SER_hh_emi!R14/SER_hh_num!R14)</f>
        <v>0</v>
      </c>
      <c r="S14" s="65">
        <f>IF(SER_hh_emi!S14=0,0,1000000*SER_hh_emi!S14/SER_hh_num!S14)</f>
        <v>0</v>
      </c>
      <c r="T14" s="65">
        <f>IF(SER_hh_emi!T14=0,0,1000000*SER_hh_emi!T14/SER_hh_num!T14)</f>
        <v>0</v>
      </c>
      <c r="U14" s="65">
        <f>IF(SER_hh_emi!U14=0,0,1000000*SER_hh_emi!U14/SER_hh_num!U14)</f>
        <v>0</v>
      </c>
      <c r="V14" s="65">
        <f>IF(SER_hh_emi!V14=0,0,1000000*SER_hh_emi!V14/SER_hh_num!V14)</f>
        <v>0</v>
      </c>
      <c r="W14" s="65">
        <f>IF(SER_hh_emi!W14=0,0,1000000*SER_hh_emi!W14/SER_hh_num!W14)</f>
        <v>0</v>
      </c>
      <c r="X14" s="65">
        <f>IF(SER_hh_emi!X14=0,0,1000000*SER_hh_emi!X14/SER_hh_num!X14)</f>
        <v>0</v>
      </c>
      <c r="Y14" s="65">
        <f>IF(SER_hh_emi!Y14=0,0,1000000*SER_hh_emi!Y14/SER_hh_num!Y14)</f>
        <v>0</v>
      </c>
      <c r="DA14" s="109" t="s">
        <v>457</v>
      </c>
    </row>
    <row r="15" spans="1:105" ht="12" customHeight="1" x14ac:dyDescent="0.25">
      <c r="A15" s="133" t="s">
        <v>80</v>
      </c>
      <c r="B15" s="134">
        <f>IF(SER_hh_emi!B15=0,0,1000000*SER_hh_emi!B15/SER_hh_num!B15)</f>
        <v>0</v>
      </c>
      <c r="C15" s="134">
        <f>IF(SER_hh_emi!C15=0,0,1000000*SER_hh_emi!C15/SER_hh_num!C15)</f>
        <v>0</v>
      </c>
      <c r="D15" s="134">
        <f>IF(SER_hh_emi!D15=0,0,1000000*SER_hh_emi!D15/SER_hh_num!D15)</f>
        <v>0</v>
      </c>
      <c r="E15" s="134">
        <f>IF(SER_hh_emi!E15=0,0,1000000*SER_hh_emi!E15/SER_hh_num!E15)</f>
        <v>0</v>
      </c>
      <c r="F15" s="134">
        <f>IF(SER_hh_emi!F15=0,0,1000000*SER_hh_emi!F15/SER_hh_num!F15)</f>
        <v>0</v>
      </c>
      <c r="G15" s="134">
        <f>IF(SER_hh_emi!G15=0,0,1000000*SER_hh_emi!G15/SER_hh_num!G15)</f>
        <v>0</v>
      </c>
      <c r="H15" s="134">
        <f>IF(SER_hh_emi!H15=0,0,1000000*SER_hh_emi!H15/SER_hh_num!H15)</f>
        <v>0</v>
      </c>
      <c r="I15" s="134">
        <f>IF(SER_hh_emi!I15=0,0,1000000*SER_hh_emi!I15/SER_hh_num!I15)</f>
        <v>0</v>
      </c>
      <c r="J15" s="134">
        <f>IF(SER_hh_emi!J15=0,0,1000000*SER_hh_emi!J15/SER_hh_num!J15)</f>
        <v>0</v>
      </c>
      <c r="K15" s="134">
        <f>IF(SER_hh_emi!K15=0,0,1000000*SER_hh_emi!K15/SER_hh_num!K15)</f>
        <v>0</v>
      </c>
      <c r="L15" s="134">
        <f>IF(SER_hh_emi!L15=0,0,1000000*SER_hh_emi!L15/SER_hh_num!L15)</f>
        <v>0</v>
      </c>
      <c r="M15" s="134">
        <f>IF(SER_hh_emi!M15=0,0,1000000*SER_hh_emi!M15/SER_hh_num!M15)</f>
        <v>0</v>
      </c>
      <c r="N15" s="134">
        <f>IF(SER_hh_emi!N15=0,0,1000000*SER_hh_emi!N15/SER_hh_num!N15)</f>
        <v>0</v>
      </c>
      <c r="O15" s="134">
        <f>IF(SER_hh_emi!O15=0,0,1000000*SER_hh_emi!O15/SER_hh_num!O15)</f>
        <v>0</v>
      </c>
      <c r="P15" s="134">
        <f>IF(SER_hh_emi!P15=0,0,1000000*SER_hh_emi!P15/SER_hh_num!P15)</f>
        <v>0</v>
      </c>
      <c r="Q15" s="134">
        <f>IF(SER_hh_emi!Q15=0,0,1000000*SER_hh_emi!Q15/SER_hh_num!Q15)</f>
        <v>0</v>
      </c>
      <c r="R15" s="134">
        <f>IF(SER_hh_emi!R15=0,0,1000000*SER_hh_emi!R15/SER_hh_num!R15)</f>
        <v>0</v>
      </c>
      <c r="S15" s="134">
        <f>IF(SER_hh_emi!S15=0,0,1000000*SER_hh_emi!S15/SER_hh_num!S15)</f>
        <v>0</v>
      </c>
      <c r="T15" s="134">
        <f>IF(SER_hh_emi!T15=0,0,1000000*SER_hh_emi!T15/SER_hh_num!T15)</f>
        <v>0</v>
      </c>
      <c r="U15" s="134">
        <f>IF(SER_hh_emi!U15=0,0,1000000*SER_hh_emi!U15/SER_hh_num!U15)</f>
        <v>0</v>
      </c>
      <c r="V15" s="134">
        <f>IF(SER_hh_emi!V15=0,0,1000000*SER_hh_emi!V15/SER_hh_num!V15)</f>
        <v>0</v>
      </c>
      <c r="W15" s="134">
        <f>IF(SER_hh_emi!W15=0,0,1000000*SER_hh_emi!W15/SER_hh_num!W15)</f>
        <v>0</v>
      </c>
      <c r="X15" s="134">
        <f>IF(SER_hh_emi!X15=0,0,1000000*SER_hh_emi!X15/SER_hh_num!X15)</f>
        <v>0</v>
      </c>
      <c r="Y15" s="134">
        <f>IF(SER_hh_emi!Y15=0,0,1000000*SER_hh_emi!Y15/SER_hh_num!Y15)</f>
        <v>0</v>
      </c>
      <c r="DA15" s="157" t="s">
        <v>458</v>
      </c>
    </row>
    <row r="16" spans="1:105" ht="12.95" customHeight="1" x14ac:dyDescent="0.25">
      <c r="A16" s="129" t="s">
        <v>74</v>
      </c>
      <c r="B16" s="130">
        <f>IF(SER_hh_emi!B16=0,0,1000000*SER_hh_emi!B16/SER_hh_num!B16)</f>
        <v>0</v>
      </c>
      <c r="C16" s="130">
        <f>IF(SER_hh_emi!C16=0,0,1000000*SER_hh_emi!C16/SER_hh_num!C16)</f>
        <v>0</v>
      </c>
      <c r="D16" s="130">
        <f>IF(SER_hh_emi!D16=0,0,1000000*SER_hh_emi!D16/SER_hh_num!D16)</f>
        <v>0</v>
      </c>
      <c r="E16" s="130">
        <f>IF(SER_hh_emi!E16=0,0,1000000*SER_hh_emi!E16/SER_hh_num!E16)</f>
        <v>0</v>
      </c>
      <c r="F16" s="130">
        <f>IF(SER_hh_emi!F16=0,0,1000000*SER_hh_emi!F16/SER_hh_num!F16)</f>
        <v>0</v>
      </c>
      <c r="G16" s="130">
        <f>IF(SER_hh_emi!G16=0,0,1000000*SER_hh_emi!G16/SER_hh_num!G16)</f>
        <v>0</v>
      </c>
      <c r="H16" s="130">
        <f>IF(SER_hh_emi!H16=0,0,1000000*SER_hh_emi!H16/SER_hh_num!H16)</f>
        <v>0</v>
      </c>
      <c r="I16" s="130">
        <f>IF(SER_hh_emi!I16=0,0,1000000*SER_hh_emi!I16/SER_hh_num!I16)</f>
        <v>0</v>
      </c>
      <c r="J16" s="130">
        <f>IF(SER_hh_emi!J16=0,0,1000000*SER_hh_emi!J16/SER_hh_num!J16)</f>
        <v>0</v>
      </c>
      <c r="K16" s="130">
        <f>IF(SER_hh_emi!K16=0,0,1000000*SER_hh_emi!K16/SER_hh_num!K16)</f>
        <v>0</v>
      </c>
      <c r="L16" s="130">
        <f>IF(SER_hh_emi!L16=0,0,1000000*SER_hh_emi!L16/SER_hh_num!L16)</f>
        <v>0</v>
      </c>
      <c r="M16" s="130">
        <f>IF(SER_hh_emi!M16=0,0,1000000*SER_hh_emi!M16/SER_hh_num!M16)</f>
        <v>0</v>
      </c>
      <c r="N16" s="130">
        <f>IF(SER_hh_emi!N16=0,0,1000000*SER_hh_emi!N16/SER_hh_num!N16)</f>
        <v>0</v>
      </c>
      <c r="O16" s="130">
        <f>IF(SER_hh_emi!O16=0,0,1000000*SER_hh_emi!O16/SER_hh_num!O16)</f>
        <v>0</v>
      </c>
      <c r="P16" s="130">
        <f>IF(SER_hh_emi!P16=0,0,1000000*SER_hh_emi!P16/SER_hh_num!P16)</f>
        <v>0</v>
      </c>
      <c r="Q16" s="130">
        <f>IF(SER_hh_emi!Q16=0,0,1000000*SER_hh_emi!Q16/SER_hh_num!Q16)</f>
        <v>0</v>
      </c>
      <c r="R16" s="130">
        <f>IF(SER_hh_emi!R16=0,0,1000000*SER_hh_emi!R16/SER_hh_num!R16)</f>
        <v>0</v>
      </c>
      <c r="S16" s="130">
        <f>IF(SER_hh_emi!S16=0,0,1000000*SER_hh_emi!S16/SER_hh_num!S16)</f>
        <v>0</v>
      </c>
      <c r="T16" s="130">
        <f>IF(SER_hh_emi!T16=0,0,1000000*SER_hh_emi!T16/SER_hh_num!T16)</f>
        <v>0</v>
      </c>
      <c r="U16" s="130">
        <f>IF(SER_hh_emi!U16=0,0,1000000*SER_hh_emi!U16/SER_hh_num!U16)</f>
        <v>0</v>
      </c>
      <c r="V16" s="130">
        <f>IF(SER_hh_emi!V16=0,0,1000000*SER_hh_emi!V16/SER_hh_num!V16)</f>
        <v>0</v>
      </c>
      <c r="W16" s="130">
        <f>IF(SER_hh_emi!W16=0,0,1000000*SER_hh_emi!W16/SER_hh_num!W16)</f>
        <v>0</v>
      </c>
      <c r="X16" s="130">
        <f>IF(SER_hh_emi!X16=0,0,1000000*SER_hh_emi!X16/SER_hh_num!X16)</f>
        <v>0</v>
      </c>
      <c r="Y16" s="130">
        <f>IF(SER_hh_emi!Y16=0,0,1000000*SER_hh_emi!Y16/SER_hh_num!Y16)</f>
        <v>0</v>
      </c>
      <c r="DA16" s="155" t="s">
        <v>459</v>
      </c>
    </row>
    <row r="17" spans="1:105" ht="12.95" customHeight="1" x14ac:dyDescent="0.25">
      <c r="A17" s="131" t="s">
        <v>73</v>
      </c>
      <c r="B17" s="132">
        <f>IF(SER_hh_emi!B17=0,0,1000000*SER_hh_emi!B17/SER_hh_num!B17)</f>
        <v>0</v>
      </c>
      <c r="C17" s="132">
        <f>IF(SER_hh_emi!C17=0,0,1000000*SER_hh_emi!C17/SER_hh_num!C17)</f>
        <v>0</v>
      </c>
      <c r="D17" s="132">
        <f>IF(SER_hh_emi!D17=0,0,1000000*SER_hh_emi!D17/SER_hh_num!D17)</f>
        <v>0</v>
      </c>
      <c r="E17" s="132">
        <f>IF(SER_hh_emi!E17=0,0,1000000*SER_hh_emi!E17/SER_hh_num!E17)</f>
        <v>0</v>
      </c>
      <c r="F17" s="132">
        <f>IF(SER_hh_emi!F17=0,0,1000000*SER_hh_emi!F17/SER_hh_num!F17)</f>
        <v>0</v>
      </c>
      <c r="G17" s="132">
        <f>IF(SER_hh_emi!G17=0,0,1000000*SER_hh_emi!G17/SER_hh_num!G17)</f>
        <v>0</v>
      </c>
      <c r="H17" s="132">
        <f>IF(SER_hh_emi!H17=0,0,1000000*SER_hh_emi!H17/SER_hh_num!H17)</f>
        <v>0</v>
      </c>
      <c r="I17" s="132">
        <f>IF(SER_hh_emi!I17=0,0,1000000*SER_hh_emi!I17/SER_hh_num!I17)</f>
        <v>0</v>
      </c>
      <c r="J17" s="132">
        <f>IF(SER_hh_emi!J17=0,0,1000000*SER_hh_emi!J17/SER_hh_num!J17)</f>
        <v>0</v>
      </c>
      <c r="K17" s="132">
        <f>IF(SER_hh_emi!K17=0,0,1000000*SER_hh_emi!K17/SER_hh_num!K17)</f>
        <v>0</v>
      </c>
      <c r="L17" s="132">
        <f>IF(SER_hh_emi!L17=0,0,1000000*SER_hh_emi!L17/SER_hh_num!L17)</f>
        <v>0</v>
      </c>
      <c r="M17" s="132">
        <f>IF(SER_hh_emi!M17=0,0,1000000*SER_hh_emi!M17/SER_hh_num!M17)</f>
        <v>0</v>
      </c>
      <c r="N17" s="132">
        <f>IF(SER_hh_emi!N17=0,0,1000000*SER_hh_emi!N17/SER_hh_num!N17)</f>
        <v>0</v>
      </c>
      <c r="O17" s="132">
        <f>IF(SER_hh_emi!O17=0,0,1000000*SER_hh_emi!O17/SER_hh_num!O17)</f>
        <v>0</v>
      </c>
      <c r="P17" s="132">
        <f>IF(SER_hh_emi!P17=0,0,1000000*SER_hh_emi!P17/SER_hh_num!P17)</f>
        <v>0</v>
      </c>
      <c r="Q17" s="132">
        <f>IF(SER_hh_emi!Q17=0,0,1000000*SER_hh_emi!Q17/SER_hh_num!Q17)</f>
        <v>0</v>
      </c>
      <c r="R17" s="132">
        <f>IF(SER_hh_emi!R17=0,0,1000000*SER_hh_emi!R17/SER_hh_num!R17)</f>
        <v>0</v>
      </c>
      <c r="S17" s="132">
        <f>IF(SER_hh_emi!S17=0,0,1000000*SER_hh_emi!S17/SER_hh_num!S17)</f>
        <v>0</v>
      </c>
      <c r="T17" s="132">
        <f>IF(SER_hh_emi!T17=0,0,1000000*SER_hh_emi!T17/SER_hh_num!T17)</f>
        <v>0</v>
      </c>
      <c r="U17" s="132">
        <f>IF(SER_hh_emi!U17=0,0,1000000*SER_hh_emi!U17/SER_hh_num!U17)</f>
        <v>0</v>
      </c>
      <c r="V17" s="132">
        <f>IF(SER_hh_emi!V17=0,0,1000000*SER_hh_emi!V17/SER_hh_num!V17)</f>
        <v>0</v>
      </c>
      <c r="W17" s="132">
        <f>IF(SER_hh_emi!W17=0,0,1000000*SER_hh_emi!W17/SER_hh_num!W17)</f>
        <v>0</v>
      </c>
      <c r="X17" s="132">
        <f>IF(SER_hh_emi!X17=0,0,1000000*SER_hh_emi!X17/SER_hh_num!X17)</f>
        <v>0</v>
      </c>
      <c r="Y17" s="132">
        <f>IF(SER_hh_emi!Y17=0,0,1000000*SER_hh_emi!Y17/SER_hh_num!Y17)</f>
        <v>0</v>
      </c>
      <c r="DA17" s="156" t="s">
        <v>460</v>
      </c>
    </row>
    <row r="18" spans="1:105" ht="12" customHeight="1" x14ac:dyDescent="0.25">
      <c r="A18" s="131" t="s">
        <v>72</v>
      </c>
      <c r="B18" s="132">
        <f>IF(SER_hh_emi!B18=0,0,1000000*SER_hh_emi!B18/SER_hh_num!B18)</f>
        <v>0</v>
      </c>
      <c r="C18" s="132">
        <f>IF(SER_hh_emi!C18=0,0,1000000*SER_hh_emi!C18/SER_hh_num!C18)</f>
        <v>0</v>
      </c>
      <c r="D18" s="132">
        <f>IF(SER_hh_emi!D18=0,0,1000000*SER_hh_emi!D18/SER_hh_num!D18)</f>
        <v>0</v>
      </c>
      <c r="E18" s="132">
        <f>IF(SER_hh_emi!E18=0,0,1000000*SER_hh_emi!E18/SER_hh_num!E18)</f>
        <v>0</v>
      </c>
      <c r="F18" s="132">
        <f>IF(SER_hh_emi!F18=0,0,1000000*SER_hh_emi!F18/SER_hh_num!F18)</f>
        <v>0</v>
      </c>
      <c r="G18" s="132">
        <f>IF(SER_hh_emi!G18=0,0,1000000*SER_hh_emi!G18/SER_hh_num!G18)</f>
        <v>0</v>
      </c>
      <c r="H18" s="132">
        <f>IF(SER_hh_emi!H18=0,0,1000000*SER_hh_emi!H18/SER_hh_num!H18)</f>
        <v>0</v>
      </c>
      <c r="I18" s="132">
        <f>IF(SER_hh_emi!I18=0,0,1000000*SER_hh_emi!I18/SER_hh_num!I18)</f>
        <v>0</v>
      </c>
      <c r="J18" s="132">
        <f>IF(SER_hh_emi!J18=0,0,1000000*SER_hh_emi!J18/SER_hh_num!J18)</f>
        <v>0</v>
      </c>
      <c r="K18" s="132">
        <f>IF(SER_hh_emi!K18=0,0,1000000*SER_hh_emi!K18/SER_hh_num!K18)</f>
        <v>0</v>
      </c>
      <c r="L18" s="132">
        <f>IF(SER_hh_emi!L18=0,0,1000000*SER_hh_emi!L18/SER_hh_num!L18)</f>
        <v>0</v>
      </c>
      <c r="M18" s="132">
        <f>IF(SER_hh_emi!M18=0,0,1000000*SER_hh_emi!M18/SER_hh_num!M18)</f>
        <v>0</v>
      </c>
      <c r="N18" s="132">
        <f>IF(SER_hh_emi!N18=0,0,1000000*SER_hh_emi!N18/SER_hh_num!N18)</f>
        <v>0</v>
      </c>
      <c r="O18" s="132">
        <f>IF(SER_hh_emi!O18=0,0,1000000*SER_hh_emi!O18/SER_hh_num!O18)</f>
        <v>0</v>
      </c>
      <c r="P18" s="132">
        <f>IF(SER_hh_emi!P18=0,0,1000000*SER_hh_emi!P18/SER_hh_num!P18)</f>
        <v>0</v>
      </c>
      <c r="Q18" s="132">
        <f>IF(SER_hh_emi!Q18=0,0,1000000*SER_hh_emi!Q18/SER_hh_num!Q18)</f>
        <v>0</v>
      </c>
      <c r="R18" s="132">
        <f>IF(SER_hh_emi!R18=0,0,1000000*SER_hh_emi!R18/SER_hh_num!R18)</f>
        <v>0</v>
      </c>
      <c r="S18" s="132">
        <f>IF(SER_hh_emi!S18=0,0,1000000*SER_hh_emi!S18/SER_hh_num!S18)</f>
        <v>0</v>
      </c>
      <c r="T18" s="132">
        <f>IF(SER_hh_emi!T18=0,0,1000000*SER_hh_emi!T18/SER_hh_num!T18)</f>
        <v>0</v>
      </c>
      <c r="U18" s="132">
        <f>IF(SER_hh_emi!U18=0,0,1000000*SER_hh_emi!U18/SER_hh_num!U18)</f>
        <v>0</v>
      </c>
      <c r="V18" s="132">
        <f>IF(SER_hh_emi!V18=0,0,1000000*SER_hh_emi!V18/SER_hh_num!V18)</f>
        <v>0</v>
      </c>
      <c r="W18" s="132">
        <f>IF(SER_hh_emi!W18=0,0,1000000*SER_hh_emi!W18/SER_hh_num!W18)</f>
        <v>0</v>
      </c>
      <c r="X18" s="132">
        <f>IF(SER_hh_emi!X18=0,0,1000000*SER_hh_emi!X18/SER_hh_num!X18)</f>
        <v>0</v>
      </c>
      <c r="Y18" s="132">
        <f>IF(SER_hh_emi!Y18=0,0,1000000*SER_hh_emi!Y18/SER_hh_num!Y18)</f>
        <v>0</v>
      </c>
      <c r="DA18" s="156" t="s">
        <v>461</v>
      </c>
    </row>
    <row r="19" spans="1:105" ht="12.95" customHeight="1" x14ac:dyDescent="0.25">
      <c r="A19" s="129" t="s">
        <v>35</v>
      </c>
      <c r="B19" s="130">
        <f>IF(SER_hh_emi!B19=0,0,1000000*SER_hh_emi!B19/SER_hh_num!B19)</f>
        <v>1426.4200373492895</v>
      </c>
      <c r="C19" s="130">
        <f>IF(SER_hh_emi!C19=0,0,1000000*SER_hh_emi!C19/SER_hh_num!C19)</f>
        <v>1495.9669179296177</v>
      </c>
      <c r="D19" s="130">
        <f>IF(SER_hh_emi!D19=0,0,1000000*SER_hh_emi!D19/SER_hh_num!D19)</f>
        <v>2717.5631734176081</v>
      </c>
      <c r="E19" s="130">
        <f>IF(SER_hh_emi!E19=0,0,1000000*SER_hh_emi!E19/SER_hh_num!E19)</f>
        <v>4397.4747936702552</v>
      </c>
      <c r="F19" s="130">
        <f>IF(SER_hh_emi!F19=0,0,1000000*SER_hh_emi!F19/SER_hh_num!F19)</f>
        <v>6471.1950580026651</v>
      </c>
      <c r="G19" s="130">
        <f>IF(SER_hh_emi!G19=0,0,1000000*SER_hh_emi!G19/SER_hh_num!G19)</f>
        <v>6086.6721069083114</v>
      </c>
      <c r="H19" s="130">
        <f>IF(SER_hh_emi!H19=0,0,1000000*SER_hh_emi!H19/SER_hh_num!H19)</f>
        <v>5843.3692170479908</v>
      </c>
      <c r="I19" s="130">
        <f>IF(SER_hh_emi!I19=0,0,1000000*SER_hh_emi!I19/SER_hh_num!I19)</f>
        <v>5048.9566624587997</v>
      </c>
      <c r="J19" s="130">
        <f>IF(SER_hh_emi!J19=0,0,1000000*SER_hh_emi!J19/SER_hh_num!J19)</f>
        <v>4345.7917433358161</v>
      </c>
      <c r="K19" s="130">
        <f>IF(SER_hh_emi!K19=0,0,1000000*SER_hh_emi!K19/SER_hh_num!K19)</f>
        <v>5767.0887745403788</v>
      </c>
      <c r="L19" s="130">
        <f>IF(SER_hh_emi!L19=0,0,1000000*SER_hh_emi!L19/SER_hh_num!L19)</f>
        <v>5541.9481877090511</v>
      </c>
      <c r="M19" s="130">
        <f>IF(SER_hh_emi!M19=0,0,1000000*SER_hh_emi!M19/SER_hh_num!M19)</f>
        <v>4948.3599716419394</v>
      </c>
      <c r="N19" s="130">
        <f>IF(SER_hh_emi!N19=0,0,1000000*SER_hh_emi!N19/SER_hh_num!N19)</f>
        <v>5013.4937179224416</v>
      </c>
      <c r="O19" s="130">
        <f>IF(SER_hh_emi!O19=0,0,1000000*SER_hh_emi!O19/SER_hh_num!O19)</f>
        <v>5421.324195500415</v>
      </c>
      <c r="P19" s="130">
        <f>IF(SER_hh_emi!P19=0,0,1000000*SER_hh_emi!P19/SER_hh_num!P19)</f>
        <v>5711.8902393242024</v>
      </c>
      <c r="Q19" s="130">
        <f>IF(SER_hh_emi!Q19=0,0,1000000*SER_hh_emi!Q19/SER_hh_num!Q19)</f>
        <v>5895.0538728854663</v>
      </c>
      <c r="R19" s="130">
        <f>IF(SER_hh_emi!R19=0,0,1000000*SER_hh_emi!R19/SER_hh_num!R19)</f>
        <v>5888.4085195811722</v>
      </c>
      <c r="S19" s="130">
        <f>IF(SER_hh_emi!S19=0,0,1000000*SER_hh_emi!S19/SER_hh_num!S19)</f>
        <v>6443.0625943825808</v>
      </c>
      <c r="T19" s="130">
        <f>IF(SER_hh_emi!T19=0,0,1000000*SER_hh_emi!T19/SER_hh_num!T19)</f>
        <v>6286.3685721492602</v>
      </c>
      <c r="U19" s="130">
        <f>IF(SER_hh_emi!U19=0,0,1000000*SER_hh_emi!U19/SER_hh_num!U19)</f>
        <v>6055.165213233513</v>
      </c>
      <c r="V19" s="130">
        <f>IF(SER_hh_emi!V19=0,0,1000000*SER_hh_emi!V19/SER_hh_num!V19)</f>
        <v>5757.1767873079634</v>
      </c>
      <c r="W19" s="130">
        <f>IF(SER_hh_emi!W19=0,0,1000000*SER_hh_emi!W19/SER_hh_num!W19)</f>
        <v>6596.2153176921311</v>
      </c>
      <c r="X19" s="130">
        <f>IF(SER_hh_emi!X19=0,0,1000000*SER_hh_emi!X19/SER_hh_num!X19)</f>
        <v>6358.1910050937486</v>
      </c>
      <c r="Y19" s="130">
        <f>IF(SER_hh_emi!Y19=0,0,1000000*SER_hh_emi!Y19/SER_hh_num!Y19)</f>
        <v>6028.5254690674947</v>
      </c>
      <c r="DA19" s="155" t="s">
        <v>462</v>
      </c>
    </row>
    <row r="20" spans="1:105" ht="12" customHeight="1" x14ac:dyDescent="0.25">
      <c r="A20" s="131" t="s">
        <v>29</v>
      </c>
      <c r="B20" s="132">
        <f>IF(SER_hh_emi!B20=0,0,1000000*SER_hh_emi!B20/SER_hh_num!B20)</f>
        <v>0</v>
      </c>
      <c r="C20" s="132">
        <f>IF(SER_hh_emi!C20=0,0,1000000*SER_hh_emi!C20/SER_hh_num!C20)</f>
        <v>0</v>
      </c>
      <c r="D20" s="132">
        <f>IF(SER_hh_emi!D20=0,0,1000000*SER_hh_emi!D20/SER_hh_num!D20)</f>
        <v>0</v>
      </c>
      <c r="E20" s="132">
        <f>IF(SER_hh_emi!E20=0,0,1000000*SER_hh_emi!E20/SER_hh_num!E20)</f>
        <v>0</v>
      </c>
      <c r="F20" s="132">
        <f>IF(SER_hh_emi!F20=0,0,1000000*SER_hh_emi!F20/SER_hh_num!F20)</f>
        <v>0</v>
      </c>
      <c r="G20" s="132">
        <f>IF(SER_hh_emi!G20=0,0,1000000*SER_hh_emi!G20/SER_hh_num!G20)</f>
        <v>0</v>
      </c>
      <c r="H20" s="132">
        <f>IF(SER_hh_emi!H20=0,0,1000000*SER_hh_emi!H20/SER_hh_num!H20)</f>
        <v>0</v>
      </c>
      <c r="I20" s="132">
        <f>IF(SER_hh_emi!I20=0,0,1000000*SER_hh_emi!I20/SER_hh_num!I20)</f>
        <v>0</v>
      </c>
      <c r="J20" s="132">
        <f>IF(SER_hh_emi!J20=0,0,1000000*SER_hh_emi!J20/SER_hh_num!J20)</f>
        <v>0</v>
      </c>
      <c r="K20" s="132">
        <f>IF(SER_hh_emi!K20=0,0,1000000*SER_hh_emi!K20/SER_hh_num!K20)</f>
        <v>0</v>
      </c>
      <c r="L20" s="132">
        <f>IF(SER_hh_emi!L20=0,0,1000000*SER_hh_emi!L20/SER_hh_num!L20)</f>
        <v>0</v>
      </c>
      <c r="M20" s="132">
        <f>IF(SER_hh_emi!M20=0,0,1000000*SER_hh_emi!M20/SER_hh_num!M20)</f>
        <v>0</v>
      </c>
      <c r="N20" s="132">
        <f>IF(SER_hh_emi!N20=0,0,1000000*SER_hh_emi!N20/SER_hh_num!N20)</f>
        <v>0</v>
      </c>
      <c r="O20" s="132">
        <f>IF(SER_hh_emi!O20=0,0,1000000*SER_hh_emi!O20/SER_hh_num!O20)</f>
        <v>0</v>
      </c>
      <c r="P20" s="132">
        <f>IF(SER_hh_emi!P20=0,0,1000000*SER_hh_emi!P20/SER_hh_num!P20)</f>
        <v>0</v>
      </c>
      <c r="Q20" s="132">
        <f>IF(SER_hh_emi!Q20=0,0,1000000*SER_hh_emi!Q20/SER_hh_num!Q20)</f>
        <v>0</v>
      </c>
      <c r="R20" s="132">
        <f>IF(SER_hh_emi!R20=0,0,1000000*SER_hh_emi!R20/SER_hh_num!R20)</f>
        <v>0</v>
      </c>
      <c r="S20" s="132">
        <f>IF(SER_hh_emi!S20=0,0,1000000*SER_hh_emi!S20/SER_hh_num!S20)</f>
        <v>0</v>
      </c>
      <c r="T20" s="132">
        <f>IF(SER_hh_emi!T20=0,0,1000000*SER_hh_emi!T20/SER_hh_num!T20)</f>
        <v>0</v>
      </c>
      <c r="U20" s="132">
        <f>IF(SER_hh_emi!U20=0,0,1000000*SER_hh_emi!U20/SER_hh_num!U20)</f>
        <v>0</v>
      </c>
      <c r="V20" s="132">
        <f>IF(SER_hh_emi!V20=0,0,1000000*SER_hh_emi!V20/SER_hh_num!V20)</f>
        <v>0</v>
      </c>
      <c r="W20" s="132">
        <f>IF(SER_hh_emi!W20=0,0,1000000*SER_hh_emi!W20/SER_hh_num!W20)</f>
        <v>0</v>
      </c>
      <c r="X20" s="132">
        <f>IF(SER_hh_emi!X20=0,0,1000000*SER_hh_emi!X20/SER_hh_num!X20)</f>
        <v>0</v>
      </c>
      <c r="Y20" s="132">
        <f>IF(SER_hh_emi!Y20=0,0,1000000*SER_hh_emi!Y20/SER_hh_num!Y20)</f>
        <v>0</v>
      </c>
      <c r="DA20" s="156" t="s">
        <v>463</v>
      </c>
    </row>
    <row r="21" spans="1:105" s="2" customFormat="1" ht="12" customHeight="1" x14ac:dyDescent="0.25">
      <c r="A21" s="131" t="s">
        <v>52</v>
      </c>
      <c r="B21" s="132">
        <f>IF(SER_hh_emi!B21=0,0,1000000*SER_hh_emi!B21/SER_hh_num!B21)</f>
        <v>0</v>
      </c>
      <c r="C21" s="132">
        <f>IF(SER_hh_emi!C21=0,0,1000000*SER_hh_emi!C21/SER_hh_num!C21)</f>
        <v>0</v>
      </c>
      <c r="D21" s="132">
        <f>IF(SER_hh_emi!D21=0,0,1000000*SER_hh_emi!D21/SER_hh_num!D21)</f>
        <v>0</v>
      </c>
      <c r="E21" s="132">
        <f>IF(SER_hh_emi!E21=0,0,1000000*SER_hh_emi!E21/SER_hh_num!E21)</f>
        <v>0</v>
      </c>
      <c r="F21" s="132">
        <f>IF(SER_hh_emi!F21=0,0,1000000*SER_hh_emi!F21/SER_hh_num!F21)</f>
        <v>0</v>
      </c>
      <c r="G21" s="132">
        <f>IF(SER_hh_emi!G21=0,0,1000000*SER_hh_emi!G21/SER_hh_num!G21)</f>
        <v>0</v>
      </c>
      <c r="H21" s="132">
        <f>IF(SER_hh_emi!H21=0,0,1000000*SER_hh_emi!H21/SER_hh_num!H21)</f>
        <v>0</v>
      </c>
      <c r="I21" s="132">
        <f>IF(SER_hh_emi!I21=0,0,1000000*SER_hh_emi!I21/SER_hh_num!I21)</f>
        <v>0</v>
      </c>
      <c r="J21" s="132">
        <f>IF(SER_hh_emi!J21=0,0,1000000*SER_hh_emi!J21/SER_hh_num!J21)</f>
        <v>0</v>
      </c>
      <c r="K21" s="132">
        <f>IF(SER_hh_emi!K21=0,0,1000000*SER_hh_emi!K21/SER_hh_num!K21)</f>
        <v>0</v>
      </c>
      <c r="L21" s="132">
        <f>IF(SER_hh_emi!L21=0,0,1000000*SER_hh_emi!L21/SER_hh_num!L21)</f>
        <v>0</v>
      </c>
      <c r="M21" s="132">
        <f>IF(SER_hh_emi!M21=0,0,1000000*SER_hh_emi!M21/SER_hh_num!M21)</f>
        <v>0</v>
      </c>
      <c r="N21" s="132">
        <f>IF(SER_hh_emi!N21=0,0,1000000*SER_hh_emi!N21/SER_hh_num!N21)</f>
        <v>0</v>
      </c>
      <c r="O21" s="132">
        <f>IF(SER_hh_emi!O21=0,0,1000000*SER_hh_emi!O21/SER_hh_num!O21)</f>
        <v>0</v>
      </c>
      <c r="P21" s="132">
        <f>IF(SER_hh_emi!P21=0,0,1000000*SER_hh_emi!P21/SER_hh_num!P21)</f>
        <v>0</v>
      </c>
      <c r="Q21" s="132">
        <f>IF(SER_hh_emi!Q21=0,0,1000000*SER_hh_emi!Q21/SER_hh_num!Q21)</f>
        <v>0</v>
      </c>
      <c r="R21" s="132">
        <f>IF(SER_hh_emi!R21=0,0,1000000*SER_hh_emi!R21/SER_hh_num!R21)</f>
        <v>0</v>
      </c>
      <c r="S21" s="132">
        <f>IF(SER_hh_emi!S21=0,0,1000000*SER_hh_emi!S21/SER_hh_num!S21)</f>
        <v>0</v>
      </c>
      <c r="T21" s="132">
        <f>IF(SER_hh_emi!T21=0,0,1000000*SER_hh_emi!T21/SER_hh_num!T21)</f>
        <v>0</v>
      </c>
      <c r="U21" s="132">
        <f>IF(SER_hh_emi!U21=0,0,1000000*SER_hh_emi!U21/SER_hh_num!U21)</f>
        <v>0</v>
      </c>
      <c r="V21" s="132">
        <f>IF(SER_hh_emi!V21=0,0,1000000*SER_hh_emi!V21/SER_hh_num!V21)</f>
        <v>0</v>
      </c>
      <c r="W21" s="132">
        <f>IF(SER_hh_emi!W21=0,0,1000000*SER_hh_emi!W21/SER_hh_num!W21)</f>
        <v>0</v>
      </c>
      <c r="X21" s="132">
        <f>IF(SER_hh_emi!X21=0,0,1000000*SER_hh_emi!X21/SER_hh_num!X21)</f>
        <v>0</v>
      </c>
      <c r="Y21" s="132">
        <f>IF(SER_hh_emi!Y21=0,0,1000000*SER_hh_emi!Y21/SER_hh_num!Y21)</f>
        <v>0</v>
      </c>
      <c r="DA21" s="156" t="s">
        <v>464</v>
      </c>
    </row>
    <row r="22" spans="1:105" ht="12" customHeight="1" x14ac:dyDescent="0.25">
      <c r="A22" s="131" t="s">
        <v>161</v>
      </c>
      <c r="B22" s="132">
        <f>IF(SER_hh_emi!B22=0,0,1000000*SER_hh_emi!B22/SER_hh_num!B22)</f>
        <v>1830.1004900255909</v>
      </c>
      <c r="C22" s="132">
        <f>IF(SER_hh_emi!C22=0,0,1000000*SER_hh_emi!C22/SER_hh_num!C22)</f>
        <v>2922.4914148095768</v>
      </c>
      <c r="D22" s="132">
        <f>IF(SER_hh_emi!D22=0,0,1000000*SER_hh_emi!D22/SER_hh_num!D22)</f>
        <v>9025.5802949482877</v>
      </c>
      <c r="E22" s="132">
        <f>IF(SER_hh_emi!E22=0,0,1000000*SER_hh_emi!E22/SER_hh_num!E22)</f>
        <v>12575.816746414768</v>
      </c>
      <c r="F22" s="132">
        <f>IF(SER_hh_emi!F22=0,0,1000000*SER_hh_emi!F22/SER_hh_num!F22)</f>
        <v>14514.561521063519</v>
      </c>
      <c r="G22" s="132">
        <f>IF(SER_hh_emi!G22=0,0,1000000*SER_hh_emi!G22/SER_hh_num!G22)</f>
        <v>17175.398753644509</v>
      </c>
      <c r="H22" s="132">
        <f>IF(SER_hh_emi!H22=0,0,1000000*SER_hh_emi!H22/SER_hh_num!H22)</f>
        <v>11935.318951013518</v>
      </c>
      <c r="I22" s="132">
        <f>IF(SER_hh_emi!I22=0,0,1000000*SER_hh_emi!I22/SER_hh_num!I22)</f>
        <v>13872.850069990187</v>
      </c>
      <c r="J22" s="132">
        <f>IF(SER_hh_emi!J22=0,0,1000000*SER_hh_emi!J22/SER_hh_num!J22)</f>
        <v>15421.030020278973</v>
      </c>
      <c r="K22" s="132">
        <f>IF(SER_hh_emi!K22=0,0,1000000*SER_hh_emi!K22/SER_hh_num!K22)</f>
        <v>14830.532022069536</v>
      </c>
      <c r="L22" s="132">
        <f>IF(SER_hh_emi!L22=0,0,1000000*SER_hh_emi!L22/SER_hh_num!L22)</f>
        <v>14199.332831109652</v>
      </c>
      <c r="M22" s="132">
        <f>IF(SER_hh_emi!M22=0,0,1000000*SER_hh_emi!M22/SER_hh_num!M22)</f>
        <v>12898.341657101328</v>
      </c>
      <c r="N22" s="132">
        <f>IF(SER_hh_emi!N22=0,0,1000000*SER_hh_emi!N22/SER_hh_num!N22)</f>
        <v>13668.371970893309</v>
      </c>
      <c r="O22" s="132">
        <f>IF(SER_hh_emi!O22=0,0,1000000*SER_hh_emi!O22/SER_hh_num!O22)</f>
        <v>15460.186357034223</v>
      </c>
      <c r="P22" s="132">
        <f>IF(SER_hh_emi!P22=0,0,1000000*SER_hh_emi!P22/SER_hh_num!P22)</f>
        <v>14498.349067506351</v>
      </c>
      <c r="Q22" s="132">
        <f>IF(SER_hh_emi!Q22=0,0,1000000*SER_hh_emi!Q22/SER_hh_num!Q22)</f>
        <v>14154.776878615963</v>
      </c>
      <c r="R22" s="132">
        <f>IF(SER_hh_emi!R22=0,0,1000000*SER_hh_emi!R22/SER_hh_num!R22)</f>
        <v>11686.12563322361</v>
      </c>
      <c r="S22" s="132">
        <f>IF(SER_hh_emi!S22=0,0,1000000*SER_hh_emi!S22/SER_hh_num!S22)</f>
        <v>13369.046786330298</v>
      </c>
      <c r="T22" s="132">
        <f>IF(SER_hh_emi!T22=0,0,1000000*SER_hh_emi!T22/SER_hh_num!T22)</f>
        <v>13095.65161709775</v>
      </c>
      <c r="U22" s="132">
        <f>IF(SER_hh_emi!U22=0,0,1000000*SER_hh_emi!U22/SER_hh_num!U22)</f>
        <v>11063.628581775438</v>
      </c>
      <c r="V22" s="132">
        <f>IF(SER_hh_emi!V22=0,0,1000000*SER_hh_emi!V22/SER_hh_num!V22)</f>
        <v>9862.2747925404419</v>
      </c>
      <c r="W22" s="132">
        <f>IF(SER_hh_emi!W22=0,0,1000000*SER_hh_emi!W22/SER_hh_num!W22)</f>
        <v>13081.332328286659</v>
      </c>
      <c r="X22" s="132">
        <f>IF(SER_hh_emi!X22=0,0,1000000*SER_hh_emi!X22/SER_hh_num!X22)</f>
        <v>12167.883665286246</v>
      </c>
      <c r="Y22" s="132">
        <f>IF(SER_hh_emi!Y22=0,0,1000000*SER_hh_emi!Y22/SER_hh_num!Y22)</f>
        <v>12079.646979436697</v>
      </c>
      <c r="DA22" s="156" t="s">
        <v>465</v>
      </c>
    </row>
    <row r="23" spans="1:105" ht="12" customHeight="1" x14ac:dyDescent="0.25">
      <c r="A23" s="131" t="s">
        <v>149</v>
      </c>
      <c r="B23" s="132">
        <f>IF(SER_hh_emi!B23=0,0,1000000*SER_hh_emi!B23/SER_hh_num!B23)</f>
        <v>8917.5684494492252</v>
      </c>
      <c r="C23" s="132">
        <f>IF(SER_hh_emi!C23=0,0,1000000*SER_hh_emi!C23/SER_hh_num!C23)</f>
        <v>6966.5285498809417</v>
      </c>
      <c r="D23" s="132">
        <f>IF(SER_hh_emi!D23=0,0,1000000*SER_hh_emi!D23/SER_hh_num!D23)</f>
        <v>3916.0855041108939</v>
      </c>
      <c r="E23" s="132">
        <f>IF(SER_hh_emi!E23=0,0,1000000*SER_hh_emi!E23/SER_hh_num!E23)</f>
        <v>7707.889561597849</v>
      </c>
      <c r="F23" s="132">
        <f>IF(SER_hh_emi!F23=0,0,1000000*SER_hh_emi!F23/SER_hh_num!F23)</f>
        <v>11609.741327903264</v>
      </c>
      <c r="G23" s="132">
        <f>IF(SER_hh_emi!G23=0,0,1000000*SER_hh_emi!G23/SER_hh_num!G23)</f>
        <v>9922.6462309312083</v>
      </c>
      <c r="H23" s="132">
        <f>IF(SER_hh_emi!H23=0,0,1000000*SER_hh_emi!H23/SER_hh_num!H23)</f>
        <v>11465.199948207939</v>
      </c>
      <c r="I23" s="132">
        <f>IF(SER_hh_emi!I23=0,0,1000000*SER_hh_emi!I23/SER_hh_num!I23)</f>
        <v>10225.11569592044</v>
      </c>
      <c r="J23" s="132">
        <f>IF(SER_hh_emi!J23=0,0,1000000*SER_hh_emi!J23/SER_hh_num!J23)</f>
        <v>8556.5054227550427</v>
      </c>
      <c r="K23" s="132">
        <f>IF(SER_hh_emi!K23=0,0,1000000*SER_hh_emi!K23/SER_hh_num!K23)</f>
        <v>11506.085459785758</v>
      </c>
      <c r="L23" s="132">
        <f>IF(SER_hh_emi!L23=0,0,1000000*SER_hh_emi!L23/SER_hh_num!L23)</f>
        <v>10775.016454646928</v>
      </c>
      <c r="M23" s="132">
        <f>IF(SER_hh_emi!M23=0,0,1000000*SER_hh_emi!M23/SER_hh_num!M23)</f>
        <v>9772.1402225137372</v>
      </c>
      <c r="N23" s="132">
        <f>IF(SER_hh_emi!N23=0,0,1000000*SER_hh_emi!N23/SER_hh_num!N23)</f>
        <v>9878.1246737097281</v>
      </c>
      <c r="O23" s="132">
        <f>IF(SER_hh_emi!O23=0,0,1000000*SER_hh_emi!O23/SER_hh_num!O23)</f>
        <v>9898.0193259664029</v>
      </c>
      <c r="P23" s="132">
        <f>IF(SER_hh_emi!P23=0,0,1000000*SER_hh_emi!P23/SER_hh_num!P23)</f>
        <v>9969.1132274153169</v>
      </c>
      <c r="Q23" s="132">
        <f>IF(SER_hh_emi!Q23=0,0,1000000*SER_hh_emi!Q23/SER_hh_num!Q23)</f>
        <v>9766.0287050232655</v>
      </c>
      <c r="R23" s="132">
        <f>IF(SER_hh_emi!R23=0,0,1000000*SER_hh_emi!R23/SER_hh_num!R23)</f>
        <v>9691.4770205106979</v>
      </c>
      <c r="S23" s="132">
        <f>IF(SER_hh_emi!S23=0,0,1000000*SER_hh_emi!S23/SER_hh_num!S23)</f>
        <v>9485.6281504069029</v>
      </c>
      <c r="T23" s="132">
        <f>IF(SER_hh_emi!T23=0,0,1000000*SER_hh_emi!T23/SER_hh_num!T23)</f>
        <v>8648.4489670317034</v>
      </c>
      <c r="U23" s="132">
        <f>IF(SER_hh_emi!U23=0,0,1000000*SER_hh_emi!U23/SER_hh_num!U23)</f>
        <v>8408.6994551637035</v>
      </c>
      <c r="V23" s="132">
        <f>IF(SER_hh_emi!V23=0,0,1000000*SER_hh_emi!V23/SER_hh_num!V23)</f>
        <v>8036.172185770487</v>
      </c>
      <c r="W23" s="132">
        <f>IF(SER_hh_emi!W23=0,0,1000000*SER_hh_emi!W23/SER_hh_num!W23)</f>
        <v>8208.5737975489483</v>
      </c>
      <c r="X23" s="132">
        <f>IF(SER_hh_emi!X23=0,0,1000000*SER_hh_emi!X23/SER_hh_num!X23)</f>
        <v>8623.5451371626914</v>
      </c>
      <c r="Y23" s="132">
        <f>IF(SER_hh_emi!Y23=0,0,1000000*SER_hh_emi!Y23/SER_hh_num!Y23)</f>
        <v>8305.7738188061267</v>
      </c>
      <c r="DA23" s="156" t="s">
        <v>466</v>
      </c>
    </row>
    <row r="24" spans="1:105" ht="12" customHeight="1" x14ac:dyDescent="0.25">
      <c r="A24" s="131" t="s">
        <v>128</v>
      </c>
      <c r="B24" s="132">
        <f>IF(SER_hh_emi!B24=0,0,1000000*SER_hh_emi!B24/SER_hh_num!B24)</f>
        <v>0</v>
      </c>
      <c r="C24" s="132">
        <f>IF(SER_hh_emi!C24=0,0,1000000*SER_hh_emi!C24/SER_hh_num!C24)</f>
        <v>0</v>
      </c>
      <c r="D24" s="132">
        <f>IF(SER_hh_emi!D24=0,0,1000000*SER_hh_emi!D24/SER_hh_num!D24)</f>
        <v>0</v>
      </c>
      <c r="E24" s="132">
        <f>IF(SER_hh_emi!E24=0,0,1000000*SER_hh_emi!E24/SER_hh_num!E24)</f>
        <v>49.448397372644884</v>
      </c>
      <c r="F24" s="132">
        <f>IF(SER_hh_emi!F24=0,0,1000000*SER_hh_emi!F24/SER_hh_num!F24)</f>
        <v>45.675374004377041</v>
      </c>
      <c r="G24" s="132">
        <f>IF(SER_hh_emi!G24=0,0,1000000*SER_hh_emi!G24/SER_hh_num!G24)</f>
        <v>0</v>
      </c>
      <c r="H24" s="132">
        <f>IF(SER_hh_emi!H24=0,0,1000000*SER_hh_emi!H24/SER_hh_num!H24)</f>
        <v>0</v>
      </c>
      <c r="I24" s="132">
        <f>IF(SER_hh_emi!I24=0,0,1000000*SER_hh_emi!I24/SER_hh_num!I24)</f>
        <v>0</v>
      </c>
      <c r="J24" s="132">
        <f>IF(SER_hh_emi!J24=0,0,1000000*SER_hh_emi!J24/SER_hh_num!J24)</f>
        <v>0</v>
      </c>
      <c r="K24" s="132">
        <f>IF(SER_hh_emi!K24=0,0,1000000*SER_hh_emi!K24/SER_hh_num!K24)</f>
        <v>0</v>
      </c>
      <c r="L24" s="132">
        <f>IF(SER_hh_emi!L24=0,0,1000000*SER_hh_emi!L24/SER_hh_num!L24)</f>
        <v>0</v>
      </c>
      <c r="M24" s="132">
        <f>IF(SER_hh_emi!M24=0,0,1000000*SER_hh_emi!M24/SER_hh_num!M24)</f>
        <v>0</v>
      </c>
      <c r="N24" s="132">
        <f>IF(SER_hh_emi!N24=0,0,1000000*SER_hh_emi!N24/SER_hh_num!N24)</f>
        <v>0</v>
      </c>
      <c r="O24" s="132">
        <f>IF(SER_hh_emi!O24=0,0,1000000*SER_hh_emi!O24/SER_hh_num!O24)</f>
        <v>13.692393325076054</v>
      </c>
      <c r="P24" s="132">
        <f>IF(SER_hh_emi!P24=0,0,1000000*SER_hh_emi!P24/SER_hh_num!P24)</f>
        <v>2145.5647857867648</v>
      </c>
      <c r="Q24" s="132">
        <f>IF(SER_hh_emi!Q24=0,0,1000000*SER_hh_emi!Q24/SER_hh_num!Q24)</f>
        <v>1073.4039829597032</v>
      </c>
      <c r="R24" s="132">
        <f>IF(SER_hh_emi!R24=0,0,1000000*SER_hh_emi!R24/SER_hh_num!R24)</f>
        <v>758.10083181470327</v>
      </c>
      <c r="S24" s="132">
        <f>IF(SER_hh_emi!S24=0,0,1000000*SER_hh_emi!S24/SER_hh_num!S24)</f>
        <v>560.05588104861738</v>
      </c>
      <c r="T24" s="132">
        <f>IF(SER_hh_emi!T24=0,0,1000000*SER_hh_emi!T24/SER_hh_num!T24)</f>
        <v>513.90820015763052</v>
      </c>
      <c r="U24" s="132">
        <f>IF(SER_hh_emi!U24=0,0,1000000*SER_hh_emi!U24/SER_hh_num!U24)</f>
        <v>438.26065671376568</v>
      </c>
      <c r="V24" s="132">
        <f>IF(SER_hh_emi!V24=0,0,1000000*SER_hh_emi!V24/SER_hh_num!V24)</f>
        <v>382.37568582847575</v>
      </c>
      <c r="W24" s="132">
        <f>IF(SER_hh_emi!W24=0,0,1000000*SER_hh_emi!W24/SER_hh_num!W24)</f>
        <v>395.27154059892342</v>
      </c>
      <c r="X24" s="132">
        <f>IF(SER_hh_emi!X24=0,0,1000000*SER_hh_emi!X24/SER_hh_num!X24)</f>
        <v>715.91127566987598</v>
      </c>
      <c r="Y24" s="132">
        <f>IF(SER_hh_emi!Y24=0,0,1000000*SER_hh_emi!Y24/SER_hh_num!Y24)</f>
        <v>555.86329498424413</v>
      </c>
      <c r="DA24" s="156" t="s">
        <v>467</v>
      </c>
    </row>
    <row r="25" spans="1:105" ht="12" customHeight="1" x14ac:dyDescent="0.25">
      <c r="A25" s="131" t="s">
        <v>162</v>
      </c>
      <c r="B25" s="132">
        <f>IF(SER_hh_emi!B25=0,0,1000000*SER_hh_emi!B25/SER_hh_num!B25)</f>
        <v>0</v>
      </c>
      <c r="C25" s="132">
        <f>IF(SER_hh_emi!C25=0,0,1000000*SER_hh_emi!C25/SER_hh_num!C25)</f>
        <v>0</v>
      </c>
      <c r="D25" s="132">
        <f>IF(SER_hh_emi!D25=0,0,1000000*SER_hh_emi!D25/SER_hh_num!D25)</f>
        <v>0</v>
      </c>
      <c r="E25" s="132">
        <f>IF(SER_hh_emi!E25=0,0,1000000*SER_hh_emi!E25/SER_hh_num!E25)</f>
        <v>0</v>
      </c>
      <c r="F25" s="132">
        <f>IF(SER_hh_emi!F25=0,0,1000000*SER_hh_emi!F25/SER_hh_num!F25)</f>
        <v>0</v>
      </c>
      <c r="G25" s="132">
        <f>IF(SER_hh_emi!G25=0,0,1000000*SER_hh_emi!G25/SER_hh_num!G25)</f>
        <v>0</v>
      </c>
      <c r="H25" s="132">
        <f>IF(SER_hh_emi!H25=0,0,1000000*SER_hh_emi!H25/SER_hh_num!H25)</f>
        <v>0</v>
      </c>
      <c r="I25" s="132">
        <f>IF(SER_hh_emi!I25=0,0,1000000*SER_hh_emi!I25/SER_hh_num!I25)</f>
        <v>0</v>
      </c>
      <c r="J25" s="132">
        <f>IF(SER_hh_emi!J25=0,0,1000000*SER_hh_emi!J25/SER_hh_num!J25)</f>
        <v>0</v>
      </c>
      <c r="K25" s="132">
        <f>IF(SER_hh_emi!K25=0,0,1000000*SER_hh_emi!K25/SER_hh_num!K25)</f>
        <v>0</v>
      </c>
      <c r="L25" s="132">
        <f>IF(SER_hh_emi!L25=0,0,1000000*SER_hh_emi!L25/SER_hh_num!L25)</f>
        <v>0</v>
      </c>
      <c r="M25" s="132">
        <f>IF(SER_hh_emi!M25=0,0,1000000*SER_hh_emi!M25/SER_hh_num!M25)</f>
        <v>0</v>
      </c>
      <c r="N25" s="132">
        <f>IF(SER_hh_emi!N25=0,0,1000000*SER_hh_emi!N25/SER_hh_num!N25)</f>
        <v>0</v>
      </c>
      <c r="O25" s="132">
        <f>IF(SER_hh_emi!O25=0,0,1000000*SER_hh_emi!O25/SER_hh_num!O25)</f>
        <v>0</v>
      </c>
      <c r="P25" s="132">
        <f>IF(SER_hh_emi!P25=0,0,1000000*SER_hh_emi!P25/SER_hh_num!P25)</f>
        <v>0</v>
      </c>
      <c r="Q25" s="132">
        <f>IF(SER_hh_emi!Q25=0,0,1000000*SER_hh_emi!Q25/SER_hh_num!Q25)</f>
        <v>0</v>
      </c>
      <c r="R25" s="132">
        <f>IF(SER_hh_emi!R25=0,0,1000000*SER_hh_emi!R25/SER_hh_num!R25)</f>
        <v>0</v>
      </c>
      <c r="S25" s="132">
        <f>IF(SER_hh_emi!S25=0,0,1000000*SER_hh_emi!S25/SER_hh_num!S25)</f>
        <v>0</v>
      </c>
      <c r="T25" s="132">
        <f>IF(SER_hh_emi!T25=0,0,1000000*SER_hh_emi!T25/SER_hh_num!T25)</f>
        <v>0</v>
      </c>
      <c r="U25" s="132">
        <f>IF(SER_hh_emi!U25=0,0,1000000*SER_hh_emi!U25/SER_hh_num!U25)</f>
        <v>0</v>
      </c>
      <c r="V25" s="132">
        <f>IF(SER_hh_emi!V25=0,0,1000000*SER_hh_emi!V25/SER_hh_num!V25)</f>
        <v>0</v>
      </c>
      <c r="W25" s="132">
        <f>IF(SER_hh_emi!W25=0,0,1000000*SER_hh_emi!W25/SER_hh_num!W25)</f>
        <v>0</v>
      </c>
      <c r="X25" s="132">
        <f>IF(SER_hh_emi!X25=0,0,1000000*SER_hh_emi!X25/SER_hh_num!X25)</f>
        <v>0</v>
      </c>
      <c r="Y25" s="132">
        <f>IF(SER_hh_emi!Y25=0,0,1000000*SER_hh_emi!Y25/SER_hh_num!Y25)</f>
        <v>0</v>
      </c>
      <c r="DA25" s="156" t="s">
        <v>468</v>
      </c>
    </row>
    <row r="26" spans="1:105" ht="12" customHeight="1" x14ac:dyDescent="0.25">
      <c r="A26" s="131" t="s">
        <v>24</v>
      </c>
      <c r="B26" s="65">
        <f>IF(SER_hh_emi!B26=0,0,1000000*SER_hh_emi!B26/SER_hh_num!B26)</f>
        <v>0</v>
      </c>
      <c r="C26" s="65">
        <f>IF(SER_hh_emi!C26=0,0,1000000*SER_hh_emi!C26/SER_hh_num!C26)</f>
        <v>0</v>
      </c>
      <c r="D26" s="65">
        <f>IF(SER_hh_emi!D26=0,0,1000000*SER_hh_emi!D26/SER_hh_num!D26)</f>
        <v>0</v>
      </c>
      <c r="E26" s="65">
        <f>IF(SER_hh_emi!E26=0,0,1000000*SER_hh_emi!E26/SER_hh_num!E26)</f>
        <v>0</v>
      </c>
      <c r="F26" s="65">
        <f>IF(SER_hh_emi!F26=0,0,1000000*SER_hh_emi!F26/SER_hh_num!F26)</f>
        <v>0</v>
      </c>
      <c r="G26" s="65">
        <f>IF(SER_hh_emi!G26=0,0,1000000*SER_hh_emi!G26/SER_hh_num!G26)</f>
        <v>0</v>
      </c>
      <c r="H26" s="65">
        <f>IF(SER_hh_emi!H26=0,0,1000000*SER_hh_emi!H26/SER_hh_num!H26)</f>
        <v>0</v>
      </c>
      <c r="I26" s="65">
        <f>IF(SER_hh_emi!I26=0,0,1000000*SER_hh_emi!I26/SER_hh_num!I26)</f>
        <v>0</v>
      </c>
      <c r="J26" s="65">
        <f>IF(SER_hh_emi!J26=0,0,1000000*SER_hh_emi!J26/SER_hh_num!J26)</f>
        <v>0</v>
      </c>
      <c r="K26" s="65">
        <f>IF(SER_hh_emi!K26=0,0,1000000*SER_hh_emi!K26/SER_hh_num!K26)</f>
        <v>0</v>
      </c>
      <c r="L26" s="65">
        <f>IF(SER_hh_emi!L26=0,0,1000000*SER_hh_emi!L26/SER_hh_num!L26)</f>
        <v>0</v>
      </c>
      <c r="M26" s="65">
        <f>IF(SER_hh_emi!M26=0,0,1000000*SER_hh_emi!M26/SER_hh_num!M26)</f>
        <v>0</v>
      </c>
      <c r="N26" s="65">
        <f>IF(SER_hh_emi!N26=0,0,1000000*SER_hh_emi!N26/SER_hh_num!N26)</f>
        <v>0</v>
      </c>
      <c r="O26" s="65">
        <f>IF(SER_hh_emi!O26=0,0,1000000*SER_hh_emi!O26/SER_hh_num!O26)</f>
        <v>0</v>
      </c>
      <c r="P26" s="65">
        <f>IF(SER_hh_emi!P26=0,0,1000000*SER_hh_emi!P26/SER_hh_num!P26)</f>
        <v>0</v>
      </c>
      <c r="Q26" s="65">
        <f>IF(SER_hh_emi!Q26=0,0,1000000*SER_hh_emi!Q26/SER_hh_num!Q26)</f>
        <v>0</v>
      </c>
      <c r="R26" s="65">
        <f>IF(SER_hh_emi!R26=0,0,1000000*SER_hh_emi!R26/SER_hh_num!R26)</f>
        <v>0</v>
      </c>
      <c r="S26" s="65">
        <f>IF(SER_hh_emi!S26=0,0,1000000*SER_hh_emi!S26/SER_hh_num!S26)</f>
        <v>0</v>
      </c>
      <c r="T26" s="65">
        <f>IF(SER_hh_emi!T26=0,0,1000000*SER_hh_emi!T26/SER_hh_num!T26)</f>
        <v>0</v>
      </c>
      <c r="U26" s="65">
        <f>IF(SER_hh_emi!U26=0,0,1000000*SER_hh_emi!U26/SER_hh_num!U26)</f>
        <v>0</v>
      </c>
      <c r="V26" s="65">
        <f>IF(SER_hh_emi!V26=0,0,1000000*SER_hh_emi!V26/SER_hh_num!V26)</f>
        <v>0</v>
      </c>
      <c r="W26" s="65">
        <f>IF(SER_hh_emi!W26=0,0,1000000*SER_hh_emi!W26/SER_hh_num!W26)</f>
        <v>0</v>
      </c>
      <c r="X26" s="65">
        <f>IF(SER_hh_emi!X26=0,0,1000000*SER_hh_emi!X26/SER_hh_num!X26)</f>
        <v>0</v>
      </c>
      <c r="Y26" s="65">
        <f>IF(SER_hh_emi!Y26=0,0,1000000*SER_hh_emi!Y26/SER_hh_num!Y26)</f>
        <v>0</v>
      </c>
      <c r="DA26" s="109" t="s">
        <v>469</v>
      </c>
    </row>
    <row r="27" spans="1:105" ht="12" customHeight="1" x14ac:dyDescent="0.25">
      <c r="A27" s="144" t="s">
        <v>86</v>
      </c>
      <c r="B27" s="145">
        <f>IF(SER_hh_emi!B27=0,0,1000000*SER_hh_emi!B27/SER_hh_num!B19)</f>
        <v>0</v>
      </c>
      <c r="C27" s="145">
        <f>IF(SER_hh_emi!C27=0,0,1000000*SER_hh_emi!C27/SER_hh_num!C19)</f>
        <v>0</v>
      </c>
      <c r="D27" s="145">
        <f>IF(SER_hh_emi!D27=0,0,1000000*SER_hh_emi!D27/SER_hh_num!D19)</f>
        <v>0</v>
      </c>
      <c r="E27" s="145">
        <f>IF(SER_hh_emi!E27=0,0,1000000*SER_hh_emi!E27/SER_hh_num!E19)</f>
        <v>0</v>
      </c>
      <c r="F27" s="145">
        <f>IF(SER_hh_emi!F27=0,0,1000000*SER_hh_emi!F27/SER_hh_num!F19)</f>
        <v>0</v>
      </c>
      <c r="G27" s="145">
        <f>IF(SER_hh_emi!G27=0,0,1000000*SER_hh_emi!G27/SER_hh_num!G19)</f>
        <v>0</v>
      </c>
      <c r="H27" s="145">
        <f>IF(SER_hh_emi!H27=0,0,1000000*SER_hh_emi!H27/SER_hh_num!H19)</f>
        <v>0</v>
      </c>
      <c r="I27" s="145">
        <f>IF(SER_hh_emi!I27=0,0,1000000*SER_hh_emi!I27/SER_hh_num!I19)</f>
        <v>0</v>
      </c>
      <c r="J27" s="145">
        <f>IF(SER_hh_emi!J27=0,0,1000000*SER_hh_emi!J27/SER_hh_num!J19)</f>
        <v>0</v>
      </c>
      <c r="K27" s="145">
        <f>IF(SER_hh_emi!K27=0,0,1000000*SER_hh_emi!K27/SER_hh_num!K19)</f>
        <v>0</v>
      </c>
      <c r="L27" s="145">
        <f>IF(SER_hh_emi!L27=0,0,1000000*SER_hh_emi!L27/SER_hh_num!L19)</f>
        <v>0</v>
      </c>
      <c r="M27" s="145">
        <f>IF(SER_hh_emi!M27=0,0,1000000*SER_hh_emi!M27/SER_hh_num!M19)</f>
        <v>0</v>
      </c>
      <c r="N27" s="145">
        <f>IF(SER_hh_emi!N27=0,0,1000000*SER_hh_emi!N27/SER_hh_num!N19)</f>
        <v>0</v>
      </c>
      <c r="O27" s="145">
        <f>IF(SER_hh_emi!O27=0,0,1000000*SER_hh_emi!O27/SER_hh_num!O19)</f>
        <v>0</v>
      </c>
      <c r="P27" s="145">
        <f>IF(SER_hh_emi!P27=0,0,1000000*SER_hh_emi!P27/SER_hh_num!P19)</f>
        <v>0</v>
      </c>
      <c r="Q27" s="145">
        <f>IF(SER_hh_emi!Q27=0,0,1000000*SER_hh_emi!Q27/SER_hh_num!Q19)</f>
        <v>0</v>
      </c>
      <c r="R27" s="145">
        <f>IF(SER_hh_emi!R27=0,0,1000000*SER_hh_emi!R27/SER_hh_num!R19)</f>
        <v>0</v>
      </c>
      <c r="S27" s="145">
        <f>IF(SER_hh_emi!S27=0,0,1000000*SER_hh_emi!S27/SER_hh_num!S19)</f>
        <v>0</v>
      </c>
      <c r="T27" s="145">
        <f>IF(SER_hh_emi!T27=0,0,1000000*SER_hh_emi!T27/SER_hh_num!T19)</f>
        <v>0</v>
      </c>
      <c r="U27" s="145">
        <f>IF(SER_hh_emi!U27=0,0,1000000*SER_hh_emi!U27/SER_hh_num!U19)</f>
        <v>0</v>
      </c>
      <c r="V27" s="145">
        <f>IF(SER_hh_emi!V27=0,0,1000000*SER_hh_emi!V27/SER_hh_num!V19)</f>
        <v>0</v>
      </c>
      <c r="W27" s="145">
        <f>IF(SER_hh_emi!W27=0,0,1000000*SER_hh_emi!W27/SER_hh_num!W19)</f>
        <v>0</v>
      </c>
      <c r="X27" s="145">
        <f>IF(SER_hh_emi!X27=0,0,1000000*SER_hh_emi!X27/SER_hh_num!X19)</f>
        <v>0</v>
      </c>
      <c r="Y27" s="145">
        <f>IF(SER_hh_emi!Y27=0,0,1000000*SER_hh_emi!Y27/SER_hh_num!Y19)</f>
        <v>0</v>
      </c>
      <c r="DA27" s="158" t="s">
        <v>470</v>
      </c>
    </row>
    <row r="28" spans="1:105" ht="12" customHeight="1" x14ac:dyDescent="0.25">
      <c r="A28" s="78" t="s">
        <v>85</v>
      </c>
      <c r="B28" s="146">
        <f>IF(SER_hh_emi!B27=0,0,1000000*SER_hh_emi!B27/SER_hh_num!B27)</f>
        <v>0</v>
      </c>
      <c r="C28" s="146">
        <f>IF(SER_hh_emi!C27=0,0,1000000*SER_hh_emi!C27/SER_hh_num!C27)</f>
        <v>0</v>
      </c>
      <c r="D28" s="146">
        <f>IF(SER_hh_emi!D27=0,0,1000000*SER_hh_emi!D27/SER_hh_num!D27)</f>
        <v>0</v>
      </c>
      <c r="E28" s="146">
        <f>IF(SER_hh_emi!E27=0,0,1000000*SER_hh_emi!E27/SER_hh_num!E27)</f>
        <v>0</v>
      </c>
      <c r="F28" s="146">
        <f>IF(SER_hh_emi!F27=0,0,1000000*SER_hh_emi!F27/SER_hh_num!F27)</f>
        <v>0</v>
      </c>
      <c r="G28" s="146">
        <f>IF(SER_hh_emi!G27=0,0,1000000*SER_hh_emi!G27/SER_hh_num!G27)</f>
        <v>0</v>
      </c>
      <c r="H28" s="146">
        <f>IF(SER_hh_emi!H27=0,0,1000000*SER_hh_emi!H27/SER_hh_num!H27)</f>
        <v>0</v>
      </c>
      <c r="I28" s="146">
        <f>IF(SER_hh_emi!I27=0,0,1000000*SER_hh_emi!I27/SER_hh_num!I27)</f>
        <v>0</v>
      </c>
      <c r="J28" s="146">
        <f>IF(SER_hh_emi!J27=0,0,1000000*SER_hh_emi!J27/SER_hh_num!J27)</f>
        <v>0</v>
      </c>
      <c r="K28" s="146">
        <f>IF(SER_hh_emi!K27=0,0,1000000*SER_hh_emi!K27/SER_hh_num!K27)</f>
        <v>0</v>
      </c>
      <c r="L28" s="146">
        <f>IF(SER_hh_emi!L27=0,0,1000000*SER_hh_emi!L27/SER_hh_num!L27)</f>
        <v>0</v>
      </c>
      <c r="M28" s="146">
        <f>IF(SER_hh_emi!M27=0,0,1000000*SER_hh_emi!M27/SER_hh_num!M27)</f>
        <v>0</v>
      </c>
      <c r="N28" s="146">
        <f>IF(SER_hh_emi!N27=0,0,1000000*SER_hh_emi!N27/SER_hh_num!N27)</f>
        <v>0</v>
      </c>
      <c r="O28" s="146">
        <f>IF(SER_hh_emi!O27=0,0,1000000*SER_hh_emi!O27/SER_hh_num!O27)</f>
        <v>0</v>
      </c>
      <c r="P28" s="146">
        <f>IF(SER_hh_emi!P27=0,0,1000000*SER_hh_emi!P27/SER_hh_num!P27)</f>
        <v>0</v>
      </c>
      <c r="Q28" s="146">
        <f>IF(SER_hh_emi!Q27=0,0,1000000*SER_hh_emi!Q27/SER_hh_num!Q27)</f>
        <v>0</v>
      </c>
      <c r="R28" s="146">
        <f>IF(SER_hh_emi!R27=0,0,1000000*SER_hh_emi!R27/SER_hh_num!R27)</f>
        <v>0</v>
      </c>
      <c r="S28" s="146">
        <f>IF(SER_hh_emi!S27=0,0,1000000*SER_hh_emi!S27/SER_hh_num!S27)</f>
        <v>0</v>
      </c>
      <c r="T28" s="146">
        <f>IF(SER_hh_emi!T27=0,0,1000000*SER_hh_emi!T27/SER_hh_num!T27)</f>
        <v>0</v>
      </c>
      <c r="U28" s="146">
        <f>IF(SER_hh_emi!U27=0,0,1000000*SER_hh_emi!U27/SER_hh_num!U27)</f>
        <v>0</v>
      </c>
      <c r="V28" s="146">
        <f>IF(SER_hh_emi!V27=0,0,1000000*SER_hh_emi!V27/SER_hh_num!V27)</f>
        <v>0</v>
      </c>
      <c r="W28" s="146">
        <f>IF(SER_hh_emi!W27=0,0,1000000*SER_hh_emi!W27/SER_hh_num!W27)</f>
        <v>0</v>
      </c>
      <c r="X28" s="146">
        <f>IF(SER_hh_emi!X27=0,0,1000000*SER_hh_emi!X27/SER_hh_num!X27)</f>
        <v>0</v>
      </c>
      <c r="Y28" s="146">
        <f>IF(SER_hh_emi!Y27=0,0,1000000*SER_hh_emi!Y27/SER_hh_num!Y27)</f>
        <v>0</v>
      </c>
      <c r="DA28" s="159"/>
    </row>
    <row r="29" spans="1:105" ht="12.95" customHeight="1" x14ac:dyDescent="0.25">
      <c r="A29" s="129" t="s">
        <v>34</v>
      </c>
      <c r="B29" s="130">
        <f>IF(SER_hh_emi!B29=0,0,1000000*SER_hh_emi!B29/SER_hh_num!B29)</f>
        <v>4278.7712673461128</v>
      </c>
      <c r="C29" s="130">
        <f>IF(SER_hh_emi!C29=0,0,1000000*SER_hh_emi!C29/SER_hh_num!C29)</f>
        <v>3916.725385820404</v>
      </c>
      <c r="D29" s="130">
        <f>IF(SER_hh_emi!D29=0,0,1000000*SER_hh_emi!D29/SER_hh_num!D29)</f>
        <v>2591.098020772205</v>
      </c>
      <c r="E29" s="130">
        <f>IF(SER_hh_emi!E29=0,0,1000000*SER_hh_emi!E29/SER_hh_num!E29)</f>
        <v>6519.6798302111492</v>
      </c>
      <c r="F29" s="130">
        <f>IF(SER_hh_emi!F29=0,0,1000000*SER_hh_emi!F29/SER_hh_num!F29)</f>
        <v>11858.159484803167</v>
      </c>
      <c r="G29" s="130">
        <f>IF(SER_hh_emi!G29=0,0,1000000*SER_hh_emi!G29/SER_hh_num!G29)</f>
        <v>11518.164633051179</v>
      </c>
      <c r="H29" s="130">
        <f>IF(SER_hh_emi!H29=0,0,1000000*SER_hh_emi!H29/SER_hh_num!H29)</f>
        <v>10319.562641572416</v>
      </c>
      <c r="I29" s="130">
        <f>IF(SER_hh_emi!I29=0,0,1000000*SER_hh_emi!I29/SER_hh_num!I29)</f>
        <v>11792.030408504839</v>
      </c>
      <c r="J29" s="130">
        <f>IF(SER_hh_emi!J29=0,0,1000000*SER_hh_emi!J29/SER_hh_num!J29)</f>
        <v>7373.9200948315192</v>
      </c>
      <c r="K29" s="130">
        <f>IF(SER_hh_emi!K29=0,0,1000000*SER_hh_emi!K29/SER_hh_num!K29)</f>
        <v>6562.915885423432</v>
      </c>
      <c r="L29" s="130">
        <f>IF(SER_hh_emi!L29=0,0,1000000*SER_hh_emi!L29/SER_hh_num!L29)</f>
        <v>6556.6271866669322</v>
      </c>
      <c r="M29" s="130">
        <f>IF(SER_hh_emi!M29=0,0,1000000*SER_hh_emi!M29/SER_hh_num!M29)</f>
        <v>5810.5701889532584</v>
      </c>
      <c r="N29" s="130">
        <f>IF(SER_hh_emi!N29=0,0,1000000*SER_hh_emi!N29/SER_hh_num!N29)</f>
        <v>5647.1420987022138</v>
      </c>
      <c r="O29" s="130">
        <f>IF(SER_hh_emi!O29=0,0,1000000*SER_hh_emi!O29/SER_hh_num!O29)</f>
        <v>5554.8122019172697</v>
      </c>
      <c r="P29" s="130">
        <f>IF(SER_hh_emi!P29=0,0,1000000*SER_hh_emi!P29/SER_hh_num!P29)</f>
        <v>5544.9382149784878</v>
      </c>
      <c r="Q29" s="130">
        <f>IF(SER_hh_emi!Q29=0,0,1000000*SER_hh_emi!Q29/SER_hh_num!Q29)</f>
        <v>6002.2576957653082</v>
      </c>
      <c r="R29" s="130">
        <f>IF(SER_hh_emi!R29=0,0,1000000*SER_hh_emi!R29/SER_hh_num!R29)</f>
        <v>5720.7389911398141</v>
      </c>
      <c r="S29" s="130">
        <f>IF(SER_hh_emi!S29=0,0,1000000*SER_hh_emi!S29/SER_hh_num!S29)</f>
        <v>6008.8130811735064</v>
      </c>
      <c r="T29" s="130">
        <f>IF(SER_hh_emi!T29=0,0,1000000*SER_hh_emi!T29/SER_hh_num!T29)</f>
        <v>5840.4272301278852</v>
      </c>
      <c r="U29" s="130">
        <f>IF(SER_hh_emi!U29=0,0,1000000*SER_hh_emi!U29/SER_hh_num!U29)</f>
        <v>5804.9028990302577</v>
      </c>
      <c r="V29" s="130">
        <f>IF(SER_hh_emi!V29=0,0,1000000*SER_hh_emi!V29/SER_hh_num!V29)</f>
        <v>5423.7825383594491</v>
      </c>
      <c r="W29" s="130">
        <f>IF(SER_hh_emi!W29=0,0,1000000*SER_hh_emi!W29/SER_hh_num!W29)</f>
        <v>5452.2545490598723</v>
      </c>
      <c r="X29" s="130">
        <f>IF(SER_hh_emi!X29=0,0,1000000*SER_hh_emi!X29/SER_hh_num!X29)</f>
        <v>5387.1753281241599</v>
      </c>
      <c r="Y29" s="130">
        <f>IF(SER_hh_emi!Y29=0,0,1000000*SER_hh_emi!Y29/SER_hh_num!Y29)</f>
        <v>5289.0252763393728</v>
      </c>
      <c r="DA29" s="155" t="s">
        <v>471</v>
      </c>
    </row>
    <row r="30" spans="1:105" ht="12" customHeight="1" x14ac:dyDescent="0.25">
      <c r="A30" s="131" t="s">
        <v>52</v>
      </c>
      <c r="B30" s="132">
        <f>IF(SER_hh_emi!B30=0,0,1000000*SER_hh_emi!B30/SER_hh_num!B30)</f>
        <v>21692.907402604462</v>
      </c>
      <c r="C30" s="132">
        <f>IF(SER_hh_emi!C30=0,0,1000000*SER_hh_emi!C30/SER_hh_num!C30)</f>
        <v>8447.2626731693908</v>
      </c>
      <c r="D30" s="132">
        <f>IF(SER_hh_emi!D30=0,0,1000000*SER_hh_emi!D30/SER_hh_num!D30)</f>
        <v>3714.5494256066841</v>
      </c>
      <c r="E30" s="132">
        <f>IF(SER_hh_emi!E30=0,0,1000000*SER_hh_emi!E30/SER_hh_num!E30)</f>
        <v>11171.447409143491</v>
      </c>
      <c r="F30" s="132">
        <f>IF(SER_hh_emi!F30=0,0,1000000*SER_hh_emi!F30/SER_hh_num!F30)</f>
        <v>17036.079421837509</v>
      </c>
      <c r="G30" s="132">
        <f>IF(SER_hh_emi!G30=0,0,1000000*SER_hh_emi!G30/SER_hh_num!G30)</f>
        <v>20562.090104061659</v>
      </c>
      <c r="H30" s="132">
        <f>IF(SER_hh_emi!H30=0,0,1000000*SER_hh_emi!H30/SER_hh_num!H30)</f>
        <v>8527.2387413305732</v>
      </c>
      <c r="I30" s="132">
        <f>IF(SER_hh_emi!I30=0,0,1000000*SER_hh_emi!I30/SER_hh_num!I30)</f>
        <v>26136.099830362695</v>
      </c>
      <c r="J30" s="132">
        <f>IF(SER_hh_emi!J30=0,0,1000000*SER_hh_emi!J30/SER_hh_num!J30)</f>
        <v>9283.0501841851728</v>
      </c>
      <c r="K30" s="132">
        <f>IF(SER_hh_emi!K30=0,0,1000000*SER_hh_emi!K30/SER_hh_num!K30)</f>
        <v>7658.0496183520982</v>
      </c>
      <c r="L30" s="132">
        <f>IF(SER_hh_emi!L30=0,0,1000000*SER_hh_emi!L30/SER_hh_num!L30)</f>
        <v>18364.879913738489</v>
      </c>
      <c r="M30" s="132">
        <f>IF(SER_hh_emi!M30=0,0,1000000*SER_hh_emi!M30/SER_hh_num!M30)</f>
        <v>13011.336040469352</v>
      </c>
      <c r="N30" s="132">
        <f>IF(SER_hh_emi!N30=0,0,1000000*SER_hh_emi!N30/SER_hh_num!N30)</f>
        <v>15084.242774759181</v>
      </c>
      <c r="O30" s="132">
        <f>IF(SER_hh_emi!O30=0,0,1000000*SER_hh_emi!O30/SER_hh_num!O30)</f>
        <v>15279.219614023699</v>
      </c>
      <c r="P30" s="132">
        <f>IF(SER_hh_emi!P30=0,0,1000000*SER_hh_emi!P30/SER_hh_num!P30)</f>
        <v>16585.350659054788</v>
      </c>
      <c r="Q30" s="132">
        <f>IF(SER_hh_emi!Q30=0,0,1000000*SER_hh_emi!Q30/SER_hh_num!Q30)</f>
        <v>18406.604965018247</v>
      </c>
      <c r="R30" s="132">
        <f>IF(SER_hh_emi!R30=0,0,1000000*SER_hh_emi!R30/SER_hh_num!R30)</f>
        <v>16229.821299274061</v>
      </c>
      <c r="S30" s="132">
        <f>IF(SER_hh_emi!S30=0,0,1000000*SER_hh_emi!S30/SER_hh_num!S30)</f>
        <v>15760.411488707563</v>
      </c>
      <c r="T30" s="132">
        <f>IF(SER_hh_emi!T30=0,0,1000000*SER_hh_emi!T30/SER_hh_num!T30)</f>
        <v>16174.127621091982</v>
      </c>
      <c r="U30" s="132">
        <f>IF(SER_hh_emi!U30=0,0,1000000*SER_hh_emi!U30/SER_hh_num!U30)</f>
        <v>16060.918471208721</v>
      </c>
      <c r="V30" s="132">
        <f>IF(SER_hh_emi!V30=0,0,1000000*SER_hh_emi!V30/SER_hh_num!V30)</f>
        <v>14857.601061708123</v>
      </c>
      <c r="W30" s="132">
        <f>IF(SER_hh_emi!W30=0,0,1000000*SER_hh_emi!W30/SER_hh_num!W30)</f>
        <v>15645.091913412403</v>
      </c>
      <c r="X30" s="132">
        <f>IF(SER_hh_emi!X30=0,0,1000000*SER_hh_emi!X30/SER_hh_num!X30)</f>
        <v>16618.77456240743</v>
      </c>
      <c r="Y30" s="132">
        <f>IF(SER_hh_emi!Y30=0,0,1000000*SER_hh_emi!Y30/SER_hh_num!Y30)</f>
        <v>15863.946751031035</v>
      </c>
      <c r="DA30" s="156" t="s">
        <v>472</v>
      </c>
    </row>
    <row r="31" spans="1:105" ht="12" customHeight="1" x14ac:dyDescent="0.25">
      <c r="A31" s="131" t="s">
        <v>149</v>
      </c>
      <c r="B31" s="132">
        <f>IF(SER_hh_emi!B31=0,0,1000000*SER_hh_emi!B31/SER_hh_num!B31)</f>
        <v>10658.077999889128</v>
      </c>
      <c r="C31" s="132">
        <f>IF(SER_hh_emi!C31=0,0,1000000*SER_hh_emi!C31/SER_hh_num!C31)</f>
        <v>11213.209549974532</v>
      </c>
      <c r="D31" s="132">
        <f>IF(SER_hh_emi!D31=0,0,1000000*SER_hh_emi!D31/SER_hh_num!D31)</f>
        <v>6434.8280601782972</v>
      </c>
      <c r="E31" s="132">
        <f>IF(SER_hh_emi!E31=0,0,1000000*SER_hh_emi!E31/SER_hh_num!E31)</f>
        <v>10602.570019319895</v>
      </c>
      <c r="F31" s="132">
        <f>IF(SER_hh_emi!F31=0,0,1000000*SER_hh_emi!F31/SER_hh_num!F31)</f>
        <v>14146.573390310652</v>
      </c>
      <c r="G31" s="132">
        <f>IF(SER_hh_emi!G31=0,0,1000000*SER_hh_emi!G31/SER_hh_num!G31)</f>
        <v>11517.388360292025</v>
      </c>
      <c r="H31" s="132">
        <f>IF(SER_hh_emi!H31=0,0,1000000*SER_hh_emi!H31/SER_hh_num!H31)</f>
        <v>15784.440086606553</v>
      </c>
      <c r="I31" s="132">
        <f>IF(SER_hh_emi!I31=0,0,1000000*SER_hh_emi!I31/SER_hh_num!I31)</f>
        <v>11980.328982427922</v>
      </c>
      <c r="J31" s="132">
        <f>IF(SER_hh_emi!J31=0,0,1000000*SER_hh_emi!J31/SER_hh_num!J31)</f>
        <v>13057.152727479819</v>
      </c>
      <c r="K31" s="132">
        <f>IF(SER_hh_emi!K31=0,0,1000000*SER_hh_emi!K31/SER_hh_num!K31)</f>
        <v>13626.627582136534</v>
      </c>
      <c r="L31" s="132">
        <f>IF(SER_hh_emi!L31=0,0,1000000*SER_hh_emi!L31/SER_hh_num!L31)</f>
        <v>13664.610174828676</v>
      </c>
      <c r="M31" s="132">
        <f>IF(SER_hh_emi!M31=0,0,1000000*SER_hh_emi!M31/SER_hh_num!M31)</f>
        <v>13754.108391136493</v>
      </c>
      <c r="N31" s="132">
        <f>IF(SER_hh_emi!N31=0,0,1000000*SER_hh_emi!N31/SER_hh_num!N31)</f>
        <v>13744.774369089238</v>
      </c>
      <c r="O31" s="132">
        <f>IF(SER_hh_emi!O31=0,0,1000000*SER_hh_emi!O31/SER_hh_num!O31)</f>
        <v>14155.445396818133</v>
      </c>
      <c r="P31" s="132">
        <f>IF(SER_hh_emi!P31=0,0,1000000*SER_hh_emi!P31/SER_hh_num!P31)</f>
        <v>13984.558162145548</v>
      </c>
      <c r="Q31" s="132">
        <f>IF(SER_hh_emi!Q31=0,0,1000000*SER_hh_emi!Q31/SER_hh_num!Q31)</f>
        <v>14644.644538949147</v>
      </c>
      <c r="R31" s="132">
        <f>IF(SER_hh_emi!R31=0,0,1000000*SER_hh_emi!R31/SER_hh_num!R31)</f>
        <v>13869.495457531953</v>
      </c>
      <c r="S31" s="132">
        <f>IF(SER_hh_emi!S31=0,0,1000000*SER_hh_emi!S31/SER_hh_num!S31)</f>
        <v>14448.59313221167</v>
      </c>
      <c r="T31" s="132">
        <f>IF(SER_hh_emi!T31=0,0,1000000*SER_hh_emi!T31/SER_hh_num!T31)</f>
        <v>13823.938842649166</v>
      </c>
      <c r="U31" s="132">
        <f>IF(SER_hh_emi!U31=0,0,1000000*SER_hh_emi!U31/SER_hh_num!U31)</f>
        <v>13765.03987495024</v>
      </c>
      <c r="V31" s="132">
        <f>IF(SER_hh_emi!V31=0,0,1000000*SER_hh_emi!V31/SER_hh_num!V31)</f>
        <v>13047.302849412363</v>
      </c>
      <c r="W31" s="132">
        <f>IF(SER_hh_emi!W31=0,0,1000000*SER_hh_emi!W31/SER_hh_num!W31)</f>
        <v>13535.255598690375</v>
      </c>
      <c r="X31" s="132">
        <f>IF(SER_hh_emi!X31=0,0,1000000*SER_hh_emi!X31/SER_hh_num!X31)</f>
        <v>14000.016184648195</v>
      </c>
      <c r="Y31" s="132">
        <f>IF(SER_hh_emi!Y31=0,0,1000000*SER_hh_emi!Y31/SER_hh_num!Y31)</f>
        <v>14460.729261033162</v>
      </c>
      <c r="DA31" s="156" t="s">
        <v>473</v>
      </c>
    </row>
    <row r="32" spans="1:105" ht="12" customHeight="1" x14ac:dyDescent="0.25">
      <c r="A32" s="131" t="s">
        <v>128</v>
      </c>
      <c r="B32" s="132">
        <f>IF(SER_hh_emi!B32=0,0,1000000*SER_hh_emi!B32/SER_hh_num!B32)</f>
        <v>0</v>
      </c>
      <c r="C32" s="132">
        <f>IF(SER_hh_emi!C32=0,0,1000000*SER_hh_emi!C32/SER_hh_num!C32)</f>
        <v>0</v>
      </c>
      <c r="D32" s="132">
        <f>IF(SER_hh_emi!D32=0,0,1000000*SER_hh_emi!D32/SER_hh_num!D32)</f>
        <v>0</v>
      </c>
      <c r="E32" s="132">
        <f>IF(SER_hh_emi!E32=0,0,1000000*SER_hh_emi!E32/SER_hh_num!E32)</f>
        <v>0</v>
      </c>
      <c r="F32" s="132">
        <f>IF(SER_hh_emi!F32=0,0,1000000*SER_hh_emi!F32/SER_hh_num!F32)</f>
        <v>0</v>
      </c>
      <c r="G32" s="132">
        <f>IF(SER_hh_emi!G32=0,0,1000000*SER_hh_emi!G32/SER_hh_num!G32)</f>
        <v>0</v>
      </c>
      <c r="H32" s="132">
        <f>IF(SER_hh_emi!H32=0,0,1000000*SER_hh_emi!H32/SER_hh_num!H32)</f>
        <v>0</v>
      </c>
      <c r="I32" s="132">
        <f>IF(SER_hh_emi!I32=0,0,1000000*SER_hh_emi!I32/SER_hh_num!I32)</f>
        <v>0</v>
      </c>
      <c r="J32" s="132">
        <f>IF(SER_hh_emi!J32=0,0,1000000*SER_hh_emi!J32/SER_hh_num!J32)</f>
        <v>0</v>
      </c>
      <c r="K32" s="132">
        <f>IF(SER_hh_emi!K32=0,0,1000000*SER_hh_emi!K32/SER_hh_num!K32)</f>
        <v>0</v>
      </c>
      <c r="L32" s="132">
        <f>IF(SER_hh_emi!L32=0,0,1000000*SER_hh_emi!L32/SER_hh_num!L32)</f>
        <v>0</v>
      </c>
      <c r="M32" s="132">
        <f>IF(SER_hh_emi!M32=0,0,1000000*SER_hh_emi!M32/SER_hh_num!M32)</f>
        <v>0</v>
      </c>
      <c r="N32" s="132">
        <f>IF(SER_hh_emi!N32=0,0,1000000*SER_hh_emi!N32/SER_hh_num!N32)</f>
        <v>0</v>
      </c>
      <c r="O32" s="132">
        <f>IF(SER_hh_emi!O32=0,0,1000000*SER_hh_emi!O32/SER_hh_num!O32)</f>
        <v>0</v>
      </c>
      <c r="P32" s="132">
        <f>IF(SER_hh_emi!P32=0,0,1000000*SER_hh_emi!P32/SER_hh_num!P32)</f>
        <v>0</v>
      </c>
      <c r="Q32" s="132">
        <f>IF(SER_hh_emi!Q32=0,0,1000000*SER_hh_emi!Q32/SER_hh_num!Q32)</f>
        <v>0</v>
      </c>
      <c r="R32" s="132">
        <f>IF(SER_hh_emi!R32=0,0,1000000*SER_hh_emi!R32/SER_hh_num!R32)</f>
        <v>0</v>
      </c>
      <c r="S32" s="132">
        <f>IF(SER_hh_emi!S32=0,0,1000000*SER_hh_emi!S32/SER_hh_num!S32)</f>
        <v>0</v>
      </c>
      <c r="T32" s="132">
        <f>IF(SER_hh_emi!T32=0,0,1000000*SER_hh_emi!T32/SER_hh_num!T32)</f>
        <v>0</v>
      </c>
      <c r="U32" s="132">
        <f>IF(SER_hh_emi!U32=0,0,1000000*SER_hh_emi!U32/SER_hh_num!U32)</f>
        <v>0</v>
      </c>
      <c r="V32" s="132">
        <f>IF(SER_hh_emi!V32=0,0,1000000*SER_hh_emi!V32/SER_hh_num!V32)</f>
        <v>0</v>
      </c>
      <c r="W32" s="132">
        <f>IF(SER_hh_emi!W32=0,0,1000000*SER_hh_emi!W32/SER_hh_num!W32)</f>
        <v>0</v>
      </c>
      <c r="X32" s="132">
        <f>IF(SER_hh_emi!X32=0,0,1000000*SER_hh_emi!X32/SER_hh_num!X32)</f>
        <v>0</v>
      </c>
      <c r="Y32" s="132">
        <f>IF(SER_hh_emi!Y32=0,0,1000000*SER_hh_emi!Y32/SER_hh_num!Y32)</f>
        <v>0</v>
      </c>
      <c r="DA32" s="156" t="s">
        <v>474</v>
      </c>
    </row>
    <row r="33" spans="1:105" ht="12" customHeight="1" x14ac:dyDescent="0.25">
      <c r="A33" s="62" t="s">
        <v>24</v>
      </c>
      <c r="B33" s="68">
        <f>IF(SER_hh_emi!B33=0,0,1000000*SER_hh_emi!B33/SER_hh_num!B33)</f>
        <v>0</v>
      </c>
      <c r="C33" s="68">
        <f>IF(SER_hh_emi!C33=0,0,1000000*SER_hh_emi!C33/SER_hh_num!C33)</f>
        <v>0</v>
      </c>
      <c r="D33" s="68">
        <f>IF(SER_hh_emi!D33=0,0,1000000*SER_hh_emi!D33/SER_hh_num!D33)</f>
        <v>0</v>
      </c>
      <c r="E33" s="68">
        <f>IF(SER_hh_emi!E33=0,0,1000000*SER_hh_emi!E33/SER_hh_num!E33)</f>
        <v>0</v>
      </c>
      <c r="F33" s="68">
        <f>IF(SER_hh_emi!F33=0,0,1000000*SER_hh_emi!F33/SER_hh_num!F33)</f>
        <v>0</v>
      </c>
      <c r="G33" s="68">
        <f>IF(SER_hh_emi!G33=0,0,1000000*SER_hh_emi!G33/SER_hh_num!G33)</f>
        <v>0</v>
      </c>
      <c r="H33" s="68">
        <f>IF(SER_hh_emi!H33=0,0,1000000*SER_hh_emi!H33/SER_hh_num!H33)</f>
        <v>0</v>
      </c>
      <c r="I33" s="68">
        <f>IF(SER_hh_emi!I33=0,0,1000000*SER_hh_emi!I33/SER_hh_num!I33)</f>
        <v>0</v>
      </c>
      <c r="J33" s="68">
        <f>IF(SER_hh_emi!J33=0,0,1000000*SER_hh_emi!J33/SER_hh_num!J33)</f>
        <v>0</v>
      </c>
      <c r="K33" s="68">
        <f>IF(SER_hh_emi!K33=0,0,1000000*SER_hh_emi!K33/SER_hh_num!K33)</f>
        <v>0</v>
      </c>
      <c r="L33" s="68">
        <f>IF(SER_hh_emi!L33=0,0,1000000*SER_hh_emi!L33/SER_hh_num!L33)</f>
        <v>0</v>
      </c>
      <c r="M33" s="68">
        <f>IF(SER_hh_emi!M33=0,0,1000000*SER_hh_emi!M33/SER_hh_num!M33)</f>
        <v>0</v>
      </c>
      <c r="N33" s="68">
        <f>IF(SER_hh_emi!N33=0,0,1000000*SER_hh_emi!N33/SER_hh_num!N33)</f>
        <v>0</v>
      </c>
      <c r="O33" s="68">
        <f>IF(SER_hh_emi!O33=0,0,1000000*SER_hh_emi!O33/SER_hh_num!O33)</f>
        <v>0</v>
      </c>
      <c r="P33" s="68">
        <f>IF(SER_hh_emi!P33=0,0,1000000*SER_hh_emi!P33/SER_hh_num!P33)</f>
        <v>0</v>
      </c>
      <c r="Q33" s="68">
        <f>IF(SER_hh_emi!Q33=0,0,1000000*SER_hh_emi!Q33/SER_hh_num!Q33)</f>
        <v>0</v>
      </c>
      <c r="R33" s="68">
        <f>IF(SER_hh_emi!R33=0,0,1000000*SER_hh_emi!R33/SER_hh_num!R33)</f>
        <v>0</v>
      </c>
      <c r="S33" s="68">
        <f>IF(SER_hh_emi!S33=0,0,1000000*SER_hh_emi!S33/SER_hh_num!S33)</f>
        <v>0</v>
      </c>
      <c r="T33" s="68">
        <f>IF(SER_hh_emi!T33=0,0,1000000*SER_hh_emi!T33/SER_hh_num!T33)</f>
        <v>0</v>
      </c>
      <c r="U33" s="68">
        <f>IF(SER_hh_emi!U33=0,0,1000000*SER_hh_emi!U33/SER_hh_num!U33)</f>
        <v>0</v>
      </c>
      <c r="V33" s="68">
        <f>IF(SER_hh_emi!V33=0,0,1000000*SER_hh_emi!V33/SER_hh_num!V33)</f>
        <v>0</v>
      </c>
      <c r="W33" s="68">
        <f>IF(SER_hh_emi!W33=0,0,1000000*SER_hh_emi!W33/SER_hh_num!W33)</f>
        <v>0</v>
      </c>
      <c r="X33" s="68">
        <f>IF(SER_hh_emi!X33=0,0,1000000*SER_hh_emi!X33/SER_hh_num!X33)</f>
        <v>0</v>
      </c>
      <c r="Y33" s="68">
        <f>IF(SER_hh_emi!Y33=0,0,1000000*SER_hh_emi!Y33/SER_hh_num!Y33)</f>
        <v>0</v>
      </c>
      <c r="DA33" s="111" t="s">
        <v>475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2">
    <tabColor theme="6" tint="0.39997558519241921"/>
    <pageSetUpPr fitToPage="1"/>
  </sheetPr>
  <dimension ref="A1:DA33"/>
  <sheetViews>
    <sheetView showGridLines="0" zoomScaleNormal="100" workbookViewId="0">
      <pane xSplit="1" ySplit="1" topLeftCell="G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40.7109375" style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12.95" customHeight="1" x14ac:dyDescent="0.25">
      <c r="A1" s="28" t="s">
        <v>476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X1" s="27">
        <v>2022</v>
      </c>
      <c r="Y1" s="27">
        <v>2023</v>
      </c>
      <c r="DA1" s="87" t="s">
        <v>150</v>
      </c>
    </row>
    <row r="2" spans="1:105" s="2" customFormat="1" ht="12" customHeight="1" x14ac:dyDescent="0.25">
      <c r="DA2" s="7"/>
    </row>
    <row r="3" spans="1:105" ht="12.95" customHeight="1" x14ac:dyDescent="0.25">
      <c r="A3" s="123" t="s">
        <v>90</v>
      </c>
      <c r="B3" s="125">
        <f>IF(SER_hh_fech!B3=0,0,SER_hh_fech!B3/SER_summary!B$26)</f>
        <v>418.0103766117079</v>
      </c>
      <c r="C3" s="125">
        <f>IF(SER_hh_fech!C3=0,0,SER_hh_fech!C3/SER_summary!C$26)</f>
        <v>527.25897099382064</v>
      </c>
      <c r="D3" s="125">
        <f>IF(SER_hh_fech!D3=0,0,SER_hh_fech!D3/SER_summary!D$26)</f>
        <v>235.29231547727727</v>
      </c>
      <c r="E3" s="125">
        <f>IF(SER_hh_fech!E3=0,0,SER_hh_fech!E3/SER_summary!E$26)</f>
        <v>400.6043632364117</v>
      </c>
      <c r="F3" s="125">
        <f>IF(SER_hh_fech!F3=0,0,SER_hh_fech!F3/SER_summary!F$26)</f>
        <v>438.45783542999931</v>
      </c>
      <c r="G3" s="125">
        <f>IF(SER_hh_fech!G3=0,0,SER_hh_fech!G3/SER_summary!G$26)</f>
        <v>527.01909627579585</v>
      </c>
      <c r="H3" s="125">
        <f>IF(SER_hh_fech!H3=0,0,SER_hh_fech!H3/SER_summary!H$26)</f>
        <v>650.66991112949563</v>
      </c>
      <c r="I3" s="125">
        <f>IF(SER_hh_fech!I3=0,0,SER_hh_fech!I3/SER_summary!I$26)</f>
        <v>546.94428506338318</v>
      </c>
      <c r="J3" s="125">
        <f>IF(SER_hh_fech!J3=0,0,SER_hh_fech!J3/SER_summary!J$26)</f>
        <v>436.2451249675853</v>
      </c>
      <c r="K3" s="125">
        <f>IF(SER_hh_fech!K3=0,0,SER_hh_fech!K3/SER_summary!K$26)</f>
        <v>400.86629909781686</v>
      </c>
      <c r="L3" s="125">
        <f>IF(SER_hh_fech!L3=0,0,SER_hh_fech!L3/SER_summary!L$26)</f>
        <v>410.75023898698817</v>
      </c>
      <c r="M3" s="125">
        <f>IF(SER_hh_fech!M3=0,0,SER_hh_fech!M3/SER_summary!M$26)</f>
        <v>371.23682649967935</v>
      </c>
      <c r="N3" s="125">
        <f>IF(SER_hh_fech!N3=0,0,SER_hh_fech!N3/SER_summary!N$26)</f>
        <v>352.70464403653398</v>
      </c>
      <c r="O3" s="125">
        <f>IF(SER_hh_fech!O3=0,0,SER_hh_fech!O3/SER_summary!O$26)</f>
        <v>327.9816931699288</v>
      </c>
      <c r="P3" s="125">
        <f>IF(SER_hh_fech!P3=0,0,SER_hh_fech!P3/SER_summary!P$26)</f>
        <v>306.08531450343332</v>
      </c>
      <c r="Q3" s="125">
        <f>IF(SER_hh_fech!Q3=0,0,SER_hh_fech!Q3/SER_summary!Q$26)</f>
        <v>298.95794752727562</v>
      </c>
      <c r="R3" s="125">
        <f>IF(SER_hh_fech!R3=0,0,SER_hh_fech!R3/SER_summary!R$26)</f>
        <v>295.40422505776866</v>
      </c>
      <c r="S3" s="125">
        <f>IF(SER_hh_fech!S3=0,0,SER_hh_fech!S3/SER_summary!S$26)</f>
        <v>297.84172547003732</v>
      </c>
      <c r="T3" s="125">
        <f>IF(SER_hh_fech!T3=0,0,SER_hh_fech!T3/SER_summary!T$26)</f>
        <v>292.08631591819687</v>
      </c>
      <c r="U3" s="125">
        <f>IF(SER_hh_fech!U3=0,0,SER_hh_fech!U3/SER_summary!U$26)</f>
        <v>281.62969779271043</v>
      </c>
      <c r="V3" s="125">
        <f>IF(SER_hh_fech!V3=0,0,SER_hh_fech!V3/SER_summary!V$26)</f>
        <v>253.55448926586723</v>
      </c>
      <c r="W3" s="125">
        <f>IF(SER_hh_fech!W3=0,0,SER_hh_fech!W3/SER_summary!W$26)</f>
        <v>276.72505263224315</v>
      </c>
      <c r="X3" s="125">
        <f>IF(SER_hh_fech!X3=0,0,SER_hh_fech!X3/SER_summary!X$26)</f>
        <v>284.05649056426171</v>
      </c>
      <c r="Y3" s="125">
        <f>IF(SER_hh_fech!Y3=0,0,SER_hh_fech!Y3/SER_summary!Y$26)</f>
        <v>302.25898885567108</v>
      </c>
      <c r="DA3" s="154" t="s">
        <v>477</v>
      </c>
    </row>
    <row r="4" spans="1:105" ht="12.95" customHeight="1" x14ac:dyDescent="0.25">
      <c r="A4" s="129" t="s">
        <v>32</v>
      </c>
      <c r="B4" s="130">
        <f>IF(SER_hh_fech!B4=0,0,SER_hh_fech!B4/SER_summary!B$26)</f>
        <v>324.11768675482091</v>
      </c>
      <c r="C4" s="130">
        <f>IF(SER_hh_fech!C4=0,0,SER_hh_fech!C4/SER_summary!C$26)</f>
        <v>431.12209697538435</v>
      </c>
      <c r="D4" s="130">
        <f>IF(SER_hh_fech!D4=0,0,SER_hh_fech!D4/SER_summary!D$26)</f>
        <v>172.9924693834175</v>
      </c>
      <c r="E4" s="130">
        <f>IF(SER_hh_fech!E4=0,0,SER_hh_fech!E4/SER_summary!E$26)</f>
        <v>296.82078550574073</v>
      </c>
      <c r="F4" s="130">
        <f>IF(SER_hh_fech!F4=0,0,SER_hh_fech!F4/SER_summary!F$26)</f>
        <v>318.38551617678092</v>
      </c>
      <c r="G4" s="130">
        <f>IF(SER_hh_fech!G4=0,0,SER_hh_fech!G4/SER_summary!G$26)</f>
        <v>406.37633959131699</v>
      </c>
      <c r="H4" s="130">
        <f>IF(SER_hh_fech!H4=0,0,SER_hh_fech!H4/SER_summary!H$26)</f>
        <v>529.03082293548425</v>
      </c>
      <c r="I4" s="130">
        <f>IF(SER_hh_fech!I4=0,0,SER_hh_fech!I4/SER_summary!I$26)</f>
        <v>422.1865679303034</v>
      </c>
      <c r="J4" s="130">
        <f>IF(SER_hh_fech!J4=0,0,SER_hh_fech!J4/SER_summary!J$26)</f>
        <v>316.23792898844749</v>
      </c>
      <c r="K4" s="130">
        <f>IF(SER_hh_fech!K4=0,0,SER_hh_fech!K4/SER_summary!K$26)</f>
        <v>281.37357353555797</v>
      </c>
      <c r="L4" s="130">
        <f>IF(SER_hh_fech!L4=0,0,SER_hh_fech!L4/SER_summary!L$26)</f>
        <v>292.6617390663867</v>
      </c>
      <c r="M4" s="130">
        <f>IF(SER_hh_fech!M4=0,0,SER_hh_fech!M4/SER_summary!M$26)</f>
        <v>253.45382464085242</v>
      </c>
      <c r="N4" s="130">
        <f>IF(SER_hh_fech!N4=0,0,SER_hh_fech!N4/SER_summary!N$26)</f>
        <v>234.35626366445265</v>
      </c>
      <c r="O4" s="130">
        <f>IF(SER_hh_fech!O4=0,0,SER_hh_fech!O4/SER_summary!O$26)</f>
        <v>207.76461024599345</v>
      </c>
      <c r="P4" s="130">
        <f>IF(SER_hh_fech!P4=0,0,SER_hh_fech!P4/SER_summary!P$26)</f>
        <v>185.03028945791127</v>
      </c>
      <c r="Q4" s="130">
        <f>IF(SER_hh_fech!Q4=0,0,SER_hh_fech!Q4/SER_summary!Q$26)</f>
        <v>176.12492389616716</v>
      </c>
      <c r="R4" s="130">
        <f>IF(SER_hh_fech!R4=0,0,SER_hh_fech!R4/SER_summary!R$26)</f>
        <v>176.55542300544525</v>
      </c>
      <c r="S4" s="130">
        <f>IF(SER_hh_fech!S4=0,0,SER_hh_fech!S4/SER_summary!S$26)</f>
        <v>181.09459787413198</v>
      </c>
      <c r="T4" s="130">
        <f>IF(SER_hh_fech!T4=0,0,SER_hh_fech!T4/SER_summary!T$26)</f>
        <v>177.61702124549689</v>
      </c>
      <c r="U4" s="130">
        <f>IF(SER_hh_fech!U4=0,0,SER_hh_fech!U4/SER_summary!U$26)</f>
        <v>170.28407811038457</v>
      </c>
      <c r="V4" s="130">
        <f>IF(SER_hh_fech!V4=0,0,SER_hh_fech!V4/SER_summary!V$26)</f>
        <v>151.8161276234863</v>
      </c>
      <c r="W4" s="130">
        <f>IF(SER_hh_fech!W4=0,0,SER_hh_fech!W4/SER_summary!W$26)</f>
        <v>168.10836048750483</v>
      </c>
      <c r="X4" s="130">
        <f>IF(SER_hh_fech!X4=0,0,SER_hh_fech!X4/SER_summary!X$26)</f>
        <v>172.87607120824049</v>
      </c>
      <c r="Y4" s="130">
        <f>IF(SER_hh_fech!Y4=0,0,SER_hh_fech!Y4/SER_summary!Y$26)</f>
        <v>189.6068141854366</v>
      </c>
      <c r="DA4" s="155" t="s">
        <v>478</v>
      </c>
    </row>
    <row r="5" spans="1:105" ht="12" customHeight="1" x14ac:dyDescent="0.25">
      <c r="A5" s="131" t="s">
        <v>29</v>
      </c>
      <c r="B5" s="132">
        <f>IF(SER_hh_fech!B5=0,0,SER_hh_fech!B5/SER_summary!B$26)</f>
        <v>219.58971457482741</v>
      </c>
      <c r="C5" s="132">
        <f>IF(SER_hh_fech!C5=0,0,SER_hh_fech!C5/SER_summary!C$26)</f>
        <v>466.68449385178286</v>
      </c>
      <c r="D5" s="132">
        <f>IF(SER_hh_fech!D5=0,0,SER_hh_fech!D5/SER_summary!D$26)</f>
        <v>298.35407078744629</v>
      </c>
      <c r="E5" s="132">
        <f>IF(SER_hh_fech!E5=0,0,SER_hh_fech!E5/SER_summary!E$26)</f>
        <v>263.61318929674241</v>
      </c>
      <c r="F5" s="132">
        <f>IF(SER_hh_fech!F5=0,0,SER_hh_fech!F5/SER_summary!F$26)</f>
        <v>183.84795519692497</v>
      </c>
      <c r="G5" s="132">
        <f>IF(SER_hh_fech!G5=0,0,SER_hh_fech!G5/SER_summary!G$26)</f>
        <v>114.33632655079228</v>
      </c>
      <c r="H5" s="132">
        <f>IF(SER_hh_fech!H5=0,0,SER_hh_fech!H5/SER_summary!H$26)</f>
        <v>884.0933161368755</v>
      </c>
      <c r="I5" s="132">
        <f>IF(SER_hh_fech!I5=0,0,SER_hh_fech!I5/SER_summary!I$26)</f>
        <v>526.93719862822229</v>
      </c>
      <c r="J5" s="132">
        <f>IF(SER_hh_fech!J5=0,0,SER_hh_fech!J5/SER_summary!J$26)</f>
        <v>209.31860795771917</v>
      </c>
      <c r="K5" s="132">
        <f>IF(SER_hh_fech!K5=0,0,SER_hh_fech!K5/SER_summary!K$26)</f>
        <v>136.49470498447039</v>
      </c>
      <c r="L5" s="132">
        <f>IF(SER_hh_fech!L5=0,0,SER_hh_fech!L5/SER_summary!L$26)</f>
        <v>334.3946771073845</v>
      </c>
      <c r="M5" s="132">
        <f>IF(SER_hh_fech!M5=0,0,SER_hh_fech!M5/SER_summary!M$26)</f>
        <v>347.51785120490302</v>
      </c>
      <c r="N5" s="132">
        <f>IF(SER_hh_fech!N5=0,0,SER_hh_fech!N5/SER_summary!N$26)</f>
        <v>181.55471085793334</v>
      </c>
      <c r="O5" s="132">
        <f>IF(SER_hh_fech!O5=0,0,SER_hh_fech!O5/SER_summary!O$26)</f>
        <v>231.02651322005963</v>
      </c>
      <c r="P5" s="132">
        <f>IF(SER_hh_fech!P5=0,0,SER_hh_fech!P5/SER_summary!P$26)</f>
        <v>144.25758045114071</v>
      </c>
      <c r="Q5" s="132">
        <f>IF(SER_hh_fech!Q5=0,0,SER_hh_fech!Q5/SER_summary!Q$26)</f>
        <v>151.3954460058479</v>
      </c>
      <c r="R5" s="132">
        <f>IF(SER_hh_fech!R5=0,0,SER_hh_fech!R5/SER_summary!R$26)</f>
        <v>268.39026834675553</v>
      </c>
      <c r="S5" s="132">
        <f>IF(SER_hh_fech!S5=0,0,SER_hh_fech!S5/SER_summary!S$26)</f>
        <v>0</v>
      </c>
      <c r="T5" s="132">
        <f>IF(SER_hh_fech!T5=0,0,SER_hh_fech!T5/SER_summary!T$26)</f>
        <v>242.23146429074444</v>
      </c>
      <c r="U5" s="132">
        <f>IF(SER_hh_fech!U5=0,0,SER_hh_fech!U5/SER_summary!U$26)</f>
        <v>202.48893401340248</v>
      </c>
      <c r="V5" s="132">
        <f>IF(SER_hh_fech!V5=0,0,SER_hh_fech!V5/SER_summary!V$26)</f>
        <v>56.547038710094412</v>
      </c>
      <c r="W5" s="132">
        <f>IF(SER_hh_fech!W5=0,0,SER_hh_fech!W5/SER_summary!W$26)</f>
        <v>153.74214714203629</v>
      </c>
      <c r="X5" s="132">
        <f>IF(SER_hh_fech!X5=0,0,SER_hh_fech!X5/SER_summary!X$26)</f>
        <v>199.99317111424335</v>
      </c>
      <c r="Y5" s="132">
        <f>IF(SER_hh_fech!Y5=0,0,SER_hh_fech!Y5/SER_summary!Y$26)</f>
        <v>125.16070066147358</v>
      </c>
      <c r="DA5" s="156" t="s">
        <v>479</v>
      </c>
    </row>
    <row r="6" spans="1:105" ht="12" customHeight="1" x14ac:dyDescent="0.25">
      <c r="A6" s="131" t="s">
        <v>52</v>
      </c>
      <c r="B6" s="132">
        <f>IF(SER_hh_fech!B6=0,0,SER_hh_fech!B6/SER_summary!B$26)</f>
        <v>0</v>
      </c>
      <c r="C6" s="132">
        <f>IF(SER_hh_fech!C6=0,0,SER_hh_fech!C6/SER_summary!C$26)</f>
        <v>0</v>
      </c>
      <c r="D6" s="132">
        <f>IF(SER_hh_fech!D6=0,0,SER_hh_fech!D6/SER_summary!D$26)</f>
        <v>0</v>
      </c>
      <c r="E6" s="132">
        <f>IF(SER_hh_fech!E6=0,0,SER_hh_fech!E6/SER_summary!E$26)</f>
        <v>0</v>
      </c>
      <c r="F6" s="132">
        <f>IF(SER_hh_fech!F6=0,0,SER_hh_fech!F6/SER_summary!F$26)</f>
        <v>0</v>
      </c>
      <c r="G6" s="132">
        <f>IF(SER_hh_fech!G6=0,0,SER_hh_fech!G6/SER_summary!G$26)</f>
        <v>0</v>
      </c>
      <c r="H6" s="132">
        <f>IF(SER_hh_fech!H6=0,0,SER_hh_fech!H6/SER_summary!H$26)</f>
        <v>0</v>
      </c>
      <c r="I6" s="132">
        <f>IF(SER_hh_fech!I6=0,0,SER_hh_fech!I6/SER_summary!I$26)</f>
        <v>0</v>
      </c>
      <c r="J6" s="132">
        <f>IF(SER_hh_fech!J6=0,0,SER_hh_fech!J6/SER_summary!J$26)</f>
        <v>0</v>
      </c>
      <c r="K6" s="132">
        <f>IF(SER_hh_fech!K6=0,0,SER_hh_fech!K6/SER_summary!K$26)</f>
        <v>0</v>
      </c>
      <c r="L6" s="132">
        <f>IF(SER_hh_fech!L6=0,0,SER_hh_fech!L6/SER_summary!L$26)</f>
        <v>0</v>
      </c>
      <c r="M6" s="132">
        <f>IF(SER_hh_fech!M6=0,0,SER_hh_fech!M6/SER_summary!M$26)</f>
        <v>0</v>
      </c>
      <c r="N6" s="132">
        <f>IF(SER_hh_fech!N6=0,0,SER_hh_fech!N6/SER_summary!N$26)</f>
        <v>0</v>
      </c>
      <c r="O6" s="132">
        <f>IF(SER_hh_fech!O6=0,0,SER_hh_fech!O6/SER_summary!O$26)</f>
        <v>0</v>
      </c>
      <c r="P6" s="132">
        <f>IF(SER_hh_fech!P6=0,0,SER_hh_fech!P6/SER_summary!P$26)</f>
        <v>0</v>
      </c>
      <c r="Q6" s="132">
        <f>IF(SER_hh_fech!Q6=0,0,SER_hh_fech!Q6/SER_summary!Q$26)</f>
        <v>0</v>
      </c>
      <c r="R6" s="132">
        <f>IF(SER_hh_fech!R6=0,0,SER_hh_fech!R6/SER_summary!R$26)</f>
        <v>0</v>
      </c>
      <c r="S6" s="132">
        <f>IF(SER_hh_fech!S6=0,0,SER_hh_fech!S6/SER_summary!S$26)</f>
        <v>0</v>
      </c>
      <c r="T6" s="132">
        <f>IF(SER_hh_fech!T6=0,0,SER_hh_fech!T6/SER_summary!T$26)</f>
        <v>0</v>
      </c>
      <c r="U6" s="132">
        <f>IF(SER_hh_fech!U6=0,0,SER_hh_fech!U6/SER_summary!U$26)</f>
        <v>0</v>
      </c>
      <c r="V6" s="132">
        <f>IF(SER_hh_fech!V6=0,0,SER_hh_fech!V6/SER_summary!V$26)</f>
        <v>0</v>
      </c>
      <c r="W6" s="132">
        <f>IF(SER_hh_fech!W6=0,0,SER_hh_fech!W6/SER_summary!W$26)</f>
        <v>0</v>
      </c>
      <c r="X6" s="132">
        <f>IF(SER_hh_fech!X6=0,0,SER_hh_fech!X6/SER_summary!X$26)</f>
        <v>0</v>
      </c>
      <c r="Y6" s="132">
        <f>IF(SER_hh_fech!Y6=0,0,SER_hh_fech!Y6/SER_summary!Y$26)</f>
        <v>0</v>
      </c>
      <c r="DA6" s="156" t="s">
        <v>480</v>
      </c>
    </row>
    <row r="7" spans="1:105" ht="12" customHeight="1" x14ac:dyDescent="0.25">
      <c r="A7" s="131" t="s">
        <v>161</v>
      </c>
      <c r="B7" s="132">
        <f>IF(SER_hh_fech!B7=0,0,SER_hh_fech!B7/SER_summary!B$26)</f>
        <v>422.1296113817171</v>
      </c>
      <c r="C7" s="132">
        <f>IF(SER_hh_fech!C7=0,0,SER_hh_fech!C7/SER_summary!C$26)</f>
        <v>282.25227198315224</v>
      </c>
      <c r="D7" s="132">
        <f>IF(SER_hh_fech!D7=0,0,SER_hh_fech!D7/SER_summary!D$26)</f>
        <v>292.40274967827304</v>
      </c>
      <c r="E7" s="132">
        <f>IF(SER_hh_fech!E7=0,0,SER_hh_fech!E7/SER_summary!E$26)</f>
        <v>260.2081215771754</v>
      </c>
      <c r="F7" s="132">
        <f>IF(SER_hh_fech!F7=0,0,SER_hh_fech!F7/SER_summary!F$26)</f>
        <v>442.87127958919683</v>
      </c>
      <c r="G7" s="132">
        <f>IF(SER_hh_fech!G7=0,0,SER_hh_fech!G7/SER_summary!G$26)</f>
        <v>491.16525690521462</v>
      </c>
      <c r="H7" s="132">
        <f>IF(SER_hh_fech!H7=0,0,SER_hh_fech!H7/SER_summary!H$26)</f>
        <v>350.1679103706623</v>
      </c>
      <c r="I7" s="132">
        <f>IF(SER_hh_fech!I7=0,0,SER_hh_fech!I7/SER_summary!I$26)</f>
        <v>556.83565605511819</v>
      </c>
      <c r="J7" s="132">
        <f>IF(SER_hh_fech!J7=0,0,SER_hh_fech!J7/SER_summary!J$26)</f>
        <v>465.55336034078408</v>
      </c>
      <c r="K7" s="132">
        <f>IF(SER_hh_fech!K7=0,0,SER_hh_fech!K7/SER_summary!K$26)</f>
        <v>218.32191593934812</v>
      </c>
      <c r="L7" s="132">
        <f>IF(SER_hh_fech!L7=0,0,SER_hh_fech!L7/SER_summary!L$26)</f>
        <v>224.24067813268562</v>
      </c>
      <c r="M7" s="132">
        <f>IF(SER_hh_fech!M7=0,0,SER_hh_fech!M7/SER_summary!M$26)</f>
        <v>378.41852953189692</v>
      </c>
      <c r="N7" s="132">
        <f>IF(SER_hh_fech!N7=0,0,SER_hh_fech!N7/SER_summary!N$26)</f>
        <v>294.81427338030954</v>
      </c>
      <c r="O7" s="132">
        <f>IF(SER_hh_fech!O7=0,0,SER_hh_fech!O7/SER_summary!O$26)</f>
        <v>221.91532114737512</v>
      </c>
      <c r="P7" s="132">
        <f>IF(SER_hh_fech!P7=0,0,SER_hh_fech!P7/SER_summary!P$26)</f>
        <v>200.91464415080887</v>
      </c>
      <c r="Q7" s="132">
        <f>IF(SER_hh_fech!Q7=0,0,SER_hh_fech!Q7/SER_summary!Q$26)</f>
        <v>191.95164431342531</v>
      </c>
      <c r="R7" s="132">
        <f>IF(SER_hh_fech!R7=0,0,SER_hh_fech!R7/SER_summary!R$26)</f>
        <v>172.29020623797749</v>
      </c>
      <c r="S7" s="132">
        <f>IF(SER_hh_fech!S7=0,0,SER_hh_fech!S7/SER_summary!S$26)</f>
        <v>193.56937944703583</v>
      </c>
      <c r="T7" s="132">
        <f>IF(SER_hh_fech!T7=0,0,SER_hh_fech!T7/SER_summary!T$26)</f>
        <v>185.78638653253728</v>
      </c>
      <c r="U7" s="132">
        <f>IF(SER_hh_fech!U7=0,0,SER_hh_fech!U7/SER_summary!U$26)</f>
        <v>167.67670709201604</v>
      </c>
      <c r="V7" s="132">
        <f>IF(SER_hh_fech!V7=0,0,SER_hh_fech!V7/SER_summary!V$26)</f>
        <v>137.49509281233756</v>
      </c>
      <c r="W7" s="132">
        <f>IF(SER_hh_fech!W7=0,0,SER_hh_fech!W7/SER_summary!W$26)</f>
        <v>189.73494621914591</v>
      </c>
      <c r="X7" s="132">
        <f>IF(SER_hh_fech!X7=0,0,SER_hh_fech!X7/SER_summary!X$26)</f>
        <v>193.16119220152405</v>
      </c>
      <c r="Y7" s="132">
        <f>IF(SER_hh_fech!Y7=0,0,SER_hh_fech!Y7/SER_summary!Y$26)</f>
        <v>202.18012767781102</v>
      </c>
      <c r="DA7" s="156" t="s">
        <v>481</v>
      </c>
    </row>
    <row r="8" spans="1:105" ht="12" customHeight="1" x14ac:dyDescent="0.25">
      <c r="A8" s="131" t="s">
        <v>73</v>
      </c>
      <c r="B8" s="132">
        <f>IF(SER_hh_fech!B8=0,0,SER_hh_fech!B8/SER_summary!B$26)</f>
        <v>0</v>
      </c>
      <c r="C8" s="132">
        <f>IF(SER_hh_fech!C8=0,0,SER_hh_fech!C8/SER_summary!C$26)</f>
        <v>0</v>
      </c>
      <c r="D8" s="132">
        <f>IF(SER_hh_fech!D8=0,0,SER_hh_fech!D8/SER_summary!D$26)</f>
        <v>0</v>
      </c>
      <c r="E8" s="132">
        <f>IF(SER_hh_fech!E8=0,0,SER_hh_fech!E8/SER_summary!E$26)</f>
        <v>0</v>
      </c>
      <c r="F8" s="132">
        <f>IF(SER_hh_fech!F8=0,0,SER_hh_fech!F8/SER_summary!F$26)</f>
        <v>0</v>
      </c>
      <c r="G8" s="132">
        <f>IF(SER_hh_fech!G8=0,0,SER_hh_fech!G8/SER_summary!G$26)</f>
        <v>0</v>
      </c>
      <c r="H8" s="132">
        <f>IF(SER_hh_fech!H8=0,0,SER_hh_fech!H8/SER_summary!H$26)</f>
        <v>0</v>
      </c>
      <c r="I8" s="132">
        <f>IF(SER_hh_fech!I8=0,0,SER_hh_fech!I8/SER_summary!I$26)</f>
        <v>0</v>
      </c>
      <c r="J8" s="132">
        <f>IF(SER_hh_fech!J8=0,0,SER_hh_fech!J8/SER_summary!J$26)</f>
        <v>0</v>
      </c>
      <c r="K8" s="132">
        <f>IF(SER_hh_fech!K8=0,0,SER_hh_fech!K8/SER_summary!K$26)</f>
        <v>0</v>
      </c>
      <c r="L8" s="132">
        <f>IF(SER_hh_fech!L8=0,0,SER_hh_fech!L8/SER_summary!L$26)</f>
        <v>0</v>
      </c>
      <c r="M8" s="132">
        <f>IF(SER_hh_fech!M8=0,0,SER_hh_fech!M8/SER_summary!M$26)</f>
        <v>0</v>
      </c>
      <c r="N8" s="132">
        <f>IF(SER_hh_fech!N8=0,0,SER_hh_fech!N8/SER_summary!N$26)</f>
        <v>0</v>
      </c>
      <c r="O8" s="132">
        <f>IF(SER_hh_fech!O8=0,0,SER_hh_fech!O8/SER_summary!O$26)</f>
        <v>0</v>
      </c>
      <c r="P8" s="132">
        <f>IF(SER_hh_fech!P8=0,0,SER_hh_fech!P8/SER_summary!P$26)</f>
        <v>0</v>
      </c>
      <c r="Q8" s="132">
        <f>IF(SER_hh_fech!Q8=0,0,SER_hh_fech!Q8/SER_summary!Q$26)</f>
        <v>0</v>
      </c>
      <c r="R8" s="132">
        <f>IF(SER_hh_fech!R8=0,0,SER_hh_fech!R8/SER_summary!R$26)</f>
        <v>0</v>
      </c>
      <c r="S8" s="132">
        <f>IF(SER_hh_fech!S8=0,0,SER_hh_fech!S8/SER_summary!S$26)</f>
        <v>0</v>
      </c>
      <c r="T8" s="132">
        <f>IF(SER_hh_fech!T8=0,0,SER_hh_fech!T8/SER_summary!T$26)</f>
        <v>0</v>
      </c>
      <c r="U8" s="132">
        <f>IF(SER_hh_fech!U8=0,0,SER_hh_fech!U8/SER_summary!U$26)</f>
        <v>0</v>
      </c>
      <c r="V8" s="132">
        <f>IF(SER_hh_fech!V8=0,0,SER_hh_fech!V8/SER_summary!V$26)</f>
        <v>0</v>
      </c>
      <c r="W8" s="132">
        <f>IF(SER_hh_fech!W8=0,0,SER_hh_fech!W8/SER_summary!W$26)</f>
        <v>0</v>
      </c>
      <c r="X8" s="132">
        <f>IF(SER_hh_fech!X8=0,0,SER_hh_fech!X8/SER_summary!X$26)</f>
        <v>0</v>
      </c>
      <c r="Y8" s="132">
        <f>IF(SER_hh_fech!Y8=0,0,SER_hh_fech!Y8/SER_summary!Y$26)</f>
        <v>0</v>
      </c>
      <c r="DA8" s="156" t="s">
        <v>482</v>
      </c>
    </row>
    <row r="9" spans="1:105" ht="12" customHeight="1" x14ac:dyDescent="0.25">
      <c r="A9" s="131" t="s">
        <v>78</v>
      </c>
      <c r="B9" s="132">
        <f>IF(SER_hh_fech!B9=0,0,SER_hh_fech!B9/SER_summary!B$26)</f>
        <v>319.96526252944653</v>
      </c>
      <c r="C9" s="132">
        <f>IF(SER_hh_fech!C9=0,0,SER_hh_fech!C9/SER_summary!C$26)</f>
        <v>748.47043418745409</v>
      </c>
      <c r="D9" s="132">
        <f>IF(SER_hh_fech!D9=0,0,SER_hh_fech!D9/SER_summary!D$26)</f>
        <v>67.564968042921507</v>
      </c>
      <c r="E9" s="132">
        <f>IF(SER_hh_fech!E9=0,0,SER_hh_fech!E9/SER_summary!E$26)</f>
        <v>360.60202019910543</v>
      </c>
      <c r="F9" s="132">
        <f>IF(SER_hh_fech!F9=0,0,SER_hh_fech!F9/SER_summary!F$26)</f>
        <v>356.28946681491783</v>
      </c>
      <c r="G9" s="132">
        <f>IF(SER_hh_fech!G9=0,0,SER_hh_fech!G9/SER_summary!G$26)</f>
        <v>356.27037609283832</v>
      </c>
      <c r="H9" s="132">
        <f>IF(SER_hh_fech!H9=0,0,SER_hh_fech!H9/SER_summary!H$26)</f>
        <v>665.37739708506717</v>
      </c>
      <c r="I9" s="132">
        <f>IF(SER_hh_fech!I9=0,0,SER_hh_fech!I9/SER_summary!I$26)</f>
        <v>435.38222841382247</v>
      </c>
      <c r="J9" s="132">
        <f>IF(SER_hh_fech!J9=0,0,SER_hh_fech!J9/SER_summary!J$26)</f>
        <v>296.81654310504172</v>
      </c>
      <c r="K9" s="132">
        <f>IF(SER_hh_fech!K9=0,0,SER_hh_fech!K9/SER_summary!K$26)</f>
        <v>332.38602224671075</v>
      </c>
      <c r="L9" s="132">
        <f>IF(SER_hh_fech!L9=0,0,SER_hh_fech!L9/SER_summary!L$26)</f>
        <v>330.46764631220663</v>
      </c>
      <c r="M9" s="132">
        <f>IF(SER_hh_fech!M9=0,0,SER_hh_fech!M9/SER_summary!M$26)</f>
        <v>249.11888939434198</v>
      </c>
      <c r="N9" s="132">
        <f>IF(SER_hh_fech!N9=0,0,SER_hh_fech!N9/SER_summary!N$26)</f>
        <v>246.6475470007953</v>
      </c>
      <c r="O9" s="132">
        <f>IF(SER_hh_fech!O9=0,0,SER_hh_fech!O9/SER_summary!O$26)</f>
        <v>229.31226492536695</v>
      </c>
      <c r="P9" s="132">
        <f>IF(SER_hh_fech!P9=0,0,SER_hh_fech!P9/SER_summary!P$26)</f>
        <v>207.28562922571126</v>
      </c>
      <c r="Q9" s="132">
        <f>IF(SER_hh_fech!Q9=0,0,SER_hh_fech!Q9/SER_summary!Q$26)</f>
        <v>181.91994171223428</v>
      </c>
      <c r="R9" s="132">
        <f>IF(SER_hh_fech!R9=0,0,SER_hh_fech!R9/SER_summary!R$26)</f>
        <v>179.37349905759663</v>
      </c>
      <c r="S9" s="132">
        <f>IF(SER_hh_fech!S9=0,0,SER_hh_fech!S9/SER_summary!S$26)</f>
        <v>186.24814975688818</v>
      </c>
      <c r="T9" s="132">
        <f>IF(SER_hh_fech!T9=0,0,SER_hh_fech!T9/SER_summary!T$26)</f>
        <v>180.57984122399009</v>
      </c>
      <c r="U9" s="132">
        <f>IF(SER_hh_fech!U9=0,0,SER_hh_fech!U9/SER_summary!U$26)</f>
        <v>173.64984608921509</v>
      </c>
      <c r="V9" s="132">
        <f>IF(SER_hh_fech!V9=0,0,SER_hh_fech!V9/SER_summary!V$26)</f>
        <v>159.35979349592554</v>
      </c>
      <c r="W9" s="132">
        <f>IF(SER_hh_fech!W9=0,0,SER_hh_fech!W9/SER_summary!W$26)</f>
        <v>154.90411966191593</v>
      </c>
      <c r="X9" s="132">
        <f>IF(SER_hh_fech!X9=0,0,SER_hh_fech!X9/SER_summary!X$26)</f>
        <v>162.77550173623933</v>
      </c>
      <c r="Y9" s="132">
        <f>IF(SER_hh_fech!Y9=0,0,SER_hh_fech!Y9/SER_summary!Y$26)</f>
        <v>199.16343676629984</v>
      </c>
      <c r="DA9" s="156" t="s">
        <v>483</v>
      </c>
    </row>
    <row r="10" spans="1:105" ht="12" customHeight="1" x14ac:dyDescent="0.25">
      <c r="A10" s="131" t="s">
        <v>128</v>
      </c>
      <c r="B10" s="132">
        <f>IF(SER_hh_fech!B10=0,0,SER_hh_fech!B10/SER_summary!B$26)</f>
        <v>0</v>
      </c>
      <c r="C10" s="132">
        <f>IF(SER_hh_fech!C10=0,0,SER_hh_fech!C10/SER_summary!C$26)</f>
        <v>368.52067045369972</v>
      </c>
      <c r="D10" s="132">
        <f>IF(SER_hh_fech!D10=0,0,SER_hh_fech!D10/SER_summary!D$26)</f>
        <v>279.55642875239522</v>
      </c>
      <c r="E10" s="132">
        <f>IF(SER_hh_fech!E10=0,0,SER_hh_fech!E10/SER_summary!E$26)</f>
        <v>280.33563906312446</v>
      </c>
      <c r="F10" s="132">
        <f>IF(SER_hh_fech!F10=0,0,SER_hh_fech!F10/SER_summary!F$26)</f>
        <v>258.61188740952485</v>
      </c>
      <c r="G10" s="132">
        <f>IF(SER_hh_fech!G10=0,0,SER_hh_fech!G10/SER_summary!G$26)</f>
        <v>468.31324145254484</v>
      </c>
      <c r="H10" s="132">
        <f>IF(SER_hh_fech!H10=0,0,SER_hh_fech!H10/SER_summary!H$26)</f>
        <v>478.07837609382455</v>
      </c>
      <c r="I10" s="132">
        <f>IF(SER_hh_fech!I10=0,0,SER_hh_fech!I10/SER_summary!I$26)</f>
        <v>397.61343394042126</v>
      </c>
      <c r="J10" s="132">
        <f>IF(SER_hh_fech!J10=0,0,SER_hh_fech!J10/SER_summary!J$26)</f>
        <v>351.8043221494994</v>
      </c>
      <c r="K10" s="132">
        <f>IF(SER_hh_fech!K10=0,0,SER_hh_fech!K10/SER_summary!K$26)</f>
        <v>315.77528553630572</v>
      </c>
      <c r="L10" s="132">
        <f>IF(SER_hh_fech!L10=0,0,SER_hh_fech!L10/SER_summary!L$26)</f>
        <v>362.33906107393256</v>
      </c>
      <c r="M10" s="132">
        <f>IF(SER_hh_fech!M10=0,0,SER_hh_fech!M10/SER_summary!M$26)</f>
        <v>215.9012779741675</v>
      </c>
      <c r="N10" s="132">
        <f>IF(SER_hh_fech!N10=0,0,SER_hh_fech!N10/SER_summary!N$26)</f>
        <v>247.59849503806851</v>
      </c>
      <c r="O10" s="132">
        <f>IF(SER_hh_fech!O10=0,0,SER_hh_fech!O10/SER_summary!O$26)</f>
        <v>184.14570980448335</v>
      </c>
      <c r="P10" s="132">
        <f>IF(SER_hh_fech!P10=0,0,SER_hh_fech!P10/SER_summary!P$26)</f>
        <v>144.63938325621038</v>
      </c>
      <c r="Q10" s="132">
        <f>IF(SER_hh_fech!Q10=0,0,SER_hh_fech!Q10/SER_summary!Q$26)</f>
        <v>232.09820863546361</v>
      </c>
      <c r="R10" s="132">
        <f>IF(SER_hh_fech!R10=0,0,SER_hh_fech!R10/SER_summary!R$26)</f>
        <v>238.4119198471918</v>
      </c>
      <c r="S10" s="132">
        <f>IF(SER_hh_fech!S10=0,0,SER_hh_fech!S10/SER_summary!S$26)</f>
        <v>201.82561793282068</v>
      </c>
      <c r="T10" s="132">
        <f>IF(SER_hh_fech!T10=0,0,SER_hh_fech!T10/SER_summary!T$26)</f>
        <v>200.2432647022313</v>
      </c>
      <c r="U10" s="132">
        <f>IF(SER_hh_fech!U10=0,0,SER_hh_fech!U10/SER_summary!U$26)</f>
        <v>211.99610488472075</v>
      </c>
      <c r="V10" s="132">
        <f>IF(SER_hh_fech!V10=0,0,SER_hh_fech!V10/SER_summary!V$26)</f>
        <v>184.64973441490852</v>
      </c>
      <c r="W10" s="132">
        <f>IF(SER_hh_fech!W10=0,0,SER_hh_fech!W10/SER_summary!W$26)</f>
        <v>221.47332665075734</v>
      </c>
      <c r="X10" s="132">
        <f>IF(SER_hh_fech!X10=0,0,SER_hh_fech!X10/SER_summary!X$26)</f>
        <v>217.10622841636027</v>
      </c>
      <c r="Y10" s="132">
        <f>IF(SER_hh_fech!Y10=0,0,SER_hh_fech!Y10/SER_summary!Y$26)</f>
        <v>240.64931289333694</v>
      </c>
      <c r="DA10" s="156" t="s">
        <v>484</v>
      </c>
    </row>
    <row r="11" spans="1:105" ht="12" customHeight="1" x14ac:dyDescent="0.25">
      <c r="A11" s="131" t="s">
        <v>25</v>
      </c>
      <c r="B11" s="132">
        <f>IF(SER_hh_fech!B11=0,0,SER_hh_fech!B11/SER_summary!B$26)</f>
        <v>344.03251573279715</v>
      </c>
      <c r="C11" s="132">
        <f>IF(SER_hh_fech!C11=0,0,SER_hh_fech!C11/SER_summary!C$26)</f>
        <v>109.13562419302559</v>
      </c>
      <c r="D11" s="132">
        <f>IF(SER_hh_fech!D11=0,0,SER_hh_fech!D11/SER_summary!D$26)</f>
        <v>200.65182620844237</v>
      </c>
      <c r="E11" s="132">
        <f>IF(SER_hh_fech!E11=0,0,SER_hh_fech!E11/SER_summary!E$26)</f>
        <v>242.13555603155982</v>
      </c>
      <c r="F11" s="132">
        <f>IF(SER_hh_fech!F11=0,0,SER_hh_fech!F11/SER_summary!F$26)</f>
        <v>163.48369194686813</v>
      </c>
      <c r="G11" s="132">
        <f>IF(SER_hh_fech!G11=0,0,SER_hh_fech!G11/SER_summary!G$26)</f>
        <v>363.28686783870859</v>
      </c>
      <c r="H11" s="132">
        <f>IF(SER_hh_fech!H11=0,0,SER_hh_fech!H11/SER_summary!H$26)</f>
        <v>238.35764836798862</v>
      </c>
      <c r="I11" s="132">
        <f>IF(SER_hh_fech!I11=0,0,SER_hh_fech!I11/SER_summary!I$26)</f>
        <v>205.53981732243682</v>
      </c>
      <c r="J11" s="132">
        <f>IF(SER_hh_fech!J11=0,0,SER_hh_fech!J11/SER_summary!J$26)</f>
        <v>317.17397072136595</v>
      </c>
      <c r="K11" s="132">
        <f>IF(SER_hh_fech!K11=0,0,SER_hh_fech!K11/SER_summary!K$26)</f>
        <v>270.94270822815025</v>
      </c>
      <c r="L11" s="132">
        <f>IF(SER_hh_fech!L11=0,0,SER_hh_fech!L11/SER_summary!L$26)</f>
        <v>104.36530847982206</v>
      </c>
      <c r="M11" s="132">
        <f>IF(SER_hh_fech!M11=0,0,SER_hh_fech!M11/SER_summary!M$26)</f>
        <v>181.90143641965906</v>
      </c>
      <c r="N11" s="132">
        <f>IF(SER_hh_fech!N11=0,0,SER_hh_fech!N11/SER_summary!N$26)</f>
        <v>151.23434109390729</v>
      </c>
      <c r="O11" s="132">
        <f>IF(SER_hh_fech!O11=0,0,SER_hh_fech!O11/SER_summary!O$26)</f>
        <v>162.98390087586236</v>
      </c>
      <c r="P11" s="132">
        <f>IF(SER_hh_fech!P11=0,0,SER_hh_fech!P11/SER_summary!P$26)</f>
        <v>149.54403874319922</v>
      </c>
      <c r="Q11" s="132">
        <f>IF(SER_hh_fech!Q11=0,0,SER_hh_fech!Q11/SER_summary!Q$26)</f>
        <v>127.5592028278888</v>
      </c>
      <c r="R11" s="132">
        <f>IF(SER_hh_fech!R11=0,0,SER_hh_fech!R11/SER_summary!R$26)</f>
        <v>138.0198509352806</v>
      </c>
      <c r="S11" s="132">
        <f>IF(SER_hh_fech!S11=0,0,SER_hh_fech!S11/SER_summary!S$26)</f>
        <v>148.50789920105547</v>
      </c>
      <c r="T11" s="132">
        <f>IF(SER_hh_fech!T11=0,0,SER_hh_fech!T11/SER_summary!T$26)</f>
        <v>151.21387916164505</v>
      </c>
      <c r="U11" s="132">
        <f>IF(SER_hh_fech!U11=0,0,SER_hh_fech!U11/SER_summary!U$26)</f>
        <v>175.29579745348974</v>
      </c>
      <c r="V11" s="132">
        <f>IF(SER_hh_fech!V11=0,0,SER_hh_fech!V11/SER_summary!V$26)</f>
        <v>72.981361897249414</v>
      </c>
      <c r="W11" s="132">
        <f>IF(SER_hh_fech!W11=0,0,SER_hh_fech!W11/SER_summary!W$26)</f>
        <v>95.264039960704508</v>
      </c>
      <c r="X11" s="132">
        <f>IF(SER_hh_fech!X11=0,0,SER_hh_fech!X11/SER_summary!X$26)</f>
        <v>179.58376120906581</v>
      </c>
      <c r="Y11" s="132">
        <f>IF(SER_hh_fech!Y11=0,0,SER_hh_fech!Y11/SER_summary!Y$26)</f>
        <v>145.71758141402708</v>
      </c>
      <c r="DA11" s="156" t="s">
        <v>485</v>
      </c>
    </row>
    <row r="12" spans="1:105" ht="12" customHeight="1" x14ac:dyDescent="0.25">
      <c r="A12" s="131" t="s">
        <v>162</v>
      </c>
      <c r="B12" s="132">
        <f>IF(SER_hh_fech!B12=0,0,SER_hh_fech!B12/SER_summary!B$26)</f>
        <v>320.44305107086575</v>
      </c>
      <c r="C12" s="132">
        <f>IF(SER_hh_fech!C12=0,0,SER_hh_fech!C12/SER_summary!C$26)</f>
        <v>278.30637757230318</v>
      </c>
      <c r="D12" s="132">
        <f>IF(SER_hh_fech!D12=0,0,SER_hh_fech!D12/SER_summary!D$26)</f>
        <v>129.7500151656447</v>
      </c>
      <c r="E12" s="132">
        <f>IF(SER_hh_fech!E12=0,0,SER_hh_fech!E12/SER_summary!E$26)</f>
        <v>187.89681415342335</v>
      </c>
      <c r="F12" s="132">
        <f>IF(SER_hh_fech!F12=0,0,SER_hh_fech!F12/SER_summary!F$26)</f>
        <v>142.33630195166464</v>
      </c>
      <c r="G12" s="132">
        <f>IF(SER_hh_fech!G12=0,0,SER_hh_fech!G12/SER_summary!G$26)</f>
        <v>414.75314189677312</v>
      </c>
      <c r="H12" s="132">
        <f>IF(SER_hh_fech!H12=0,0,SER_hh_fech!H12/SER_summary!H$26)</f>
        <v>335.6712135855434</v>
      </c>
      <c r="I12" s="132">
        <f>IF(SER_hh_fech!I12=0,0,SER_hh_fech!I12/SER_summary!I$26)</f>
        <v>277.09676328315192</v>
      </c>
      <c r="J12" s="132">
        <f>IF(SER_hh_fech!J12=0,0,SER_hh_fech!J12/SER_summary!J$26)</f>
        <v>267.99756483845931</v>
      </c>
      <c r="K12" s="132">
        <f>IF(SER_hh_fech!K12=0,0,SER_hh_fech!K12/SER_summary!K$26)</f>
        <v>201.88886545104984</v>
      </c>
      <c r="L12" s="132">
        <f>IF(SER_hh_fech!L12=0,0,SER_hh_fech!L12/SER_summary!L$26)</f>
        <v>206.49686968982087</v>
      </c>
      <c r="M12" s="132">
        <f>IF(SER_hh_fech!M12=0,0,SER_hh_fech!M12/SER_summary!M$26)</f>
        <v>193.49117952355536</v>
      </c>
      <c r="N12" s="132">
        <f>IF(SER_hh_fech!N12=0,0,SER_hh_fech!N12/SER_summary!N$26)</f>
        <v>183.72900023457825</v>
      </c>
      <c r="O12" s="132">
        <f>IF(SER_hh_fech!O12=0,0,SER_hh_fech!O12/SER_summary!O$26)</f>
        <v>165.24391721068804</v>
      </c>
      <c r="P12" s="132">
        <f>IF(SER_hh_fech!P12=0,0,SER_hh_fech!P12/SER_summary!P$26)</f>
        <v>135.35331508096593</v>
      </c>
      <c r="Q12" s="132">
        <f>IF(SER_hh_fech!Q12=0,0,SER_hh_fech!Q12/SER_summary!Q$26)</f>
        <v>134.28633608584502</v>
      </c>
      <c r="R12" s="132">
        <f>IF(SER_hh_fech!R12=0,0,SER_hh_fech!R12/SER_summary!R$26)</f>
        <v>144.12460208721916</v>
      </c>
      <c r="S12" s="132">
        <f>IF(SER_hh_fech!S12=0,0,SER_hh_fech!S12/SER_summary!S$26)</f>
        <v>141.94858357809932</v>
      </c>
      <c r="T12" s="132">
        <f>IF(SER_hh_fech!T12=0,0,SER_hh_fech!T12/SER_summary!T$26)</f>
        <v>143.3003663267049</v>
      </c>
      <c r="U12" s="132">
        <f>IF(SER_hh_fech!U12=0,0,SER_hh_fech!U12/SER_summary!U$26)</f>
        <v>132.54515495615303</v>
      </c>
      <c r="V12" s="132">
        <f>IF(SER_hh_fech!V12=0,0,SER_hh_fech!V12/SER_summary!V$26)</f>
        <v>133.44249359320605</v>
      </c>
      <c r="W12" s="132">
        <f>IF(SER_hh_fech!W12=0,0,SER_hh_fech!W12/SER_summary!W$26)</f>
        <v>146.06048422743893</v>
      </c>
      <c r="X12" s="132">
        <f>IF(SER_hh_fech!X12=0,0,SER_hh_fech!X12/SER_summary!X$26)</f>
        <v>137.29527379994002</v>
      </c>
      <c r="Y12" s="132">
        <f>IF(SER_hh_fech!Y12=0,0,SER_hh_fech!Y12/SER_summary!Y$26)</f>
        <v>166.46034941033071</v>
      </c>
      <c r="DA12" s="156" t="s">
        <v>486</v>
      </c>
    </row>
    <row r="13" spans="1:105" ht="12" customHeight="1" x14ac:dyDescent="0.25">
      <c r="A13" s="131" t="s">
        <v>77</v>
      </c>
      <c r="B13" s="132">
        <f>IF(SER_hh_fech!B13=0,0,SER_hh_fech!B13/SER_summary!B$26)</f>
        <v>0</v>
      </c>
      <c r="C13" s="132">
        <f>IF(SER_hh_fech!C13=0,0,SER_hh_fech!C13/SER_summary!C$26)</f>
        <v>0</v>
      </c>
      <c r="D13" s="132">
        <f>IF(SER_hh_fech!D13=0,0,SER_hh_fech!D13/SER_summary!D$26)</f>
        <v>0</v>
      </c>
      <c r="E13" s="132">
        <f>IF(SER_hh_fech!E13=0,0,SER_hh_fech!E13/SER_summary!E$26)</f>
        <v>0</v>
      </c>
      <c r="F13" s="132">
        <f>IF(SER_hh_fech!F13=0,0,SER_hh_fech!F13/SER_summary!F$26)</f>
        <v>0</v>
      </c>
      <c r="G13" s="132">
        <f>IF(SER_hh_fech!G13=0,0,SER_hh_fech!G13/SER_summary!G$26)</f>
        <v>0</v>
      </c>
      <c r="H13" s="132">
        <f>IF(SER_hh_fech!H13=0,0,SER_hh_fech!H13/SER_summary!H$26)</f>
        <v>0</v>
      </c>
      <c r="I13" s="132">
        <f>IF(SER_hh_fech!I13=0,0,SER_hh_fech!I13/SER_summary!I$26)</f>
        <v>0</v>
      </c>
      <c r="J13" s="132">
        <f>IF(SER_hh_fech!J13=0,0,SER_hh_fech!J13/SER_summary!J$26)</f>
        <v>0</v>
      </c>
      <c r="K13" s="132">
        <f>IF(SER_hh_fech!K13=0,0,SER_hh_fech!K13/SER_summary!K$26)</f>
        <v>0</v>
      </c>
      <c r="L13" s="132">
        <f>IF(SER_hh_fech!L13=0,0,SER_hh_fech!L13/SER_summary!L$26)</f>
        <v>0</v>
      </c>
      <c r="M13" s="132">
        <f>IF(SER_hh_fech!M13=0,0,SER_hh_fech!M13/SER_summary!M$26)</f>
        <v>0</v>
      </c>
      <c r="N13" s="132">
        <f>IF(SER_hh_fech!N13=0,0,SER_hh_fech!N13/SER_summary!N$26)</f>
        <v>0</v>
      </c>
      <c r="O13" s="132">
        <f>IF(SER_hh_fech!O13=0,0,SER_hh_fech!O13/SER_summary!O$26)</f>
        <v>0</v>
      </c>
      <c r="P13" s="132">
        <f>IF(SER_hh_fech!P13=0,0,SER_hh_fech!P13/SER_summary!P$26)</f>
        <v>0</v>
      </c>
      <c r="Q13" s="132">
        <f>IF(SER_hh_fech!Q13=0,0,SER_hh_fech!Q13/SER_summary!Q$26)</f>
        <v>0</v>
      </c>
      <c r="R13" s="132">
        <f>IF(SER_hh_fech!R13=0,0,SER_hh_fech!R13/SER_summary!R$26)</f>
        <v>0</v>
      </c>
      <c r="S13" s="132">
        <f>IF(SER_hh_fech!S13=0,0,SER_hh_fech!S13/SER_summary!S$26)</f>
        <v>0</v>
      </c>
      <c r="T13" s="132">
        <f>IF(SER_hh_fech!T13=0,0,SER_hh_fech!T13/SER_summary!T$26)</f>
        <v>0</v>
      </c>
      <c r="U13" s="132">
        <f>IF(SER_hh_fech!U13=0,0,SER_hh_fech!U13/SER_summary!U$26)</f>
        <v>0</v>
      </c>
      <c r="V13" s="132">
        <f>IF(SER_hh_fech!V13=0,0,SER_hh_fech!V13/SER_summary!V$26)</f>
        <v>0</v>
      </c>
      <c r="W13" s="132">
        <f>IF(SER_hh_fech!W13=0,0,SER_hh_fech!W13/SER_summary!W$26)</f>
        <v>0</v>
      </c>
      <c r="X13" s="132">
        <f>IF(SER_hh_fech!X13=0,0,SER_hh_fech!X13/SER_summary!X$26)</f>
        <v>0</v>
      </c>
      <c r="Y13" s="132">
        <f>IF(SER_hh_fech!Y13=0,0,SER_hh_fech!Y13/SER_summary!Y$26)</f>
        <v>58.528848321601423</v>
      </c>
      <c r="DA13" s="156" t="s">
        <v>487</v>
      </c>
    </row>
    <row r="14" spans="1:105" ht="12" customHeight="1" x14ac:dyDescent="0.25">
      <c r="A14" s="60" t="s">
        <v>76</v>
      </c>
      <c r="B14" s="65">
        <f>IF(SER_hh_fech!B14=0,0,SER_hh_fech!B14/SER_summary!B$26)</f>
        <v>296.23273383421883</v>
      </c>
      <c r="C14" s="65">
        <f>IF(SER_hh_fech!C14=0,0,SER_hh_fech!C14/SER_summary!C$26)</f>
        <v>529.969215048205</v>
      </c>
      <c r="D14" s="65">
        <f>IF(SER_hh_fech!D14=0,0,SER_hh_fech!D14/SER_summary!D$26)</f>
        <v>4.6781567987325543</v>
      </c>
      <c r="E14" s="65">
        <f>IF(SER_hh_fech!E14=0,0,SER_hh_fech!E14/SER_summary!E$26)</f>
        <v>436.49777140382753</v>
      </c>
      <c r="F14" s="65">
        <f>IF(SER_hh_fech!F14=0,0,SER_hh_fech!F14/SER_summary!F$26)</f>
        <v>21.304370648669821</v>
      </c>
      <c r="G14" s="65">
        <f>IF(SER_hh_fech!G14=0,0,SER_hh_fech!G14/SER_summary!G$26)</f>
        <v>296.03281055780008</v>
      </c>
      <c r="H14" s="65">
        <f>IF(SER_hh_fech!H14=0,0,SER_hh_fech!H14/SER_summary!H$26)</f>
        <v>330.07915715770054</v>
      </c>
      <c r="I14" s="65">
        <f>IF(SER_hh_fech!I14=0,0,SER_hh_fech!I14/SER_summary!I$26)</f>
        <v>438.27233894434681</v>
      </c>
      <c r="J14" s="65">
        <f>IF(SER_hh_fech!J14=0,0,SER_hh_fech!J14/SER_summary!J$26)</f>
        <v>228.40365716458049</v>
      </c>
      <c r="K14" s="65">
        <f>IF(SER_hh_fech!K14=0,0,SER_hh_fech!K14/SER_summary!K$26)</f>
        <v>188.13571177005829</v>
      </c>
      <c r="L14" s="65">
        <f>IF(SER_hh_fech!L14=0,0,SER_hh_fech!L14/SER_summary!L$26)</f>
        <v>311.69300327451464</v>
      </c>
      <c r="M14" s="65">
        <f>IF(SER_hh_fech!M14=0,0,SER_hh_fech!M14/SER_summary!M$26)</f>
        <v>252.03903707990818</v>
      </c>
      <c r="N14" s="65">
        <f>IF(SER_hh_fech!N14=0,0,SER_hh_fech!N14/SER_summary!N$26)</f>
        <v>178.77421758230946</v>
      </c>
      <c r="O14" s="65">
        <f>IF(SER_hh_fech!O14=0,0,SER_hh_fech!O14/SER_summary!O$26)</f>
        <v>146.09504438978161</v>
      </c>
      <c r="P14" s="65">
        <f>IF(SER_hh_fech!P14=0,0,SER_hh_fech!P14/SER_summary!P$26)</f>
        <v>152.7794750286813</v>
      </c>
      <c r="Q14" s="65">
        <f>IF(SER_hh_fech!Q14=0,0,SER_hh_fech!Q14/SER_summary!Q$26)</f>
        <v>93.606793178556217</v>
      </c>
      <c r="R14" s="65">
        <f>IF(SER_hh_fech!R14=0,0,SER_hh_fech!R14/SER_summary!R$26)</f>
        <v>135.0435534714785</v>
      </c>
      <c r="S14" s="65">
        <f>IF(SER_hh_fech!S14=0,0,SER_hh_fech!S14/SER_summary!S$26)</f>
        <v>152.3825376347649</v>
      </c>
      <c r="T14" s="65">
        <f>IF(SER_hh_fech!T14=0,0,SER_hh_fech!T14/SER_summary!T$26)</f>
        <v>159.84219630092593</v>
      </c>
      <c r="U14" s="65">
        <f>IF(SER_hh_fech!U14=0,0,SER_hh_fech!U14/SER_summary!U$26)</f>
        <v>154.07365922416705</v>
      </c>
      <c r="V14" s="65">
        <f>IF(SER_hh_fech!V14=0,0,SER_hh_fech!V14/SER_summary!V$26)</f>
        <v>116.4428582282215</v>
      </c>
      <c r="W14" s="65">
        <f>IF(SER_hh_fech!W14=0,0,SER_hh_fech!W14/SER_summary!W$26)</f>
        <v>95.574186736391582</v>
      </c>
      <c r="X14" s="65">
        <f>IF(SER_hh_fech!X14=0,0,SER_hh_fech!X14/SER_summary!X$26)</f>
        <v>145.20271995978084</v>
      </c>
      <c r="Y14" s="65">
        <f>IF(SER_hh_fech!Y14=0,0,SER_hh_fech!Y14/SER_summary!Y$26)</f>
        <v>195.87516970685218</v>
      </c>
      <c r="DA14" s="109" t="s">
        <v>488</v>
      </c>
    </row>
    <row r="15" spans="1:105" ht="12" customHeight="1" x14ac:dyDescent="0.25">
      <c r="A15" s="133" t="s">
        <v>80</v>
      </c>
      <c r="B15" s="134">
        <f>IF(SER_hh_fech!B15=0,0,SER_hh_fech!B15/SER_summary!B$26)</f>
        <v>1.9240582400833892</v>
      </c>
      <c r="C15" s="134">
        <f>IF(SER_hh_fech!C15=0,0,SER_hh_fech!C15/SER_summary!C$26)</f>
        <v>2.9465195019985861</v>
      </c>
      <c r="D15" s="134">
        <f>IF(SER_hh_fech!D15=0,0,SER_hh_fech!D15/SER_summary!D$26)</f>
        <v>1.2866655456089928</v>
      </c>
      <c r="E15" s="134">
        <f>IF(SER_hh_fech!E15=0,0,SER_hh_fech!E15/SER_summary!E$26)</f>
        <v>2.1785558345044445</v>
      </c>
      <c r="F15" s="134">
        <f>IF(SER_hh_fech!F15=0,0,SER_hh_fech!F15/SER_summary!F$26)</f>
        <v>2.7023440196272341</v>
      </c>
      <c r="G15" s="134">
        <f>IF(SER_hh_fech!G15=0,0,SER_hh_fech!G15/SER_summary!G$26)</f>
        <v>3.0345867894124101</v>
      </c>
      <c r="H15" s="134">
        <f>IF(SER_hh_fech!H15=0,0,SER_hh_fech!H15/SER_summary!H$26)</f>
        <v>4.3444451952914322</v>
      </c>
      <c r="I15" s="134">
        <f>IF(SER_hh_fech!I15=0,0,SER_hh_fech!I15/SER_summary!I$26)</f>
        <v>3.2909564516181877</v>
      </c>
      <c r="J15" s="134">
        <f>IF(SER_hh_fech!J15=0,0,SER_hh_fech!J15/SER_summary!J$26)</f>
        <v>2.3743226662654981</v>
      </c>
      <c r="K15" s="134">
        <f>IF(SER_hh_fech!K15=0,0,SER_hh_fech!K15/SER_summary!K$26)</f>
        <v>2.1766801242298208</v>
      </c>
      <c r="L15" s="134">
        <f>IF(SER_hh_fech!L15=0,0,SER_hh_fech!L15/SER_summary!L$26)</f>
        <v>2.1636831095613624</v>
      </c>
      <c r="M15" s="134">
        <f>IF(SER_hh_fech!M15=0,0,SER_hh_fech!M15/SER_summary!M$26)</f>
        <v>1.8818008702260558</v>
      </c>
      <c r="N15" s="134">
        <f>IF(SER_hh_fech!N15=0,0,SER_hh_fech!N15/SER_summary!N$26)</f>
        <v>1.7628343187401203</v>
      </c>
      <c r="O15" s="134">
        <f>IF(SER_hh_fech!O15=0,0,SER_hh_fech!O15/SER_summary!O$26)</f>
        <v>1.5807461407930534</v>
      </c>
      <c r="P15" s="134">
        <f>IF(SER_hh_fech!P15=0,0,SER_hh_fech!P15/SER_summary!P$26)</f>
        <v>1.42775104069508</v>
      </c>
      <c r="Q15" s="134">
        <f>IF(SER_hh_fech!Q15=0,0,SER_hh_fech!Q15/SER_summary!Q$26)</f>
        <v>1.3336203562907787</v>
      </c>
      <c r="R15" s="134">
        <f>IF(SER_hh_fech!R15=0,0,SER_hh_fech!R15/SER_summary!R$26)</f>
        <v>1.3356350480870289</v>
      </c>
      <c r="S15" s="134">
        <f>IF(SER_hh_fech!S15=0,0,SER_hh_fech!S15/SER_summary!S$26)</f>
        <v>1.4560748644106483</v>
      </c>
      <c r="T15" s="134">
        <f>IF(SER_hh_fech!T15=0,0,SER_hh_fech!T15/SER_summary!T$26)</f>
        <v>1.4793505260686066</v>
      </c>
      <c r="U15" s="134">
        <f>IF(SER_hh_fech!U15=0,0,SER_hh_fech!U15/SER_summary!U$26)</f>
        <v>1.4629151168844965</v>
      </c>
      <c r="V15" s="134">
        <f>IF(SER_hh_fech!V15=0,0,SER_hh_fech!V15/SER_summary!V$26)</f>
        <v>1.3446992981842716</v>
      </c>
      <c r="W15" s="134">
        <f>IF(SER_hh_fech!W15=0,0,SER_hh_fech!W15/SER_summary!W$26)</f>
        <v>1.5296493162748757</v>
      </c>
      <c r="X15" s="134">
        <f>IF(SER_hh_fech!X15=0,0,SER_hh_fech!X15/SER_summary!X$26)</f>
        <v>1.6247530427644807</v>
      </c>
      <c r="Y15" s="134">
        <f>IF(SER_hh_fech!Y15=0,0,SER_hh_fech!Y15/SER_summary!Y$26)</f>
        <v>1.9105032643270705</v>
      </c>
      <c r="DA15" s="157" t="s">
        <v>489</v>
      </c>
    </row>
    <row r="16" spans="1:105" ht="12.95" customHeight="1" x14ac:dyDescent="0.25">
      <c r="A16" s="129" t="s">
        <v>74</v>
      </c>
      <c r="B16" s="130">
        <f>IF(SER_hh_fech!B16=0,0,SER_hh_fech!B16/SER_summary!B$26)</f>
        <v>19.313856670555985</v>
      </c>
      <c r="C16" s="130">
        <f>IF(SER_hh_fech!C16=0,0,SER_hh_fech!C16/SER_summary!C$26)</f>
        <v>14.965448041897805</v>
      </c>
      <c r="D16" s="130">
        <f>IF(SER_hh_fech!D16=0,0,SER_hh_fech!D16/SER_summary!D$26)</f>
        <v>13.896473447380654</v>
      </c>
      <c r="E16" s="130">
        <f>IF(SER_hh_fech!E16=0,0,SER_hh_fech!E16/SER_summary!E$26)</f>
        <v>13.777567697937473</v>
      </c>
      <c r="F16" s="130">
        <f>IF(SER_hh_fech!F16=0,0,SER_hh_fech!F16/SER_summary!F$26)</f>
        <v>11.767420384543072</v>
      </c>
      <c r="G16" s="130">
        <f>IF(SER_hh_fech!G16=0,0,SER_hh_fech!G16/SER_summary!G$26)</f>
        <v>11.643772116902836</v>
      </c>
      <c r="H16" s="130">
        <f>IF(SER_hh_fech!H16=0,0,SER_hh_fech!H16/SER_summary!H$26)</f>
        <v>12.154735095114695</v>
      </c>
      <c r="I16" s="130">
        <f>IF(SER_hh_fech!I16=0,0,SER_hh_fech!I16/SER_summary!I$26)</f>
        <v>15.730314197805511</v>
      </c>
      <c r="J16" s="130">
        <f>IF(SER_hh_fech!J16=0,0,SER_hh_fech!J16/SER_summary!J$26)</f>
        <v>12.134967927779554</v>
      </c>
      <c r="K16" s="130">
        <f>IF(SER_hh_fech!K16=0,0,SER_hh_fech!K16/SER_summary!K$26)</f>
        <v>11.255685565730632</v>
      </c>
      <c r="L16" s="130">
        <f>IF(SER_hh_fech!L16=0,0,SER_hh_fech!L16/SER_summary!L$26)</f>
        <v>12.952601625950578</v>
      </c>
      <c r="M16" s="130">
        <f>IF(SER_hh_fech!M16=0,0,SER_hh_fech!M16/SER_summary!M$26)</f>
        <v>10.716824304661184</v>
      </c>
      <c r="N16" s="130">
        <f>IF(SER_hh_fech!N16=0,0,SER_hh_fech!N16/SER_summary!N$26)</f>
        <v>15.761570850368718</v>
      </c>
      <c r="O16" s="130">
        <f>IF(SER_hh_fech!O16=0,0,SER_hh_fech!O16/SER_summary!O$26)</f>
        <v>10.401149162376138</v>
      </c>
      <c r="P16" s="130">
        <f>IF(SER_hh_fech!P16=0,0,SER_hh_fech!P16/SER_summary!P$26)</f>
        <v>9.4423893076415712</v>
      </c>
      <c r="Q16" s="130">
        <f>IF(SER_hh_fech!Q16=0,0,SER_hh_fech!Q16/SER_summary!Q$26)</f>
        <v>12.019292328340823</v>
      </c>
      <c r="R16" s="130">
        <f>IF(SER_hh_fech!R16=0,0,SER_hh_fech!R16/SER_summary!R$26)</f>
        <v>9.9719455930268612</v>
      </c>
      <c r="S16" s="130">
        <f>IF(SER_hh_fech!S16=0,0,SER_hh_fech!S16/SER_summary!S$26)</f>
        <v>10.43814070711378</v>
      </c>
      <c r="T16" s="130">
        <f>IF(SER_hh_fech!T16=0,0,SER_hh_fech!T16/SER_summary!T$26)</f>
        <v>8.9038836593925073</v>
      </c>
      <c r="U16" s="130">
        <f>IF(SER_hh_fech!U16=0,0,SER_hh_fech!U16/SER_summary!U$26)</f>
        <v>9.7501078481311367</v>
      </c>
      <c r="V16" s="130">
        <f>IF(SER_hh_fech!V16=0,0,SER_hh_fech!V16/SER_summary!V$26)</f>
        <v>8.4690788478384231</v>
      </c>
      <c r="W16" s="130">
        <f>IF(SER_hh_fech!W16=0,0,SER_hh_fech!W16/SER_summary!W$26)</f>
        <v>9.477038263603335</v>
      </c>
      <c r="X16" s="130">
        <f>IF(SER_hh_fech!X16=0,0,SER_hh_fech!X16/SER_summary!X$26)</f>
        <v>9.8067744444979041</v>
      </c>
      <c r="Y16" s="130">
        <f>IF(SER_hh_fech!Y16=0,0,SER_hh_fech!Y16/SER_summary!Y$26)</f>
        <v>10.102414800510292</v>
      </c>
      <c r="DA16" s="155" t="s">
        <v>490</v>
      </c>
    </row>
    <row r="17" spans="1:105" ht="12.95" customHeight="1" x14ac:dyDescent="0.25">
      <c r="A17" s="131" t="s">
        <v>73</v>
      </c>
      <c r="B17" s="132">
        <f>IF(SER_hh_fech!B17=0,0,SER_hh_fech!B17/SER_summary!B$26)</f>
        <v>0</v>
      </c>
      <c r="C17" s="132">
        <f>IF(SER_hh_fech!C17=0,0,SER_hh_fech!C17/SER_summary!C$26)</f>
        <v>0</v>
      </c>
      <c r="D17" s="132">
        <f>IF(SER_hh_fech!D17=0,0,SER_hh_fech!D17/SER_summary!D$26)</f>
        <v>0</v>
      </c>
      <c r="E17" s="132">
        <f>IF(SER_hh_fech!E17=0,0,SER_hh_fech!E17/SER_summary!E$26)</f>
        <v>0</v>
      </c>
      <c r="F17" s="132">
        <f>IF(SER_hh_fech!F17=0,0,SER_hh_fech!F17/SER_summary!F$26)</f>
        <v>0</v>
      </c>
      <c r="G17" s="132">
        <f>IF(SER_hh_fech!G17=0,0,SER_hh_fech!G17/SER_summary!G$26)</f>
        <v>0</v>
      </c>
      <c r="H17" s="132">
        <f>IF(SER_hh_fech!H17=0,0,SER_hh_fech!H17/SER_summary!H$26)</f>
        <v>0</v>
      </c>
      <c r="I17" s="132">
        <f>IF(SER_hh_fech!I17=0,0,SER_hh_fech!I17/SER_summary!I$26)</f>
        <v>0</v>
      </c>
      <c r="J17" s="132">
        <f>IF(SER_hh_fech!J17=0,0,SER_hh_fech!J17/SER_summary!J$26)</f>
        <v>0</v>
      </c>
      <c r="K17" s="132">
        <f>IF(SER_hh_fech!K17=0,0,SER_hh_fech!K17/SER_summary!K$26)</f>
        <v>0</v>
      </c>
      <c r="L17" s="132">
        <f>IF(SER_hh_fech!L17=0,0,SER_hh_fech!L17/SER_summary!L$26)</f>
        <v>0</v>
      </c>
      <c r="M17" s="132">
        <f>IF(SER_hh_fech!M17=0,0,SER_hh_fech!M17/SER_summary!M$26)</f>
        <v>0</v>
      </c>
      <c r="N17" s="132">
        <f>IF(SER_hh_fech!N17=0,0,SER_hh_fech!N17/SER_summary!N$26)</f>
        <v>0</v>
      </c>
      <c r="O17" s="132">
        <f>IF(SER_hh_fech!O17=0,0,SER_hh_fech!O17/SER_summary!O$26)</f>
        <v>0</v>
      </c>
      <c r="P17" s="132">
        <f>IF(SER_hh_fech!P17=0,0,SER_hh_fech!P17/SER_summary!P$26)</f>
        <v>0</v>
      </c>
      <c r="Q17" s="132">
        <f>IF(SER_hh_fech!Q17=0,0,SER_hh_fech!Q17/SER_summary!Q$26)</f>
        <v>0</v>
      </c>
      <c r="R17" s="132">
        <f>IF(SER_hh_fech!R17=0,0,SER_hh_fech!R17/SER_summary!R$26)</f>
        <v>0</v>
      </c>
      <c r="S17" s="132">
        <f>IF(SER_hh_fech!S17=0,0,SER_hh_fech!S17/SER_summary!S$26)</f>
        <v>0</v>
      </c>
      <c r="T17" s="132">
        <f>IF(SER_hh_fech!T17=0,0,SER_hh_fech!T17/SER_summary!T$26)</f>
        <v>0</v>
      </c>
      <c r="U17" s="132">
        <f>IF(SER_hh_fech!U17=0,0,SER_hh_fech!U17/SER_summary!U$26)</f>
        <v>0</v>
      </c>
      <c r="V17" s="132">
        <f>IF(SER_hh_fech!V17=0,0,SER_hh_fech!V17/SER_summary!V$26)</f>
        <v>0</v>
      </c>
      <c r="W17" s="132">
        <f>IF(SER_hh_fech!W17=0,0,SER_hh_fech!W17/SER_summary!W$26)</f>
        <v>0</v>
      </c>
      <c r="X17" s="132">
        <f>IF(SER_hh_fech!X17=0,0,SER_hh_fech!X17/SER_summary!X$26)</f>
        <v>0</v>
      </c>
      <c r="Y17" s="132">
        <f>IF(SER_hh_fech!Y17=0,0,SER_hh_fech!Y17/SER_summary!Y$26)</f>
        <v>0</v>
      </c>
      <c r="DA17" s="156" t="s">
        <v>491</v>
      </c>
    </row>
    <row r="18" spans="1:105" ht="12" customHeight="1" x14ac:dyDescent="0.25">
      <c r="A18" s="131" t="s">
        <v>72</v>
      </c>
      <c r="B18" s="132">
        <f>IF(SER_hh_fech!B18=0,0,SER_hh_fech!B18/SER_summary!B$26)</f>
        <v>19.313856670555985</v>
      </c>
      <c r="C18" s="132">
        <f>IF(SER_hh_fech!C18=0,0,SER_hh_fech!C18/SER_summary!C$26)</f>
        <v>14.965448041897805</v>
      </c>
      <c r="D18" s="132">
        <f>IF(SER_hh_fech!D18=0,0,SER_hh_fech!D18/SER_summary!D$26)</f>
        <v>13.896473447380654</v>
      </c>
      <c r="E18" s="132">
        <f>IF(SER_hh_fech!E18=0,0,SER_hh_fech!E18/SER_summary!E$26)</f>
        <v>13.777567697937473</v>
      </c>
      <c r="F18" s="132">
        <f>IF(SER_hh_fech!F18=0,0,SER_hh_fech!F18/SER_summary!F$26)</f>
        <v>11.767420384543072</v>
      </c>
      <c r="G18" s="132">
        <f>IF(SER_hh_fech!G18=0,0,SER_hh_fech!G18/SER_summary!G$26)</f>
        <v>11.643772116902836</v>
      </c>
      <c r="H18" s="132">
        <f>IF(SER_hh_fech!H18=0,0,SER_hh_fech!H18/SER_summary!H$26)</f>
        <v>12.154735095114695</v>
      </c>
      <c r="I18" s="132">
        <f>IF(SER_hh_fech!I18=0,0,SER_hh_fech!I18/SER_summary!I$26)</f>
        <v>15.730314197805511</v>
      </c>
      <c r="J18" s="132">
        <f>IF(SER_hh_fech!J18=0,0,SER_hh_fech!J18/SER_summary!J$26)</f>
        <v>12.134967927779554</v>
      </c>
      <c r="K18" s="132">
        <f>IF(SER_hh_fech!K18=0,0,SER_hh_fech!K18/SER_summary!K$26)</f>
        <v>11.255685565730632</v>
      </c>
      <c r="L18" s="132">
        <f>IF(SER_hh_fech!L18=0,0,SER_hh_fech!L18/SER_summary!L$26)</f>
        <v>12.952601625950578</v>
      </c>
      <c r="M18" s="132">
        <f>IF(SER_hh_fech!M18=0,0,SER_hh_fech!M18/SER_summary!M$26)</f>
        <v>10.716824304661184</v>
      </c>
      <c r="N18" s="132">
        <f>IF(SER_hh_fech!N18=0,0,SER_hh_fech!N18/SER_summary!N$26)</f>
        <v>15.761570850368718</v>
      </c>
      <c r="O18" s="132">
        <f>IF(SER_hh_fech!O18=0,0,SER_hh_fech!O18/SER_summary!O$26)</f>
        <v>10.401149162376138</v>
      </c>
      <c r="P18" s="132">
        <f>IF(SER_hh_fech!P18=0,0,SER_hh_fech!P18/SER_summary!P$26)</f>
        <v>9.4423893076415712</v>
      </c>
      <c r="Q18" s="132">
        <f>IF(SER_hh_fech!Q18=0,0,SER_hh_fech!Q18/SER_summary!Q$26)</f>
        <v>12.019292328340823</v>
      </c>
      <c r="R18" s="132">
        <f>IF(SER_hh_fech!R18=0,0,SER_hh_fech!R18/SER_summary!R$26)</f>
        <v>9.9719455930268612</v>
      </c>
      <c r="S18" s="132">
        <f>IF(SER_hh_fech!S18=0,0,SER_hh_fech!S18/SER_summary!S$26)</f>
        <v>10.43814070711378</v>
      </c>
      <c r="T18" s="132">
        <f>IF(SER_hh_fech!T18=0,0,SER_hh_fech!T18/SER_summary!T$26)</f>
        <v>8.9038836593925073</v>
      </c>
      <c r="U18" s="132">
        <f>IF(SER_hh_fech!U18=0,0,SER_hh_fech!U18/SER_summary!U$26)</f>
        <v>9.7501078481311367</v>
      </c>
      <c r="V18" s="132">
        <f>IF(SER_hh_fech!V18=0,0,SER_hh_fech!V18/SER_summary!V$26)</f>
        <v>8.4690788478384231</v>
      </c>
      <c r="W18" s="132">
        <f>IF(SER_hh_fech!W18=0,0,SER_hh_fech!W18/SER_summary!W$26)</f>
        <v>9.477038263603335</v>
      </c>
      <c r="X18" s="132">
        <f>IF(SER_hh_fech!X18=0,0,SER_hh_fech!X18/SER_summary!X$26)</f>
        <v>9.8067744444979041</v>
      </c>
      <c r="Y18" s="132">
        <f>IF(SER_hh_fech!Y18=0,0,SER_hh_fech!Y18/SER_summary!Y$26)</f>
        <v>10.102414800510292</v>
      </c>
      <c r="DA18" s="156" t="s">
        <v>492</v>
      </c>
    </row>
    <row r="19" spans="1:105" ht="12.95" customHeight="1" x14ac:dyDescent="0.25">
      <c r="A19" s="129" t="s">
        <v>35</v>
      </c>
      <c r="B19" s="130">
        <f>IF(SER_hh_fech!B19=0,0,SER_hh_fech!B19/SER_summary!B$26)</f>
        <v>38.185725627309239</v>
      </c>
      <c r="C19" s="130">
        <f>IF(SER_hh_fech!C19=0,0,SER_hh_fech!C19/SER_summary!C$26)</f>
        <v>42.116723089687049</v>
      </c>
      <c r="D19" s="130">
        <f>IF(SER_hh_fech!D19=0,0,SER_hh_fech!D19/SER_summary!D$26)</f>
        <v>23.200053770257391</v>
      </c>
      <c r="E19" s="130">
        <f>IF(SER_hh_fech!E19=0,0,SER_hh_fech!E19/SER_summary!E$26)</f>
        <v>47.202601174513269</v>
      </c>
      <c r="F19" s="130">
        <f>IF(SER_hh_fech!F19=0,0,SER_hh_fech!F19/SER_summary!F$26)</f>
        <v>54.323497153467805</v>
      </c>
      <c r="G19" s="130">
        <f>IF(SER_hh_fech!G19=0,0,SER_hh_fech!G19/SER_summary!G$26)</f>
        <v>53.428375792093505</v>
      </c>
      <c r="H19" s="130">
        <f>IF(SER_hh_fech!H19=0,0,SER_hh_fech!H19/SER_summary!H$26)</f>
        <v>54.239215257237348</v>
      </c>
      <c r="I19" s="130">
        <f>IF(SER_hh_fech!I19=0,0,SER_hh_fech!I19/SER_summary!I$26)</f>
        <v>54.730220097221519</v>
      </c>
      <c r="J19" s="130">
        <f>IF(SER_hh_fech!J19=0,0,SER_hh_fech!J19/SER_summary!J$26)</f>
        <v>52.948336628364018</v>
      </c>
      <c r="K19" s="130">
        <f>IF(SER_hh_fech!K19=0,0,SER_hh_fech!K19/SER_summary!K$26)</f>
        <v>53.340238487526015</v>
      </c>
      <c r="L19" s="130">
        <f>IF(SER_hh_fech!L19=0,0,SER_hh_fech!L19/SER_summary!L$26)</f>
        <v>51.149171393216442</v>
      </c>
      <c r="M19" s="130">
        <f>IF(SER_hh_fech!M19=0,0,SER_hh_fech!M19/SER_summary!M$26)</f>
        <v>52.028828169677645</v>
      </c>
      <c r="N19" s="130">
        <f>IF(SER_hh_fech!N19=0,0,SER_hh_fech!N19/SER_summary!N$26)</f>
        <v>51.226423590782218</v>
      </c>
      <c r="O19" s="130">
        <f>IF(SER_hh_fech!O19=0,0,SER_hh_fech!O19/SER_summary!O$26)</f>
        <v>51.7707275964597</v>
      </c>
      <c r="P19" s="130">
        <f>IF(SER_hh_fech!P19=0,0,SER_hh_fech!P19/SER_summary!P$26)</f>
        <v>52.0813507342489</v>
      </c>
      <c r="Q19" s="130">
        <f>IF(SER_hh_fech!Q19=0,0,SER_hh_fech!Q19/SER_summary!Q$26)</f>
        <v>52.276427956034439</v>
      </c>
      <c r="R19" s="130">
        <f>IF(SER_hh_fech!R19=0,0,SER_hh_fech!R19/SER_summary!R$26)</f>
        <v>51.163651745127659</v>
      </c>
      <c r="S19" s="130">
        <f>IF(SER_hh_fech!S19=0,0,SER_hh_fech!S19/SER_summary!S$26)</f>
        <v>50.341114126543282</v>
      </c>
      <c r="T19" s="130">
        <f>IF(SER_hh_fech!T19=0,0,SER_hh_fech!T19/SER_summary!T$26)</f>
        <v>48.294061356635304</v>
      </c>
      <c r="U19" s="130">
        <f>IF(SER_hh_fech!U19=0,0,SER_hh_fech!U19/SER_summary!U$26)</f>
        <v>45.361085463849498</v>
      </c>
      <c r="V19" s="130">
        <f>IF(SER_hh_fech!V19=0,0,SER_hh_fech!V19/SER_summary!V$26)</f>
        <v>42.2636615460423</v>
      </c>
      <c r="W19" s="130">
        <f>IF(SER_hh_fech!W19=0,0,SER_hh_fech!W19/SER_summary!W$26)</f>
        <v>46.281493225507717</v>
      </c>
      <c r="X19" s="130">
        <f>IF(SER_hh_fech!X19=0,0,SER_hh_fech!X19/SER_summary!X$26)</f>
        <v>46.219473859636537</v>
      </c>
      <c r="Y19" s="130">
        <f>IF(SER_hh_fech!Y19=0,0,SER_hh_fech!Y19/SER_summary!Y$26)</f>
        <v>46.755580810000666</v>
      </c>
      <c r="DA19" s="155" t="s">
        <v>493</v>
      </c>
    </row>
    <row r="20" spans="1:105" ht="12" customHeight="1" x14ac:dyDescent="0.25">
      <c r="A20" s="131" t="s">
        <v>29</v>
      </c>
      <c r="B20" s="132">
        <f>IF(SER_hh_fech!B20=0,0,SER_hh_fech!B20/SER_summary!B$26)</f>
        <v>0</v>
      </c>
      <c r="C20" s="132">
        <f>IF(SER_hh_fech!C20=0,0,SER_hh_fech!C20/SER_summary!C$26)</f>
        <v>0</v>
      </c>
      <c r="D20" s="132">
        <f>IF(SER_hh_fech!D20=0,0,SER_hh_fech!D20/SER_summary!D$26)</f>
        <v>0</v>
      </c>
      <c r="E20" s="132">
        <f>IF(SER_hh_fech!E20=0,0,SER_hh_fech!E20/SER_summary!E$26)</f>
        <v>0</v>
      </c>
      <c r="F20" s="132">
        <f>IF(SER_hh_fech!F20=0,0,SER_hh_fech!F20/SER_summary!F$26)</f>
        <v>0</v>
      </c>
      <c r="G20" s="132">
        <f>IF(SER_hh_fech!G20=0,0,SER_hh_fech!G20/SER_summary!G$26)</f>
        <v>0</v>
      </c>
      <c r="H20" s="132">
        <f>IF(SER_hh_fech!H20=0,0,SER_hh_fech!H20/SER_summary!H$26)</f>
        <v>0</v>
      </c>
      <c r="I20" s="132">
        <f>IF(SER_hh_fech!I20=0,0,SER_hh_fech!I20/SER_summary!I$26)</f>
        <v>0</v>
      </c>
      <c r="J20" s="132">
        <f>IF(SER_hh_fech!J20=0,0,SER_hh_fech!J20/SER_summary!J$26)</f>
        <v>0</v>
      </c>
      <c r="K20" s="132">
        <f>IF(SER_hh_fech!K20=0,0,SER_hh_fech!K20/SER_summary!K$26)</f>
        <v>0</v>
      </c>
      <c r="L20" s="132">
        <f>IF(SER_hh_fech!L20=0,0,SER_hh_fech!L20/SER_summary!L$26)</f>
        <v>0</v>
      </c>
      <c r="M20" s="132">
        <f>IF(SER_hh_fech!M20=0,0,SER_hh_fech!M20/SER_summary!M$26)</f>
        <v>0</v>
      </c>
      <c r="N20" s="132">
        <f>IF(SER_hh_fech!N20=0,0,SER_hh_fech!N20/SER_summary!N$26)</f>
        <v>0</v>
      </c>
      <c r="O20" s="132">
        <f>IF(SER_hh_fech!O20=0,0,SER_hh_fech!O20/SER_summary!O$26)</f>
        <v>0</v>
      </c>
      <c r="P20" s="132">
        <f>IF(SER_hh_fech!P20=0,0,SER_hh_fech!P20/SER_summary!P$26)</f>
        <v>0</v>
      </c>
      <c r="Q20" s="132">
        <f>IF(SER_hh_fech!Q20=0,0,SER_hh_fech!Q20/SER_summary!Q$26)</f>
        <v>0</v>
      </c>
      <c r="R20" s="132">
        <f>IF(SER_hh_fech!R20=0,0,SER_hh_fech!R20/SER_summary!R$26)</f>
        <v>0</v>
      </c>
      <c r="S20" s="132">
        <f>IF(SER_hh_fech!S20=0,0,SER_hh_fech!S20/SER_summary!S$26)</f>
        <v>0</v>
      </c>
      <c r="T20" s="132">
        <f>IF(SER_hh_fech!T20=0,0,SER_hh_fech!T20/SER_summary!T$26)</f>
        <v>0</v>
      </c>
      <c r="U20" s="132">
        <f>IF(SER_hh_fech!U20=0,0,SER_hh_fech!U20/SER_summary!U$26)</f>
        <v>0</v>
      </c>
      <c r="V20" s="132">
        <f>IF(SER_hh_fech!V20=0,0,SER_hh_fech!V20/SER_summary!V$26)</f>
        <v>0</v>
      </c>
      <c r="W20" s="132">
        <f>IF(SER_hh_fech!W20=0,0,SER_hh_fech!W20/SER_summary!W$26)</f>
        <v>0</v>
      </c>
      <c r="X20" s="132">
        <f>IF(SER_hh_fech!X20=0,0,SER_hh_fech!X20/SER_summary!X$26)</f>
        <v>0</v>
      </c>
      <c r="Y20" s="132">
        <f>IF(SER_hh_fech!Y20=0,0,SER_hh_fech!Y20/SER_summary!Y$26)</f>
        <v>0</v>
      </c>
      <c r="DA20" s="156" t="s">
        <v>494</v>
      </c>
    </row>
    <row r="21" spans="1:105" s="2" customFormat="1" ht="12" customHeight="1" x14ac:dyDescent="0.25">
      <c r="A21" s="131" t="s">
        <v>52</v>
      </c>
      <c r="B21" s="132">
        <f>IF(SER_hh_fech!B21=0,0,SER_hh_fech!B21/SER_summary!B$26)</f>
        <v>0</v>
      </c>
      <c r="C21" s="132">
        <f>IF(SER_hh_fech!C21=0,0,SER_hh_fech!C21/SER_summary!C$26)</f>
        <v>0</v>
      </c>
      <c r="D21" s="132">
        <f>IF(SER_hh_fech!D21=0,0,SER_hh_fech!D21/SER_summary!D$26)</f>
        <v>0</v>
      </c>
      <c r="E21" s="132">
        <f>IF(SER_hh_fech!E21=0,0,SER_hh_fech!E21/SER_summary!E$26)</f>
        <v>0</v>
      </c>
      <c r="F21" s="132">
        <f>IF(SER_hh_fech!F21=0,0,SER_hh_fech!F21/SER_summary!F$26)</f>
        <v>0</v>
      </c>
      <c r="G21" s="132">
        <f>IF(SER_hh_fech!G21=0,0,SER_hh_fech!G21/SER_summary!G$26)</f>
        <v>0</v>
      </c>
      <c r="H21" s="132">
        <f>IF(SER_hh_fech!H21=0,0,SER_hh_fech!H21/SER_summary!H$26)</f>
        <v>0</v>
      </c>
      <c r="I21" s="132">
        <f>IF(SER_hh_fech!I21=0,0,SER_hh_fech!I21/SER_summary!I$26)</f>
        <v>0</v>
      </c>
      <c r="J21" s="132">
        <f>IF(SER_hh_fech!J21=0,0,SER_hh_fech!J21/SER_summary!J$26)</f>
        <v>0</v>
      </c>
      <c r="K21" s="132">
        <f>IF(SER_hh_fech!K21=0,0,SER_hh_fech!K21/SER_summary!K$26)</f>
        <v>0</v>
      </c>
      <c r="L21" s="132">
        <f>IF(SER_hh_fech!L21=0,0,SER_hh_fech!L21/SER_summary!L$26)</f>
        <v>0</v>
      </c>
      <c r="M21" s="132">
        <f>IF(SER_hh_fech!M21=0,0,SER_hh_fech!M21/SER_summary!M$26)</f>
        <v>0</v>
      </c>
      <c r="N21" s="132">
        <f>IF(SER_hh_fech!N21=0,0,SER_hh_fech!N21/SER_summary!N$26)</f>
        <v>0</v>
      </c>
      <c r="O21" s="132">
        <f>IF(SER_hh_fech!O21=0,0,SER_hh_fech!O21/SER_summary!O$26)</f>
        <v>0</v>
      </c>
      <c r="P21" s="132">
        <f>IF(SER_hh_fech!P21=0,0,SER_hh_fech!P21/SER_summary!P$26)</f>
        <v>0</v>
      </c>
      <c r="Q21" s="132">
        <f>IF(SER_hh_fech!Q21=0,0,SER_hh_fech!Q21/SER_summary!Q$26)</f>
        <v>0</v>
      </c>
      <c r="R21" s="132">
        <f>IF(SER_hh_fech!R21=0,0,SER_hh_fech!R21/SER_summary!R$26)</f>
        <v>0</v>
      </c>
      <c r="S21" s="132">
        <f>IF(SER_hh_fech!S21=0,0,SER_hh_fech!S21/SER_summary!S$26)</f>
        <v>0</v>
      </c>
      <c r="T21" s="132">
        <f>IF(SER_hh_fech!T21=0,0,SER_hh_fech!T21/SER_summary!T$26)</f>
        <v>0</v>
      </c>
      <c r="U21" s="132">
        <f>IF(SER_hh_fech!U21=0,0,SER_hh_fech!U21/SER_summary!U$26)</f>
        <v>0</v>
      </c>
      <c r="V21" s="132">
        <f>IF(SER_hh_fech!V21=0,0,SER_hh_fech!V21/SER_summary!V$26)</f>
        <v>0</v>
      </c>
      <c r="W21" s="132">
        <f>IF(SER_hh_fech!W21=0,0,SER_hh_fech!W21/SER_summary!W$26)</f>
        <v>0</v>
      </c>
      <c r="X21" s="132">
        <f>IF(SER_hh_fech!X21=0,0,SER_hh_fech!X21/SER_summary!X$26)</f>
        <v>0</v>
      </c>
      <c r="Y21" s="132">
        <f>IF(SER_hh_fech!Y21=0,0,SER_hh_fech!Y21/SER_summary!Y$26)</f>
        <v>0</v>
      </c>
      <c r="DA21" s="156" t="s">
        <v>495</v>
      </c>
    </row>
    <row r="22" spans="1:105" ht="12" customHeight="1" x14ac:dyDescent="0.25">
      <c r="A22" s="131" t="s">
        <v>161</v>
      </c>
      <c r="B22" s="132">
        <f>IF(SER_hh_fech!B22=0,0,SER_hh_fech!B22/SER_summary!B$26)</f>
        <v>7.8945543685195361</v>
      </c>
      <c r="C22" s="132">
        <f>IF(SER_hh_fech!C22=0,0,SER_hh_fech!C22/SER_summary!C$26)</f>
        <v>12.715017887574472</v>
      </c>
      <c r="D22" s="132">
        <f>IF(SER_hh_fech!D22=0,0,SER_hh_fech!D22/SER_summary!D$26)</f>
        <v>37.943471538224053</v>
      </c>
      <c r="E22" s="132">
        <f>IF(SER_hh_fech!E22=0,0,SER_hh_fech!E22/SER_summary!E$26)</f>
        <v>53.193220106909173</v>
      </c>
      <c r="F22" s="132">
        <f>IF(SER_hh_fech!F22=0,0,SER_hh_fech!F22/SER_summary!F$26)</f>
        <v>61.022804829954687</v>
      </c>
      <c r="G22" s="132">
        <f>IF(SER_hh_fech!G22=0,0,SER_hh_fech!G22/SER_summary!G$26)</f>
        <v>71.94700977270081</v>
      </c>
      <c r="H22" s="132">
        <f>IF(SER_hh_fech!H22=0,0,SER_hh_fech!H22/SER_summary!H$26)</f>
        <v>50.776973552850635</v>
      </c>
      <c r="I22" s="132">
        <f>IF(SER_hh_fech!I22=0,0,SER_hh_fech!I22/SER_summary!I$26)</f>
        <v>58.9143317566256</v>
      </c>
      <c r="J22" s="132">
        <f>IF(SER_hh_fech!J22=0,0,SER_hh_fech!J22/SER_summary!J$26)</f>
        <v>65.063068064088498</v>
      </c>
      <c r="K22" s="132">
        <f>IF(SER_hh_fech!K22=0,0,SER_hh_fech!K22/SER_summary!K$26)</f>
        <v>61.938098309724609</v>
      </c>
      <c r="L22" s="132">
        <f>IF(SER_hh_fech!L22=0,0,SER_hh_fech!L22/SER_summary!L$26)</f>
        <v>59.694539274162167</v>
      </c>
      <c r="M22" s="132">
        <f>IF(SER_hh_fech!M22=0,0,SER_hh_fech!M22/SER_summary!M$26)</f>
        <v>54.183057642569075</v>
      </c>
      <c r="N22" s="132">
        <f>IF(SER_hh_fech!N22=0,0,SER_hh_fech!N22/SER_summary!N$26)</f>
        <v>57.302339300200337</v>
      </c>
      <c r="O22" s="132">
        <f>IF(SER_hh_fech!O22=0,0,SER_hh_fech!O22/SER_summary!O$26)</f>
        <v>65.040647141104074</v>
      </c>
      <c r="P22" s="132">
        <f>IF(SER_hh_fech!P22=0,0,SER_hh_fech!P22/SER_summary!P$26)</f>
        <v>61.040235146021715</v>
      </c>
      <c r="Q22" s="132">
        <f>IF(SER_hh_fech!Q22=0,0,SER_hh_fech!Q22/SER_summary!Q$26)</f>
        <v>59.572791554317455</v>
      </c>
      <c r="R22" s="132">
        <f>IF(SER_hh_fech!R22=0,0,SER_hh_fech!R22/SER_summary!R$26)</f>
        <v>49.371735235433526</v>
      </c>
      <c r="S22" s="132">
        <f>IF(SER_hh_fech!S22=0,0,SER_hh_fech!S22/SER_summary!S$26)</f>
        <v>56.27467267742864</v>
      </c>
      <c r="T22" s="132">
        <f>IF(SER_hh_fech!T22=0,0,SER_hh_fech!T22/SER_summary!T$26)</f>
        <v>55.260998152561911</v>
      </c>
      <c r="U22" s="132">
        <f>IF(SER_hh_fech!U22=0,0,SER_hh_fech!U22/SER_summary!U$26)</f>
        <v>46.711083606795938</v>
      </c>
      <c r="V22" s="132">
        <f>IF(SER_hh_fech!V22=0,0,SER_hh_fech!V22/SER_summary!V$26)</f>
        <v>41.518232027987757</v>
      </c>
      <c r="W22" s="132">
        <f>IF(SER_hh_fech!W22=0,0,SER_hh_fech!W22/SER_summary!W$26)</f>
        <v>54.904877263247421</v>
      </c>
      <c r="X22" s="132">
        <f>IF(SER_hh_fech!X22=0,0,SER_hh_fech!X22/SER_summary!X$26)</f>
        <v>51.028875931670925</v>
      </c>
      <c r="Y22" s="132">
        <f>IF(SER_hh_fech!Y22=0,0,SER_hh_fech!Y22/SER_summary!Y$26)</f>
        <v>50.707552462248088</v>
      </c>
      <c r="DA22" s="156" t="s">
        <v>496</v>
      </c>
    </row>
    <row r="23" spans="1:105" ht="12" customHeight="1" x14ac:dyDescent="0.25">
      <c r="A23" s="131" t="s">
        <v>149</v>
      </c>
      <c r="B23" s="132">
        <f>IF(SER_hh_fech!B23=0,0,SER_hh_fech!B23/SER_summary!B$26)</f>
        <v>49.061246723494349</v>
      </c>
      <c r="C23" s="132">
        <f>IF(SER_hh_fech!C23=0,0,SER_hh_fech!C23/SER_summary!C$26)</f>
        <v>38.327328568258515</v>
      </c>
      <c r="D23" s="132">
        <f>IF(SER_hh_fech!D23=0,0,SER_hh_fech!D23/SER_summary!D$26)</f>
        <v>21.544890650023618</v>
      </c>
      <c r="E23" s="132">
        <f>IF(SER_hh_fech!E23=0,0,SER_hh_fech!E23/SER_summary!E$26)</f>
        <v>42.406029585604671</v>
      </c>
      <c r="F23" s="132">
        <f>IF(SER_hh_fech!F23=0,0,SER_hh_fech!F23/SER_summary!F$26)</f>
        <v>63.872611341647762</v>
      </c>
      <c r="G23" s="132">
        <f>IF(SER_hh_fech!G23=0,0,SER_hh_fech!G23/SER_summary!G$26)</f>
        <v>54.590822335177521</v>
      </c>
      <c r="H23" s="132">
        <f>IF(SER_hh_fech!H23=0,0,SER_hh_fech!H23/SER_summary!H$26)</f>
        <v>63.077396779383911</v>
      </c>
      <c r="I23" s="132">
        <f>IF(SER_hh_fech!I23=0,0,SER_hh_fech!I23/SER_summary!I$26)</f>
        <v>56.257933863723707</v>
      </c>
      <c r="J23" s="132">
        <f>IF(SER_hh_fech!J23=0,0,SER_hh_fech!J23/SER_summary!J$26)</f>
        <v>47.074808117971877</v>
      </c>
      <c r="K23" s="132">
        <f>IF(SER_hh_fech!K23=0,0,SER_hh_fech!K23/SER_summary!K$26)</f>
        <v>63.302334124390732</v>
      </c>
      <c r="L23" s="132">
        <f>IF(SER_hh_fech!L23=0,0,SER_hh_fech!L23/SER_summary!L$26)</f>
        <v>59.280256016851112</v>
      </c>
      <c r="M23" s="132">
        <f>IF(SER_hh_fech!M23=0,0,SER_hh_fech!M23/SER_summary!M$26)</f>
        <v>53.762792536001285</v>
      </c>
      <c r="N23" s="132">
        <f>IF(SER_hh_fech!N23=0,0,SER_hh_fech!N23/SER_summary!N$26)</f>
        <v>54.345880777875323</v>
      </c>
      <c r="O23" s="132">
        <f>IF(SER_hh_fech!O23=0,0,SER_hh_fech!O23/SER_summary!O$26)</f>
        <v>54.455333982341948</v>
      </c>
      <c r="P23" s="132">
        <f>IF(SER_hh_fech!P23=0,0,SER_hh_fech!P23/SER_summary!P$26)</f>
        <v>54.846466997949612</v>
      </c>
      <c r="Q23" s="132">
        <f>IF(SER_hh_fech!Q23=0,0,SER_hh_fech!Q23/SER_summary!Q$26)</f>
        <v>53.729169170040628</v>
      </c>
      <c r="R23" s="132">
        <f>IF(SER_hh_fech!R23=0,0,SER_hh_fech!R23/SER_summary!R$26)</f>
        <v>53.319012678587058</v>
      </c>
      <c r="S23" s="132">
        <f>IF(SER_hh_fech!S23=0,0,SER_hh_fech!S23/SER_summary!S$26)</f>
        <v>52.186506406146997</v>
      </c>
      <c r="T23" s="132">
        <f>IF(SER_hh_fech!T23=0,0,SER_hh_fech!T23/SER_summary!T$26)</f>
        <v>47.826029466214614</v>
      </c>
      <c r="U23" s="132">
        <f>IF(SER_hh_fech!U23=0,0,SER_hh_fech!U23/SER_summary!U$26)</f>
        <v>46.476724558738411</v>
      </c>
      <c r="V23" s="132">
        <f>IF(SER_hh_fech!V23=0,0,SER_hh_fech!V23/SER_summary!V$26)</f>
        <v>44.314927508113094</v>
      </c>
      <c r="W23" s="132">
        <f>IF(SER_hh_fech!W23=0,0,SER_hh_fech!W23/SER_summary!W$26)</f>
        <v>45.220087327352005</v>
      </c>
      <c r="X23" s="132">
        <f>IF(SER_hh_fech!X23=0,0,SER_hh_fech!X23/SER_summary!X$26)</f>
        <v>47.536654421454919</v>
      </c>
      <c r="Y23" s="132">
        <f>IF(SER_hh_fech!Y23=0,0,SER_hh_fech!Y23/SER_summary!Y$26)</f>
        <v>45.827204606315554</v>
      </c>
      <c r="DA23" s="156" t="s">
        <v>497</v>
      </c>
    </row>
    <row r="24" spans="1:105" ht="12" customHeight="1" x14ac:dyDescent="0.25">
      <c r="A24" s="131" t="s">
        <v>128</v>
      </c>
      <c r="B24" s="132">
        <f>IF(SER_hh_fech!B24=0,0,SER_hh_fech!B24/SER_summary!B$26)</f>
        <v>48.441486012994012</v>
      </c>
      <c r="C24" s="132">
        <f>IF(SER_hh_fech!C24=0,0,SER_hh_fech!C24/SER_summary!C$26)</f>
        <v>29.599424273855512</v>
      </c>
      <c r="D24" s="132">
        <f>IF(SER_hh_fech!D24=0,0,SER_hh_fech!D24/SER_summary!D$26)</f>
        <v>55.900520392329419</v>
      </c>
      <c r="E24" s="132">
        <f>IF(SER_hh_fech!E24=0,0,SER_hh_fech!E24/SER_summary!E$26)</f>
        <v>54.960614760023383</v>
      </c>
      <c r="F24" s="132">
        <f>IF(SER_hh_fech!F24=0,0,SER_hh_fech!F24/SER_summary!F$26)</f>
        <v>55.786891532608401</v>
      </c>
      <c r="G24" s="132">
        <f>IF(SER_hh_fech!G24=0,0,SER_hh_fech!G24/SER_summary!G$26)</f>
        <v>63.80103643226623</v>
      </c>
      <c r="H24" s="132">
        <f>IF(SER_hh_fech!H24=0,0,SER_hh_fech!H24/SER_summary!H$26)</f>
        <v>69.349091355017677</v>
      </c>
      <c r="I24" s="132">
        <f>IF(SER_hh_fech!I24=0,0,SER_hh_fech!I24/SER_summary!I$26)</f>
        <v>69.695510048903074</v>
      </c>
      <c r="J24" s="132">
        <f>IF(SER_hh_fech!J24=0,0,SER_hh_fech!J24/SER_summary!J$26)</f>
        <v>68.400823506392825</v>
      </c>
      <c r="K24" s="132">
        <f>IF(SER_hh_fech!K24=0,0,SER_hh_fech!K24/SER_summary!K$26)</f>
        <v>64.901833438388891</v>
      </c>
      <c r="L24" s="132">
        <f>IF(SER_hh_fech!L24=0,0,SER_hh_fech!L24/SER_summary!L$26)</f>
        <v>59.744273589205356</v>
      </c>
      <c r="M24" s="132">
        <f>IF(SER_hh_fech!M24=0,0,SER_hh_fech!M24/SER_summary!M$26)</f>
        <v>56.268384029203162</v>
      </c>
      <c r="N24" s="132">
        <f>IF(SER_hh_fech!N24=0,0,SER_hh_fech!N24/SER_summary!N$26)</f>
        <v>52.906015952299526</v>
      </c>
      <c r="O24" s="132">
        <f>IF(SER_hh_fech!O24=0,0,SER_hh_fech!O24/SER_summary!O$26)</f>
        <v>50.073271110869946</v>
      </c>
      <c r="P24" s="132">
        <f>IF(SER_hh_fech!P24=0,0,SER_hh_fech!P24/SER_summary!P$26)</f>
        <v>51.022258252981715</v>
      </c>
      <c r="Q24" s="132">
        <f>IF(SER_hh_fech!Q24=0,0,SER_hh_fech!Q24/SER_summary!Q$26)</f>
        <v>54.813150840442646</v>
      </c>
      <c r="R24" s="132">
        <f>IF(SER_hh_fech!R24=0,0,SER_hh_fech!R24/SER_summary!R$26)</f>
        <v>50.545445561088478</v>
      </c>
      <c r="S24" s="132">
        <f>IF(SER_hh_fech!S24=0,0,SER_hh_fech!S24/SER_summary!S$26)</f>
        <v>47.859496439937494</v>
      </c>
      <c r="T24" s="132">
        <f>IF(SER_hh_fech!T24=0,0,SER_hh_fech!T24/SER_summary!T$26)</f>
        <v>54.136802518308386</v>
      </c>
      <c r="U24" s="132">
        <f>IF(SER_hh_fech!U24=0,0,SER_hh_fech!U24/SER_summary!U$26)</f>
        <v>45.538830874433764</v>
      </c>
      <c r="V24" s="132">
        <f>IF(SER_hh_fech!V24=0,0,SER_hh_fech!V24/SER_summary!V$26)</f>
        <v>45.222058195858061</v>
      </c>
      <c r="W24" s="132">
        <f>IF(SER_hh_fech!W24=0,0,SER_hh_fech!W24/SER_summary!W$26)</f>
        <v>50.662410679562242</v>
      </c>
      <c r="X24" s="132">
        <f>IF(SER_hh_fech!X24=0,0,SER_hh_fech!X24/SER_summary!X$26)</f>
        <v>50.461499392919279</v>
      </c>
      <c r="Y24" s="132">
        <f>IF(SER_hh_fech!Y24=0,0,SER_hh_fech!Y24/SER_summary!Y$26)</f>
        <v>52.391948733710144</v>
      </c>
      <c r="DA24" s="156" t="s">
        <v>498</v>
      </c>
    </row>
    <row r="25" spans="1:105" ht="12" customHeight="1" x14ac:dyDescent="0.25">
      <c r="A25" s="131" t="s">
        <v>162</v>
      </c>
      <c r="B25" s="132">
        <f>IF(SER_hh_fech!B25=0,0,SER_hh_fech!B25/SER_summary!B$26)</f>
        <v>40.251002138206495</v>
      </c>
      <c r="C25" s="132">
        <f>IF(SER_hh_fech!C25=0,0,SER_hh_fech!C25/SER_summary!C$26)</f>
        <v>26.507093118093032</v>
      </c>
      <c r="D25" s="132">
        <f>IF(SER_hh_fech!D25=0,0,SER_hh_fech!D25/SER_summary!D$26)</f>
        <v>15.32112161951447</v>
      </c>
      <c r="E25" s="132">
        <f>IF(SER_hh_fech!E25=0,0,SER_hh_fech!E25/SER_summary!E$26)</f>
        <v>33.401530607058376</v>
      </c>
      <c r="F25" s="132">
        <f>IF(SER_hh_fech!F25=0,0,SER_hh_fech!F25/SER_summary!F$26)</f>
        <v>28.239168535727881</v>
      </c>
      <c r="G25" s="132">
        <f>IF(SER_hh_fech!G25=0,0,SER_hh_fech!G25/SER_summary!G$26)</f>
        <v>45.404470058852446</v>
      </c>
      <c r="H25" s="132">
        <f>IF(SER_hh_fech!H25=0,0,SER_hh_fech!H25/SER_summary!H$26)</f>
        <v>41.707193995375171</v>
      </c>
      <c r="I25" s="132">
        <f>IF(SER_hh_fech!I25=0,0,SER_hh_fech!I25/SER_summary!I$26)</f>
        <v>39.554690611140209</v>
      </c>
      <c r="J25" s="132">
        <f>IF(SER_hh_fech!J25=0,0,SER_hh_fech!J25/SER_summary!J$26)</f>
        <v>45.58850288238628</v>
      </c>
      <c r="K25" s="132">
        <f>IF(SER_hh_fech!K25=0,0,SER_hh_fech!K25/SER_summary!K$26)</f>
        <v>41.930097555223021</v>
      </c>
      <c r="L25" s="132">
        <f>IF(SER_hh_fech!L25=0,0,SER_hh_fech!L25/SER_summary!L$26)</f>
        <v>39.760632395090184</v>
      </c>
      <c r="M25" s="132">
        <f>IF(SER_hh_fech!M25=0,0,SER_hh_fech!M25/SER_summary!M$26)</f>
        <v>41.426531010205572</v>
      </c>
      <c r="N25" s="132">
        <f>IF(SER_hh_fech!N25=0,0,SER_hh_fech!N25/SER_summary!N$26)</f>
        <v>42.376322007731616</v>
      </c>
      <c r="O25" s="132">
        <f>IF(SER_hh_fech!O25=0,0,SER_hh_fech!O25/SER_summary!O$26)</f>
        <v>43.22664628459718</v>
      </c>
      <c r="P25" s="132">
        <f>IF(SER_hh_fech!P25=0,0,SER_hh_fech!P25/SER_summary!P$26)</f>
        <v>40.918143359579219</v>
      </c>
      <c r="Q25" s="132">
        <f>IF(SER_hh_fech!Q25=0,0,SER_hh_fech!Q25/SER_summary!Q$26)</f>
        <v>43.077320725087709</v>
      </c>
      <c r="R25" s="132">
        <f>IF(SER_hh_fech!R25=0,0,SER_hh_fech!R25/SER_summary!R$26)</f>
        <v>44.305005609103674</v>
      </c>
      <c r="S25" s="132">
        <f>IF(SER_hh_fech!S25=0,0,SER_hh_fech!S25/SER_summary!S$26)</f>
        <v>42.945648802106199</v>
      </c>
      <c r="T25" s="132">
        <f>IF(SER_hh_fech!T25=0,0,SER_hh_fech!T25/SER_summary!T$26)</f>
        <v>41.937608442812007</v>
      </c>
      <c r="U25" s="132">
        <f>IF(SER_hh_fech!U25=0,0,SER_hh_fech!U25/SER_summary!U$26)</f>
        <v>39.416021331353086</v>
      </c>
      <c r="V25" s="132">
        <f>IF(SER_hh_fech!V25=0,0,SER_hh_fech!V25/SER_summary!V$26)</f>
        <v>40.173436870047873</v>
      </c>
      <c r="W25" s="132">
        <f>IF(SER_hh_fech!W25=0,0,SER_hh_fech!W25/SER_summary!W$26)</f>
        <v>43.674847380675786</v>
      </c>
      <c r="X25" s="132">
        <f>IF(SER_hh_fech!X25=0,0,SER_hh_fech!X25/SER_summary!X$26)</f>
        <v>40.234395449134787</v>
      </c>
      <c r="Y25" s="132">
        <f>IF(SER_hh_fech!Y25=0,0,SER_hh_fech!Y25/SER_summary!Y$26)</f>
        <v>43.982483036454113</v>
      </c>
      <c r="DA25" s="156" t="s">
        <v>499</v>
      </c>
    </row>
    <row r="26" spans="1:105" ht="12" customHeight="1" x14ac:dyDescent="0.25">
      <c r="A26" s="131" t="s">
        <v>24</v>
      </c>
      <c r="B26" s="65">
        <f>IF(SER_hh_fech!B26=0,0,SER_hh_fech!B26/SER_summary!B$26)</f>
        <v>43.500404295579585</v>
      </c>
      <c r="C26" s="65">
        <f>IF(SER_hh_fech!C26=0,0,SER_hh_fech!C26/SER_summary!C$26)</f>
        <v>87.167343326450478</v>
      </c>
      <c r="D26" s="65">
        <f>IF(SER_hh_fech!D26=0,0,SER_hh_fech!D26/SER_summary!D$26)</f>
        <v>7.5964245435501612</v>
      </c>
      <c r="E26" s="65">
        <f>IF(SER_hh_fech!E26=0,0,SER_hh_fech!E26/SER_summary!E$26)</f>
        <v>51.599719140974926</v>
      </c>
      <c r="F26" s="65">
        <f>IF(SER_hh_fech!F26=0,0,SER_hh_fech!F26/SER_summary!F$26)</f>
        <v>48.989156057489332</v>
      </c>
      <c r="G26" s="65">
        <f>IF(SER_hh_fech!G26=0,0,SER_hh_fech!G26/SER_summary!G$26)</f>
        <v>46.019908398503922</v>
      </c>
      <c r="H26" s="65">
        <f>IF(SER_hh_fech!H26=0,0,SER_hh_fech!H26/SER_summary!H$26)</f>
        <v>47.055837140444616</v>
      </c>
      <c r="I26" s="65">
        <f>IF(SER_hh_fech!I26=0,0,SER_hh_fech!I26/SER_summary!I$26)</f>
        <v>56.008921804229367</v>
      </c>
      <c r="J26" s="65">
        <f>IF(SER_hh_fech!J26=0,0,SER_hh_fech!J26/SER_summary!J$26)</f>
        <v>58.582228937383853</v>
      </c>
      <c r="K26" s="65">
        <f>IF(SER_hh_fech!K26=0,0,SER_hh_fech!K26/SER_summary!K$26)</f>
        <v>43.022090157180173</v>
      </c>
      <c r="L26" s="65">
        <f>IF(SER_hh_fech!L26=0,0,SER_hh_fech!L26/SER_summary!L$26)</f>
        <v>42.857643936236713</v>
      </c>
      <c r="M26" s="65">
        <f>IF(SER_hh_fech!M26=0,0,SER_hh_fech!M26/SER_summary!M$26)</f>
        <v>54.557265827013218</v>
      </c>
      <c r="N26" s="65">
        <f>IF(SER_hh_fech!N26=0,0,SER_hh_fech!N26/SER_summary!N$26)</f>
        <v>50.424832720073496</v>
      </c>
      <c r="O26" s="65">
        <f>IF(SER_hh_fech!O26=0,0,SER_hh_fech!O26/SER_summary!O$26)</f>
        <v>48.953038597392137</v>
      </c>
      <c r="P26" s="65">
        <f>IF(SER_hh_fech!P26=0,0,SER_hh_fech!P26/SER_summary!P$26)</f>
        <v>51.351329059665126</v>
      </c>
      <c r="Q26" s="65">
        <f>IF(SER_hh_fech!Q26=0,0,SER_hh_fech!Q26/SER_summary!Q$26)</f>
        <v>51.764743212350638</v>
      </c>
      <c r="R26" s="65">
        <f>IF(SER_hh_fech!R26=0,0,SER_hh_fech!R26/SER_summary!R$26)</f>
        <v>52.247140933652283</v>
      </c>
      <c r="S26" s="65">
        <f>IF(SER_hh_fech!S26=0,0,SER_hh_fech!S26/SER_summary!S$26)</f>
        <v>47.295745895700875</v>
      </c>
      <c r="T26" s="65">
        <f>IF(SER_hh_fech!T26=0,0,SER_hh_fech!T26/SER_summary!T$26)</f>
        <v>47.153762802530231</v>
      </c>
      <c r="U26" s="65">
        <f>IF(SER_hh_fech!U26=0,0,SER_hh_fech!U26/SER_summary!U$26)</f>
        <v>44.852841977904177</v>
      </c>
      <c r="V26" s="65">
        <f>IF(SER_hh_fech!V26=0,0,SER_hh_fech!V26/SER_summary!V$26)</f>
        <v>38.765917914159054</v>
      </c>
      <c r="W26" s="65">
        <f>IF(SER_hh_fech!W26=0,0,SER_hh_fech!W26/SER_summary!W$26)</f>
        <v>40.100110933332587</v>
      </c>
      <c r="X26" s="65">
        <f>IF(SER_hh_fech!X26=0,0,SER_hh_fech!X26/SER_summary!X$26)</f>
        <v>41.287549921586887</v>
      </c>
      <c r="Y26" s="65">
        <f>IF(SER_hh_fech!Y26=0,0,SER_hh_fech!Y26/SER_summary!Y$26)</f>
        <v>45.12579751834776</v>
      </c>
      <c r="DA26" s="109" t="s">
        <v>500</v>
      </c>
    </row>
    <row r="27" spans="1:105" ht="12" customHeight="1" x14ac:dyDescent="0.25">
      <c r="A27" s="144" t="s">
        <v>86</v>
      </c>
      <c r="B27" s="145">
        <f>IF(SER_hh_fech!B27=0,0,SER_hh_fech!B27/SER_summary!B$26)</f>
        <v>0</v>
      </c>
      <c r="C27" s="145">
        <f>IF(SER_hh_fech!C27=0,0,SER_hh_fech!C27/SER_summary!C$26)</f>
        <v>0</v>
      </c>
      <c r="D27" s="145">
        <f>IF(SER_hh_fech!D27=0,0,SER_hh_fech!D27/SER_summary!D$26)</f>
        <v>0</v>
      </c>
      <c r="E27" s="145">
        <f>IF(SER_hh_fech!E27=0,0,SER_hh_fech!E27/SER_summary!E$26)</f>
        <v>0</v>
      </c>
      <c r="F27" s="145">
        <f>IF(SER_hh_fech!F27=0,0,SER_hh_fech!F27/SER_summary!F$26)</f>
        <v>0</v>
      </c>
      <c r="G27" s="145">
        <f>IF(SER_hh_fech!G27=0,0,SER_hh_fech!G27/SER_summary!G$26)</f>
        <v>0</v>
      </c>
      <c r="H27" s="145">
        <f>IF(SER_hh_fech!H27=0,0,SER_hh_fech!H27/SER_summary!H$26)</f>
        <v>0</v>
      </c>
      <c r="I27" s="145">
        <f>IF(SER_hh_fech!I27=0,0,SER_hh_fech!I27/SER_summary!I$26)</f>
        <v>6.1774122191167917E-3</v>
      </c>
      <c r="J27" s="145">
        <f>IF(SER_hh_fech!J27=0,0,SER_hh_fech!J27/SER_summary!J$26)</f>
        <v>0</v>
      </c>
      <c r="K27" s="145">
        <f>IF(SER_hh_fech!K27=0,0,SER_hh_fech!K27/SER_summary!K$26)</f>
        <v>0</v>
      </c>
      <c r="L27" s="145">
        <f>IF(SER_hh_fech!L27=0,0,SER_hh_fech!L27/SER_summary!L$26)</f>
        <v>1.6892459869436608E-2</v>
      </c>
      <c r="M27" s="145">
        <f>IF(SER_hh_fech!M27=0,0,SER_hh_fech!M27/SER_summary!M$26)</f>
        <v>1.0845630787104425E-2</v>
      </c>
      <c r="N27" s="145">
        <f>IF(SER_hh_fech!N27=0,0,SER_hh_fech!N27/SER_summary!N$26)</f>
        <v>2.1130326089793015E-2</v>
      </c>
      <c r="O27" s="145">
        <f>IF(SER_hh_fech!O27=0,0,SER_hh_fech!O27/SER_summary!O$26)</f>
        <v>1.0099236178666258E-2</v>
      </c>
      <c r="P27" s="145">
        <f>IF(SER_hh_fech!P27=0,0,SER_hh_fech!P27/SER_summary!P$26)</f>
        <v>9.6943030123064142E-3</v>
      </c>
      <c r="Q27" s="145">
        <f>IF(SER_hh_fech!Q27=0,0,SER_hh_fech!Q27/SER_summary!Q$26)</f>
        <v>4.6106020247148301E-3</v>
      </c>
      <c r="R27" s="145">
        <f>IF(SER_hh_fech!R27=0,0,SER_hh_fech!R27/SER_summary!R$26)</f>
        <v>4.4371101061291326E-3</v>
      </c>
      <c r="S27" s="145">
        <f>IF(SER_hh_fech!S27=0,0,SER_hh_fech!S27/SER_summary!S$26)</f>
        <v>1.1082113575967686E-2</v>
      </c>
      <c r="T27" s="145">
        <f>IF(SER_hh_fech!T27=0,0,SER_hh_fech!T27/SER_summary!T$26)</f>
        <v>9.9276731550879075E-3</v>
      </c>
      <c r="U27" s="145">
        <f>IF(SER_hh_fech!U27=0,0,SER_hh_fech!U27/SER_summary!U$26)</f>
        <v>1.1357558711581919E-2</v>
      </c>
      <c r="V27" s="145">
        <f>IF(SER_hh_fech!V27=0,0,SER_hh_fech!V27/SER_summary!V$26)</f>
        <v>6.2584150913054994E-3</v>
      </c>
      <c r="W27" s="145">
        <f>IF(SER_hh_fech!W27=0,0,SER_hh_fech!W27/SER_summary!W$26)</f>
        <v>6.4879777259146468E-2</v>
      </c>
      <c r="X27" s="145">
        <f>IF(SER_hh_fech!X27=0,0,SER_hh_fech!X27/SER_summary!X$26)</f>
        <v>5.8350809441409184E-2</v>
      </c>
      <c r="Y27" s="145">
        <f>IF(SER_hh_fech!Y27=0,0,SER_hh_fech!Y27/SER_summary!Y$26)</f>
        <v>6.1235989110740963E-2</v>
      </c>
      <c r="DA27" s="158" t="s">
        <v>501</v>
      </c>
    </row>
    <row r="28" spans="1:105" ht="12" customHeight="1" x14ac:dyDescent="0.25">
      <c r="A28" s="78" t="s">
        <v>85</v>
      </c>
      <c r="B28" s="146">
        <f>IF(SER_hh_fech!B28=0,0,SER_hh_fech!B28/SER_summary!B$26)</f>
        <v>0</v>
      </c>
      <c r="C28" s="146">
        <f>IF(SER_hh_fech!C28=0,0,SER_hh_fech!C28/SER_summary!C$26)</f>
        <v>0</v>
      </c>
      <c r="D28" s="146">
        <f>IF(SER_hh_fech!D28=0,0,SER_hh_fech!D28/SER_summary!D$26)</f>
        <v>0</v>
      </c>
      <c r="E28" s="146">
        <f>IF(SER_hh_fech!E28=0,0,SER_hh_fech!E28/SER_summary!E$26)</f>
        <v>0</v>
      </c>
      <c r="F28" s="146">
        <f>IF(SER_hh_fech!F28=0,0,SER_hh_fech!F28/SER_summary!F$26)</f>
        <v>0</v>
      </c>
      <c r="G28" s="146">
        <f>IF(SER_hh_fech!G28=0,0,SER_hh_fech!G28/SER_summary!G$26)</f>
        <v>0</v>
      </c>
      <c r="H28" s="146">
        <f>IF(SER_hh_fech!H28=0,0,SER_hh_fech!H28/SER_summary!H$26)</f>
        <v>0</v>
      </c>
      <c r="I28" s="146">
        <f>IF(SER_hh_fech!I28=0,0,SER_hh_fech!I28/SER_summary!I$26)</f>
        <v>25.374089765513911</v>
      </c>
      <c r="J28" s="146">
        <f>IF(SER_hh_fech!J28=0,0,SER_hh_fech!J28/SER_summary!J$26)</f>
        <v>0</v>
      </c>
      <c r="K28" s="146">
        <f>IF(SER_hh_fech!K28=0,0,SER_hh_fech!K28/SER_summary!K$26)</f>
        <v>0</v>
      </c>
      <c r="L28" s="146">
        <f>IF(SER_hh_fech!L28=0,0,SER_hh_fech!L28/SER_summary!L$26)</f>
        <v>24.200813112268417</v>
      </c>
      <c r="M28" s="146">
        <f>IF(SER_hh_fech!M28=0,0,SER_hh_fech!M28/SER_summary!M$26)</f>
        <v>25.147292270858575</v>
      </c>
      <c r="N28" s="146">
        <f>IF(SER_hh_fech!N28=0,0,SER_hh_fech!N28/SER_summary!N$26)</f>
        <v>25.048133663947482</v>
      </c>
      <c r="O28" s="146">
        <f>IF(SER_hh_fech!O28=0,0,SER_hh_fech!O28/SER_summary!O$26)</f>
        <v>25.603614486564073</v>
      </c>
      <c r="P28" s="146">
        <f>IF(SER_hh_fech!P28=0,0,SER_hh_fech!P28/SER_summary!P$26)</f>
        <v>25.976100421137975</v>
      </c>
      <c r="Q28" s="146">
        <f>IF(SER_hh_fech!Q28=0,0,SER_hh_fech!Q28/SER_summary!Q$26)</f>
        <v>26.545028269324909</v>
      </c>
      <c r="R28" s="146">
        <f>IF(SER_hh_fech!R28=0,0,SER_hh_fech!R28/SER_summary!R$26)</f>
        <v>26.569231191058893</v>
      </c>
      <c r="S28" s="146">
        <f>IF(SER_hh_fech!S28=0,0,SER_hh_fech!S28/SER_summary!S$26)</f>
        <v>26.685533473634624</v>
      </c>
      <c r="T28" s="146">
        <f>IF(SER_hh_fech!T28=0,0,SER_hh_fech!T28/SER_summary!T$26)</f>
        <v>26.167815801298122</v>
      </c>
      <c r="U28" s="146">
        <f>IF(SER_hh_fech!U28=0,0,SER_hh_fech!U28/SER_summary!U$26)</f>
        <v>25.125969509921049</v>
      </c>
      <c r="V28" s="146">
        <f>IF(SER_hh_fech!V28=0,0,SER_hh_fech!V28/SER_summary!V$26)</f>
        <v>23.884937404801711</v>
      </c>
      <c r="W28" s="146">
        <f>IF(SER_hh_fech!W28=0,0,SER_hh_fech!W28/SER_summary!W$26)</f>
        <v>26.511517956398546</v>
      </c>
      <c r="X28" s="146">
        <f>IF(SER_hh_fech!X28=0,0,SER_hh_fech!X28/SER_summary!X$26)</f>
        <v>27.016170206879412</v>
      </c>
      <c r="Y28" s="146">
        <f>IF(SER_hh_fech!Y28=0,0,SER_hh_fech!Y28/SER_summary!Y$26)</f>
        <v>27.84910896084774</v>
      </c>
      <c r="DA28" s="159"/>
    </row>
    <row r="29" spans="1:105" ht="12.95" customHeight="1" x14ac:dyDescent="0.25">
      <c r="A29" s="129" t="s">
        <v>34</v>
      </c>
      <c r="B29" s="130">
        <f>IF(SER_hh_fech!B29=0,0,SER_hh_fech!B29/SER_summary!B$26)</f>
        <v>55.689025744776977</v>
      </c>
      <c r="C29" s="130">
        <f>IF(SER_hh_fech!C29=0,0,SER_hh_fech!C29/SER_summary!C$26)</f>
        <v>53.839716008590976</v>
      </c>
      <c r="D29" s="130">
        <f>IF(SER_hh_fech!D29=0,0,SER_hh_fech!D29/SER_summary!D$26)</f>
        <v>38.740162951367857</v>
      </c>
      <c r="E29" s="130">
        <f>IF(SER_hh_fech!E29=0,0,SER_hh_fech!E29/SER_summary!E$26)</f>
        <v>56.085862039072715</v>
      </c>
      <c r="F29" s="130">
        <f>IF(SER_hh_fech!F29=0,0,SER_hh_fech!F29/SER_summary!F$26)</f>
        <v>65.184453127617729</v>
      </c>
      <c r="G29" s="130">
        <f>IF(SER_hh_fech!G29=0,0,SER_hh_fech!G29/SER_summary!G$26)</f>
        <v>66.559563216814283</v>
      </c>
      <c r="H29" s="130">
        <f>IF(SER_hh_fech!H29=0,0,SER_hh_fech!H29/SER_summary!H$26)</f>
        <v>66.566697344818536</v>
      </c>
      <c r="I29" s="130">
        <f>IF(SER_hh_fech!I29=0,0,SER_hh_fech!I29/SER_summary!I$26)</f>
        <v>68.733275952361325</v>
      </c>
      <c r="J29" s="130">
        <f>IF(SER_hh_fech!J29=0,0,SER_hh_fech!J29/SER_summary!J$26)</f>
        <v>65.89190217907003</v>
      </c>
      <c r="K29" s="130">
        <f>IF(SER_hh_fech!K29=0,0,SER_hh_fech!K29/SER_summary!K$26)</f>
        <v>64.936547186466441</v>
      </c>
      <c r="L29" s="130">
        <f>IF(SER_hh_fech!L29=0,0,SER_hh_fech!L29/SER_summary!L$26)</f>
        <v>65.445492267938576</v>
      </c>
      <c r="M29" s="130">
        <f>IF(SER_hh_fech!M29=0,0,SER_hh_fech!M29/SER_summary!M$26)</f>
        <v>64.400955602401538</v>
      </c>
      <c r="N29" s="130">
        <f>IF(SER_hh_fech!N29=0,0,SER_hh_fech!N29/SER_summary!N$26)</f>
        <v>64.957243067874359</v>
      </c>
      <c r="O29" s="130">
        <f>IF(SER_hh_fech!O29=0,0,SER_hh_fech!O29/SER_summary!O$26)</f>
        <v>66.95945792771775</v>
      </c>
      <c r="P29" s="130">
        <f>IF(SER_hh_fech!P29=0,0,SER_hh_fech!P29/SER_summary!P$26)</f>
        <v>67.553601108319995</v>
      </c>
      <c r="Q29" s="130">
        <f>IF(SER_hh_fech!Q29=0,0,SER_hh_fech!Q29/SER_summary!Q$26)</f>
        <v>68.716078380368259</v>
      </c>
      <c r="R29" s="130">
        <f>IF(SER_hh_fech!R29=0,0,SER_hh_fech!R29/SER_summary!R$26)</f>
        <v>66.168571394904873</v>
      </c>
      <c r="S29" s="130">
        <f>IF(SER_hh_fech!S29=0,0,SER_hh_fech!S29/SER_summary!S$26)</f>
        <v>64.817229349891093</v>
      </c>
      <c r="T29" s="130">
        <f>IF(SER_hh_fech!T29=0,0,SER_hh_fech!T29/SER_summary!T$26)</f>
        <v>64.811519355866523</v>
      </c>
      <c r="U29" s="130">
        <f>IF(SER_hh_fech!U29=0,0,SER_hh_fech!U29/SER_summary!U$26)</f>
        <v>64.469328124519151</v>
      </c>
      <c r="V29" s="130">
        <f>IF(SER_hh_fech!V29=0,0,SER_hh_fech!V29/SER_summary!V$26)</f>
        <v>58.134547535073551</v>
      </c>
      <c r="W29" s="130">
        <f>IF(SER_hh_fech!W29=0,0,SER_hh_fech!W29/SER_summary!W$26)</f>
        <v>60.815792868488003</v>
      </c>
      <c r="X29" s="130">
        <f>IF(SER_hh_fech!X29=0,0,SER_hh_fech!X29/SER_summary!X$26)</f>
        <v>63.388567293244378</v>
      </c>
      <c r="Y29" s="130">
        <f>IF(SER_hh_fech!Y29=0,0,SER_hh_fech!Y29/SER_summary!Y$26)</f>
        <v>64.285755617492299</v>
      </c>
      <c r="DA29" s="155" t="s">
        <v>502</v>
      </c>
    </row>
    <row r="30" spans="1:105" ht="12" customHeight="1" x14ac:dyDescent="0.25">
      <c r="A30" s="131" t="s">
        <v>52</v>
      </c>
      <c r="B30" s="132">
        <f>IF(SER_hh_fech!B30=0,0,SER_hh_fech!B30/SER_summary!B$26)</f>
        <v>106.10684296239783</v>
      </c>
      <c r="C30" s="132">
        <f>IF(SER_hh_fech!C30=0,0,SER_hh_fech!C30/SER_summary!C$26)</f>
        <v>41.31822246272521</v>
      </c>
      <c r="D30" s="132">
        <f>IF(SER_hh_fech!D30=0,0,SER_hh_fech!D30/SER_summary!D$26)</f>
        <v>18.169031253578897</v>
      </c>
      <c r="E30" s="132">
        <f>IF(SER_hh_fech!E30=0,0,SER_hh_fech!E30/SER_summary!E$26)</f>
        <v>54.643068073132447</v>
      </c>
      <c r="F30" s="132">
        <f>IF(SER_hh_fech!F30=0,0,SER_hh_fech!F30/SER_summary!F$26)</f>
        <v>83.328830495575858</v>
      </c>
      <c r="G30" s="132">
        <f>IF(SER_hh_fech!G30=0,0,SER_hh_fech!G30/SER_summary!G$26)</f>
        <v>100.5756593691263</v>
      </c>
      <c r="H30" s="132">
        <f>IF(SER_hh_fech!H30=0,0,SER_hh_fech!H30/SER_summary!H$26)</f>
        <v>41.709410603053023</v>
      </c>
      <c r="I30" s="132">
        <f>IF(SER_hh_fech!I30=0,0,SER_hh_fech!I30/SER_summary!I$26)</f>
        <v>127.83989664828847</v>
      </c>
      <c r="J30" s="132">
        <f>IF(SER_hh_fech!J30=0,0,SER_hh_fech!J30/SER_summary!J$26)</f>
        <v>45.406322436389281</v>
      </c>
      <c r="K30" s="132">
        <f>IF(SER_hh_fech!K30=0,0,SER_hh_fech!K30/SER_summary!K$26)</f>
        <v>37.45793282440227</v>
      </c>
      <c r="L30" s="132">
        <f>IF(SER_hh_fech!L30=0,0,SER_hh_fech!L30/SER_summary!L$26)</f>
        <v>89.828412248530114</v>
      </c>
      <c r="M30" s="132">
        <f>IF(SER_hh_fech!M30=0,0,SER_hh_fech!M30/SER_summary!M$26)</f>
        <v>63.642542899128124</v>
      </c>
      <c r="N30" s="132">
        <f>IF(SER_hh_fech!N30=0,0,SER_hh_fech!N30/SER_summary!N$26)</f>
        <v>73.78178266302352</v>
      </c>
      <c r="O30" s="132">
        <f>IF(SER_hh_fech!O30=0,0,SER_hh_fech!O30/SER_summary!O$26)</f>
        <v>74.735475797889393</v>
      </c>
      <c r="P30" s="132">
        <f>IF(SER_hh_fech!P30=0,0,SER_hh_fech!P30/SER_summary!P$26)</f>
        <v>81.124174145755248</v>
      </c>
      <c r="Q30" s="132">
        <f>IF(SER_hh_fech!Q30=0,0,SER_hh_fech!Q30/SER_summary!Q$26)</f>
        <v>90.03250261694275</v>
      </c>
      <c r="R30" s="132">
        <f>IF(SER_hh_fech!R30=0,0,SER_hh_fech!R30/SER_summary!R$26)</f>
        <v>79.385168062031951</v>
      </c>
      <c r="S30" s="132">
        <f>IF(SER_hh_fech!S30=0,0,SER_hh_fech!S30/SER_summary!S$26)</f>
        <v>77.089136823323557</v>
      </c>
      <c r="T30" s="132">
        <f>IF(SER_hh_fech!T30=0,0,SER_hh_fech!T30/SER_summary!T$26)</f>
        <v>79.11275273958627</v>
      </c>
      <c r="U30" s="132">
        <f>IF(SER_hh_fech!U30=0,0,SER_hh_fech!U30/SER_summary!U$26)</f>
        <v>78.559011128762492</v>
      </c>
      <c r="V30" s="132">
        <f>IF(SER_hh_fech!V30=0,0,SER_hh_fech!V30/SER_summary!V$26)</f>
        <v>72.673206656630256</v>
      </c>
      <c r="W30" s="132">
        <f>IF(SER_hh_fech!W30=0,0,SER_hh_fech!W30/SER_summary!W$26)</f>
        <v>76.525072457066003</v>
      </c>
      <c r="X30" s="132">
        <f>IF(SER_hh_fech!X30=0,0,SER_hh_fech!X30/SER_summary!X$26)</f>
        <v>81.287660984951543</v>
      </c>
      <c r="Y30" s="132">
        <f>IF(SER_hh_fech!Y30=0,0,SER_hh_fech!Y30/SER_summary!Y$26)</f>
        <v>77.595560403000505</v>
      </c>
      <c r="DA30" s="156" t="s">
        <v>503</v>
      </c>
    </row>
    <row r="31" spans="1:105" ht="12" customHeight="1" x14ac:dyDescent="0.25">
      <c r="A31" s="131" t="s">
        <v>149</v>
      </c>
      <c r="B31" s="132">
        <f>IF(SER_hh_fech!B31=0,0,SER_hh_fech!B31/SER_summary!B$26)</f>
        <v>58.63690279642357</v>
      </c>
      <c r="C31" s="132">
        <f>IF(SER_hh_fech!C31=0,0,SER_hh_fech!C31/SER_summary!C$26)</f>
        <v>61.691036453723136</v>
      </c>
      <c r="D31" s="132">
        <f>IF(SER_hh_fech!D31=0,0,SER_hh_fech!D31/SER_summary!D$26)</f>
        <v>35.402104158019725</v>
      </c>
      <c r="E31" s="132">
        <f>IF(SER_hh_fech!E31=0,0,SER_hh_fech!E31/SER_summary!E$26)</f>
        <v>58.331517898593198</v>
      </c>
      <c r="F31" s="132">
        <f>IF(SER_hh_fech!F31=0,0,SER_hh_fech!F31/SER_summary!F$26)</f>
        <v>77.829346792052633</v>
      </c>
      <c r="G31" s="132">
        <f>IF(SER_hh_fech!G31=0,0,SER_hh_fech!G31/SER_summary!G$26)</f>
        <v>63.36451860815135</v>
      </c>
      <c r="H31" s="132">
        <f>IF(SER_hh_fech!H31=0,0,SER_hh_fech!H31/SER_summary!H$26)</f>
        <v>86.840298885403897</v>
      </c>
      <c r="I31" s="132">
        <f>IF(SER_hh_fech!I31=0,0,SER_hh_fech!I31/SER_summary!I$26)</f>
        <v>65.915005326344271</v>
      </c>
      <c r="J31" s="132">
        <f>IF(SER_hh_fech!J31=0,0,SER_hh_fech!J31/SER_summary!J$26)</f>
        <v>71.835747053761011</v>
      </c>
      <c r="K31" s="132">
        <f>IF(SER_hh_fech!K31=0,0,SER_hh_fech!K31/SER_summary!K$26)</f>
        <v>74.968792401886716</v>
      </c>
      <c r="L31" s="132">
        <f>IF(SER_hh_fech!L31=0,0,SER_hh_fech!L31/SER_summary!L$26)</f>
        <v>75.177758933719957</v>
      </c>
      <c r="M31" s="132">
        <f>IF(SER_hh_fech!M31=0,0,SER_hh_fech!M31/SER_summary!M$26)</f>
        <v>75.6701458547154</v>
      </c>
      <c r="N31" s="132">
        <f>IF(SER_hh_fech!N31=0,0,SER_hh_fech!N31/SER_summary!N$26)</f>
        <v>75.618793430433087</v>
      </c>
      <c r="O31" s="132">
        <f>IF(SER_hh_fech!O31=0,0,SER_hh_fech!O31/SER_summary!O$26)</f>
        <v>77.878157373397002</v>
      </c>
      <c r="P31" s="132">
        <f>IF(SER_hh_fech!P31=0,0,SER_hh_fech!P31/SER_summary!P$26)</f>
        <v>76.937997415030182</v>
      </c>
      <c r="Q31" s="132">
        <f>IF(SER_hh_fech!Q31=0,0,SER_hh_fech!Q31/SER_summary!Q$26)</f>
        <v>80.569554691518363</v>
      </c>
      <c r="R31" s="132">
        <f>IF(SER_hh_fech!R31=0,0,SER_hh_fech!R31/SER_summary!R$26)</f>
        <v>76.304963895666646</v>
      </c>
      <c r="S31" s="132">
        <f>IF(SER_hh_fech!S31=0,0,SER_hh_fech!S31/SER_summary!S$26)</f>
        <v>79.490950530422239</v>
      </c>
      <c r="T31" s="132">
        <f>IF(SER_hh_fech!T31=0,0,SER_hh_fech!T31/SER_summary!T$26)</f>
        <v>76.446552317993692</v>
      </c>
      <c r="U31" s="132">
        <f>IF(SER_hh_fech!U31=0,0,SER_hh_fech!U31/SER_summary!U$26)</f>
        <v>76.082391839471242</v>
      </c>
      <c r="V31" s="132">
        <f>IF(SER_hh_fech!V31=0,0,SER_hh_fech!V31/SER_summary!V$26)</f>
        <v>71.948468323251973</v>
      </c>
      <c r="W31" s="132">
        <f>IF(SER_hh_fech!W31=0,0,SER_hh_fech!W31/SER_summary!W$26)</f>
        <v>74.56416367403186</v>
      </c>
      <c r="X31" s="132">
        <f>IF(SER_hh_fech!X31=0,0,SER_hh_fech!X31/SER_summary!X$26)</f>
        <v>77.174053208859732</v>
      </c>
      <c r="Y31" s="132">
        <f>IF(SER_hh_fech!Y31=0,0,SER_hh_fech!Y31/SER_summary!Y$26)</f>
        <v>79.787243555972097</v>
      </c>
      <c r="DA31" s="156" t="s">
        <v>504</v>
      </c>
    </row>
    <row r="32" spans="1:105" ht="12" customHeight="1" x14ac:dyDescent="0.25">
      <c r="A32" s="131" t="s">
        <v>128</v>
      </c>
      <c r="B32" s="132">
        <f>IF(SER_hh_fech!B32=0,0,SER_hh_fech!B32/SER_summary!B$26)</f>
        <v>0</v>
      </c>
      <c r="C32" s="132">
        <f>IF(SER_hh_fech!C32=0,0,SER_hh_fech!C32/SER_summary!C$26)</f>
        <v>0</v>
      </c>
      <c r="D32" s="132">
        <f>IF(SER_hh_fech!D32=0,0,SER_hh_fech!D32/SER_summary!D$26)</f>
        <v>0</v>
      </c>
      <c r="E32" s="132">
        <f>IF(SER_hh_fech!E32=0,0,SER_hh_fech!E32/SER_summary!E$26)</f>
        <v>0</v>
      </c>
      <c r="F32" s="132">
        <f>IF(SER_hh_fech!F32=0,0,SER_hh_fech!F32/SER_summary!F$26)</f>
        <v>0</v>
      </c>
      <c r="G32" s="132">
        <f>IF(SER_hh_fech!G32=0,0,SER_hh_fech!G32/SER_summary!G$26)</f>
        <v>0</v>
      </c>
      <c r="H32" s="132">
        <f>IF(SER_hh_fech!H32=0,0,SER_hh_fech!H32/SER_summary!H$26)</f>
        <v>0</v>
      </c>
      <c r="I32" s="132">
        <f>IF(SER_hh_fech!I32=0,0,SER_hh_fech!I32/SER_summary!I$26)</f>
        <v>0</v>
      </c>
      <c r="J32" s="132">
        <f>IF(SER_hh_fech!J32=0,0,SER_hh_fech!J32/SER_summary!J$26)</f>
        <v>0</v>
      </c>
      <c r="K32" s="132">
        <f>IF(SER_hh_fech!K32=0,0,SER_hh_fech!K32/SER_summary!K$26)</f>
        <v>0</v>
      </c>
      <c r="L32" s="132">
        <f>IF(SER_hh_fech!L32=0,0,SER_hh_fech!L32/SER_summary!L$26)</f>
        <v>0</v>
      </c>
      <c r="M32" s="132">
        <f>IF(SER_hh_fech!M32=0,0,SER_hh_fech!M32/SER_summary!M$26)</f>
        <v>0</v>
      </c>
      <c r="N32" s="132">
        <f>IF(SER_hh_fech!N32=0,0,SER_hh_fech!N32/SER_summary!N$26)</f>
        <v>0</v>
      </c>
      <c r="O32" s="132">
        <f>IF(SER_hh_fech!O32=0,0,SER_hh_fech!O32/SER_summary!O$26)</f>
        <v>0</v>
      </c>
      <c r="P32" s="132">
        <f>IF(SER_hh_fech!P32=0,0,SER_hh_fech!P32/SER_summary!P$26)</f>
        <v>0</v>
      </c>
      <c r="Q32" s="132">
        <f>IF(SER_hh_fech!Q32=0,0,SER_hh_fech!Q32/SER_summary!Q$26)</f>
        <v>0</v>
      </c>
      <c r="R32" s="132">
        <f>IF(SER_hh_fech!R32=0,0,SER_hh_fech!R32/SER_summary!R$26)</f>
        <v>0</v>
      </c>
      <c r="S32" s="132">
        <f>IF(SER_hh_fech!S32=0,0,SER_hh_fech!S32/SER_summary!S$26)</f>
        <v>0</v>
      </c>
      <c r="T32" s="132">
        <f>IF(SER_hh_fech!T32=0,0,SER_hh_fech!T32/SER_summary!T$26)</f>
        <v>0</v>
      </c>
      <c r="U32" s="132">
        <f>IF(SER_hh_fech!U32=0,0,SER_hh_fech!U32/SER_summary!U$26)</f>
        <v>0</v>
      </c>
      <c r="V32" s="132">
        <f>IF(SER_hh_fech!V32=0,0,SER_hh_fech!V32/SER_summary!V$26)</f>
        <v>0</v>
      </c>
      <c r="W32" s="132">
        <f>IF(SER_hh_fech!W32=0,0,SER_hh_fech!W32/SER_summary!W$26)</f>
        <v>0</v>
      </c>
      <c r="X32" s="132">
        <f>IF(SER_hh_fech!X32=0,0,SER_hh_fech!X32/SER_summary!X$26)</f>
        <v>0</v>
      </c>
      <c r="Y32" s="132">
        <f>IF(SER_hh_fech!Y32=0,0,SER_hh_fech!Y32/SER_summary!Y$26)</f>
        <v>0</v>
      </c>
      <c r="DA32" s="156" t="s">
        <v>505</v>
      </c>
    </row>
    <row r="33" spans="1:105" ht="12" customHeight="1" x14ac:dyDescent="0.25">
      <c r="A33" s="62" t="s">
        <v>24</v>
      </c>
      <c r="B33" s="68">
        <f>IF(SER_hh_fech!B33=0,0,SER_hh_fech!B33/SER_summary!B$26)</f>
        <v>48.530892039014937</v>
      </c>
      <c r="C33" s="68">
        <f>IF(SER_hh_fech!C33=0,0,SER_hh_fech!C33/SER_summary!C$26)</f>
        <v>52.659253094742546</v>
      </c>
      <c r="D33" s="68">
        <f>IF(SER_hh_fech!D33=0,0,SER_hh_fech!D33/SER_summary!D$26)</f>
        <v>46.551864960329524</v>
      </c>
      <c r="E33" s="68">
        <f>IF(SER_hh_fech!E33=0,0,SER_hh_fech!E33/SER_summary!E$26)</f>
        <v>54.532483462252465</v>
      </c>
      <c r="F33" s="68">
        <f>IF(SER_hh_fech!F33=0,0,SER_hh_fech!F33/SER_summary!F$26)</f>
        <v>12.599998956760539</v>
      </c>
      <c r="G33" s="68">
        <f>IF(SER_hh_fech!G33=0,0,SER_hh_fech!G33/SER_summary!G$26)</f>
        <v>31.976282459167297</v>
      </c>
      <c r="H33" s="68">
        <f>IF(SER_hh_fech!H33=0,0,SER_hh_fech!H33/SER_summary!H$26)</f>
        <v>46.166190797096554</v>
      </c>
      <c r="I33" s="68">
        <f>IF(SER_hh_fech!I33=0,0,SER_hh_fech!I33/SER_summary!I$26)</f>
        <v>26.673469535543418</v>
      </c>
      <c r="J33" s="68">
        <f>IF(SER_hh_fech!J33=0,0,SER_hh_fech!J33/SER_summary!J$26)</f>
        <v>66.13272316214902</v>
      </c>
      <c r="K33" s="68">
        <f>IF(SER_hh_fech!K33=0,0,SER_hh_fech!K33/SER_summary!K$26)</f>
        <v>61.096627183079569</v>
      </c>
      <c r="L33" s="68">
        <f>IF(SER_hh_fech!L33=0,0,SER_hh_fech!L33/SER_summary!L$26)</f>
        <v>55.595475176249586</v>
      </c>
      <c r="M33" s="68">
        <f>IF(SER_hh_fech!M33=0,0,SER_hh_fech!M33/SER_summary!M$26)</f>
        <v>57.096496188770956</v>
      </c>
      <c r="N33" s="68">
        <f>IF(SER_hh_fech!N33=0,0,SER_hh_fech!N33/SER_summary!N$26)</f>
        <v>57.835368650782144</v>
      </c>
      <c r="O33" s="68">
        <f>IF(SER_hh_fech!O33=0,0,SER_hh_fech!O33/SER_summary!O$26)</f>
        <v>60.319999712608485</v>
      </c>
      <c r="P33" s="68">
        <f>IF(SER_hh_fech!P33=0,0,SER_hh_fech!P33/SER_summary!P$26)</f>
        <v>61.254936080329315</v>
      </c>
      <c r="Q33" s="68">
        <f>IF(SER_hh_fech!Q33=0,0,SER_hh_fech!Q33/SER_summary!Q$26)</f>
        <v>59.995435591797495</v>
      </c>
      <c r="R33" s="68">
        <f>IF(SER_hh_fech!R33=0,0,SER_hh_fech!R33/SER_summary!R$26)</f>
        <v>59.035627021900922</v>
      </c>
      <c r="S33" s="68">
        <f>IF(SER_hh_fech!S33=0,0,SER_hh_fech!S33/SER_summary!S$26)</f>
        <v>54.913228291338207</v>
      </c>
      <c r="T33" s="68">
        <f>IF(SER_hh_fech!T33=0,0,SER_hh_fech!T33/SER_summary!T$26)</f>
        <v>56.385627716894753</v>
      </c>
      <c r="U33" s="68">
        <f>IF(SER_hh_fech!U33=0,0,SER_hh_fech!U33/SER_summary!U$26)</f>
        <v>56.095716156831543</v>
      </c>
      <c r="V33" s="68">
        <f>IF(SER_hh_fech!V33=0,0,SER_hh_fech!V33/SER_summary!V$26)</f>
        <v>48.570561052833106</v>
      </c>
      <c r="W33" s="68">
        <f>IF(SER_hh_fech!W33=0,0,SER_hh_fech!W33/SER_summary!W$26)</f>
        <v>51.693918923491928</v>
      </c>
      <c r="X33" s="68">
        <f>IF(SER_hh_fech!X33=0,0,SER_hh_fech!X33/SER_summary!X$26)</f>
        <v>54.772380560930976</v>
      </c>
      <c r="Y33" s="68">
        <f>IF(SER_hh_fech!Y33=0,0,SER_hh_fech!Y33/SER_summary!Y$26)</f>
        <v>55.676705691965665</v>
      </c>
      <c r="DA33" s="111" t="s">
        <v>506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3">
    <tabColor theme="6" tint="0.39997558519241921"/>
    <pageSetUpPr fitToPage="1"/>
  </sheetPr>
  <dimension ref="A1:DA33"/>
  <sheetViews>
    <sheetView showGridLines="0" zoomScaleNormal="100" workbookViewId="0">
      <pane xSplit="1" ySplit="1" topLeftCell="G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40.7109375" style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12.95" customHeight="1" x14ac:dyDescent="0.25">
      <c r="A1" s="28" t="s">
        <v>507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X1" s="27">
        <v>2022</v>
      </c>
      <c r="Y1" s="27">
        <v>2023</v>
      </c>
      <c r="DA1" s="87" t="s">
        <v>150</v>
      </c>
    </row>
    <row r="2" spans="1:105" s="2" customFormat="1" ht="12" customHeight="1" x14ac:dyDescent="0.25">
      <c r="DA2" s="7"/>
    </row>
    <row r="3" spans="1:105" ht="12.95" customHeight="1" x14ac:dyDescent="0.25">
      <c r="A3" s="123" t="s">
        <v>91</v>
      </c>
      <c r="B3" s="125">
        <f>IF(SER_hh_tesh!B3=0,0,SER_hh_tesh!B3/SER_summary!B$26)</f>
        <v>269.78138219263718</v>
      </c>
      <c r="C3" s="125">
        <f>IF(SER_hh_tesh!C3=0,0,SER_hh_tesh!C3/SER_summary!C$26)</f>
        <v>313.57880963936367</v>
      </c>
      <c r="D3" s="125">
        <f>IF(SER_hh_tesh!D3=0,0,SER_hh_tesh!D3/SER_summary!D$26)</f>
        <v>136.65431989117891</v>
      </c>
      <c r="E3" s="125">
        <f>IF(SER_hh_tesh!E3=0,0,SER_hh_tesh!E3/SER_summary!E$26)</f>
        <v>230.00918559513164</v>
      </c>
      <c r="F3" s="125">
        <f>IF(SER_hh_tesh!F3=0,0,SER_hh_tesh!F3/SER_summary!F$26)</f>
        <v>238.85602257505857</v>
      </c>
      <c r="G3" s="125">
        <f>IF(SER_hh_tesh!G3=0,0,SER_hh_tesh!G3/SER_summary!G$26)</f>
        <v>302.66149358777653</v>
      </c>
      <c r="H3" s="125">
        <f>IF(SER_hh_tesh!H3=0,0,SER_hh_tesh!H3/SER_summary!H$26)</f>
        <v>367.96343247510788</v>
      </c>
      <c r="I3" s="125">
        <f>IF(SER_hh_tesh!I3=0,0,SER_hh_tesh!I3/SER_summary!I$26)</f>
        <v>314.08736683866312</v>
      </c>
      <c r="J3" s="125">
        <f>IF(SER_hh_tesh!J3=0,0,SER_hh_tesh!J3/SER_summary!J$26)</f>
        <v>260.76344751447192</v>
      </c>
      <c r="K3" s="125">
        <f>IF(SER_hh_tesh!K3=0,0,SER_hh_tesh!K3/SER_summary!K$26)</f>
        <v>242.41807921403466</v>
      </c>
      <c r="L3" s="125">
        <f>IF(SER_hh_tesh!L3=0,0,SER_hh_tesh!L3/SER_summary!L$26)</f>
        <v>252.4605347126128</v>
      </c>
      <c r="M3" s="125">
        <f>IF(SER_hh_tesh!M3=0,0,SER_hh_tesh!M3/SER_summary!M$26)</f>
        <v>231.80591413030822</v>
      </c>
      <c r="N3" s="125">
        <f>IF(SER_hh_tesh!N3=0,0,SER_hh_tesh!N3/SER_summary!N$26)</f>
        <v>224.70203695494854</v>
      </c>
      <c r="O3" s="125">
        <f>IF(SER_hh_tesh!O3=0,0,SER_hh_tesh!O3/SER_summary!O$26)</f>
        <v>211.36427927262812</v>
      </c>
      <c r="P3" s="125">
        <f>IF(SER_hh_tesh!P3=0,0,SER_hh_tesh!P3/SER_summary!P$26)</f>
        <v>198.79530060303807</v>
      </c>
      <c r="Q3" s="125">
        <f>IF(SER_hh_tesh!Q3=0,0,SER_hh_tesh!Q3/SER_summary!Q$26)</f>
        <v>196.98321874863009</v>
      </c>
      <c r="R3" s="125">
        <f>IF(SER_hh_tesh!R3=0,0,SER_hh_tesh!R3/SER_summary!R$26)</f>
        <v>196.89143987982592</v>
      </c>
      <c r="S3" s="125">
        <f>IF(SER_hh_tesh!S3=0,0,SER_hh_tesh!S3/SER_summary!S$26)</f>
        <v>201.42649788190437</v>
      </c>
      <c r="T3" s="125">
        <f>IF(SER_hh_tesh!T3=0,0,SER_hh_tesh!T3/SER_summary!T$26)</f>
        <v>200.97190741143891</v>
      </c>
      <c r="U3" s="125">
        <f>IF(SER_hh_tesh!U3=0,0,SER_hh_tesh!U3/SER_summary!U$26)</f>
        <v>197.44913456593054</v>
      </c>
      <c r="V3" s="125">
        <f>IF(SER_hh_tesh!V3=0,0,SER_hh_tesh!V3/SER_summary!V$26)</f>
        <v>180.49935397279339</v>
      </c>
      <c r="W3" s="125">
        <f>IF(SER_hh_tesh!W3=0,0,SER_hh_tesh!W3/SER_summary!W$26)</f>
        <v>199.35429485360166</v>
      </c>
      <c r="X3" s="125">
        <f>IF(SER_hh_tesh!X3=0,0,SER_hh_tesh!X3/SER_summary!X$26)</f>
        <v>207.89415164197453</v>
      </c>
      <c r="Y3" s="125">
        <f>IF(SER_hh_tesh!Y3=0,0,SER_hh_tesh!Y3/SER_summary!Y$26)</f>
        <v>236.03176367800208</v>
      </c>
      <c r="DA3" s="154" t="s">
        <v>508</v>
      </c>
    </row>
    <row r="4" spans="1:105" ht="12.95" customHeight="1" x14ac:dyDescent="0.25">
      <c r="A4" s="129" t="s">
        <v>32</v>
      </c>
      <c r="B4" s="130">
        <f>IF(SER_hh_tesh!B4=0,0,SER_hh_tesh!B4/SER_summary!B$26)</f>
        <v>206.87973264544553</v>
      </c>
      <c r="C4" s="130">
        <f>IF(SER_hh_tesh!C4=0,0,SER_hh_tesh!C4/SER_summary!C$26)</f>
        <v>249.14348002939414</v>
      </c>
      <c r="D4" s="130">
        <f>IF(SER_hh_tesh!D4=0,0,SER_hh_tesh!D4/SER_summary!D$26)</f>
        <v>95.440061464655187</v>
      </c>
      <c r="E4" s="130">
        <f>IF(SER_hh_tesh!E4=0,0,SER_hh_tesh!E4/SER_summary!E$26)</f>
        <v>164.15606550840806</v>
      </c>
      <c r="F4" s="130">
        <f>IF(SER_hh_tesh!F4=0,0,SER_hh_tesh!F4/SER_summary!F$26)</f>
        <v>167.02366855561002</v>
      </c>
      <c r="G4" s="130">
        <f>IF(SER_hh_tesh!G4=0,0,SER_hh_tesh!G4/SER_summary!G$26)</f>
        <v>228.91440725687502</v>
      </c>
      <c r="H4" s="130">
        <f>IF(SER_hh_tesh!H4=0,0,SER_hh_tesh!H4/SER_summary!H$26)</f>
        <v>291.77961558934527</v>
      </c>
      <c r="I4" s="130">
        <f>IF(SER_hh_tesh!I4=0,0,SER_hh_tesh!I4/SER_summary!I$26)</f>
        <v>235.34322846481069</v>
      </c>
      <c r="J4" s="130">
        <f>IF(SER_hh_tesh!J4=0,0,SER_hh_tesh!J4/SER_summary!J$26)</f>
        <v>180.56973426707546</v>
      </c>
      <c r="K4" s="130">
        <f>IF(SER_hh_tesh!K4=0,0,SER_hh_tesh!K4/SER_summary!K$26)</f>
        <v>161.89925454493482</v>
      </c>
      <c r="L4" s="130">
        <f>IF(SER_hh_tesh!L4=0,0,SER_hh_tesh!L4/SER_summary!L$26)</f>
        <v>171.5686255246587</v>
      </c>
      <c r="M4" s="130">
        <f>IF(SER_hh_tesh!M4=0,0,SER_hh_tesh!M4/SER_summary!M$26)</f>
        <v>149.95505540939831</v>
      </c>
      <c r="N4" s="130">
        <f>IF(SER_hh_tesh!N4=0,0,SER_hh_tesh!N4/SER_summary!N$26)</f>
        <v>139.91818427642889</v>
      </c>
      <c r="O4" s="130">
        <f>IF(SER_hh_tesh!O4=0,0,SER_hh_tesh!O4/SER_summary!O$26)</f>
        <v>125.77772337849228</v>
      </c>
      <c r="P4" s="130">
        <f>IF(SER_hh_tesh!P4=0,0,SER_hh_tesh!P4/SER_summary!P$26)</f>
        <v>112.17340841956725</v>
      </c>
      <c r="Q4" s="130">
        <f>IF(SER_hh_tesh!Q4=0,0,SER_hh_tesh!Q4/SER_summary!Q$26)</f>
        <v>107.6247997019539</v>
      </c>
      <c r="R4" s="130">
        <f>IF(SER_hh_tesh!R4=0,0,SER_hh_tesh!R4/SER_summary!R$26)</f>
        <v>109.94889366566356</v>
      </c>
      <c r="S4" s="130">
        <f>IF(SER_hh_tesh!S4=0,0,SER_hh_tesh!S4/SER_summary!S$26)</f>
        <v>115.14565491117544</v>
      </c>
      <c r="T4" s="130">
        <f>IF(SER_hh_tesh!T4=0,0,SER_hh_tesh!T4/SER_summary!T$26)</f>
        <v>115.4270275701227</v>
      </c>
      <c r="U4" s="130">
        <f>IF(SER_hh_tesh!U4=0,0,SER_hh_tesh!U4/SER_summary!U$26)</f>
        <v>112.38470058760352</v>
      </c>
      <c r="V4" s="130">
        <f>IF(SER_hh_tesh!V4=0,0,SER_hh_tesh!V4/SER_summary!V$26)</f>
        <v>101.96061340660795</v>
      </c>
      <c r="W4" s="130">
        <f>IF(SER_hh_tesh!W4=0,0,SER_hh_tesh!W4/SER_summary!W$26)</f>
        <v>113.9366836522224</v>
      </c>
      <c r="X4" s="130">
        <f>IF(SER_hh_tesh!X4=0,0,SER_hh_tesh!X4/SER_summary!X$26)</f>
        <v>118.74371875413048</v>
      </c>
      <c r="Y4" s="130">
        <f>IF(SER_hh_tesh!Y4=0,0,SER_hh_tesh!Y4/SER_summary!Y$26)</f>
        <v>144.27646212694484</v>
      </c>
      <c r="DA4" s="155" t="s">
        <v>509</v>
      </c>
    </row>
    <row r="5" spans="1:105" ht="12" customHeight="1" x14ac:dyDescent="0.25">
      <c r="A5" s="131" t="s">
        <v>29</v>
      </c>
      <c r="B5" s="132">
        <f>IF(SER_hh_tesh!B5=0,0,SER_hh_tesh!B5/SER_summary!B$26)</f>
        <v>111.18448758342929</v>
      </c>
      <c r="C5" s="132">
        <f>IF(SER_hh_tesh!C5=0,0,SER_hh_tesh!C5/SER_summary!C$26)</f>
        <v>237.47146163769176</v>
      </c>
      <c r="D5" s="132">
        <f>IF(SER_hh_tesh!D5=0,0,SER_hh_tesh!D5/SER_summary!D$26)</f>
        <v>152.27572218605798</v>
      </c>
      <c r="E5" s="132">
        <f>IF(SER_hh_tesh!E5=0,0,SER_hh_tesh!E5/SER_summary!E$26)</f>
        <v>134.64573812798736</v>
      </c>
      <c r="F5" s="132">
        <f>IF(SER_hh_tesh!F5=0,0,SER_hh_tesh!F5/SER_summary!F$26)</f>
        <v>93.904040601495836</v>
      </c>
      <c r="G5" s="132">
        <f>IF(SER_hh_tesh!G5=0,0,SER_hh_tesh!G5/SER_summary!G$26)</f>
        <v>58.399578277338726</v>
      </c>
      <c r="H5" s="132">
        <f>IF(SER_hh_tesh!H5=0,0,SER_hh_tesh!H5/SER_summary!H$26)</f>
        <v>452.70186050410774</v>
      </c>
      <c r="I5" s="132">
        <f>IF(SER_hh_tesh!I5=0,0,SER_hh_tesh!I5/SER_summary!I$26)</f>
        <v>269.81914901090619</v>
      </c>
      <c r="J5" s="132">
        <f>IF(SER_hh_tesh!J5=0,0,SER_hh_tesh!J5/SER_summary!J$26)</f>
        <v>107.18197314277513</v>
      </c>
      <c r="K5" s="132">
        <f>IF(SER_hh_tesh!K5=0,0,SER_hh_tesh!K5/SER_summary!K$26)</f>
        <v>69.892361441327878</v>
      </c>
      <c r="L5" s="132">
        <f>IF(SER_hh_tesh!L5=0,0,SER_hh_tesh!L5/SER_summary!L$26)</f>
        <v>176.47011363669623</v>
      </c>
      <c r="M5" s="132">
        <f>IF(SER_hh_tesh!M5=0,0,SER_hh_tesh!M5/SER_summary!M$26)</f>
        <v>191.60102218830536</v>
      </c>
      <c r="N5" s="132">
        <f>IF(SER_hh_tesh!N5=0,0,SER_hh_tesh!N5/SER_summary!N$26)</f>
        <v>103.4981508583528</v>
      </c>
      <c r="O5" s="132">
        <f>IF(SER_hh_tesh!O5=0,0,SER_hh_tesh!O5/SER_summary!O$26)</f>
        <v>149.81681827304368</v>
      </c>
      <c r="P5" s="132">
        <f>IF(SER_hh_tesh!P5=0,0,SER_hh_tesh!P5/SER_summary!P$26)</f>
        <v>93.667718833806106</v>
      </c>
      <c r="Q5" s="132">
        <f>IF(SER_hh_tesh!Q5=0,0,SER_hh_tesh!Q5/SER_summary!Q$26)</f>
        <v>98.40617417216005</v>
      </c>
      <c r="R5" s="132">
        <f>IF(SER_hh_tesh!R5=0,0,SER_hh_tesh!R5/SER_summary!R$26)</f>
        <v>175.23625968214341</v>
      </c>
      <c r="S5" s="132">
        <f>IF(SER_hh_tesh!S5=0,0,SER_hh_tesh!S5/SER_summary!S$26)</f>
        <v>0</v>
      </c>
      <c r="T5" s="132">
        <f>IF(SER_hh_tesh!T5=0,0,SER_hh_tesh!T5/SER_summary!T$26)</f>
        <v>169.58409252178379</v>
      </c>
      <c r="U5" s="132">
        <f>IF(SER_hh_tesh!U5=0,0,SER_hh_tesh!U5/SER_summary!U$26)</f>
        <v>141.76070074509431</v>
      </c>
      <c r="V5" s="132">
        <f>IF(SER_hh_tesh!V5=0,0,SER_hh_tesh!V5/SER_summary!V$26)</f>
        <v>39.588078586419826</v>
      </c>
      <c r="W5" s="132">
        <f>IF(SER_hh_tesh!W5=0,0,SER_hh_tesh!W5/SER_summary!W$26)</f>
        <v>107.63350905619316</v>
      </c>
      <c r="X5" s="132">
        <f>IF(SER_hh_tesh!X5=0,0,SER_hh_tesh!X5/SER_summary!X$26)</f>
        <v>140.01343934929378</v>
      </c>
      <c r="Y5" s="132">
        <f>IF(SER_hh_tesh!Y5=0,0,SER_hh_tesh!Y5/SER_summary!Y$26)</f>
        <v>87.623892722666511</v>
      </c>
      <c r="DA5" s="156" t="s">
        <v>510</v>
      </c>
    </row>
    <row r="6" spans="1:105" ht="12" customHeight="1" x14ac:dyDescent="0.25">
      <c r="A6" s="131" t="s">
        <v>52</v>
      </c>
      <c r="B6" s="132">
        <f>IF(SER_hh_tesh!B6=0,0,SER_hh_tesh!B6/SER_summary!B$26)</f>
        <v>0</v>
      </c>
      <c r="C6" s="132">
        <f>IF(SER_hh_tesh!C6=0,0,SER_hh_tesh!C6/SER_summary!C$26)</f>
        <v>0</v>
      </c>
      <c r="D6" s="132">
        <f>IF(SER_hh_tesh!D6=0,0,SER_hh_tesh!D6/SER_summary!D$26)</f>
        <v>0</v>
      </c>
      <c r="E6" s="132">
        <f>IF(SER_hh_tesh!E6=0,0,SER_hh_tesh!E6/SER_summary!E$26)</f>
        <v>0</v>
      </c>
      <c r="F6" s="132">
        <f>IF(SER_hh_tesh!F6=0,0,SER_hh_tesh!F6/SER_summary!F$26)</f>
        <v>0</v>
      </c>
      <c r="G6" s="132">
        <f>IF(SER_hh_tesh!G6=0,0,SER_hh_tesh!G6/SER_summary!G$26)</f>
        <v>0</v>
      </c>
      <c r="H6" s="132">
        <f>IF(SER_hh_tesh!H6=0,0,SER_hh_tesh!H6/SER_summary!H$26)</f>
        <v>0</v>
      </c>
      <c r="I6" s="132">
        <f>IF(SER_hh_tesh!I6=0,0,SER_hh_tesh!I6/SER_summary!I$26)</f>
        <v>0</v>
      </c>
      <c r="J6" s="132">
        <f>IF(SER_hh_tesh!J6=0,0,SER_hh_tesh!J6/SER_summary!J$26)</f>
        <v>0</v>
      </c>
      <c r="K6" s="132">
        <f>IF(SER_hh_tesh!K6=0,0,SER_hh_tesh!K6/SER_summary!K$26)</f>
        <v>0</v>
      </c>
      <c r="L6" s="132">
        <f>IF(SER_hh_tesh!L6=0,0,SER_hh_tesh!L6/SER_summary!L$26)</f>
        <v>0</v>
      </c>
      <c r="M6" s="132">
        <f>IF(SER_hh_tesh!M6=0,0,SER_hh_tesh!M6/SER_summary!M$26)</f>
        <v>0</v>
      </c>
      <c r="N6" s="132">
        <f>IF(SER_hh_tesh!N6=0,0,SER_hh_tesh!N6/SER_summary!N$26)</f>
        <v>0</v>
      </c>
      <c r="O6" s="132">
        <f>IF(SER_hh_tesh!O6=0,0,SER_hh_tesh!O6/SER_summary!O$26)</f>
        <v>0</v>
      </c>
      <c r="P6" s="132">
        <f>IF(SER_hh_tesh!P6=0,0,SER_hh_tesh!P6/SER_summary!P$26)</f>
        <v>0</v>
      </c>
      <c r="Q6" s="132">
        <f>IF(SER_hh_tesh!Q6=0,0,SER_hh_tesh!Q6/SER_summary!Q$26)</f>
        <v>0</v>
      </c>
      <c r="R6" s="132">
        <f>IF(SER_hh_tesh!R6=0,0,SER_hh_tesh!R6/SER_summary!R$26)</f>
        <v>0</v>
      </c>
      <c r="S6" s="132">
        <f>IF(SER_hh_tesh!S6=0,0,SER_hh_tesh!S6/SER_summary!S$26)</f>
        <v>0</v>
      </c>
      <c r="T6" s="132">
        <f>IF(SER_hh_tesh!T6=0,0,SER_hh_tesh!T6/SER_summary!T$26)</f>
        <v>0</v>
      </c>
      <c r="U6" s="132">
        <f>IF(SER_hh_tesh!U6=0,0,SER_hh_tesh!U6/SER_summary!U$26)</f>
        <v>0</v>
      </c>
      <c r="V6" s="132">
        <f>IF(SER_hh_tesh!V6=0,0,SER_hh_tesh!V6/SER_summary!V$26)</f>
        <v>0</v>
      </c>
      <c r="W6" s="132">
        <f>IF(SER_hh_tesh!W6=0,0,SER_hh_tesh!W6/SER_summary!W$26)</f>
        <v>0</v>
      </c>
      <c r="X6" s="132">
        <f>IF(SER_hh_tesh!X6=0,0,SER_hh_tesh!X6/SER_summary!X$26)</f>
        <v>0</v>
      </c>
      <c r="Y6" s="132">
        <f>IF(SER_hh_tesh!Y6=0,0,SER_hh_tesh!Y6/SER_summary!Y$26)</f>
        <v>0</v>
      </c>
      <c r="DA6" s="156" t="s">
        <v>511</v>
      </c>
    </row>
    <row r="7" spans="1:105" ht="12" customHeight="1" x14ac:dyDescent="0.25">
      <c r="A7" s="131" t="s">
        <v>161</v>
      </c>
      <c r="B7" s="132">
        <f>IF(SER_hh_tesh!B7=0,0,SER_hh_tesh!B7/SER_summary!B$26)</f>
        <v>183.46888728112467</v>
      </c>
      <c r="C7" s="132">
        <f>IF(SER_hh_tesh!C7=0,0,SER_hh_tesh!C7/SER_summary!C$26)</f>
        <v>130.51763629617543</v>
      </c>
      <c r="D7" s="132">
        <f>IF(SER_hh_tesh!D7=0,0,SER_hh_tesh!D7/SER_summary!D$26)</f>
        <v>138.66449032366376</v>
      </c>
      <c r="E7" s="132">
        <f>IF(SER_hh_tesh!E7=0,0,SER_hh_tesh!E7/SER_summary!E$26)</f>
        <v>124.05593147045926</v>
      </c>
      <c r="F7" s="132">
        <f>IF(SER_hh_tesh!F7=0,0,SER_hh_tesh!F7/SER_summary!F$26)</f>
        <v>212.61230185618646</v>
      </c>
      <c r="G7" s="132">
        <f>IF(SER_hh_tesh!G7=0,0,SER_hh_tesh!G7/SER_summary!G$26)</f>
        <v>236.21844188370025</v>
      </c>
      <c r="H7" s="132">
        <f>IF(SER_hh_tesh!H7=0,0,SER_hh_tesh!H7/SER_summary!H$26)</f>
        <v>168.40791774771577</v>
      </c>
      <c r="I7" s="132">
        <f>IF(SER_hh_tesh!I7=0,0,SER_hh_tesh!I7/SER_summary!I$26)</f>
        <v>267.80161912798275</v>
      </c>
      <c r="J7" s="132">
        <f>IF(SER_hh_tesh!J7=0,0,SER_hh_tesh!J7/SER_summary!J$26)</f>
        <v>224.28718956905263</v>
      </c>
      <c r="K7" s="132">
        <f>IF(SER_hh_tesh!K7=0,0,SER_hh_tesh!K7/SER_summary!K$26)</f>
        <v>105.39058624729144</v>
      </c>
      <c r="L7" s="132">
        <f>IF(SER_hh_tesh!L7=0,0,SER_hh_tesh!L7/SER_summary!L$26)</f>
        <v>108.93433063292758</v>
      </c>
      <c r="M7" s="132">
        <f>IF(SER_hh_tesh!M7=0,0,SER_hh_tesh!M7/SER_summary!M$26)</f>
        <v>189.18976085527476</v>
      </c>
      <c r="N7" s="132">
        <f>IF(SER_hh_tesh!N7=0,0,SER_hh_tesh!N7/SER_summary!N$26)</f>
        <v>149.58632835430004</v>
      </c>
      <c r="O7" s="132">
        <f>IF(SER_hh_tesh!O7=0,0,SER_hh_tesh!O7/SER_summary!O$26)</f>
        <v>113.34937721768088</v>
      </c>
      <c r="P7" s="132">
        <f>IF(SER_hh_tesh!P7=0,0,SER_hh_tesh!P7/SER_summary!P$26)</f>
        <v>103.68689886597336</v>
      </c>
      <c r="Q7" s="132">
        <f>IF(SER_hh_tesh!Q7=0,0,SER_hh_tesh!Q7/SER_summary!Q$26)</f>
        <v>103.58640211895701</v>
      </c>
      <c r="R7" s="132">
        <f>IF(SER_hh_tesh!R7=0,0,SER_hh_tesh!R7/SER_summary!R$26)</f>
        <v>98.579478743236535</v>
      </c>
      <c r="S7" s="132">
        <f>IF(SER_hh_tesh!S7=0,0,SER_hh_tesh!S7/SER_summary!S$26)</f>
        <v>118.1850780119008</v>
      </c>
      <c r="T7" s="132">
        <f>IF(SER_hh_tesh!T7=0,0,SER_hh_tesh!T7/SER_summary!T$26)</f>
        <v>117.89413659869457</v>
      </c>
      <c r="U7" s="132">
        <f>IF(SER_hh_tesh!U7=0,0,SER_hh_tesh!U7/SER_summary!U$26)</f>
        <v>108.21150791617379</v>
      </c>
      <c r="V7" s="132">
        <f>IF(SER_hh_tesh!V7=0,0,SER_hh_tesh!V7/SER_summary!V$26)</f>
        <v>89.793041725266079</v>
      </c>
      <c r="W7" s="132">
        <f>IF(SER_hh_tesh!W7=0,0,SER_hh_tesh!W7/SER_summary!W$26)</f>
        <v>124.80348021638038</v>
      </c>
      <c r="X7" s="132">
        <f>IF(SER_hh_tesh!X7=0,0,SER_hh_tesh!X7/SER_summary!X$26)</f>
        <v>127.55989412298965</v>
      </c>
      <c r="Y7" s="132">
        <f>IF(SER_hh_tesh!Y7=0,0,SER_hh_tesh!Y7/SER_summary!Y$26)</f>
        <v>133.88067596952905</v>
      </c>
      <c r="DA7" s="156" t="s">
        <v>512</v>
      </c>
    </row>
    <row r="8" spans="1:105" ht="12" customHeight="1" x14ac:dyDescent="0.25">
      <c r="A8" s="131" t="s">
        <v>73</v>
      </c>
      <c r="B8" s="132">
        <f>IF(SER_hh_tesh!B8=0,0,SER_hh_tesh!B8/SER_summary!B$26)</f>
        <v>0</v>
      </c>
      <c r="C8" s="132">
        <f>IF(SER_hh_tesh!C8=0,0,SER_hh_tesh!C8/SER_summary!C$26)</f>
        <v>0</v>
      </c>
      <c r="D8" s="132">
        <f>IF(SER_hh_tesh!D8=0,0,SER_hh_tesh!D8/SER_summary!D$26)</f>
        <v>0</v>
      </c>
      <c r="E8" s="132">
        <f>IF(SER_hh_tesh!E8=0,0,SER_hh_tesh!E8/SER_summary!E$26)</f>
        <v>0</v>
      </c>
      <c r="F8" s="132">
        <f>IF(SER_hh_tesh!F8=0,0,SER_hh_tesh!F8/SER_summary!F$26)</f>
        <v>0</v>
      </c>
      <c r="G8" s="132">
        <f>IF(SER_hh_tesh!G8=0,0,SER_hh_tesh!G8/SER_summary!G$26)</f>
        <v>0</v>
      </c>
      <c r="H8" s="132">
        <f>IF(SER_hh_tesh!H8=0,0,SER_hh_tesh!H8/SER_summary!H$26)</f>
        <v>0</v>
      </c>
      <c r="I8" s="132">
        <f>IF(SER_hh_tesh!I8=0,0,SER_hh_tesh!I8/SER_summary!I$26)</f>
        <v>0</v>
      </c>
      <c r="J8" s="132">
        <f>IF(SER_hh_tesh!J8=0,0,SER_hh_tesh!J8/SER_summary!J$26)</f>
        <v>0</v>
      </c>
      <c r="K8" s="132">
        <f>IF(SER_hh_tesh!K8=0,0,SER_hh_tesh!K8/SER_summary!K$26)</f>
        <v>0</v>
      </c>
      <c r="L8" s="132">
        <f>IF(SER_hh_tesh!L8=0,0,SER_hh_tesh!L8/SER_summary!L$26)</f>
        <v>0</v>
      </c>
      <c r="M8" s="132">
        <f>IF(SER_hh_tesh!M8=0,0,SER_hh_tesh!M8/SER_summary!M$26)</f>
        <v>0</v>
      </c>
      <c r="N8" s="132">
        <f>IF(SER_hh_tesh!N8=0,0,SER_hh_tesh!N8/SER_summary!N$26)</f>
        <v>0</v>
      </c>
      <c r="O8" s="132">
        <f>IF(SER_hh_tesh!O8=0,0,SER_hh_tesh!O8/SER_summary!O$26)</f>
        <v>0</v>
      </c>
      <c r="P8" s="132">
        <f>IF(SER_hh_tesh!P8=0,0,SER_hh_tesh!P8/SER_summary!P$26)</f>
        <v>0</v>
      </c>
      <c r="Q8" s="132">
        <f>IF(SER_hh_tesh!Q8=0,0,SER_hh_tesh!Q8/SER_summary!Q$26)</f>
        <v>0</v>
      </c>
      <c r="R8" s="132">
        <f>IF(SER_hh_tesh!R8=0,0,SER_hh_tesh!R8/SER_summary!R$26)</f>
        <v>0</v>
      </c>
      <c r="S8" s="132">
        <f>IF(SER_hh_tesh!S8=0,0,SER_hh_tesh!S8/SER_summary!S$26)</f>
        <v>0</v>
      </c>
      <c r="T8" s="132">
        <f>IF(SER_hh_tesh!T8=0,0,SER_hh_tesh!T8/SER_summary!T$26)</f>
        <v>0</v>
      </c>
      <c r="U8" s="132">
        <f>IF(SER_hh_tesh!U8=0,0,SER_hh_tesh!U8/SER_summary!U$26)</f>
        <v>0</v>
      </c>
      <c r="V8" s="132">
        <f>IF(SER_hh_tesh!V8=0,0,SER_hh_tesh!V8/SER_summary!V$26)</f>
        <v>0</v>
      </c>
      <c r="W8" s="132">
        <f>IF(SER_hh_tesh!W8=0,0,SER_hh_tesh!W8/SER_summary!W$26)</f>
        <v>0</v>
      </c>
      <c r="X8" s="132">
        <f>IF(SER_hh_tesh!X8=0,0,SER_hh_tesh!X8/SER_summary!X$26)</f>
        <v>0</v>
      </c>
      <c r="Y8" s="132">
        <f>IF(SER_hh_tesh!Y8=0,0,SER_hh_tesh!Y8/SER_summary!Y$26)</f>
        <v>0</v>
      </c>
      <c r="DA8" s="156" t="s">
        <v>513</v>
      </c>
    </row>
    <row r="9" spans="1:105" ht="12" customHeight="1" x14ac:dyDescent="0.25">
      <c r="A9" s="131" t="s">
        <v>78</v>
      </c>
      <c r="B9" s="132">
        <f>IF(SER_hh_tesh!B9=0,0,SER_hh_tesh!B9/SER_summary!B$26)</f>
        <v>150.31513411105033</v>
      </c>
      <c r="C9" s="132">
        <f>IF(SER_hh_tesh!C9=0,0,SER_hh_tesh!C9/SER_summary!C$26)</f>
        <v>355.91556882542699</v>
      </c>
      <c r="D9" s="132">
        <f>IF(SER_hh_tesh!D9=0,0,SER_hh_tesh!D9/SER_summary!D$26)</f>
        <v>32.641792655887734</v>
      </c>
      <c r="E9" s="132">
        <f>IF(SER_hh_tesh!E9=0,0,SER_hh_tesh!E9/SER_summary!E$26)</f>
        <v>179.58233178003715</v>
      </c>
      <c r="F9" s="132">
        <f>IF(SER_hh_tesh!F9=0,0,SER_hh_tesh!F9/SER_summary!F$26)</f>
        <v>180.95813562248014</v>
      </c>
      <c r="G9" s="132">
        <f>IF(SER_hh_tesh!G9=0,0,SER_hh_tesh!G9/SER_summary!G$26)</f>
        <v>183.41270920280704</v>
      </c>
      <c r="H9" s="132">
        <f>IF(SER_hh_tesh!H9=0,0,SER_hh_tesh!H9/SER_summary!H$26)</f>
        <v>346.52785451037164</v>
      </c>
      <c r="I9" s="132">
        <f>IF(SER_hh_tesh!I9=0,0,SER_hh_tesh!I9/SER_summary!I$26)</f>
        <v>227.57246327939021</v>
      </c>
      <c r="J9" s="132">
        <f>IF(SER_hh_tesh!J9=0,0,SER_hh_tesh!J9/SER_summary!J$26)</f>
        <v>155.89852935357536</v>
      </c>
      <c r="K9" s="132">
        <f>IF(SER_hh_tesh!K9=0,0,SER_hh_tesh!K9/SER_summary!K$26)</f>
        <v>175.59945845098159</v>
      </c>
      <c r="L9" s="132">
        <f>IF(SER_hh_tesh!L9=0,0,SER_hh_tesh!L9/SER_summary!L$26)</f>
        <v>175.70896278972725</v>
      </c>
      <c r="M9" s="132">
        <f>IF(SER_hh_tesh!M9=0,0,SER_hh_tesh!M9/SER_summary!M$26)</f>
        <v>133.43239975682098</v>
      </c>
      <c r="N9" s="132">
        <f>IF(SER_hh_tesh!N9=0,0,SER_hh_tesh!N9/SER_summary!N$26)</f>
        <v>133.77292111477831</v>
      </c>
      <c r="O9" s="132">
        <f>IF(SER_hh_tesh!O9=0,0,SER_hh_tesh!O9/SER_summary!O$26)</f>
        <v>127.17779380188831</v>
      </c>
      <c r="P9" s="132">
        <f>IF(SER_hh_tesh!P9=0,0,SER_hh_tesh!P9/SER_summary!P$26)</f>
        <v>117.16035184534149</v>
      </c>
      <c r="Q9" s="132">
        <f>IF(SER_hh_tesh!Q9=0,0,SER_hh_tesh!Q9/SER_summary!Q$26)</f>
        <v>104.76619056359937</v>
      </c>
      <c r="R9" s="132">
        <f>IF(SER_hh_tesh!R9=0,0,SER_hh_tesh!R9/SER_summary!R$26)</f>
        <v>105.34269781670172</v>
      </c>
      <c r="S9" s="132">
        <f>IF(SER_hh_tesh!S9=0,0,SER_hh_tesh!S9/SER_summary!S$26)</f>
        <v>112.56304131750173</v>
      </c>
      <c r="T9" s="132">
        <f>IF(SER_hh_tesh!T9=0,0,SER_hh_tesh!T9/SER_summary!T$26)</f>
        <v>112.49196496012884</v>
      </c>
      <c r="U9" s="132">
        <f>IF(SER_hh_tesh!U9=0,0,SER_hh_tesh!U9/SER_summary!U$26)</f>
        <v>111.61316295606109</v>
      </c>
      <c r="V9" s="132">
        <f>IF(SER_hh_tesh!V9=0,0,SER_hh_tesh!V9/SER_summary!V$26)</f>
        <v>105.26770000913305</v>
      </c>
      <c r="W9" s="132">
        <f>IF(SER_hh_tesh!W9=0,0,SER_hh_tesh!W9/SER_summary!W$26)</f>
        <v>104.53804694373298</v>
      </c>
      <c r="X9" s="132">
        <f>IF(SER_hh_tesh!X9=0,0,SER_hh_tesh!X9/SER_summary!X$26)</f>
        <v>112.0648436168559</v>
      </c>
      <c r="Y9" s="132">
        <f>IF(SER_hh_tesh!Y9=0,0,SER_hh_tesh!Y9/SER_summary!Y$26)</f>
        <v>138.08877898379251</v>
      </c>
      <c r="DA9" s="156" t="s">
        <v>514</v>
      </c>
    </row>
    <row r="10" spans="1:105" ht="12" customHeight="1" x14ac:dyDescent="0.25">
      <c r="A10" s="131" t="s">
        <v>128</v>
      </c>
      <c r="B10" s="132">
        <f>IF(SER_hh_tesh!B10=0,0,SER_hh_tesh!B10/SER_summary!B$26)</f>
        <v>0</v>
      </c>
      <c r="C10" s="132">
        <f>IF(SER_hh_tesh!C10=0,0,SER_hh_tesh!C10/SER_summary!C$26)</f>
        <v>199.10998305494104</v>
      </c>
      <c r="D10" s="132">
        <f>IF(SER_hh_tesh!D10=0,0,SER_hh_tesh!D10/SER_summary!D$26)</f>
        <v>151.06820655849685</v>
      </c>
      <c r="E10" s="132">
        <f>IF(SER_hh_tesh!E10=0,0,SER_hh_tesh!E10/SER_summary!E$26)</f>
        <v>151.48930523658387</v>
      </c>
      <c r="F10" s="132">
        <f>IF(SER_hh_tesh!F10=0,0,SER_hh_tesh!F10/SER_summary!F$26)</f>
        <v>139.75010555389613</v>
      </c>
      <c r="G10" s="132">
        <f>IF(SER_hh_tesh!G10=0,0,SER_hh_tesh!G10/SER_summary!G$26)</f>
        <v>253.06966969249208</v>
      </c>
      <c r="H10" s="132">
        <f>IF(SER_hh_tesh!H10=0,0,SER_hh_tesh!H10/SER_summary!H$26)</f>
        <v>258.34660653610212</v>
      </c>
      <c r="I10" s="132">
        <f>IF(SER_hh_tesh!I10=0,0,SER_hh_tesh!I10/SER_summary!I$26)</f>
        <v>214.86452119205418</v>
      </c>
      <c r="J10" s="132">
        <f>IF(SER_hh_tesh!J10=0,0,SER_hh_tesh!J10/SER_summary!J$26)</f>
        <v>190.13245368110123</v>
      </c>
      <c r="K10" s="132">
        <f>IF(SER_hh_tesh!K10=0,0,SER_hh_tesh!K10/SER_summary!K$26)</f>
        <v>170.66057576599786</v>
      </c>
      <c r="L10" s="132">
        <f>IF(SER_hh_tesh!L10=0,0,SER_hh_tesh!L10/SER_summary!L$26)</f>
        <v>195.82594211059254</v>
      </c>
      <c r="M10" s="132">
        <f>IF(SER_hh_tesh!M10=0,0,SER_hh_tesh!M10/SER_summary!M$26)</f>
        <v>116.68372445648508</v>
      </c>
      <c r="N10" s="132">
        <f>IF(SER_hh_tesh!N10=0,0,SER_hh_tesh!N10/SER_summary!N$26)</f>
        <v>133.81446762125756</v>
      </c>
      <c r="O10" s="132">
        <f>IF(SER_hh_tesh!O10=0,0,SER_hh_tesh!O10/SER_summary!O$26)</f>
        <v>99.545979073439568</v>
      </c>
      <c r="P10" s="132">
        <f>IF(SER_hh_tesh!P10=0,0,SER_hh_tesh!P10/SER_summary!P$26)</f>
        <v>78.28811906319001</v>
      </c>
      <c r="Q10" s="132">
        <f>IF(SER_hh_tesh!Q10=0,0,SER_hh_tesh!Q10/SER_summary!Q$26)</f>
        <v>125.8449041052323</v>
      </c>
      <c r="R10" s="132">
        <f>IF(SER_hh_tesh!R10=0,0,SER_hh_tesh!R10/SER_summary!R$26)</f>
        <v>129.45283259570917</v>
      </c>
      <c r="S10" s="132">
        <f>IF(SER_hh_tesh!S10=0,0,SER_hh_tesh!S10/SER_summary!S$26)</f>
        <v>109.73502618682132</v>
      </c>
      <c r="T10" s="132">
        <f>IF(SER_hh_tesh!T10=0,0,SER_hh_tesh!T10/SER_summary!T$26)</f>
        <v>108.92127515544848</v>
      </c>
      <c r="U10" s="132">
        <f>IF(SER_hh_tesh!U10=0,0,SER_hh_tesh!U10/SER_summary!U$26)</f>
        <v>115.31439044719082</v>
      </c>
      <c r="V10" s="132">
        <f>IF(SER_hh_tesh!V10=0,0,SER_hh_tesh!V10/SER_summary!V$26)</f>
        <v>100.439618589574</v>
      </c>
      <c r="W10" s="132">
        <f>IF(SER_hh_tesh!W10=0,0,SER_hh_tesh!W10/SER_summary!W$26)</f>
        <v>120.47076661742427</v>
      </c>
      <c r="X10" s="132">
        <f>IF(SER_hh_tesh!X10=0,0,SER_hh_tesh!X10/SER_summary!X$26)</f>
        <v>118.09664127151756</v>
      </c>
      <c r="Y10" s="132">
        <f>IF(SER_hh_tesh!Y10=0,0,SER_hh_tesh!Y10/SER_summary!Y$26)</f>
        <v>130.90499106165396</v>
      </c>
      <c r="DA10" s="156" t="s">
        <v>515</v>
      </c>
    </row>
    <row r="11" spans="1:105" ht="12" customHeight="1" x14ac:dyDescent="0.25">
      <c r="A11" s="131" t="s">
        <v>25</v>
      </c>
      <c r="B11" s="132">
        <f>IF(SER_hh_tesh!B11=0,0,SER_hh_tesh!B11/SER_summary!B$26)</f>
        <v>246.36966238527606</v>
      </c>
      <c r="C11" s="132">
        <f>IF(SER_hh_tesh!C11=0,0,SER_hh_tesh!C11/SER_summary!C$26)</f>
        <v>80.767755542146375</v>
      </c>
      <c r="D11" s="132">
        <f>IF(SER_hh_tesh!D11=0,0,SER_hh_tesh!D11/SER_summary!D$26)</f>
        <v>151.13008689432644</v>
      </c>
      <c r="E11" s="132">
        <f>IF(SER_hh_tesh!E11=0,0,SER_hh_tesh!E11/SER_summary!E$26)</f>
        <v>182.72997938186103</v>
      </c>
      <c r="F11" s="132">
        <f>IF(SER_hh_tesh!F11=0,0,SER_hh_tesh!F11/SER_summary!F$26)</f>
        <v>123.5394457979865</v>
      </c>
      <c r="G11" s="132">
        <f>IF(SER_hh_tesh!G11=0,0,SER_hh_tesh!G11/SER_summary!G$26)</f>
        <v>274.52437478024666</v>
      </c>
      <c r="H11" s="132">
        <f>IF(SER_hh_tesh!H11=0,0,SER_hh_tesh!H11/SER_summary!H$26)</f>
        <v>180.11932218084931</v>
      </c>
      <c r="I11" s="132">
        <f>IF(SER_hh_tesh!I11=0,0,SER_hh_tesh!I11/SER_summary!I$26)</f>
        <v>156.83330968831498</v>
      </c>
      <c r="J11" s="132">
        <f>IF(SER_hh_tesh!J11=0,0,SER_hh_tesh!J11/SER_summary!J$26)</f>
        <v>244.7238999647318</v>
      </c>
      <c r="K11" s="132">
        <f>IF(SER_hh_tesh!K11=0,0,SER_hh_tesh!K11/SER_summary!K$26)</f>
        <v>209.87664878387977</v>
      </c>
      <c r="L11" s="132">
        <f>IF(SER_hh_tesh!L11=0,0,SER_hh_tesh!L11/SER_summary!L$26)</f>
        <v>80.987846167072973</v>
      </c>
      <c r="M11" s="132">
        <f>IF(SER_hh_tesh!M11=0,0,SER_hh_tesh!M11/SER_summary!M$26)</f>
        <v>142.05626656505734</v>
      </c>
      <c r="N11" s="132">
        <f>IF(SER_hh_tesh!N11=0,0,SER_hh_tesh!N11/SER_summary!N$26)</f>
        <v>119.28436825356857</v>
      </c>
      <c r="O11" s="132">
        <f>IF(SER_hh_tesh!O11=0,0,SER_hh_tesh!O11/SER_summary!O$26)</f>
        <v>129.84896997879719</v>
      </c>
      <c r="P11" s="132">
        <f>IF(SER_hh_tesh!P11=0,0,SER_hh_tesh!P11/SER_summary!P$26)</f>
        <v>119.88423274322112</v>
      </c>
      <c r="Q11" s="132">
        <f>IF(SER_hh_tesh!Q11=0,0,SER_hh_tesh!Q11/SER_summary!Q$26)</f>
        <v>102.83628185795335</v>
      </c>
      <c r="R11" s="132">
        <f>IF(SER_hh_tesh!R11=0,0,SER_hh_tesh!R11/SER_summary!R$26)</f>
        <v>111.87315598635071</v>
      </c>
      <c r="S11" s="132">
        <f>IF(SER_hh_tesh!S11=0,0,SER_hh_tesh!S11/SER_summary!S$26)</f>
        <v>120.97798350619632</v>
      </c>
      <c r="T11" s="132">
        <f>IF(SER_hh_tesh!T11=0,0,SER_hh_tesh!T11/SER_summary!T$26)</f>
        <v>123.41769691902383</v>
      </c>
      <c r="U11" s="132">
        <f>IF(SER_hh_tesh!U11=0,0,SER_hh_tesh!U11/SER_summary!U$26)</f>
        <v>143.15280448743226</v>
      </c>
      <c r="V11" s="132">
        <f>IF(SER_hh_tesh!V11=0,0,SER_hh_tesh!V11/SER_summary!V$26)</f>
        <v>59.608785941017153</v>
      </c>
      <c r="W11" s="132">
        <f>IF(SER_hh_tesh!W11=0,0,SER_hh_tesh!W11/SER_summary!W$26)</f>
        <v>77.808547528737734</v>
      </c>
      <c r="X11" s="132">
        <f>IF(SER_hh_tesh!X11=0,0,SER_hh_tesh!X11/SER_summary!X$26)</f>
        <v>146.71204494881059</v>
      </c>
      <c r="Y11" s="132">
        <f>IF(SER_hh_tesh!Y11=0,0,SER_hh_tesh!Y11/SER_summary!Y$26)</f>
        <v>119.22402105690342</v>
      </c>
      <c r="DA11" s="156" t="s">
        <v>516</v>
      </c>
    </row>
    <row r="12" spans="1:105" ht="12" customHeight="1" x14ac:dyDescent="0.25">
      <c r="A12" s="131" t="s">
        <v>162</v>
      </c>
      <c r="B12" s="132">
        <f>IF(SER_hh_tesh!B12=0,0,SER_hh_tesh!B12/SER_summary!B$26)</f>
        <v>238.45337169905926</v>
      </c>
      <c r="C12" s="132">
        <f>IF(SER_hh_tesh!C12=0,0,SER_hh_tesh!C12/SER_summary!C$26)</f>
        <v>207.09793479900114</v>
      </c>
      <c r="D12" s="132">
        <f>IF(SER_hh_tesh!D12=0,0,SER_hh_tesh!D12/SER_summary!D$26)</f>
        <v>96.55172265667214</v>
      </c>
      <c r="E12" s="132">
        <f>IF(SER_hh_tesh!E12=0,0,SER_hh_tesh!E12/SER_summary!E$26)</f>
        <v>139.82087836408351</v>
      </c>
      <c r="F12" s="132">
        <f>IF(SER_hh_tesh!F12=0,0,SER_hh_tesh!F12/SER_summary!F$26)</f>
        <v>105.91763810176646</v>
      </c>
      <c r="G12" s="132">
        <f>IF(SER_hh_tesh!G12=0,0,SER_hh_tesh!G12/SER_summary!G$26)</f>
        <v>310.94169639939878</v>
      </c>
      <c r="H12" s="132">
        <f>IF(SER_hh_tesh!H12=0,0,SER_hh_tesh!H12/SER_summary!H$26)</f>
        <v>251.69898364048819</v>
      </c>
      <c r="I12" s="132">
        <f>IF(SER_hh_tesh!I12=0,0,SER_hh_tesh!I12/SER_summary!I$26)</f>
        <v>208.51732081414087</v>
      </c>
      <c r="J12" s="132">
        <f>IF(SER_hh_tesh!J12=0,0,SER_hh_tesh!J12/SER_summary!J$26)</f>
        <v>203.51721750682486</v>
      </c>
      <c r="K12" s="132">
        <f>IF(SER_hh_tesh!K12=0,0,SER_hh_tesh!K12/SER_summary!K$26)</f>
        <v>154.82452675912234</v>
      </c>
      <c r="L12" s="132">
        <f>IF(SER_hh_tesh!L12=0,0,SER_hh_tesh!L12/SER_summary!L$26)</f>
        <v>159.98354933948011</v>
      </c>
      <c r="M12" s="132">
        <f>IF(SER_hh_tesh!M12=0,0,SER_hh_tesh!M12/SER_summary!M$26)</f>
        <v>151.50078852946356</v>
      </c>
      <c r="N12" s="132">
        <f>IF(SER_hh_tesh!N12=0,0,SER_hh_tesh!N12/SER_summary!N$26)</f>
        <v>145.33422072575684</v>
      </c>
      <c r="O12" s="132">
        <f>IF(SER_hh_tesh!O12=0,0,SER_hh_tesh!O12/SER_summary!O$26)</f>
        <v>131.77796267856831</v>
      </c>
      <c r="P12" s="132">
        <f>IF(SER_hh_tesh!P12=0,0,SER_hh_tesh!P12/SER_summary!P$26)</f>
        <v>107.97140965986708</v>
      </c>
      <c r="Q12" s="132">
        <f>IF(SER_hh_tesh!Q12=0,0,SER_hh_tesh!Q12/SER_summary!Q$26)</f>
        <v>107.18428474049973</v>
      </c>
      <c r="R12" s="132">
        <f>IF(SER_hh_tesh!R12=0,0,SER_hh_tesh!R12/SER_summary!R$26)</f>
        <v>115.11187069415914</v>
      </c>
      <c r="S12" s="132">
        <f>IF(SER_hh_tesh!S12=0,0,SER_hh_tesh!S12/SER_summary!S$26)</f>
        <v>113.41928575048853</v>
      </c>
      <c r="T12" s="132">
        <f>IF(SER_hh_tesh!T12=0,0,SER_hh_tesh!T12/SER_summary!T$26)</f>
        <v>114.55553554770486</v>
      </c>
      <c r="U12" s="132">
        <f>IF(SER_hh_tesh!U12=0,0,SER_hh_tesh!U12/SER_summary!U$26)</f>
        <v>106.02875392402687</v>
      </c>
      <c r="V12" s="132">
        <f>IF(SER_hh_tesh!V12=0,0,SER_hh_tesh!V12/SER_summary!V$26)</f>
        <v>107.23458759893389</v>
      </c>
      <c r="W12" s="132">
        <f>IF(SER_hh_tesh!W12=0,0,SER_hh_tesh!W12/SER_summary!W$26)</f>
        <v>117.90507406156898</v>
      </c>
      <c r="X12" s="132">
        <f>IF(SER_hh_tesh!X12=0,0,SER_hh_tesh!X12/SER_summary!X$26)</f>
        <v>111.45652514149012</v>
      </c>
      <c r="Y12" s="132">
        <f>IF(SER_hh_tesh!Y12=0,0,SER_hh_tesh!Y12/SER_summary!Y$26)</f>
        <v>135.60446641254703</v>
      </c>
      <c r="DA12" s="156" t="s">
        <v>517</v>
      </c>
    </row>
    <row r="13" spans="1:105" ht="12" customHeight="1" x14ac:dyDescent="0.25">
      <c r="A13" s="131" t="s">
        <v>77</v>
      </c>
      <c r="B13" s="132">
        <f>IF(SER_hh_tesh!B13=0,0,SER_hh_tesh!B13/SER_summary!B$26)</f>
        <v>0</v>
      </c>
      <c r="C13" s="132">
        <f>IF(SER_hh_tesh!C13=0,0,SER_hh_tesh!C13/SER_summary!C$26)</f>
        <v>0</v>
      </c>
      <c r="D13" s="132">
        <f>IF(SER_hh_tesh!D13=0,0,SER_hh_tesh!D13/SER_summary!D$26)</f>
        <v>0</v>
      </c>
      <c r="E13" s="132">
        <f>IF(SER_hh_tesh!E13=0,0,SER_hh_tesh!E13/SER_summary!E$26)</f>
        <v>0</v>
      </c>
      <c r="F13" s="132">
        <f>IF(SER_hh_tesh!F13=0,0,SER_hh_tesh!F13/SER_summary!F$26)</f>
        <v>0</v>
      </c>
      <c r="G13" s="132">
        <f>IF(SER_hh_tesh!G13=0,0,SER_hh_tesh!G13/SER_summary!G$26)</f>
        <v>0</v>
      </c>
      <c r="H13" s="132">
        <f>IF(SER_hh_tesh!H13=0,0,SER_hh_tesh!H13/SER_summary!H$26)</f>
        <v>0</v>
      </c>
      <c r="I13" s="132">
        <f>IF(SER_hh_tesh!I13=0,0,SER_hh_tesh!I13/SER_summary!I$26)</f>
        <v>0</v>
      </c>
      <c r="J13" s="132">
        <f>IF(SER_hh_tesh!J13=0,0,SER_hh_tesh!J13/SER_summary!J$26)</f>
        <v>0</v>
      </c>
      <c r="K13" s="132">
        <f>IF(SER_hh_tesh!K13=0,0,SER_hh_tesh!K13/SER_summary!K$26)</f>
        <v>0</v>
      </c>
      <c r="L13" s="132">
        <f>IF(SER_hh_tesh!L13=0,0,SER_hh_tesh!L13/SER_summary!L$26)</f>
        <v>0</v>
      </c>
      <c r="M13" s="132">
        <f>IF(SER_hh_tesh!M13=0,0,SER_hh_tesh!M13/SER_summary!M$26)</f>
        <v>0</v>
      </c>
      <c r="N13" s="132">
        <f>IF(SER_hh_tesh!N13=0,0,SER_hh_tesh!N13/SER_summary!N$26)</f>
        <v>0</v>
      </c>
      <c r="O13" s="132">
        <f>IF(SER_hh_tesh!O13=0,0,SER_hh_tesh!O13/SER_summary!O$26)</f>
        <v>0</v>
      </c>
      <c r="P13" s="132">
        <f>IF(SER_hh_tesh!P13=0,0,SER_hh_tesh!P13/SER_summary!P$26)</f>
        <v>0</v>
      </c>
      <c r="Q13" s="132">
        <f>IF(SER_hh_tesh!Q13=0,0,SER_hh_tesh!Q13/SER_summary!Q$26)</f>
        <v>0</v>
      </c>
      <c r="R13" s="132">
        <f>IF(SER_hh_tesh!R13=0,0,SER_hh_tesh!R13/SER_summary!R$26)</f>
        <v>0</v>
      </c>
      <c r="S13" s="132">
        <f>IF(SER_hh_tesh!S13=0,0,SER_hh_tesh!S13/SER_summary!S$26)</f>
        <v>0</v>
      </c>
      <c r="T13" s="132">
        <f>IF(SER_hh_tesh!T13=0,0,SER_hh_tesh!T13/SER_summary!T$26)</f>
        <v>0</v>
      </c>
      <c r="U13" s="132">
        <f>IF(SER_hh_tesh!U13=0,0,SER_hh_tesh!U13/SER_summary!U$26)</f>
        <v>0</v>
      </c>
      <c r="V13" s="132">
        <f>IF(SER_hh_tesh!V13=0,0,SER_hh_tesh!V13/SER_summary!V$26)</f>
        <v>0</v>
      </c>
      <c r="W13" s="132">
        <f>IF(SER_hh_tesh!W13=0,0,SER_hh_tesh!W13/SER_summary!W$26)</f>
        <v>0</v>
      </c>
      <c r="X13" s="132">
        <f>IF(SER_hh_tesh!X13=0,0,SER_hh_tesh!X13/SER_summary!X$26)</f>
        <v>0</v>
      </c>
      <c r="Y13" s="132">
        <f>IF(SER_hh_tesh!Y13=0,0,SER_hh_tesh!Y13/SER_summary!Y$26)</f>
        <v>216.41469359172478</v>
      </c>
      <c r="DA13" s="156" t="s">
        <v>518</v>
      </c>
    </row>
    <row r="14" spans="1:105" ht="12" customHeight="1" x14ac:dyDescent="0.25">
      <c r="A14" s="60" t="s">
        <v>76</v>
      </c>
      <c r="B14" s="65">
        <f>IF(SER_hh_tesh!B14=0,0,SER_hh_tesh!B14/SER_summary!B$26)</f>
        <v>194.88316453371397</v>
      </c>
      <c r="C14" s="65">
        <f>IF(SER_hh_tesh!C14=0,0,SER_hh_tesh!C14/SER_summary!C$26)</f>
        <v>348.65180629174648</v>
      </c>
      <c r="D14" s="65">
        <f>IF(SER_hh_tesh!D14=0,0,SER_hh_tesh!D14/SER_summary!D$26)</f>
        <v>3.077627476618169</v>
      </c>
      <c r="E14" s="65">
        <f>IF(SER_hh_tesh!E14=0,0,SER_hh_tesh!E14/SER_summary!E$26)</f>
        <v>287.15957855858437</v>
      </c>
      <c r="F14" s="65">
        <f>IF(SER_hh_tesh!F14=0,0,SER_hh_tesh!F14/SER_summary!F$26)</f>
        <v>14.015544861208554</v>
      </c>
      <c r="G14" s="65">
        <f>IF(SER_hh_tesh!G14=0,0,SER_hh_tesh!G14/SER_summary!G$26)</f>
        <v>196.68359661377022</v>
      </c>
      <c r="H14" s="65">
        <f>IF(SER_hh_tesh!H14=0,0,SER_hh_tesh!H14/SER_summary!H$26)</f>
        <v>219.88612954812672</v>
      </c>
      <c r="I14" s="65">
        <f>IF(SER_hh_tesh!I14=0,0,SER_hh_tesh!I14/SER_summary!I$26)</f>
        <v>298.8257367516178</v>
      </c>
      <c r="J14" s="65">
        <f>IF(SER_hh_tesh!J14=0,0,SER_hh_tesh!J14/SER_summary!J$26)</f>
        <v>157.27919982838239</v>
      </c>
      <c r="K14" s="65">
        <f>IF(SER_hh_tesh!K14=0,0,SER_hh_tesh!K14/SER_summary!K$26)</f>
        <v>130.965136844017</v>
      </c>
      <c r="L14" s="65">
        <f>IF(SER_hh_tesh!L14=0,0,SER_hh_tesh!L14/SER_summary!L$26)</f>
        <v>219.7530023974343</v>
      </c>
      <c r="M14" s="65">
        <f>IF(SER_hh_tesh!M14=0,0,SER_hh_tesh!M14/SER_summary!M$26)</f>
        <v>179.49467067419354</v>
      </c>
      <c r="N14" s="65">
        <f>IF(SER_hh_tesh!N14=0,0,SER_hh_tesh!N14/SER_summary!N$26)</f>
        <v>128.57386764023036</v>
      </c>
      <c r="O14" s="65">
        <f>IF(SER_hh_tesh!O14=0,0,SER_hh_tesh!O14/SER_summary!O$26)</f>
        <v>106.11637023110247</v>
      </c>
      <c r="P14" s="65">
        <f>IF(SER_hh_tesh!P14=0,0,SER_hh_tesh!P14/SER_summary!P$26)</f>
        <v>110.97161716589322</v>
      </c>
      <c r="Q14" s="65">
        <f>IF(SER_hh_tesh!Q14=0,0,SER_hh_tesh!Q14/SER_summary!Q$26)</f>
        <v>67.991444628197613</v>
      </c>
      <c r="R14" s="65">
        <f>IF(SER_hh_tesh!R14=0,0,SER_hh_tesh!R14/SER_summary!R$26)</f>
        <v>98.089102045581782</v>
      </c>
      <c r="S14" s="65">
        <f>IF(SER_hh_tesh!S14=0,0,SER_hh_tesh!S14/SER_summary!S$26)</f>
        <v>110.68330105204191</v>
      </c>
      <c r="T14" s="65">
        <f>IF(SER_hh_tesh!T14=0,0,SER_hh_tesh!T14/SER_summary!T$26)</f>
        <v>116.10163611003351</v>
      </c>
      <c r="U14" s="65">
        <f>IF(SER_hh_tesh!U14=0,0,SER_hh_tesh!U14/SER_summary!U$26)</f>
        <v>111.91164993571806</v>
      </c>
      <c r="V14" s="65">
        <f>IF(SER_hh_tesh!V14=0,0,SER_hh_tesh!V14/SER_summary!V$26)</f>
        <v>86.067286901848107</v>
      </c>
      <c r="W14" s="65">
        <f>IF(SER_hh_tesh!W14=0,0,SER_hh_tesh!W14/SER_summary!W$26)</f>
        <v>74.032200088313601</v>
      </c>
      <c r="X14" s="65">
        <f>IF(SER_hh_tesh!X14=0,0,SER_hh_tesh!X14/SER_summary!X$26)</f>
        <v>117.47421964331781</v>
      </c>
      <c r="Y14" s="65">
        <f>IF(SER_hh_tesh!Y14=0,0,SER_hh_tesh!Y14/SER_summary!Y$26)</f>
        <v>165.42359703715164</v>
      </c>
      <c r="DA14" s="109" t="s">
        <v>519</v>
      </c>
    </row>
    <row r="15" spans="1:105" ht="12" customHeight="1" x14ac:dyDescent="0.25">
      <c r="A15" s="133" t="s">
        <v>80</v>
      </c>
      <c r="B15" s="134">
        <f>IF(SER_hh_tesh!B15=0,0,SER_hh_tesh!B15/SER_summary!B$26)</f>
        <v>1.9240582400833892</v>
      </c>
      <c r="C15" s="134">
        <f>IF(SER_hh_tesh!C15=0,0,SER_hh_tesh!C15/SER_summary!C$26)</f>
        <v>2.9465195019985861</v>
      </c>
      <c r="D15" s="134">
        <f>IF(SER_hh_tesh!D15=0,0,SER_hh_tesh!D15/SER_summary!D$26)</f>
        <v>1.2866655456089928</v>
      </c>
      <c r="E15" s="134">
        <f>IF(SER_hh_tesh!E15=0,0,SER_hh_tesh!E15/SER_summary!E$26)</f>
        <v>2.1785558345044445</v>
      </c>
      <c r="F15" s="134">
        <f>IF(SER_hh_tesh!F15=0,0,SER_hh_tesh!F15/SER_summary!F$26)</f>
        <v>2.7023440196272341</v>
      </c>
      <c r="G15" s="134">
        <f>IF(SER_hh_tesh!G15=0,0,SER_hh_tesh!G15/SER_summary!G$26)</f>
        <v>3.0345867894124101</v>
      </c>
      <c r="H15" s="134">
        <f>IF(SER_hh_tesh!H15=0,0,SER_hh_tesh!H15/SER_summary!H$26)</f>
        <v>4.3444451952914322</v>
      </c>
      <c r="I15" s="134">
        <f>IF(SER_hh_tesh!I15=0,0,SER_hh_tesh!I15/SER_summary!I$26)</f>
        <v>3.2909564516181877</v>
      </c>
      <c r="J15" s="134">
        <f>IF(SER_hh_tesh!J15=0,0,SER_hh_tesh!J15/SER_summary!J$26)</f>
        <v>2.3743226662654981</v>
      </c>
      <c r="K15" s="134">
        <f>IF(SER_hh_tesh!K15=0,0,SER_hh_tesh!K15/SER_summary!K$26)</f>
        <v>2.1766801242298208</v>
      </c>
      <c r="L15" s="134">
        <f>IF(SER_hh_tesh!L15=0,0,SER_hh_tesh!L15/SER_summary!L$26)</f>
        <v>2.1636831095613624</v>
      </c>
      <c r="M15" s="134">
        <f>IF(SER_hh_tesh!M15=0,0,SER_hh_tesh!M15/SER_summary!M$26)</f>
        <v>1.8818008702260558</v>
      </c>
      <c r="N15" s="134">
        <f>IF(SER_hh_tesh!N15=0,0,SER_hh_tesh!N15/SER_summary!N$26)</f>
        <v>1.7628343187401203</v>
      </c>
      <c r="O15" s="134">
        <f>IF(SER_hh_tesh!O15=0,0,SER_hh_tesh!O15/SER_summary!O$26)</f>
        <v>1.5807461407930534</v>
      </c>
      <c r="P15" s="134">
        <f>IF(SER_hh_tesh!P15=0,0,SER_hh_tesh!P15/SER_summary!P$26)</f>
        <v>1.42775104069508</v>
      </c>
      <c r="Q15" s="134">
        <f>IF(SER_hh_tesh!Q15=0,0,SER_hh_tesh!Q15/SER_summary!Q$26)</f>
        <v>1.3336203562907787</v>
      </c>
      <c r="R15" s="134">
        <f>IF(SER_hh_tesh!R15=0,0,SER_hh_tesh!R15/SER_summary!R$26)</f>
        <v>1.3356350480870289</v>
      </c>
      <c r="S15" s="134">
        <f>IF(SER_hh_tesh!S15=0,0,SER_hh_tesh!S15/SER_summary!S$26)</f>
        <v>1.4560748644106483</v>
      </c>
      <c r="T15" s="134">
        <f>IF(SER_hh_tesh!T15=0,0,SER_hh_tesh!T15/SER_summary!T$26)</f>
        <v>1.4793505260686066</v>
      </c>
      <c r="U15" s="134">
        <f>IF(SER_hh_tesh!U15=0,0,SER_hh_tesh!U15/SER_summary!U$26)</f>
        <v>1.4629151168844965</v>
      </c>
      <c r="V15" s="134">
        <f>IF(SER_hh_tesh!V15=0,0,SER_hh_tesh!V15/SER_summary!V$26)</f>
        <v>1.3446992981842716</v>
      </c>
      <c r="W15" s="134">
        <f>IF(SER_hh_tesh!W15=0,0,SER_hh_tesh!W15/SER_summary!W$26)</f>
        <v>1.5296493162748757</v>
      </c>
      <c r="X15" s="134">
        <f>IF(SER_hh_tesh!X15=0,0,SER_hh_tesh!X15/SER_summary!X$26)</f>
        <v>1.6247530427644807</v>
      </c>
      <c r="Y15" s="134">
        <f>IF(SER_hh_tesh!Y15=0,0,SER_hh_tesh!Y15/SER_summary!Y$26)</f>
        <v>1.9105032643270705</v>
      </c>
      <c r="DA15" s="157" t="s">
        <v>520</v>
      </c>
    </row>
    <row r="16" spans="1:105" ht="12.95" customHeight="1" x14ac:dyDescent="0.25">
      <c r="A16" s="129" t="s">
        <v>74</v>
      </c>
      <c r="B16" s="130">
        <f>IF(SER_hh_tesh!B16=0,0,SER_hh_tesh!B16/SER_summary!B$26)</f>
        <v>31.989104764751243</v>
      </c>
      <c r="C16" s="130">
        <f>IF(SER_hh_tesh!C16=0,0,SER_hh_tesh!C16/SER_summary!C$26)</f>
        <v>30.871029781549016</v>
      </c>
      <c r="D16" s="130">
        <f>IF(SER_hh_tesh!D16=0,0,SER_hh_tesh!D16/SER_summary!D$26)</f>
        <v>29.562883738815231</v>
      </c>
      <c r="E16" s="130">
        <f>IF(SER_hh_tesh!E16=0,0,SER_hh_tesh!E16/SER_summary!E$26)</f>
        <v>29.916178266188201</v>
      </c>
      <c r="F16" s="130">
        <f>IF(SER_hh_tesh!F16=0,0,SER_hh_tesh!F16/SER_summary!F$26)</f>
        <v>26.149828130672301</v>
      </c>
      <c r="G16" s="130">
        <f>IF(SER_hh_tesh!G16=0,0,SER_hh_tesh!G16/SER_summary!G$26)</f>
        <v>26.384958525217801</v>
      </c>
      <c r="H16" s="130">
        <f>IF(SER_hh_tesh!H16=0,0,SER_hh_tesh!H16/SER_summary!H$26)</f>
        <v>28.239269691885728</v>
      </c>
      <c r="I16" s="130">
        <f>IF(SER_hh_tesh!I16=0,0,SER_hh_tesh!I16/SER_summary!I$26)</f>
        <v>37.449866203977223</v>
      </c>
      <c r="J16" s="130">
        <f>IF(SER_hh_tesh!J16=0,0,SER_hh_tesh!J16/SER_summary!J$26)</f>
        <v>29.647863180875451</v>
      </c>
      <c r="K16" s="130">
        <f>IF(SER_hh_tesh!K16=0,0,SER_hh_tesh!K16/SER_summary!K$26)</f>
        <v>28.191930648420282</v>
      </c>
      <c r="L16" s="130">
        <f>IF(SER_hh_tesh!L16=0,0,SER_hh_tesh!L16/SER_summary!L$26)</f>
        <v>33.317692293220439</v>
      </c>
      <c r="M16" s="130">
        <f>IF(SER_hh_tesh!M16=0,0,SER_hh_tesh!M16/SER_summary!M$26)</f>
        <v>28.5780284001493</v>
      </c>
      <c r="N16" s="130">
        <f>IF(SER_hh_tesh!N16=0,0,SER_hh_tesh!N16/SER_summary!N$26)</f>
        <v>43.515626536821586</v>
      </c>
      <c r="O16" s="130">
        <f>IF(SER_hh_tesh!O16=0,0,SER_hh_tesh!O16/SER_summary!O$26)</f>
        <v>29.667163413155489</v>
      </c>
      <c r="P16" s="130">
        <f>IF(SER_hh_tesh!P16=0,0,SER_hh_tesh!P16/SER_summary!P$26)</f>
        <v>27.908483358863158</v>
      </c>
      <c r="Q16" s="130">
        <f>IF(SER_hh_tesh!Q16=0,0,SER_hh_tesh!Q16/SER_summary!Q$26)</f>
        <v>36.700760757279724</v>
      </c>
      <c r="R16" s="130">
        <f>IF(SER_hh_tesh!R16=0,0,SER_hh_tesh!R16/SER_summary!R$26)</f>
        <v>31.382038722405486</v>
      </c>
      <c r="S16" s="130">
        <f>IF(SER_hh_tesh!S16=0,0,SER_hh_tesh!S16/SER_summary!S$26)</f>
        <v>33.866463438927383</v>
      </c>
      <c r="T16" s="130">
        <f>IF(SER_hh_tesh!T16=0,0,SER_hh_tesh!T16/SER_summary!T$26)</f>
        <v>29.706384675427447</v>
      </c>
      <c r="U16" s="130">
        <f>IF(SER_hh_tesh!U16=0,0,SER_hh_tesh!U16/SER_summary!U$26)</f>
        <v>33.367149904619389</v>
      </c>
      <c r="V16" s="130">
        <f>IF(SER_hh_tesh!V16=0,0,SER_hh_tesh!V16/SER_summary!V$26)</f>
        <v>29.662366785250374</v>
      </c>
      <c r="W16" s="130">
        <f>IF(SER_hh_tesh!W16=0,0,SER_hh_tesh!W16/SER_summary!W$26)</f>
        <v>33.887528032586616</v>
      </c>
      <c r="X16" s="130">
        <f>IF(SER_hh_tesh!X16=0,0,SER_hh_tesh!X16/SER_summary!X$26)</f>
        <v>35.627872601287372</v>
      </c>
      <c r="Y16" s="130">
        <f>IF(SER_hh_tesh!Y16=0,0,SER_hh_tesh!Y16/SER_summary!Y$26)</f>
        <v>37.156249241988725</v>
      </c>
      <c r="DA16" s="155" t="s">
        <v>521</v>
      </c>
    </row>
    <row r="17" spans="1:105" ht="12.95" customHeight="1" x14ac:dyDescent="0.25">
      <c r="A17" s="131" t="s">
        <v>73</v>
      </c>
      <c r="B17" s="132">
        <f>IF(SER_hh_tesh!B17=0,0,SER_hh_tesh!B17/SER_summary!B$26)</f>
        <v>0</v>
      </c>
      <c r="C17" s="132">
        <f>IF(SER_hh_tesh!C17=0,0,SER_hh_tesh!C17/SER_summary!C$26)</f>
        <v>0</v>
      </c>
      <c r="D17" s="132">
        <f>IF(SER_hh_tesh!D17=0,0,SER_hh_tesh!D17/SER_summary!D$26)</f>
        <v>0</v>
      </c>
      <c r="E17" s="132">
        <f>IF(SER_hh_tesh!E17=0,0,SER_hh_tesh!E17/SER_summary!E$26)</f>
        <v>0</v>
      </c>
      <c r="F17" s="132">
        <f>IF(SER_hh_tesh!F17=0,0,SER_hh_tesh!F17/SER_summary!F$26)</f>
        <v>0</v>
      </c>
      <c r="G17" s="132">
        <f>IF(SER_hh_tesh!G17=0,0,SER_hh_tesh!G17/SER_summary!G$26)</f>
        <v>0</v>
      </c>
      <c r="H17" s="132">
        <f>IF(SER_hh_tesh!H17=0,0,SER_hh_tesh!H17/SER_summary!H$26)</f>
        <v>0</v>
      </c>
      <c r="I17" s="132">
        <f>IF(SER_hh_tesh!I17=0,0,SER_hh_tesh!I17/SER_summary!I$26)</f>
        <v>0</v>
      </c>
      <c r="J17" s="132">
        <f>IF(SER_hh_tesh!J17=0,0,SER_hh_tesh!J17/SER_summary!J$26)</f>
        <v>0</v>
      </c>
      <c r="K17" s="132">
        <f>IF(SER_hh_tesh!K17=0,0,SER_hh_tesh!K17/SER_summary!K$26)</f>
        <v>0</v>
      </c>
      <c r="L17" s="132">
        <f>IF(SER_hh_tesh!L17=0,0,SER_hh_tesh!L17/SER_summary!L$26)</f>
        <v>0</v>
      </c>
      <c r="M17" s="132">
        <f>IF(SER_hh_tesh!M17=0,0,SER_hh_tesh!M17/SER_summary!M$26)</f>
        <v>0</v>
      </c>
      <c r="N17" s="132">
        <f>IF(SER_hh_tesh!N17=0,0,SER_hh_tesh!N17/SER_summary!N$26)</f>
        <v>0</v>
      </c>
      <c r="O17" s="132">
        <f>IF(SER_hh_tesh!O17=0,0,SER_hh_tesh!O17/SER_summary!O$26)</f>
        <v>0</v>
      </c>
      <c r="P17" s="132">
        <f>IF(SER_hh_tesh!P17=0,0,SER_hh_tesh!P17/SER_summary!P$26)</f>
        <v>0</v>
      </c>
      <c r="Q17" s="132">
        <f>IF(SER_hh_tesh!Q17=0,0,SER_hh_tesh!Q17/SER_summary!Q$26)</f>
        <v>0</v>
      </c>
      <c r="R17" s="132">
        <f>IF(SER_hh_tesh!R17=0,0,SER_hh_tesh!R17/SER_summary!R$26)</f>
        <v>0</v>
      </c>
      <c r="S17" s="132">
        <f>IF(SER_hh_tesh!S17=0,0,SER_hh_tesh!S17/SER_summary!S$26)</f>
        <v>0</v>
      </c>
      <c r="T17" s="132">
        <f>IF(SER_hh_tesh!T17=0,0,SER_hh_tesh!T17/SER_summary!T$26)</f>
        <v>0</v>
      </c>
      <c r="U17" s="132">
        <f>IF(SER_hh_tesh!U17=0,0,SER_hh_tesh!U17/SER_summary!U$26)</f>
        <v>0</v>
      </c>
      <c r="V17" s="132">
        <f>IF(SER_hh_tesh!V17=0,0,SER_hh_tesh!V17/SER_summary!V$26)</f>
        <v>0</v>
      </c>
      <c r="W17" s="132">
        <f>IF(SER_hh_tesh!W17=0,0,SER_hh_tesh!W17/SER_summary!W$26)</f>
        <v>0</v>
      </c>
      <c r="X17" s="132">
        <f>IF(SER_hh_tesh!X17=0,0,SER_hh_tesh!X17/SER_summary!X$26)</f>
        <v>0</v>
      </c>
      <c r="Y17" s="132">
        <f>IF(SER_hh_tesh!Y17=0,0,SER_hh_tesh!Y17/SER_summary!Y$26)</f>
        <v>0</v>
      </c>
      <c r="DA17" s="156" t="s">
        <v>522</v>
      </c>
    </row>
    <row r="18" spans="1:105" ht="12" customHeight="1" x14ac:dyDescent="0.25">
      <c r="A18" s="131" t="s">
        <v>72</v>
      </c>
      <c r="B18" s="132">
        <f>IF(SER_hh_tesh!B18=0,0,SER_hh_tesh!B18/SER_summary!B$26)</f>
        <v>31.989104764751243</v>
      </c>
      <c r="C18" s="132">
        <f>IF(SER_hh_tesh!C18=0,0,SER_hh_tesh!C18/SER_summary!C$26)</f>
        <v>30.871029781549016</v>
      </c>
      <c r="D18" s="132">
        <f>IF(SER_hh_tesh!D18=0,0,SER_hh_tesh!D18/SER_summary!D$26)</f>
        <v>29.562883738815231</v>
      </c>
      <c r="E18" s="132">
        <f>IF(SER_hh_tesh!E18=0,0,SER_hh_tesh!E18/SER_summary!E$26)</f>
        <v>29.916178266188201</v>
      </c>
      <c r="F18" s="132">
        <f>IF(SER_hh_tesh!F18=0,0,SER_hh_tesh!F18/SER_summary!F$26)</f>
        <v>26.149828130672301</v>
      </c>
      <c r="G18" s="132">
        <f>IF(SER_hh_tesh!G18=0,0,SER_hh_tesh!G18/SER_summary!G$26)</f>
        <v>26.384958525217801</v>
      </c>
      <c r="H18" s="132">
        <f>IF(SER_hh_tesh!H18=0,0,SER_hh_tesh!H18/SER_summary!H$26)</f>
        <v>28.239269691885728</v>
      </c>
      <c r="I18" s="132">
        <f>IF(SER_hh_tesh!I18=0,0,SER_hh_tesh!I18/SER_summary!I$26)</f>
        <v>37.449866203977223</v>
      </c>
      <c r="J18" s="132">
        <f>IF(SER_hh_tesh!J18=0,0,SER_hh_tesh!J18/SER_summary!J$26)</f>
        <v>29.647863180875451</v>
      </c>
      <c r="K18" s="132">
        <f>IF(SER_hh_tesh!K18=0,0,SER_hh_tesh!K18/SER_summary!K$26)</f>
        <v>28.191930648420282</v>
      </c>
      <c r="L18" s="132">
        <f>IF(SER_hh_tesh!L18=0,0,SER_hh_tesh!L18/SER_summary!L$26)</f>
        <v>33.317692293220439</v>
      </c>
      <c r="M18" s="132">
        <f>IF(SER_hh_tesh!M18=0,0,SER_hh_tesh!M18/SER_summary!M$26)</f>
        <v>28.5780284001493</v>
      </c>
      <c r="N18" s="132">
        <f>IF(SER_hh_tesh!N18=0,0,SER_hh_tesh!N18/SER_summary!N$26)</f>
        <v>43.515626536821586</v>
      </c>
      <c r="O18" s="132">
        <f>IF(SER_hh_tesh!O18=0,0,SER_hh_tesh!O18/SER_summary!O$26)</f>
        <v>29.667163413155489</v>
      </c>
      <c r="P18" s="132">
        <f>IF(SER_hh_tesh!P18=0,0,SER_hh_tesh!P18/SER_summary!P$26)</f>
        <v>27.908483358863158</v>
      </c>
      <c r="Q18" s="132">
        <f>IF(SER_hh_tesh!Q18=0,0,SER_hh_tesh!Q18/SER_summary!Q$26)</f>
        <v>36.700760757279724</v>
      </c>
      <c r="R18" s="132">
        <f>IF(SER_hh_tesh!R18=0,0,SER_hh_tesh!R18/SER_summary!R$26)</f>
        <v>31.382038722405486</v>
      </c>
      <c r="S18" s="132">
        <f>IF(SER_hh_tesh!S18=0,0,SER_hh_tesh!S18/SER_summary!S$26)</f>
        <v>33.866463438927383</v>
      </c>
      <c r="T18" s="132">
        <f>IF(SER_hh_tesh!T18=0,0,SER_hh_tesh!T18/SER_summary!T$26)</f>
        <v>29.706384675427447</v>
      </c>
      <c r="U18" s="132">
        <f>IF(SER_hh_tesh!U18=0,0,SER_hh_tesh!U18/SER_summary!U$26)</f>
        <v>33.367149904619389</v>
      </c>
      <c r="V18" s="132">
        <f>IF(SER_hh_tesh!V18=0,0,SER_hh_tesh!V18/SER_summary!V$26)</f>
        <v>29.662366785250374</v>
      </c>
      <c r="W18" s="132">
        <f>IF(SER_hh_tesh!W18=0,0,SER_hh_tesh!W18/SER_summary!W$26)</f>
        <v>33.887528032586616</v>
      </c>
      <c r="X18" s="132">
        <f>IF(SER_hh_tesh!X18=0,0,SER_hh_tesh!X18/SER_summary!X$26)</f>
        <v>35.627872601287372</v>
      </c>
      <c r="Y18" s="132">
        <f>IF(SER_hh_tesh!Y18=0,0,SER_hh_tesh!Y18/SER_summary!Y$26)</f>
        <v>37.156249241988725</v>
      </c>
      <c r="DA18" s="156" t="s">
        <v>523</v>
      </c>
    </row>
    <row r="19" spans="1:105" ht="12.95" customHeight="1" x14ac:dyDescent="0.25">
      <c r="A19" s="129" t="s">
        <v>35</v>
      </c>
      <c r="B19" s="130">
        <f>IF(SER_hh_tesh!B19=0,0,SER_hh_tesh!B19/SER_summary!B$26)</f>
        <v>23.184354422876947</v>
      </c>
      <c r="C19" s="130">
        <f>IF(SER_hh_tesh!C19=0,0,SER_hh_tesh!C19/SER_summary!C$26)</f>
        <v>25.450597475159391</v>
      </c>
      <c r="D19" s="130">
        <f>IF(SER_hh_tesh!D19=0,0,SER_hh_tesh!D19/SER_summary!D$26)</f>
        <v>12.418502734617357</v>
      </c>
      <c r="E19" s="130">
        <f>IF(SER_hh_tesh!E19=0,0,SER_hh_tesh!E19/SER_summary!E$26)</f>
        <v>26.822936205399447</v>
      </c>
      <c r="F19" s="130">
        <f>IF(SER_hh_tesh!F19=0,0,SER_hh_tesh!F19/SER_summary!F$26)</f>
        <v>30.536657711207454</v>
      </c>
      <c r="G19" s="130">
        <f>IF(SER_hh_tesh!G19=0,0,SER_hh_tesh!G19/SER_summary!G$26)</f>
        <v>30.719927370477091</v>
      </c>
      <c r="H19" s="130">
        <f>IF(SER_hh_tesh!H19=0,0,SER_hh_tesh!H19/SER_summary!H$26)</f>
        <v>31.684307693092041</v>
      </c>
      <c r="I19" s="130">
        <f>IF(SER_hh_tesh!I19=0,0,SER_hh_tesh!I19/SER_summary!I$26)</f>
        <v>32.530883858256665</v>
      </c>
      <c r="J19" s="130">
        <f>IF(SER_hh_tesh!J19=0,0,SER_hh_tesh!J19/SER_summary!J$26)</f>
        <v>32.033501807609085</v>
      </c>
      <c r="K19" s="130">
        <f>IF(SER_hh_tesh!K19=0,0,SER_hh_tesh!K19/SER_summary!K$26)</f>
        <v>31.980666923714534</v>
      </c>
      <c r="L19" s="130">
        <f>IF(SER_hh_tesh!L19=0,0,SER_hh_tesh!L19/SER_summary!L$26)</f>
        <v>31.026691170159015</v>
      </c>
      <c r="M19" s="130">
        <f>IF(SER_hh_tesh!M19=0,0,SER_hh_tesh!M19/SER_summary!M$26)</f>
        <v>32.239780546194126</v>
      </c>
      <c r="N19" s="130">
        <f>IF(SER_hh_tesh!N19=0,0,SER_hh_tesh!N19/SER_summary!N$26)</f>
        <v>32.112993041469764</v>
      </c>
      <c r="O19" s="130">
        <f>IF(SER_hh_tesh!O19=0,0,SER_hh_tesh!O19/SER_summary!O$26)</f>
        <v>32.825147384044605</v>
      </c>
      <c r="P19" s="130">
        <f>IF(SER_hh_tesh!P19=0,0,SER_hh_tesh!P19/SER_summary!P$26)</f>
        <v>33.302694468942121</v>
      </c>
      <c r="Q19" s="130">
        <f>IF(SER_hh_tesh!Q19=0,0,SER_hh_tesh!Q19/SER_summary!Q$26)</f>
        <v>34.032088789641158</v>
      </c>
      <c r="R19" s="130">
        <f>IF(SER_hh_tesh!R19=0,0,SER_hh_tesh!R19/SER_summary!R$26)</f>
        <v>34.063115363432281</v>
      </c>
      <c r="S19" s="130">
        <f>IF(SER_hh_tesh!S19=0,0,SER_hh_tesh!S19/SER_summary!S$26)</f>
        <v>34.212218810783639</v>
      </c>
      <c r="T19" s="130">
        <f>IF(SER_hh_tesh!T19=0,0,SER_hh_tesh!T19/SER_summary!T$26)</f>
        <v>33.548472737844179</v>
      </c>
      <c r="U19" s="130">
        <f>IF(SER_hh_tesh!U19=0,0,SER_hh_tesh!U19/SER_summary!U$26)</f>
        <v>32.21277398039885</v>
      </c>
      <c r="V19" s="130">
        <f>IF(SER_hh_tesh!V19=0,0,SER_hh_tesh!V19/SER_summary!V$26)</f>
        <v>30.621712322110238</v>
      </c>
      <c r="W19" s="130">
        <f>IF(SER_hh_tesh!W19=0,0,SER_hh_tesh!W19/SER_summary!W$26)</f>
        <v>33.989127935646621</v>
      </c>
      <c r="X19" s="130">
        <f>IF(SER_hh_tesh!X19=0,0,SER_hh_tesh!X19/SER_summary!X$26)</f>
        <v>34.63612831699465</v>
      </c>
      <c r="Y19" s="130">
        <f>IF(SER_hh_tesh!Y19=0,0,SER_hh_tesh!Y19/SER_summary!Y$26)</f>
        <v>35.704001514941545</v>
      </c>
      <c r="DA19" s="155" t="s">
        <v>524</v>
      </c>
    </row>
    <row r="20" spans="1:105" ht="12" customHeight="1" x14ac:dyDescent="0.25">
      <c r="A20" s="131" t="s">
        <v>29</v>
      </c>
      <c r="B20" s="132">
        <f>IF(SER_hh_tesh!B20=0,0,SER_hh_tesh!B20/SER_summary!B$26)</f>
        <v>0</v>
      </c>
      <c r="C20" s="132">
        <f>IF(SER_hh_tesh!C20=0,0,SER_hh_tesh!C20/SER_summary!C$26)</f>
        <v>0</v>
      </c>
      <c r="D20" s="132">
        <f>IF(SER_hh_tesh!D20=0,0,SER_hh_tesh!D20/SER_summary!D$26)</f>
        <v>0</v>
      </c>
      <c r="E20" s="132">
        <f>IF(SER_hh_tesh!E20=0,0,SER_hh_tesh!E20/SER_summary!E$26)</f>
        <v>0</v>
      </c>
      <c r="F20" s="132">
        <f>IF(SER_hh_tesh!F20=0,0,SER_hh_tesh!F20/SER_summary!F$26)</f>
        <v>0</v>
      </c>
      <c r="G20" s="132">
        <f>IF(SER_hh_tesh!G20=0,0,SER_hh_tesh!G20/SER_summary!G$26)</f>
        <v>0</v>
      </c>
      <c r="H20" s="132">
        <f>IF(SER_hh_tesh!H20=0,0,SER_hh_tesh!H20/SER_summary!H$26)</f>
        <v>0</v>
      </c>
      <c r="I20" s="132">
        <f>IF(SER_hh_tesh!I20=0,0,SER_hh_tesh!I20/SER_summary!I$26)</f>
        <v>0</v>
      </c>
      <c r="J20" s="132">
        <f>IF(SER_hh_tesh!J20=0,0,SER_hh_tesh!J20/SER_summary!J$26)</f>
        <v>0</v>
      </c>
      <c r="K20" s="132">
        <f>IF(SER_hh_tesh!K20=0,0,SER_hh_tesh!K20/SER_summary!K$26)</f>
        <v>0</v>
      </c>
      <c r="L20" s="132">
        <f>IF(SER_hh_tesh!L20=0,0,SER_hh_tesh!L20/SER_summary!L$26)</f>
        <v>0</v>
      </c>
      <c r="M20" s="132">
        <f>IF(SER_hh_tesh!M20=0,0,SER_hh_tesh!M20/SER_summary!M$26)</f>
        <v>0</v>
      </c>
      <c r="N20" s="132">
        <f>IF(SER_hh_tesh!N20=0,0,SER_hh_tesh!N20/SER_summary!N$26)</f>
        <v>0</v>
      </c>
      <c r="O20" s="132">
        <f>IF(SER_hh_tesh!O20=0,0,SER_hh_tesh!O20/SER_summary!O$26)</f>
        <v>0</v>
      </c>
      <c r="P20" s="132">
        <f>IF(SER_hh_tesh!P20=0,0,SER_hh_tesh!P20/SER_summary!P$26)</f>
        <v>0</v>
      </c>
      <c r="Q20" s="132">
        <f>IF(SER_hh_tesh!Q20=0,0,SER_hh_tesh!Q20/SER_summary!Q$26)</f>
        <v>0</v>
      </c>
      <c r="R20" s="132">
        <f>IF(SER_hh_tesh!R20=0,0,SER_hh_tesh!R20/SER_summary!R$26)</f>
        <v>0</v>
      </c>
      <c r="S20" s="132">
        <f>IF(SER_hh_tesh!S20=0,0,SER_hh_tesh!S20/SER_summary!S$26)</f>
        <v>0</v>
      </c>
      <c r="T20" s="132">
        <f>IF(SER_hh_tesh!T20=0,0,SER_hh_tesh!T20/SER_summary!T$26)</f>
        <v>0</v>
      </c>
      <c r="U20" s="132">
        <f>IF(SER_hh_tesh!U20=0,0,SER_hh_tesh!U20/SER_summary!U$26)</f>
        <v>0</v>
      </c>
      <c r="V20" s="132">
        <f>IF(SER_hh_tesh!V20=0,0,SER_hh_tesh!V20/SER_summary!V$26)</f>
        <v>0</v>
      </c>
      <c r="W20" s="132">
        <f>IF(SER_hh_tesh!W20=0,0,SER_hh_tesh!W20/SER_summary!W$26)</f>
        <v>0</v>
      </c>
      <c r="X20" s="132">
        <f>IF(SER_hh_tesh!X20=0,0,SER_hh_tesh!X20/SER_summary!X$26)</f>
        <v>0</v>
      </c>
      <c r="Y20" s="132">
        <f>IF(SER_hh_tesh!Y20=0,0,SER_hh_tesh!Y20/SER_summary!Y$26)</f>
        <v>0</v>
      </c>
      <c r="DA20" s="156" t="s">
        <v>525</v>
      </c>
    </row>
    <row r="21" spans="1:105" s="2" customFormat="1" ht="12" customHeight="1" x14ac:dyDescent="0.25">
      <c r="A21" s="131" t="s">
        <v>52</v>
      </c>
      <c r="B21" s="132">
        <f>IF(SER_hh_tesh!B21=0,0,SER_hh_tesh!B21/SER_summary!B$26)</f>
        <v>0</v>
      </c>
      <c r="C21" s="132">
        <f>IF(SER_hh_tesh!C21=0,0,SER_hh_tesh!C21/SER_summary!C$26)</f>
        <v>0</v>
      </c>
      <c r="D21" s="132">
        <f>IF(SER_hh_tesh!D21=0,0,SER_hh_tesh!D21/SER_summary!D$26)</f>
        <v>0</v>
      </c>
      <c r="E21" s="132">
        <f>IF(SER_hh_tesh!E21=0,0,SER_hh_tesh!E21/SER_summary!E$26)</f>
        <v>0</v>
      </c>
      <c r="F21" s="132">
        <f>IF(SER_hh_tesh!F21=0,0,SER_hh_tesh!F21/SER_summary!F$26)</f>
        <v>0</v>
      </c>
      <c r="G21" s="132">
        <f>IF(SER_hh_tesh!G21=0,0,SER_hh_tesh!G21/SER_summary!G$26)</f>
        <v>0</v>
      </c>
      <c r="H21" s="132">
        <f>IF(SER_hh_tesh!H21=0,0,SER_hh_tesh!H21/SER_summary!H$26)</f>
        <v>0</v>
      </c>
      <c r="I21" s="132">
        <f>IF(SER_hh_tesh!I21=0,0,SER_hh_tesh!I21/SER_summary!I$26)</f>
        <v>0</v>
      </c>
      <c r="J21" s="132">
        <f>IF(SER_hh_tesh!J21=0,0,SER_hh_tesh!J21/SER_summary!J$26)</f>
        <v>0</v>
      </c>
      <c r="K21" s="132">
        <f>IF(SER_hh_tesh!K21=0,0,SER_hh_tesh!K21/SER_summary!K$26)</f>
        <v>0</v>
      </c>
      <c r="L21" s="132">
        <f>IF(SER_hh_tesh!L21=0,0,SER_hh_tesh!L21/SER_summary!L$26)</f>
        <v>0</v>
      </c>
      <c r="M21" s="132">
        <f>IF(SER_hh_tesh!M21=0,0,SER_hh_tesh!M21/SER_summary!M$26)</f>
        <v>0</v>
      </c>
      <c r="N21" s="132">
        <f>IF(SER_hh_tesh!N21=0,0,SER_hh_tesh!N21/SER_summary!N$26)</f>
        <v>0</v>
      </c>
      <c r="O21" s="132">
        <f>IF(SER_hh_tesh!O21=0,0,SER_hh_tesh!O21/SER_summary!O$26)</f>
        <v>0</v>
      </c>
      <c r="P21" s="132">
        <f>IF(SER_hh_tesh!P21=0,0,SER_hh_tesh!P21/SER_summary!P$26)</f>
        <v>0</v>
      </c>
      <c r="Q21" s="132">
        <f>IF(SER_hh_tesh!Q21=0,0,SER_hh_tesh!Q21/SER_summary!Q$26)</f>
        <v>0</v>
      </c>
      <c r="R21" s="132">
        <f>IF(SER_hh_tesh!R21=0,0,SER_hh_tesh!R21/SER_summary!R$26)</f>
        <v>0</v>
      </c>
      <c r="S21" s="132">
        <f>IF(SER_hh_tesh!S21=0,0,SER_hh_tesh!S21/SER_summary!S$26)</f>
        <v>0</v>
      </c>
      <c r="T21" s="132">
        <f>IF(SER_hh_tesh!T21=0,0,SER_hh_tesh!T21/SER_summary!T$26)</f>
        <v>0</v>
      </c>
      <c r="U21" s="132">
        <f>IF(SER_hh_tesh!U21=0,0,SER_hh_tesh!U21/SER_summary!U$26)</f>
        <v>0</v>
      </c>
      <c r="V21" s="132">
        <f>IF(SER_hh_tesh!V21=0,0,SER_hh_tesh!V21/SER_summary!V$26)</f>
        <v>0</v>
      </c>
      <c r="W21" s="132">
        <f>IF(SER_hh_tesh!W21=0,0,SER_hh_tesh!W21/SER_summary!W$26)</f>
        <v>0</v>
      </c>
      <c r="X21" s="132">
        <f>IF(SER_hh_tesh!X21=0,0,SER_hh_tesh!X21/SER_summary!X$26)</f>
        <v>0</v>
      </c>
      <c r="Y21" s="132">
        <f>IF(SER_hh_tesh!Y21=0,0,SER_hh_tesh!Y21/SER_summary!Y$26)</f>
        <v>0</v>
      </c>
      <c r="DA21" s="156" t="s">
        <v>526</v>
      </c>
    </row>
    <row r="22" spans="1:105" ht="12" customHeight="1" x14ac:dyDescent="0.25">
      <c r="A22" s="131" t="s">
        <v>161</v>
      </c>
      <c r="B22" s="132">
        <f>IF(SER_hh_tesh!B22=0,0,SER_hh_tesh!B22/SER_summary!B$26)</f>
        <v>3.8126169331391626</v>
      </c>
      <c r="C22" s="132">
        <f>IF(SER_hh_tesh!C22=0,0,SER_hh_tesh!C22/SER_summary!C$26)</f>
        <v>6.2029135282792307</v>
      </c>
      <c r="D22" s="132">
        <f>IF(SER_hh_tesh!D22=0,0,SER_hh_tesh!D22/SER_summary!D$26)</f>
        <v>18.663692948439564</v>
      </c>
      <c r="E22" s="132">
        <f>IF(SER_hh_tesh!E22=0,0,SER_hh_tesh!E22/SER_summary!E$26)</f>
        <v>26.214724462750901</v>
      </c>
      <c r="F22" s="132">
        <f>IF(SER_hh_tesh!F22=0,0,SER_hh_tesh!F22/SER_summary!F$26)</f>
        <v>30.120607409613079</v>
      </c>
      <c r="G22" s="132">
        <f>IF(SER_hh_tesh!G22=0,0,SER_hh_tesh!G22/SER_summary!G$26)</f>
        <v>35.556419059145703</v>
      </c>
      <c r="H22" s="132">
        <f>IF(SER_hh_tesh!H22=0,0,SER_hh_tesh!H22/SER_summary!H$26)</f>
        <v>25.096268232911854</v>
      </c>
      <c r="I22" s="132">
        <f>IF(SER_hh_tesh!I22=0,0,SER_hh_tesh!I22/SER_summary!I$26)</f>
        <v>29.118117309376899</v>
      </c>
      <c r="J22" s="132">
        <f>IF(SER_hh_tesh!J22=0,0,SER_hh_tesh!J22/SER_summary!J$26)</f>
        <v>32.15709984158552</v>
      </c>
      <c r="K22" s="132">
        <f>IF(SER_hh_tesh!K22=0,0,SER_hh_tesh!K22/SER_summary!K$26)</f>
        <v>30.612598984447501</v>
      </c>
      <c r="L22" s="132">
        <f>IF(SER_hh_tesh!L22=0,0,SER_hh_tesh!L22/SER_summary!L$26)</f>
        <v>29.948948252930197</v>
      </c>
      <c r="M22" s="132">
        <f>IF(SER_hh_tesh!M22=0,0,SER_hh_tesh!M22/SER_summary!M$26)</f>
        <v>27.854312275495626</v>
      </c>
      <c r="N22" s="132">
        <f>IF(SER_hh_tesh!N22=0,0,SER_hh_tesh!N22/SER_summary!N$26)</f>
        <v>30.462123465632878</v>
      </c>
      <c r="O22" s="132">
        <f>IF(SER_hh_tesh!O22=0,0,SER_hh_tesh!O22/SER_summary!O$26)</f>
        <v>35.783168735810087</v>
      </c>
      <c r="P22" s="132">
        <f>IF(SER_hh_tesh!P22=0,0,SER_hh_tesh!P22/SER_summary!P$26)</f>
        <v>34.116452871929539</v>
      </c>
      <c r="Q22" s="132">
        <f>IF(SER_hh_tesh!Q22=0,0,SER_hh_tesh!Q22/SER_summary!Q$26)</f>
        <v>34.165214915116906</v>
      </c>
      <c r="R22" s="132">
        <f>IF(SER_hh_tesh!R22=0,0,SER_hh_tesh!R22/SER_summary!R$26)</f>
        <v>29.354093424522826</v>
      </c>
      <c r="S22" s="132">
        <f>IF(SER_hh_tesh!S22=0,0,SER_hh_tesh!S22/SER_summary!S$26)</f>
        <v>35.151699358278528</v>
      </c>
      <c r="T22" s="132">
        <f>IF(SER_hh_tesh!T22=0,0,SER_hh_tesh!T22/SER_summary!T$26)</f>
        <v>35.682884823739023</v>
      </c>
      <c r="U22" s="132">
        <f>IF(SER_hh_tesh!U22=0,0,SER_hh_tesh!U22/SER_summary!U$26)</f>
        <v>30.788701898055965</v>
      </c>
      <c r="V22" s="132">
        <f>IF(SER_hh_tesh!V22=0,0,SER_hh_tesh!V22/SER_summary!V$26)</f>
        <v>27.903383719813917</v>
      </c>
      <c r="W22" s="132">
        <f>IF(SER_hh_tesh!W22=0,0,SER_hh_tesh!W22/SER_summary!W$26)</f>
        <v>37.695561770419019</v>
      </c>
      <c r="X22" s="132">
        <f>IF(SER_hh_tesh!X22=0,0,SER_hh_tesh!X22/SER_summary!X$26)</f>
        <v>35.467766015483434</v>
      </c>
      <c r="Y22" s="132">
        <f>IF(SER_hh_tesh!Y22=0,0,SER_hh_tesh!Y22/SER_summary!Y$26)</f>
        <v>35.576028924435093</v>
      </c>
      <c r="DA22" s="156" t="s">
        <v>527</v>
      </c>
    </row>
    <row r="23" spans="1:105" ht="12" customHeight="1" x14ac:dyDescent="0.25">
      <c r="A23" s="131" t="s">
        <v>149</v>
      </c>
      <c r="B23" s="132">
        <f>IF(SER_hh_tesh!B23=0,0,SER_hh_tesh!B23/SER_summary!B$26)</f>
        <v>24.226104546249974</v>
      </c>
      <c r="C23" s="132">
        <f>IF(SER_hh_tesh!C23=0,0,SER_hh_tesh!C23/SER_summary!C$26)</f>
        <v>19.340414504563402</v>
      </c>
      <c r="D23" s="132">
        <f>IF(SER_hh_tesh!D23=0,0,SER_hh_tesh!D23/SER_summary!D$26)</f>
        <v>11.289549398135422</v>
      </c>
      <c r="E23" s="132">
        <f>IF(SER_hh_tesh!E23=0,0,SER_hh_tesh!E23/SER_summary!E$26)</f>
        <v>22.620112547967754</v>
      </c>
      <c r="F23" s="132">
        <f>IF(SER_hh_tesh!F23=0,0,SER_hh_tesh!F23/SER_summary!F$26)</f>
        <v>34.733633478210102</v>
      </c>
      <c r="G23" s="132">
        <f>IF(SER_hh_tesh!G23=0,0,SER_hh_tesh!G23/SER_summary!G$26)</f>
        <v>30.030459620109283</v>
      </c>
      <c r="H23" s="132">
        <f>IF(SER_hh_tesh!H23=0,0,SER_hh_tesh!H23/SER_summary!H$26)</f>
        <v>34.99257786820818</v>
      </c>
      <c r="I23" s="132">
        <f>IF(SER_hh_tesh!I23=0,0,SER_hh_tesh!I23/SER_summary!I$26)</f>
        <v>31.27680792344659</v>
      </c>
      <c r="J23" s="132">
        <f>IF(SER_hh_tesh!J23=0,0,SER_hh_tesh!J23/SER_summary!J$26)</f>
        <v>26.319680723603383</v>
      </c>
      <c r="K23" s="132">
        <f>IF(SER_hh_tesh!K23=0,0,SER_hh_tesh!K23/SER_summary!K$26)</f>
        <v>35.773748266697524</v>
      </c>
      <c r="L23" s="132">
        <f>IF(SER_hh_tesh!L23=0,0,SER_hh_tesh!L23/SER_summary!L$26)</f>
        <v>33.821509511895982</v>
      </c>
      <c r="M23" s="132">
        <f>IF(SER_hh_tesh!M23=0,0,SER_hh_tesh!M23/SER_summary!M$26)</f>
        <v>30.867053529433242</v>
      </c>
      <c r="N23" s="132">
        <f>IF(SER_hh_tesh!N23=0,0,SER_hh_tesh!N23/SER_summary!N$26)</f>
        <v>31.359191567860538</v>
      </c>
      <c r="O23" s="132">
        <f>IF(SER_hh_tesh!O23=0,0,SER_hh_tesh!O23/SER_summary!O$26)</f>
        <v>31.99383935872681</v>
      </c>
      <c r="P23" s="132">
        <f>IF(SER_hh_tesh!P23=0,0,SER_hh_tesh!P23/SER_summary!P$26)</f>
        <v>33.016402969174429</v>
      </c>
      <c r="Q23" s="132">
        <f>IF(SER_hh_tesh!Q23=0,0,SER_hh_tesh!Q23/SER_summary!Q$26)</f>
        <v>33.486935289129818</v>
      </c>
      <c r="R23" s="132">
        <f>IF(SER_hh_tesh!R23=0,0,SER_hh_tesh!R23/SER_summary!R$26)</f>
        <v>34.373687299105299</v>
      </c>
      <c r="S23" s="132">
        <f>IF(SER_hh_tesh!S23=0,0,SER_hh_tesh!S23/SER_summary!S$26)</f>
        <v>34.878316126916289</v>
      </c>
      <c r="T23" s="132">
        <f>IF(SER_hh_tesh!T23=0,0,SER_hh_tesh!T23/SER_summary!T$26)</f>
        <v>32.960634619513066</v>
      </c>
      <c r="U23" s="132">
        <f>IF(SER_hh_tesh!U23=0,0,SER_hh_tesh!U23/SER_summary!U$26)</f>
        <v>32.869779864749674</v>
      </c>
      <c r="V23" s="132">
        <f>IF(SER_hh_tesh!V23=0,0,SER_hh_tesh!V23/SER_summary!V$26)</f>
        <v>32.015757522945655</v>
      </c>
      <c r="W23" s="132">
        <f>IF(SER_hh_tesh!W23=0,0,SER_hh_tesh!W23/SER_summary!W$26)</f>
        <v>33.108255828567501</v>
      </c>
      <c r="X23" s="132">
        <f>IF(SER_hh_tesh!X23=0,0,SER_hh_tesh!X23/SER_summary!X$26)</f>
        <v>35.099021104931992</v>
      </c>
      <c r="Y23" s="132">
        <f>IF(SER_hh_tesh!Y23=0,0,SER_hh_tesh!Y23/SER_summary!Y$26)</f>
        <v>34.040418879226898</v>
      </c>
      <c r="DA23" s="156" t="s">
        <v>528</v>
      </c>
    </row>
    <row r="24" spans="1:105" ht="12" customHeight="1" x14ac:dyDescent="0.25">
      <c r="A24" s="131" t="s">
        <v>128</v>
      </c>
      <c r="B24" s="132">
        <f>IF(SER_hh_tesh!B24=0,0,SER_hh_tesh!B24/SER_summary!B$26)</f>
        <v>21.157119407784659</v>
      </c>
      <c r="C24" s="132">
        <f>IF(SER_hh_tesh!C24=0,0,SER_hh_tesh!C24/SER_summary!C$26)</f>
        <v>13.081746918701533</v>
      </c>
      <c r="D24" s="132">
        <f>IF(SER_hh_tesh!D24=0,0,SER_hh_tesh!D24/SER_summary!D$26)</f>
        <v>24.73132107214871</v>
      </c>
      <c r="E24" s="132">
        <f>IF(SER_hh_tesh!E24=0,0,SER_hh_tesh!E24/SER_summary!E$26)</f>
        <v>24.417742990295732</v>
      </c>
      <c r="F24" s="132">
        <f>IF(SER_hh_tesh!F24=0,0,SER_hh_tesh!F24/SER_summary!F$26)</f>
        <v>24.807891449690477</v>
      </c>
      <c r="G24" s="132">
        <f>IF(SER_hh_tesh!G24=0,0,SER_hh_tesh!G24/SER_summary!G$26)</f>
        <v>28.371704224893971</v>
      </c>
      <c r="H24" s="132">
        <f>IF(SER_hh_tesh!H24=0,0,SER_hh_tesh!H24/SER_summary!H$26)</f>
        <v>30.838870623654298</v>
      </c>
      <c r="I24" s="132">
        <f>IF(SER_hh_tesh!I24=0,0,SER_hh_tesh!I24/SER_summary!I$26)</f>
        <v>30.992919668473906</v>
      </c>
      <c r="J24" s="132">
        <f>IF(SER_hh_tesh!J24=0,0,SER_hh_tesh!J24/SER_summary!J$26)</f>
        <v>30.584689881490842</v>
      </c>
      <c r="K24" s="132">
        <f>IF(SER_hh_tesh!K24=0,0,SER_hh_tesh!K24/SER_summary!K$26)</f>
        <v>30.851279805991627</v>
      </c>
      <c r="L24" s="132">
        <f>IF(SER_hh_tesh!L24=0,0,SER_hh_tesh!L24/SER_summary!L$26)</f>
        <v>31.275694646717426</v>
      </c>
      <c r="M24" s="132">
        <f>IF(SER_hh_tesh!M24=0,0,SER_hh_tesh!M24/SER_summary!M$26)</f>
        <v>32.218487283797316</v>
      </c>
      <c r="N24" s="132">
        <f>IF(SER_hh_tesh!N24=0,0,SER_hh_tesh!N24/SER_summary!N$26)</f>
        <v>32.922656187606762</v>
      </c>
      <c r="O24" s="132">
        <f>IF(SER_hh_tesh!O24=0,0,SER_hh_tesh!O24/SER_summary!O$26)</f>
        <v>33.192414785781367</v>
      </c>
      <c r="P24" s="132">
        <f>IF(SER_hh_tesh!P24=0,0,SER_hh_tesh!P24/SER_summary!P$26)</f>
        <v>33.862450856411193</v>
      </c>
      <c r="Q24" s="132">
        <f>IF(SER_hh_tesh!Q24=0,0,SER_hh_tesh!Q24/SER_summary!Q$26)</f>
        <v>36.448458699524856</v>
      </c>
      <c r="R24" s="132">
        <f>IF(SER_hh_tesh!R24=0,0,SER_hh_tesh!R24/SER_summary!R$26)</f>
        <v>33.718363638181721</v>
      </c>
      <c r="S24" s="132">
        <f>IF(SER_hh_tesh!S24=0,0,SER_hh_tesh!S24/SER_summary!S$26)</f>
        <v>32.056752427454441</v>
      </c>
      <c r="T24" s="132">
        <f>IF(SER_hh_tesh!T24=0,0,SER_hh_tesh!T24/SER_summary!T$26)</f>
        <v>36.283664378813349</v>
      </c>
      <c r="U24" s="132">
        <f>IF(SER_hh_tesh!U24=0,0,SER_hh_tesh!U24/SER_summary!U$26)</f>
        <v>30.547951449488615</v>
      </c>
      <c r="V24" s="132">
        <f>IF(SER_hh_tesh!V24=0,0,SER_hh_tesh!V24/SER_summary!V$26)</f>
        <v>30.336824458143347</v>
      </c>
      <c r="W24" s="132">
        <f>IF(SER_hh_tesh!W24=0,0,SER_hh_tesh!W24/SER_summary!W$26)</f>
        <v>33.998351575917816</v>
      </c>
      <c r="X24" s="132">
        <f>IF(SER_hh_tesh!X24=0,0,SER_hh_tesh!X24/SER_summary!X$26)</f>
        <v>33.887686420414354</v>
      </c>
      <c r="Y24" s="132">
        <f>IF(SER_hh_tesh!Y24=0,0,SER_hh_tesh!Y24/SER_summary!Y$26)</f>
        <v>35.35212895940581</v>
      </c>
      <c r="DA24" s="156" t="s">
        <v>529</v>
      </c>
    </row>
    <row r="25" spans="1:105" ht="12" customHeight="1" x14ac:dyDescent="0.25">
      <c r="A25" s="131" t="s">
        <v>162</v>
      </c>
      <c r="B25" s="132">
        <f>IF(SER_hh_tesh!B25=0,0,SER_hh_tesh!B25/SER_summary!B$26)</f>
        <v>29.659425452353375</v>
      </c>
      <c r="C25" s="132">
        <f>IF(SER_hh_tesh!C25=0,0,SER_hh_tesh!C25/SER_summary!C$26)</f>
        <v>19.532064061292473</v>
      </c>
      <c r="D25" s="132">
        <f>IF(SER_hh_tesh!D25=0,0,SER_hh_tesh!D25/SER_summary!D$26)</f>
        <v>11.28954908899262</v>
      </c>
      <c r="E25" s="132">
        <f>IF(SER_hh_tesh!E25=0,0,SER_hh_tesh!E25/SER_summary!E$26)</f>
        <v>24.612311604887914</v>
      </c>
      <c r="F25" s="132">
        <f>IF(SER_hh_tesh!F25=0,0,SER_hh_tesh!F25/SER_summary!F$26)</f>
        <v>20.808364252547381</v>
      </c>
      <c r="G25" s="132">
        <f>IF(SER_hh_tesh!G25=0,0,SER_hh_tesh!G25/SER_summary!G$26)</f>
        <v>33.532934905309034</v>
      </c>
      <c r="H25" s="132">
        <f>IF(SER_hh_tesh!H25=0,0,SER_hh_tesh!H25/SER_summary!H$26)</f>
        <v>30.939219612874147</v>
      </c>
      <c r="I25" s="132">
        <f>IF(SER_hh_tesh!I25=0,0,SER_hh_tesh!I25/SER_summary!I$26)</f>
        <v>29.525857646131833</v>
      </c>
      <c r="J25" s="132">
        <f>IF(SER_hh_tesh!J25=0,0,SER_hh_tesh!J25/SER_summary!J$26)</f>
        <v>34.298505524157385</v>
      </c>
      <c r="K25" s="132">
        <f>IF(SER_hh_tesh!K25=0,0,SER_hh_tesh!K25/SER_summary!K$26)</f>
        <v>31.926992408350738</v>
      </c>
      <c r="L25" s="132">
        <f>IF(SER_hh_tesh!L25=0,0,SER_hh_tesh!L25/SER_summary!L$26)</f>
        <v>30.606281892421173</v>
      </c>
      <c r="M25" s="132">
        <f>IF(SER_hh_tesh!M25=0,0,SER_hh_tesh!M25/SER_summary!M$26)</f>
        <v>32.214067767926004</v>
      </c>
      <c r="N25" s="132">
        <f>IF(SER_hh_tesh!N25=0,0,SER_hh_tesh!N25/SER_summary!N$26)</f>
        <v>33.282426476454475</v>
      </c>
      <c r="O25" s="132">
        <f>IF(SER_hh_tesh!O25=0,0,SER_hh_tesh!O25/SER_summary!O$26)</f>
        <v>34.226944426634951</v>
      </c>
      <c r="P25" s="132">
        <f>IF(SER_hh_tesh!P25=0,0,SER_hh_tesh!P25/SER_summary!P$26)</f>
        <v>32.405080040435038</v>
      </c>
      <c r="Q25" s="132">
        <f>IF(SER_hh_tesh!Q25=0,0,SER_hh_tesh!Q25/SER_summary!Q$26)</f>
        <v>34.13261515712199</v>
      </c>
      <c r="R25" s="132">
        <f>IF(SER_hh_tesh!R25=0,0,SER_hh_tesh!R25/SER_summary!R$26)</f>
        <v>35.124162883378602</v>
      </c>
      <c r="S25" s="132">
        <f>IF(SER_hh_tesh!S25=0,0,SER_hh_tesh!S25/SER_summary!S$26)</f>
        <v>34.057696918671979</v>
      </c>
      <c r="T25" s="132">
        <f>IF(SER_hh_tesh!T25=0,0,SER_hh_tesh!T25/SER_summary!T$26)</f>
        <v>33.280126180414733</v>
      </c>
      <c r="U25" s="132">
        <f>IF(SER_hh_tesh!U25=0,0,SER_hh_tesh!U25/SER_summary!U$26)</f>
        <v>31.354199079163276</v>
      </c>
      <c r="V25" s="132">
        <f>IF(SER_hh_tesh!V25=0,0,SER_hh_tesh!V25/SER_summary!V$26)</f>
        <v>32.113748515622945</v>
      </c>
      <c r="W25" s="132">
        <f>IF(SER_hh_tesh!W25=0,0,SER_hh_tesh!W25/SER_summary!W$26)</f>
        <v>35.091525054332052</v>
      </c>
      <c r="X25" s="132">
        <f>IF(SER_hh_tesh!X25=0,0,SER_hh_tesh!X25/SER_summary!X$26)</f>
        <v>32.485679641105492</v>
      </c>
      <c r="Y25" s="132">
        <f>IF(SER_hh_tesh!Y25=0,0,SER_hh_tesh!Y25/SER_summary!Y$26)</f>
        <v>35.999126409673067</v>
      </c>
      <c r="DA25" s="156" t="s">
        <v>530</v>
      </c>
    </row>
    <row r="26" spans="1:105" ht="12" customHeight="1" x14ac:dyDescent="0.25">
      <c r="A26" s="131" t="s">
        <v>24</v>
      </c>
      <c r="B26" s="65">
        <f>IF(SER_hh_tesh!B26=0,0,SER_hh_tesh!B26/SER_summary!B$26)</f>
        <v>26.656773631129006</v>
      </c>
      <c r="C26" s="65">
        <f>IF(SER_hh_tesh!C26=0,0,SER_hh_tesh!C26/SER_summary!C$26)</f>
        <v>53.976100609234585</v>
      </c>
      <c r="D26" s="65">
        <f>IF(SER_hh_tesh!D26=0,0,SER_hh_tesh!D26/SER_summary!D$26)</f>
        <v>4.7119387275760358</v>
      </c>
      <c r="E26" s="65">
        <f>IF(SER_hh_tesh!E26=0,0,SER_hh_tesh!E26/SER_summary!E$26)</f>
        <v>32.304781207320673</v>
      </c>
      <c r="F26" s="65">
        <f>IF(SER_hh_tesh!F26=0,0,SER_hh_tesh!F26/SER_summary!F$26)</f>
        <v>30.750862193951473</v>
      </c>
      <c r="G26" s="65">
        <f>IF(SER_hh_tesh!G26=0,0,SER_hh_tesh!G26/SER_summary!G$26)</f>
        <v>29.032395753761467</v>
      </c>
      <c r="H26" s="65">
        <f>IF(SER_hh_tesh!H26=0,0,SER_hh_tesh!H26/SER_summary!H$26)</f>
        <v>29.81495012725598</v>
      </c>
      <c r="I26" s="65">
        <f>IF(SER_hh_tesh!I26=0,0,SER_hh_tesh!I26/SER_summary!I$26)</f>
        <v>35.644460400158493</v>
      </c>
      <c r="J26" s="65">
        <f>IF(SER_hh_tesh!J26=0,0,SER_hh_tesh!J26/SER_summary!J$26)</f>
        <v>37.376225774885214</v>
      </c>
      <c r="K26" s="65">
        <f>IF(SER_hh_tesh!K26=0,0,SER_hh_tesh!K26/SER_summary!K$26)</f>
        <v>27.483187028032873</v>
      </c>
      <c r="L26" s="65">
        <f>IF(SER_hh_tesh!L26=0,0,SER_hh_tesh!L26/SER_summary!L$26)</f>
        <v>27.408858756201226</v>
      </c>
      <c r="M26" s="65">
        <f>IF(SER_hh_tesh!M26=0,0,SER_hh_tesh!M26/SER_summary!M$26)</f>
        <v>35.088433639551567</v>
      </c>
      <c r="N26" s="65">
        <f>IF(SER_hh_tesh!N26=0,0,SER_hh_tesh!N26/SER_summary!N$26)</f>
        <v>32.670502479192194</v>
      </c>
      <c r="O26" s="65">
        <f>IF(SER_hh_tesh!O26=0,0,SER_hh_tesh!O26/SER_summary!O$26)</f>
        <v>31.989714734069153</v>
      </c>
      <c r="P26" s="65">
        <f>IF(SER_hh_tesh!P26=0,0,SER_hh_tesh!P26/SER_summary!P$26)</f>
        <v>33.823872754503064</v>
      </c>
      <c r="Q26" s="65">
        <f>IF(SER_hh_tesh!Q26=0,0,SER_hh_tesh!Q26/SER_summary!Q$26)</f>
        <v>34.444928259437468</v>
      </c>
      <c r="R26" s="65">
        <f>IF(SER_hh_tesh!R26=0,0,SER_hh_tesh!R26/SER_summary!R$26)</f>
        <v>35.256377438093104</v>
      </c>
      <c r="S26" s="65">
        <f>IF(SER_hh_tesh!S26=0,0,SER_hh_tesh!S26/SER_summary!S$26)</f>
        <v>32.457801302077321</v>
      </c>
      <c r="T26" s="65">
        <f>IF(SER_hh_tesh!T26=0,0,SER_hh_tesh!T26/SER_summary!T$26)</f>
        <v>33.06611948969752</v>
      </c>
      <c r="U26" s="65">
        <f>IF(SER_hh_tesh!U26=0,0,SER_hh_tesh!U26/SER_summary!U$26)</f>
        <v>32.479756852807412</v>
      </c>
      <c r="V26" s="65">
        <f>IF(SER_hh_tesh!V26=0,0,SER_hh_tesh!V26/SER_summary!V$26)</f>
        <v>28.992729128439148</v>
      </c>
      <c r="W26" s="65">
        <f>IF(SER_hh_tesh!W26=0,0,SER_hh_tesh!W26/SER_summary!W$26)</f>
        <v>31.174224615636756</v>
      </c>
      <c r="X26" s="65">
        <f>IF(SER_hh_tesh!X26=0,0,SER_hh_tesh!X26/SER_summary!X$26)</f>
        <v>33.69939323181211</v>
      </c>
      <c r="Y26" s="65">
        <f>IF(SER_hh_tesh!Y26=0,0,SER_hh_tesh!Y26/SER_summary!Y$26)</f>
        <v>37.877514839477215</v>
      </c>
      <c r="DA26" s="109" t="s">
        <v>531</v>
      </c>
    </row>
    <row r="27" spans="1:105" ht="12" customHeight="1" x14ac:dyDescent="0.25">
      <c r="A27" s="144" t="s">
        <v>86</v>
      </c>
      <c r="B27" s="145">
        <f>IF(SER_hh_tesh!B27=0,0,SER_hh_tesh!B27/SER_summary!B$26)</f>
        <v>0</v>
      </c>
      <c r="C27" s="145">
        <f>IF(SER_hh_tesh!C27=0,0,SER_hh_tesh!C27/SER_summary!C$26)</f>
        <v>0</v>
      </c>
      <c r="D27" s="145">
        <f>IF(SER_hh_tesh!D27=0,0,SER_hh_tesh!D27/SER_summary!D$26)</f>
        <v>0</v>
      </c>
      <c r="E27" s="145">
        <f>IF(SER_hh_tesh!E27=0,0,SER_hh_tesh!E27/SER_summary!E$26)</f>
        <v>0</v>
      </c>
      <c r="F27" s="145">
        <f>IF(SER_hh_tesh!F27=0,0,SER_hh_tesh!F27/SER_summary!F$26)</f>
        <v>0</v>
      </c>
      <c r="G27" s="145">
        <f>IF(SER_hh_tesh!G27=0,0,SER_hh_tesh!G27/SER_summary!G$26)</f>
        <v>0</v>
      </c>
      <c r="H27" s="145">
        <f>IF(SER_hh_tesh!H27=0,0,SER_hh_tesh!H27/SER_summary!H$26)</f>
        <v>0</v>
      </c>
      <c r="I27" s="145">
        <f>IF(SER_hh_tesh!I27=0,0,SER_hh_tesh!I27/SER_summary!I$26)</f>
        <v>6.1774122191167917E-3</v>
      </c>
      <c r="J27" s="145">
        <f>IF(SER_hh_tesh!J27=0,0,SER_hh_tesh!J27/SER_summary!J$26)</f>
        <v>0</v>
      </c>
      <c r="K27" s="145">
        <f>IF(SER_hh_tesh!K27=0,0,SER_hh_tesh!K27/SER_summary!K$26)</f>
        <v>0</v>
      </c>
      <c r="L27" s="145">
        <f>IF(SER_hh_tesh!L27=0,0,SER_hh_tesh!L27/SER_summary!L$26)</f>
        <v>1.6892459869436608E-2</v>
      </c>
      <c r="M27" s="145">
        <f>IF(SER_hh_tesh!M27=0,0,SER_hh_tesh!M27/SER_summary!M$26)</f>
        <v>1.0845630787104425E-2</v>
      </c>
      <c r="N27" s="145">
        <f>IF(SER_hh_tesh!N27=0,0,SER_hh_tesh!N27/SER_summary!N$26)</f>
        <v>2.1130326089793015E-2</v>
      </c>
      <c r="O27" s="145">
        <f>IF(SER_hh_tesh!O27=0,0,SER_hh_tesh!O27/SER_summary!O$26)</f>
        <v>1.0099236178666258E-2</v>
      </c>
      <c r="P27" s="145">
        <f>IF(SER_hh_tesh!P27=0,0,SER_hh_tesh!P27/SER_summary!P$26)</f>
        <v>9.6943030123064142E-3</v>
      </c>
      <c r="Q27" s="145">
        <f>IF(SER_hh_tesh!Q27=0,0,SER_hh_tesh!Q27/SER_summary!Q$26)</f>
        <v>4.6106020247148301E-3</v>
      </c>
      <c r="R27" s="145">
        <f>IF(SER_hh_tesh!R27=0,0,SER_hh_tesh!R27/SER_summary!R$26)</f>
        <v>4.4371101061291326E-3</v>
      </c>
      <c r="S27" s="145">
        <f>IF(SER_hh_tesh!S27=0,0,SER_hh_tesh!S27/SER_summary!S$26)</f>
        <v>1.1082113575967686E-2</v>
      </c>
      <c r="T27" s="145">
        <f>IF(SER_hh_tesh!T27=0,0,SER_hh_tesh!T27/SER_summary!T$26)</f>
        <v>9.9276731550879075E-3</v>
      </c>
      <c r="U27" s="145">
        <f>IF(SER_hh_tesh!U27=0,0,SER_hh_tesh!U27/SER_summary!U$26)</f>
        <v>1.1357558711581919E-2</v>
      </c>
      <c r="V27" s="145">
        <f>IF(SER_hh_tesh!V27=0,0,SER_hh_tesh!V27/SER_summary!V$26)</f>
        <v>6.2584150913054994E-3</v>
      </c>
      <c r="W27" s="145">
        <f>IF(SER_hh_tesh!W27=0,0,SER_hh_tesh!W27/SER_summary!W$26)</f>
        <v>6.4879777259146468E-2</v>
      </c>
      <c r="X27" s="145">
        <f>IF(SER_hh_tesh!X27=0,0,SER_hh_tesh!X27/SER_summary!X$26)</f>
        <v>5.8350809441409184E-2</v>
      </c>
      <c r="Y27" s="145">
        <f>IF(SER_hh_tesh!Y27=0,0,SER_hh_tesh!Y27/SER_summary!Y$26)</f>
        <v>6.1235989110740963E-2</v>
      </c>
      <c r="DA27" s="158" t="s">
        <v>532</v>
      </c>
    </row>
    <row r="28" spans="1:105" ht="12" customHeight="1" x14ac:dyDescent="0.25">
      <c r="A28" s="78" t="s">
        <v>85</v>
      </c>
      <c r="B28" s="146">
        <f>IF(SER_hh_tesh!B28=0,0,SER_hh_tesh!B28/SER_summary!B$26)</f>
        <v>0</v>
      </c>
      <c r="C28" s="146">
        <f>IF(SER_hh_tesh!C28=0,0,SER_hh_tesh!C28/SER_summary!C$26)</f>
        <v>0</v>
      </c>
      <c r="D28" s="146">
        <f>IF(SER_hh_tesh!D28=0,0,SER_hh_tesh!D28/SER_summary!D$26)</f>
        <v>0</v>
      </c>
      <c r="E28" s="146">
        <f>IF(SER_hh_tesh!E28=0,0,SER_hh_tesh!E28/SER_summary!E$26)</f>
        <v>0</v>
      </c>
      <c r="F28" s="146">
        <f>IF(SER_hh_tesh!F28=0,0,SER_hh_tesh!F28/SER_summary!F$26)</f>
        <v>0</v>
      </c>
      <c r="G28" s="146">
        <f>IF(SER_hh_tesh!G28=0,0,SER_hh_tesh!G28/SER_summary!G$26)</f>
        <v>0</v>
      </c>
      <c r="H28" s="146">
        <f>IF(SER_hh_tesh!H28=0,0,SER_hh_tesh!H28/SER_summary!H$26)</f>
        <v>0</v>
      </c>
      <c r="I28" s="146">
        <f>IF(SER_hh_tesh!I28=0,0,SER_hh_tesh!I28/SER_summary!I$26)</f>
        <v>25.374089765513911</v>
      </c>
      <c r="J28" s="146">
        <f>IF(SER_hh_tesh!J28=0,0,SER_hh_tesh!J28/SER_summary!J$26)</f>
        <v>0</v>
      </c>
      <c r="K28" s="146">
        <f>IF(SER_hh_tesh!K28=0,0,SER_hh_tesh!K28/SER_summary!K$26)</f>
        <v>0</v>
      </c>
      <c r="L28" s="146">
        <f>IF(SER_hh_tesh!L28=0,0,SER_hh_tesh!L28/SER_summary!L$26)</f>
        <v>24.200813112268417</v>
      </c>
      <c r="M28" s="146">
        <f>IF(SER_hh_tesh!M28=0,0,SER_hh_tesh!M28/SER_summary!M$26)</f>
        <v>25.147292270858575</v>
      </c>
      <c r="N28" s="146">
        <f>IF(SER_hh_tesh!N28=0,0,SER_hh_tesh!N28/SER_summary!N$26)</f>
        <v>25.048133663947482</v>
      </c>
      <c r="O28" s="146">
        <f>IF(SER_hh_tesh!O28=0,0,SER_hh_tesh!O28/SER_summary!O$26)</f>
        <v>25.603614486564073</v>
      </c>
      <c r="P28" s="146">
        <f>IF(SER_hh_tesh!P28=0,0,SER_hh_tesh!P28/SER_summary!P$26)</f>
        <v>25.976100421137975</v>
      </c>
      <c r="Q28" s="146">
        <f>IF(SER_hh_tesh!Q28=0,0,SER_hh_tesh!Q28/SER_summary!Q$26)</f>
        <v>26.545028269324909</v>
      </c>
      <c r="R28" s="146">
        <f>IF(SER_hh_tesh!R28=0,0,SER_hh_tesh!R28/SER_summary!R$26)</f>
        <v>26.569231191058893</v>
      </c>
      <c r="S28" s="146">
        <f>IF(SER_hh_tesh!S28=0,0,SER_hh_tesh!S28/SER_summary!S$26)</f>
        <v>26.685533473634624</v>
      </c>
      <c r="T28" s="146">
        <f>IF(SER_hh_tesh!T28=0,0,SER_hh_tesh!T28/SER_summary!T$26)</f>
        <v>26.167815801298122</v>
      </c>
      <c r="U28" s="146">
        <f>IF(SER_hh_tesh!U28=0,0,SER_hh_tesh!U28/SER_summary!U$26)</f>
        <v>25.125969509921049</v>
      </c>
      <c r="V28" s="146">
        <f>IF(SER_hh_tesh!V28=0,0,SER_hh_tesh!V28/SER_summary!V$26)</f>
        <v>23.884937404801711</v>
      </c>
      <c r="W28" s="146">
        <f>IF(SER_hh_tesh!W28=0,0,SER_hh_tesh!W28/SER_summary!W$26)</f>
        <v>26.511517956398546</v>
      </c>
      <c r="X28" s="146">
        <f>IF(SER_hh_tesh!X28=0,0,SER_hh_tesh!X28/SER_summary!X$26)</f>
        <v>27.016170206879412</v>
      </c>
      <c r="Y28" s="146">
        <f>IF(SER_hh_tesh!Y28=0,0,SER_hh_tesh!Y28/SER_summary!Y$26)</f>
        <v>27.84910896084774</v>
      </c>
      <c r="DA28" s="159"/>
    </row>
    <row r="29" spans="1:105" ht="12.95" customHeight="1" x14ac:dyDescent="0.25">
      <c r="A29" s="129" t="s">
        <v>34</v>
      </c>
      <c r="B29" s="130">
        <f>IF(SER_hh_tesh!B29=0,0,SER_hh_tesh!B29/SER_summary!B$26)</f>
        <v>39.687584016926827</v>
      </c>
      <c r="C29" s="130">
        <f>IF(SER_hh_tesh!C29=0,0,SER_hh_tesh!C29/SER_summary!C$26)</f>
        <v>38.612527321546921</v>
      </c>
      <c r="D29" s="130">
        <f>IF(SER_hh_tesh!D29=0,0,SER_hh_tesh!D29/SER_summary!D$26)</f>
        <v>28.030692428864196</v>
      </c>
      <c r="E29" s="130">
        <f>IF(SER_hh_tesh!E29=0,0,SER_hh_tesh!E29/SER_summary!E$26)</f>
        <v>37.955107751775294</v>
      </c>
      <c r="F29" s="130">
        <f>IF(SER_hh_tesh!F29=0,0,SER_hh_tesh!F29/SER_summary!F$26)</f>
        <v>40.041542794447615</v>
      </c>
      <c r="G29" s="130">
        <f>IF(SER_hh_tesh!G29=0,0,SER_hh_tesh!G29/SER_summary!G$26)</f>
        <v>41.543332496108775</v>
      </c>
      <c r="H29" s="130">
        <f>IF(SER_hh_tesh!H29=0,0,SER_hh_tesh!H29/SER_summary!H$26)</f>
        <v>42.563780436937485</v>
      </c>
      <c r="I29" s="130">
        <f>IF(SER_hh_tesh!I29=0,0,SER_hh_tesh!I29/SER_summary!I$26)</f>
        <v>43.132044197362546</v>
      </c>
      <c r="J29" s="130">
        <f>IF(SER_hh_tesh!J29=0,0,SER_hh_tesh!J29/SER_summary!J$26)</f>
        <v>45.309129609944748</v>
      </c>
      <c r="K29" s="130">
        <f>IF(SER_hh_tesh!K29=0,0,SER_hh_tesh!K29/SER_summary!K$26)</f>
        <v>45.492613091310822</v>
      </c>
      <c r="L29" s="130">
        <f>IF(SER_hh_tesh!L29=0,0,SER_hh_tesh!L29/SER_summary!L$26)</f>
        <v>46.02265586186693</v>
      </c>
      <c r="M29" s="130">
        <f>IF(SER_hh_tesh!M29=0,0,SER_hh_tesh!M29/SER_summary!M$26)</f>
        <v>46.002518043907983</v>
      </c>
      <c r="N29" s="130">
        <f>IF(SER_hh_tesh!N29=0,0,SER_hh_tesh!N29/SER_summary!N$26)</f>
        <v>46.694369450456172</v>
      </c>
      <c r="O29" s="130">
        <f>IF(SER_hh_tesh!O29=0,0,SER_hh_tesh!O29/SER_summary!O$26)</f>
        <v>48.520335966224465</v>
      </c>
      <c r="P29" s="130">
        <f>IF(SER_hh_tesh!P29=0,0,SER_hh_tesh!P29/SER_summary!P$26)</f>
        <v>49.121945508361641</v>
      </c>
      <c r="Q29" s="130">
        <f>IF(SER_hh_tesh!Q29=0,0,SER_hh_tesh!Q29/SER_summary!Q$26)</f>
        <v>49.706333417174797</v>
      </c>
      <c r="R29" s="130">
        <f>IF(SER_hh_tesh!R29=0,0,SER_hh_tesh!R29/SER_summary!R$26)</f>
        <v>48.106707443135726</v>
      </c>
      <c r="S29" s="130">
        <f>IF(SER_hh_tesh!S29=0,0,SER_hh_tesh!S29/SER_summary!S$26)</f>
        <v>46.913826882902846</v>
      </c>
      <c r="T29" s="130">
        <f>IF(SER_hh_tesh!T29=0,0,SER_hh_tesh!T29/SER_summary!T$26)</f>
        <v>47.446593444781222</v>
      </c>
      <c r="U29" s="130">
        <f>IF(SER_hh_tesh!U29=0,0,SER_hh_tesh!U29/SER_summary!U$26)</f>
        <v>47.666270291377117</v>
      </c>
      <c r="V29" s="130">
        <f>IF(SER_hh_tesh!V29=0,0,SER_hh_tesh!V29/SER_summary!V$26)</f>
        <v>43.22323597520473</v>
      </c>
      <c r="W29" s="130">
        <f>IF(SER_hh_tesh!W29=0,0,SER_hh_tesh!W29/SER_summary!W$26)</f>
        <v>45.995465723198841</v>
      </c>
      <c r="X29" s="130">
        <f>IF(SER_hh_tesh!X29=0,0,SER_hh_tesh!X29/SER_summary!X$26)</f>
        <v>48.801876838410365</v>
      </c>
      <c r="Y29" s="130">
        <f>IF(SER_hh_tesh!Y29=0,0,SER_hh_tesh!Y29/SER_summary!Y$26)</f>
        <v>50.126705924932963</v>
      </c>
      <c r="DA29" s="155" t="s">
        <v>533</v>
      </c>
    </row>
    <row r="30" spans="1:105" ht="12" customHeight="1" x14ac:dyDescent="0.25">
      <c r="A30" s="131" t="s">
        <v>52</v>
      </c>
      <c r="B30" s="132">
        <f>IF(SER_hh_tesh!B30=0,0,SER_hh_tesh!B30/SER_summary!B$26)</f>
        <v>63.225004339646894</v>
      </c>
      <c r="C30" s="132">
        <f>IF(SER_hh_tesh!C30=0,0,SER_hh_tesh!C30/SER_summary!C$26)</f>
        <v>24.715959433232346</v>
      </c>
      <c r="D30" s="132">
        <f>IF(SER_hh_tesh!D30=0,0,SER_hh_tesh!D30/SER_summary!D$26)</f>
        <v>10.899593055399388</v>
      </c>
      <c r="E30" s="132">
        <f>IF(SER_hh_tesh!E30=0,0,SER_hh_tesh!E30/SER_summary!E$26)</f>
        <v>32.845008015091551</v>
      </c>
      <c r="F30" s="132">
        <f>IF(SER_hh_tesh!F30=0,0,SER_hh_tesh!F30/SER_summary!F$26)</f>
        <v>50.160455916192838</v>
      </c>
      <c r="G30" s="132">
        <f>IF(SER_hh_tesh!G30=0,0,SER_hh_tesh!G30/SER_summary!G$26)</f>
        <v>60.567090366109689</v>
      </c>
      <c r="H30" s="132">
        <f>IF(SER_hh_tesh!H30=0,0,SER_hh_tesh!H30/SER_summary!H$26)</f>
        <v>25.125172917587559</v>
      </c>
      <c r="I30" s="132">
        <f>IF(SER_hh_tesh!I30=0,0,SER_hh_tesh!I30/SER_summary!I$26)</f>
        <v>77.034174668394897</v>
      </c>
      <c r="J30" s="132">
        <f>IF(SER_hh_tesh!J30=0,0,SER_hh_tesh!J30/SER_summary!J$26)</f>
        <v>27.369252670566478</v>
      </c>
      <c r="K30" s="132">
        <f>IF(SER_hh_tesh!K30=0,0,SER_hh_tesh!K30/SER_summary!K$26)</f>
        <v>22.583696415059705</v>
      </c>
      <c r="L30" s="132">
        <f>IF(SER_hh_tesh!L30=0,0,SER_hh_tesh!L30/SER_summary!L$26)</f>
        <v>54.174305473886335</v>
      </c>
      <c r="M30" s="132">
        <f>IF(SER_hh_tesh!M30=0,0,SER_hh_tesh!M30/SER_summary!M$26)</f>
        <v>38.381960382570405</v>
      </c>
      <c r="N30" s="132">
        <f>IF(SER_hh_tesh!N30=0,0,SER_hh_tesh!N30/SER_summary!N$26)</f>
        <v>44.51289958606089</v>
      </c>
      <c r="O30" s="132">
        <f>IF(SER_hh_tesh!O30=0,0,SER_hh_tesh!O30/SER_summary!O$26)</f>
        <v>45.142112191184822</v>
      </c>
      <c r="P30" s="132">
        <f>IF(SER_hh_tesh!P30=0,0,SER_hh_tesh!P30/SER_summary!P$26)</f>
        <v>49.075004617092311</v>
      </c>
      <c r="Q30" s="132">
        <f>IF(SER_hh_tesh!Q30=0,0,SER_hh_tesh!Q30/SER_summary!Q$26)</f>
        <v>54.561768761112937</v>
      </c>
      <c r="R30" s="132">
        <f>IF(SER_hh_tesh!R30=0,0,SER_hh_tesh!R30/SER_summary!R$26)</f>
        <v>48.228438066576444</v>
      </c>
      <c r="S30" s="132">
        <f>IF(SER_hh_tesh!S30=0,0,SER_hh_tesh!S30/SER_summary!S$26)</f>
        <v>46.87524177537523</v>
      </c>
      <c r="T30" s="132">
        <f>IF(SER_hh_tesh!T30=0,0,SER_hh_tesh!T30/SER_summary!T$26)</f>
        <v>48.132029824236035</v>
      </c>
      <c r="U30" s="132">
        <f>IF(SER_hh_tesh!U30=0,0,SER_hh_tesh!U30/SER_summary!U$26)</f>
        <v>47.826790037126507</v>
      </c>
      <c r="V30" s="132">
        <f>IF(SER_hh_tesh!V30=0,0,SER_hh_tesh!V30/SER_summary!V$26)</f>
        <v>44.268770436700869</v>
      </c>
      <c r="W30" s="132">
        <f>IF(SER_hh_tesh!W30=0,0,SER_hh_tesh!W30/SER_summary!W$26)</f>
        <v>46.629846832423503</v>
      </c>
      <c r="X30" s="132">
        <f>IF(SER_hh_tesh!X30=0,0,SER_hh_tesh!X30/SER_summary!X$26)</f>
        <v>49.567480668442748</v>
      </c>
      <c r="Y30" s="132">
        <f>IF(SER_hh_tesh!Y30=0,0,SER_hh_tesh!Y30/SER_summary!Y$26)</f>
        <v>47.411835154291595</v>
      </c>
      <c r="DA30" s="156" t="s">
        <v>534</v>
      </c>
    </row>
    <row r="31" spans="1:105" ht="12" customHeight="1" x14ac:dyDescent="0.25">
      <c r="A31" s="131" t="s">
        <v>149</v>
      </c>
      <c r="B31" s="132">
        <f>IF(SER_hh_tesh!B31=0,0,SER_hh_tesh!B31/SER_summary!B$26)</f>
        <v>35.371580574902133</v>
      </c>
      <c r="C31" s="132">
        <f>IF(SER_hh_tesh!C31=0,0,SER_hh_tesh!C31/SER_summary!C$26)</f>
        <v>37.329967042460957</v>
      </c>
      <c r="D31" s="132">
        <f>IF(SER_hh_tesh!D31=0,0,SER_hh_tesh!D31/SER_summary!D$26)</f>
        <v>21.472555191386657</v>
      </c>
      <c r="E31" s="132">
        <f>IF(SER_hh_tesh!E31=0,0,SER_hh_tesh!E31/SER_summary!E$26)</f>
        <v>35.467846137931502</v>
      </c>
      <c r="F31" s="132">
        <f>IF(SER_hh_tesh!F31=0,0,SER_hh_tesh!F31/SER_summary!F$26)</f>
        <v>47.412240299939043</v>
      </c>
      <c r="G31" s="132">
        <f>IF(SER_hh_tesh!G31=0,0,SER_hh_tesh!G31/SER_summary!G$26)</f>
        <v>38.637668825829621</v>
      </c>
      <c r="H31" s="132">
        <f>IF(SER_hh_tesh!H31=0,0,SER_hh_tesh!H31/SER_summary!H$26)</f>
        <v>52.982725331328112</v>
      </c>
      <c r="I31" s="132">
        <f>IF(SER_hh_tesh!I31=0,0,SER_hh_tesh!I31/SER_summary!I$26)</f>
        <v>40.234628026961325</v>
      </c>
      <c r="J31" s="132">
        <f>IF(SER_hh_tesh!J31=0,0,SER_hh_tesh!J31/SER_summary!J$26)</f>
        <v>43.868575461773389</v>
      </c>
      <c r="K31" s="132">
        <f>IF(SER_hh_tesh!K31=0,0,SER_hh_tesh!K31/SER_summary!K$26)</f>
        <v>45.807475014796765</v>
      </c>
      <c r="L31" s="132">
        <f>IF(SER_hh_tesh!L31=0,0,SER_hh_tesh!L31/SER_summary!L$26)</f>
        <v>45.964202114713594</v>
      </c>
      <c r="M31" s="132">
        <f>IF(SER_hh_tesh!M31=0,0,SER_hh_tesh!M31/SER_summary!M$26)</f>
        <v>46.285527990340114</v>
      </c>
      <c r="N31" s="132">
        <f>IF(SER_hh_tesh!N31=0,0,SER_hh_tesh!N31/SER_summary!N$26)</f>
        <v>46.284497080905275</v>
      </c>
      <c r="O31" s="132">
        <f>IF(SER_hh_tesh!O31=0,0,SER_hh_tesh!O31/SER_summary!O$26)</f>
        <v>47.715692623478738</v>
      </c>
      <c r="P31" s="132">
        <f>IF(SER_hh_tesh!P31=0,0,SER_hh_tesh!P31/SER_summary!P$26)</f>
        <v>47.193580804283393</v>
      </c>
      <c r="Q31" s="132">
        <f>IF(SER_hh_tesh!Q31=0,0,SER_hh_tesh!Q31/SER_summary!Q$26)</f>
        <v>49.501525916713064</v>
      </c>
      <c r="R31" s="132">
        <f>IF(SER_hh_tesh!R31=0,0,SER_hh_tesh!R31/SER_summary!R$26)</f>
        <v>46.987817744117912</v>
      </c>
      <c r="S31" s="132">
        <f>IF(SER_hh_tesh!S31=0,0,SER_hh_tesh!S31/SER_summary!S$26)</f>
        <v>49.074524703497907</v>
      </c>
      <c r="T31" s="132">
        <f>IF(SER_hh_tesh!T31=0,0,SER_hh_tesh!T31/SER_summary!T$26)</f>
        <v>47.294401276303432</v>
      </c>
      <c r="U31" s="132">
        <f>IF(SER_hh_tesh!U31=0,0,SER_hh_tesh!U31/SER_summary!U$26)</f>
        <v>47.180617764925081</v>
      </c>
      <c r="V31" s="132">
        <f>IF(SER_hh_tesh!V31=0,0,SER_hh_tesh!V31/SER_summary!V$26)</f>
        <v>44.736416029974571</v>
      </c>
      <c r="W31" s="132">
        <f>IF(SER_hh_tesh!W31=0,0,SER_hh_tesh!W31/SER_summary!W$26)</f>
        <v>46.487995809456216</v>
      </c>
      <c r="X31" s="132">
        <f>IF(SER_hh_tesh!X31=0,0,SER_hh_tesh!X31/SER_summary!X$26)</f>
        <v>48.258967471248354</v>
      </c>
      <c r="Y31" s="132">
        <f>IF(SER_hh_tesh!Y31=0,0,SER_hh_tesh!Y31/SER_summary!Y$26)</f>
        <v>50.082802376705502</v>
      </c>
      <c r="DA31" s="156" t="s">
        <v>535</v>
      </c>
    </row>
    <row r="32" spans="1:105" ht="12" customHeight="1" x14ac:dyDescent="0.25">
      <c r="A32" s="131" t="s">
        <v>128</v>
      </c>
      <c r="B32" s="132">
        <f>IF(SER_hh_tesh!B32=0,0,SER_hh_tesh!B32/SER_summary!B$26)</f>
        <v>0</v>
      </c>
      <c r="C32" s="132">
        <f>IF(SER_hh_tesh!C32=0,0,SER_hh_tesh!C32/SER_summary!C$26)</f>
        <v>0</v>
      </c>
      <c r="D32" s="132">
        <f>IF(SER_hh_tesh!D32=0,0,SER_hh_tesh!D32/SER_summary!D$26)</f>
        <v>0</v>
      </c>
      <c r="E32" s="132">
        <f>IF(SER_hh_tesh!E32=0,0,SER_hh_tesh!E32/SER_summary!E$26)</f>
        <v>0</v>
      </c>
      <c r="F32" s="132">
        <f>IF(SER_hh_tesh!F32=0,0,SER_hh_tesh!F32/SER_summary!F$26)</f>
        <v>0</v>
      </c>
      <c r="G32" s="132">
        <f>IF(SER_hh_tesh!G32=0,0,SER_hh_tesh!G32/SER_summary!G$26)</f>
        <v>0</v>
      </c>
      <c r="H32" s="132">
        <f>IF(SER_hh_tesh!H32=0,0,SER_hh_tesh!H32/SER_summary!H$26)</f>
        <v>0</v>
      </c>
      <c r="I32" s="132">
        <f>IF(SER_hh_tesh!I32=0,0,SER_hh_tesh!I32/SER_summary!I$26)</f>
        <v>0</v>
      </c>
      <c r="J32" s="132">
        <f>IF(SER_hh_tesh!J32=0,0,SER_hh_tesh!J32/SER_summary!J$26)</f>
        <v>0</v>
      </c>
      <c r="K32" s="132">
        <f>IF(SER_hh_tesh!K32=0,0,SER_hh_tesh!K32/SER_summary!K$26)</f>
        <v>0</v>
      </c>
      <c r="L32" s="132">
        <f>IF(SER_hh_tesh!L32=0,0,SER_hh_tesh!L32/SER_summary!L$26)</f>
        <v>0</v>
      </c>
      <c r="M32" s="132">
        <f>IF(SER_hh_tesh!M32=0,0,SER_hh_tesh!M32/SER_summary!M$26)</f>
        <v>0</v>
      </c>
      <c r="N32" s="132">
        <f>IF(SER_hh_tesh!N32=0,0,SER_hh_tesh!N32/SER_summary!N$26)</f>
        <v>0</v>
      </c>
      <c r="O32" s="132">
        <f>IF(SER_hh_tesh!O32=0,0,SER_hh_tesh!O32/SER_summary!O$26)</f>
        <v>0</v>
      </c>
      <c r="P32" s="132">
        <f>IF(SER_hh_tesh!P32=0,0,SER_hh_tesh!P32/SER_summary!P$26)</f>
        <v>0</v>
      </c>
      <c r="Q32" s="132">
        <f>IF(SER_hh_tesh!Q32=0,0,SER_hh_tesh!Q32/SER_summary!Q$26)</f>
        <v>0</v>
      </c>
      <c r="R32" s="132">
        <f>IF(SER_hh_tesh!R32=0,0,SER_hh_tesh!R32/SER_summary!R$26)</f>
        <v>0</v>
      </c>
      <c r="S32" s="132">
        <f>IF(SER_hh_tesh!S32=0,0,SER_hh_tesh!S32/SER_summary!S$26)</f>
        <v>0</v>
      </c>
      <c r="T32" s="132">
        <f>IF(SER_hh_tesh!T32=0,0,SER_hh_tesh!T32/SER_summary!T$26)</f>
        <v>0</v>
      </c>
      <c r="U32" s="132">
        <f>IF(SER_hh_tesh!U32=0,0,SER_hh_tesh!U32/SER_summary!U$26)</f>
        <v>0</v>
      </c>
      <c r="V32" s="132">
        <f>IF(SER_hh_tesh!V32=0,0,SER_hh_tesh!V32/SER_summary!V$26)</f>
        <v>0</v>
      </c>
      <c r="W32" s="132">
        <f>IF(SER_hh_tesh!W32=0,0,SER_hh_tesh!W32/SER_summary!W$26)</f>
        <v>0</v>
      </c>
      <c r="X32" s="132">
        <f>IF(SER_hh_tesh!X32=0,0,SER_hh_tesh!X32/SER_summary!X$26)</f>
        <v>0</v>
      </c>
      <c r="Y32" s="132">
        <f>IF(SER_hh_tesh!Y32=0,0,SER_hh_tesh!Y32/SER_summary!Y$26)</f>
        <v>0</v>
      </c>
      <c r="DA32" s="156" t="s">
        <v>536</v>
      </c>
    </row>
    <row r="33" spans="1:105" ht="12" customHeight="1" x14ac:dyDescent="0.25">
      <c r="A33" s="62" t="s">
        <v>24</v>
      </c>
      <c r="B33" s="68">
        <f>IF(SER_hh_tesh!B33=0,0,SER_hh_tesh!B33/SER_summary!B$26)</f>
        <v>38.263763996773513</v>
      </c>
      <c r="C33" s="68">
        <f>IF(SER_hh_tesh!C33=0,0,SER_hh_tesh!C33/SER_summary!C$26)</f>
        <v>41.585781084456457</v>
      </c>
      <c r="D33" s="68">
        <f>IF(SER_hh_tesh!D33=0,0,SER_hh_tesh!D33/SER_summary!D$26)</f>
        <v>36.769633605933386</v>
      </c>
      <c r="E33" s="68">
        <f>IF(SER_hh_tesh!E33=0,0,SER_hh_tesh!E33/SER_summary!E$26)</f>
        <v>43.083118198339129</v>
      </c>
      <c r="F33" s="68">
        <f>IF(SER_hh_tesh!F33=0,0,SER_hh_tesh!F33/SER_summary!F$26)</f>
        <v>9.955587567985086</v>
      </c>
      <c r="G33" s="68">
        <f>IF(SER_hh_tesh!G33=0,0,SER_hh_tesh!G33/SER_summary!G$26)</f>
        <v>25.265294164969639</v>
      </c>
      <c r="H33" s="68">
        <f>IF(SER_hh_tesh!H33=0,0,SER_hh_tesh!H33/SER_summary!H$26)</f>
        <v>36.66036720469701</v>
      </c>
      <c r="I33" s="68">
        <f>IF(SER_hh_tesh!I33=0,0,SER_hh_tesh!I33/SER_summary!I$26)</f>
        <v>21.335057555481651</v>
      </c>
      <c r="J33" s="68">
        <f>IF(SER_hh_tesh!J33=0,0,SER_hh_tesh!J33/SER_summary!J$26)</f>
        <v>53.353108512770909</v>
      </c>
      <c r="K33" s="68">
        <f>IF(SER_hh_tesh!K33=0,0,SER_hh_tesh!K33/SER_summary!K$26)</f>
        <v>49.534061985368574</v>
      </c>
      <c r="L33" s="68">
        <f>IF(SER_hh_tesh!L33=0,0,SER_hh_tesh!L33/SER_summary!L$26)</f>
        <v>45.200324973950202</v>
      </c>
      <c r="M33" s="68">
        <f>IF(SER_hh_tesh!M33=0,0,SER_hh_tesh!M33/SER_summary!M$26)</f>
        <v>46.469356876498651</v>
      </c>
      <c r="N33" s="68">
        <f>IF(SER_hh_tesh!N33=0,0,SER_hh_tesh!N33/SER_summary!N$26)</f>
        <v>47.128459477109345</v>
      </c>
      <c r="O33" s="68">
        <f>IF(SER_hh_tesh!O33=0,0,SER_hh_tesh!O33/SER_summary!O$26)</f>
        <v>49.262865197163293</v>
      </c>
      <c r="P33" s="68">
        <f>IF(SER_hh_tesh!P33=0,0,SER_hh_tesh!P33/SER_summary!P$26)</f>
        <v>50.134503585684847</v>
      </c>
      <c r="Q33" s="68">
        <f>IF(SER_hh_tesh!Q33=0,0,SER_hh_tesh!Q33/SER_summary!Q$26)</f>
        <v>49.26433108412504</v>
      </c>
      <c r="R33" s="68">
        <f>IF(SER_hh_tesh!R33=0,0,SER_hh_tesh!R33/SER_summary!R$26)</f>
        <v>48.709755791352585</v>
      </c>
      <c r="S33" s="68">
        <f>IF(SER_hh_tesh!S33=0,0,SER_hh_tesh!S33/SER_summary!S$26)</f>
        <v>45.669546988560413</v>
      </c>
      <c r="T33" s="68">
        <f>IF(SER_hh_tesh!T33=0,0,SER_hh_tesh!T33/SER_summary!T$26)</f>
        <v>47.458113818678605</v>
      </c>
      <c r="U33" s="68">
        <f>IF(SER_hh_tesh!U33=0,0,SER_hh_tesh!U33/SER_summary!U$26)</f>
        <v>47.93469813820785</v>
      </c>
      <c r="V33" s="68">
        <f>IF(SER_hh_tesh!V33=0,0,SER_hh_tesh!V33/SER_summary!V$26)</f>
        <v>42.232101581166106</v>
      </c>
      <c r="W33" s="68">
        <f>IF(SER_hh_tesh!W33=0,0,SER_hh_tesh!W33/SER_summary!W$26)</f>
        <v>45.661997765899457</v>
      </c>
      <c r="X33" s="68">
        <f>IF(SER_hh_tesh!X33=0,0,SER_hh_tesh!X33/SER_summary!X$26)</f>
        <v>49.020706431081386</v>
      </c>
      <c r="Y33" s="68">
        <f>IF(SER_hh_tesh!Y33=0,0,SER_hh_tesh!Y33/SER_summary!Y$26)</f>
        <v>50.344782727712079</v>
      </c>
      <c r="DA33" s="111" t="s">
        <v>537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4">
    <tabColor theme="6" tint="0.39997558519241921"/>
    <pageSetUpPr fitToPage="1"/>
  </sheetPr>
  <dimension ref="A1:DA33"/>
  <sheetViews>
    <sheetView showGridLines="0" zoomScaleNormal="100" workbookViewId="0">
      <pane xSplit="1" ySplit="1" topLeftCell="G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40.7109375" style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12.95" customHeight="1" x14ac:dyDescent="0.25">
      <c r="A1" s="28" t="s">
        <v>538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X1" s="27">
        <v>2022</v>
      </c>
      <c r="Y1" s="27">
        <v>2023</v>
      </c>
      <c r="DA1" s="87" t="s">
        <v>150</v>
      </c>
    </row>
    <row r="2" spans="1:105" s="2" customFormat="1" ht="12" customHeight="1" x14ac:dyDescent="0.25">
      <c r="DA2" s="7"/>
    </row>
    <row r="3" spans="1:105" ht="12.95" customHeight="1" x14ac:dyDescent="0.25">
      <c r="A3" s="123" t="s">
        <v>92</v>
      </c>
      <c r="B3" s="125">
        <f>IF(SER_hh_emih!B3=0,0,SER_hh_emih!B3/SER_summary!B$26)</f>
        <v>29.419745452995024</v>
      </c>
      <c r="C3" s="125">
        <f>IF(SER_hh_emih!C3=0,0,SER_hh_emih!C3/SER_summary!C$26)</f>
        <v>51.172730780619851</v>
      </c>
      <c r="D3" s="125">
        <f>IF(SER_hh_emih!D3=0,0,SER_hh_emih!D3/SER_summary!D$26)</f>
        <v>28.617368903147995</v>
      </c>
      <c r="E3" s="125">
        <f>IF(SER_hh_emih!E3=0,0,SER_hh_emih!E3/SER_summary!E$26)</f>
        <v>52.562802004856742</v>
      </c>
      <c r="F3" s="125">
        <f>IF(SER_hh_emih!F3=0,0,SER_hh_emih!F3/SER_summary!F$26)</f>
        <v>79.312416654996994</v>
      </c>
      <c r="G3" s="125">
        <f>IF(SER_hh_emih!G3=0,0,SER_hh_emih!G3/SER_summary!G$26)</f>
        <v>78.964748068120329</v>
      </c>
      <c r="H3" s="125">
        <f>IF(SER_hh_emih!H3=0,0,SER_hh_emih!H3/SER_summary!H$26)</f>
        <v>103.90935423313381</v>
      </c>
      <c r="I3" s="125">
        <f>IF(SER_hh_emih!I3=0,0,SER_hh_emih!I3/SER_summary!I$26)</f>
        <v>85.740657705044839</v>
      </c>
      <c r="J3" s="125">
        <f>IF(SER_hh_emih!J3=0,0,SER_hh_emih!J3/SER_summary!J$26)</f>
        <v>59.625375312787746</v>
      </c>
      <c r="K3" s="125">
        <f>IF(SER_hh_emih!K3=0,0,SER_hh_emih!K3/SER_summary!K$26)</f>
        <v>54.357216304065822</v>
      </c>
      <c r="L3" s="125">
        <f>IF(SER_hh_emih!L3=0,0,SER_hh_emih!L3/SER_summary!L$26)</f>
        <v>53.360753307386325</v>
      </c>
      <c r="M3" s="125">
        <f>IF(SER_hh_emih!M3=0,0,SER_hh_emih!M3/SER_summary!M$26)</f>
        <v>49.95204992075675</v>
      </c>
      <c r="N3" s="125">
        <f>IF(SER_hh_emih!N3=0,0,SER_hh_emih!N3/SER_summary!N$26)</f>
        <v>47.43984289031841</v>
      </c>
      <c r="O3" s="125">
        <f>IF(SER_hh_emih!O3=0,0,SER_hh_emih!O3/SER_summary!O$26)</f>
        <v>44.214532996909796</v>
      </c>
      <c r="P3" s="125">
        <f>IF(SER_hh_emih!P3=0,0,SER_hh_emih!P3/SER_summary!P$26)</f>
        <v>42.269881131401164</v>
      </c>
      <c r="Q3" s="125">
        <f>IF(SER_hh_emih!Q3=0,0,SER_hh_emih!Q3/SER_summary!Q$26)</f>
        <v>40.077680125762875</v>
      </c>
      <c r="R3" s="125">
        <f>IF(SER_hh_emih!R3=0,0,SER_hh_emih!R3/SER_summary!R$26)</f>
        <v>39.026217951952546</v>
      </c>
      <c r="S3" s="125">
        <f>IF(SER_hh_emih!S3=0,0,SER_hh_emih!S3/SER_summary!S$26)</f>
        <v>42.686541707927141</v>
      </c>
      <c r="T3" s="125">
        <f>IF(SER_hh_emih!T3=0,0,SER_hh_emih!T3/SER_summary!T$26)</f>
        <v>42.311379375513297</v>
      </c>
      <c r="U3" s="125">
        <f>IF(SER_hh_emih!U3=0,0,SER_hh_emih!U3/SER_summary!U$26)</f>
        <v>41.312295958041901</v>
      </c>
      <c r="V3" s="125">
        <f>IF(SER_hh_emih!V3=0,0,SER_hh_emih!V3/SER_summary!V$26)</f>
        <v>37.995982511183477</v>
      </c>
      <c r="W3" s="125">
        <f>IF(SER_hh_emih!W3=0,0,SER_hh_emih!W3/SER_summary!W$26)</f>
        <v>43.186841033318743</v>
      </c>
      <c r="X3" s="125">
        <f>IF(SER_hh_emih!X3=0,0,SER_hh_emih!X3/SER_summary!X$26)</f>
        <v>44.582744554976067</v>
      </c>
      <c r="Y3" s="125">
        <f>IF(SER_hh_emih!Y3=0,0,SER_hh_emih!Y3/SER_summary!Y$26)</f>
        <v>46.306046814813243</v>
      </c>
      <c r="DA3" s="154" t="s">
        <v>539</v>
      </c>
    </row>
    <row r="4" spans="1:105" ht="12.95" customHeight="1" x14ac:dyDescent="0.25">
      <c r="A4" s="129" t="s">
        <v>32</v>
      </c>
      <c r="B4" s="130">
        <f>IF(SER_hh_emih!B4=0,0,SER_hh_emih!B4/SER_summary!B$26)</f>
        <v>23.080644003333468</v>
      </c>
      <c r="C4" s="130">
        <f>IF(SER_hh_emih!C4=0,0,SER_hh_emih!C4/SER_summary!C$26)</f>
        <v>45.158628220897612</v>
      </c>
      <c r="D4" s="130">
        <f>IF(SER_hh_emih!D4=0,0,SER_hh_emih!D4/SER_summary!D$26)</f>
        <v>22.718856465159305</v>
      </c>
      <c r="E4" s="130">
        <f>IF(SER_hh_emih!E4=0,0,SER_hh_emih!E4/SER_summary!E$26)</f>
        <v>40.432630200544075</v>
      </c>
      <c r="F4" s="130">
        <f>IF(SER_hh_emih!F4=0,0,SER_hh_emih!F4/SER_summary!F$26)</f>
        <v>58.946467162990508</v>
      </c>
      <c r="G4" s="130">
        <f>IF(SER_hh_emih!G4=0,0,SER_hh_emih!G4/SER_summary!G$26)</f>
        <v>59.403818357054227</v>
      </c>
      <c r="H4" s="130">
        <f>IF(SER_hh_emih!H4=0,0,SER_hh_emih!H4/SER_summary!H$26)</f>
        <v>85.950541056888923</v>
      </c>
      <c r="I4" s="130">
        <f>IF(SER_hh_emih!I4=0,0,SER_hh_emih!I4/SER_summary!I$26)</f>
        <v>67.028449848418575</v>
      </c>
      <c r="J4" s="130">
        <f>IF(SER_hh_emih!J4=0,0,SER_hh_emih!J4/SER_summary!J$26)</f>
        <v>46.603473270379588</v>
      </c>
      <c r="K4" s="130">
        <f>IF(SER_hh_emih!K4=0,0,SER_hh_emih!K4/SER_summary!K$26)</f>
        <v>40.657211126328257</v>
      </c>
      <c r="L4" s="130">
        <f>IF(SER_hh_emih!L4=0,0,SER_hh_emih!L4/SER_summary!L$26)</f>
        <v>39.917891780301886</v>
      </c>
      <c r="M4" s="130">
        <f>IF(SER_hh_emih!M4=0,0,SER_hh_emih!M4/SER_summary!M$26)</f>
        <v>37.997683075650961</v>
      </c>
      <c r="N4" s="130">
        <f>IF(SER_hh_emih!N4=0,0,SER_hh_emih!N4/SER_summary!N$26)</f>
        <v>35.594691982957684</v>
      </c>
      <c r="O4" s="130">
        <f>IF(SER_hh_emih!O4=0,0,SER_hh_emih!O4/SER_summary!O$26)</f>
        <v>32.018825888667941</v>
      </c>
      <c r="P4" s="130">
        <f>IF(SER_hh_emih!P4=0,0,SER_hh_emih!P4/SER_summary!P$26)</f>
        <v>29.762293959953723</v>
      </c>
      <c r="Q4" s="130">
        <f>IF(SER_hh_emih!Q4=0,0,SER_hh_emih!Q4/SER_summary!Q$26)</f>
        <v>26.858445049484246</v>
      </c>
      <c r="R4" s="130">
        <f>IF(SER_hh_emih!R4=0,0,SER_hh_emih!R4/SER_summary!R$26)</f>
        <v>26.127165162262564</v>
      </c>
      <c r="S4" s="130">
        <f>IF(SER_hh_emih!S4=0,0,SER_hh_emih!S4/SER_summary!S$26)</f>
        <v>28.851124290642598</v>
      </c>
      <c r="T4" s="130">
        <f>IF(SER_hh_emih!T4=0,0,SER_hh_emih!T4/SER_summary!T$26)</f>
        <v>28.837161817427575</v>
      </c>
      <c r="U4" s="130">
        <f>IF(SER_hh_emih!U4=0,0,SER_hh_emih!U4/SER_summary!U$26)</f>
        <v>28.134442499971037</v>
      </c>
      <c r="V4" s="130">
        <f>IF(SER_hh_emih!V4=0,0,SER_hh_emih!V4/SER_summary!V$26)</f>
        <v>25.57269437155302</v>
      </c>
      <c r="W4" s="130">
        <f>IF(SER_hh_emih!W4=0,0,SER_hh_emih!W4/SER_summary!W$26)</f>
        <v>29.799652292483184</v>
      </c>
      <c r="X4" s="130">
        <f>IF(SER_hh_emih!X4=0,0,SER_hh_emih!X4/SER_summary!X$26)</f>
        <v>31.53233751806728</v>
      </c>
      <c r="Y4" s="130">
        <f>IF(SER_hh_emih!Y4=0,0,SER_hh_emih!Y4/SER_summary!Y$26)</f>
        <v>33.730990431027827</v>
      </c>
      <c r="DA4" s="155" t="s">
        <v>540</v>
      </c>
    </row>
    <row r="5" spans="1:105" ht="12" customHeight="1" x14ac:dyDescent="0.25">
      <c r="A5" s="131" t="s">
        <v>29</v>
      </c>
      <c r="B5" s="132">
        <f>IF(SER_hh_emih!B5=0,0,SER_hh_emih!B5/SER_summary!B$26)</f>
        <v>80.061815823877325</v>
      </c>
      <c r="C5" s="132">
        <f>IF(SER_hh_emih!C5=0,0,SER_hh_emih!C5/SER_summary!C$26)</f>
        <v>170.9866539673059</v>
      </c>
      <c r="D5" s="132">
        <f>IF(SER_hh_emih!D5=0,0,SER_hh_emih!D5/SER_summary!D$26)</f>
        <v>107.89464781190306</v>
      </c>
      <c r="E5" s="132">
        <f>IF(SER_hh_emih!E5=0,0,SER_hh_emih!E5/SER_summary!E$26)</f>
        <v>95.331202093795298</v>
      </c>
      <c r="F5" s="132">
        <f>IF(SER_hh_emih!F5=0,0,SER_hh_emih!F5/SER_summary!F$26)</f>
        <v>64.062553941501591</v>
      </c>
      <c r="G5" s="132">
        <f>IF(SER_hh_emih!G5=0,0,SER_hh_emih!G5/SER_summary!G$26)</f>
        <v>41.347777332969912</v>
      </c>
      <c r="H5" s="132">
        <f>IF(SER_hh_emih!H5=0,0,SER_hh_emih!H5/SER_summary!H$26)</f>
        <v>319.71722968513717</v>
      </c>
      <c r="I5" s="132">
        <f>IF(SER_hh_emih!I5=0,0,SER_hh_emih!I5/SER_summary!I$26)</f>
        <v>196.24578507775342</v>
      </c>
      <c r="J5" s="132">
        <f>IF(SER_hh_emih!J5=0,0,SER_hh_emih!J5/SER_summary!J$26)</f>
        <v>75.876945888735747</v>
      </c>
      <c r="K5" s="132">
        <f>IF(SER_hh_emih!K5=0,0,SER_hh_emih!K5/SER_summary!K$26)</f>
        <v>48.310877766581648</v>
      </c>
      <c r="L5" s="132">
        <f>IF(SER_hh_emih!L5=0,0,SER_hh_emih!L5/SER_summary!L$26)</f>
        <v>118.74300665700059</v>
      </c>
      <c r="M5" s="132">
        <f>IF(SER_hh_emih!M5=0,0,SER_hh_emih!M5/SER_summary!M$26)</f>
        <v>116.57404046904517</v>
      </c>
      <c r="N5" s="132">
        <f>IF(SER_hh_emih!N5=0,0,SER_hh_emih!N5/SER_summary!N$26)</f>
        <v>64.271766841953806</v>
      </c>
      <c r="O5" s="132">
        <f>IF(SER_hh_emih!O5=0,0,SER_hh_emih!O5/SER_summary!O$26)</f>
        <v>81.9799873764578</v>
      </c>
      <c r="P5" s="132">
        <f>IF(SER_hh_emih!P5=0,0,SER_hh_emih!P5/SER_summary!P$26)</f>
        <v>51.006502419044054</v>
      </c>
      <c r="Q5" s="132">
        <f>IF(SER_hh_emih!Q5=0,0,SER_hh_emih!Q5/SER_summary!Q$26)</f>
        <v>53.449732718033069</v>
      </c>
      <c r="R5" s="132">
        <f>IF(SER_hh_emih!R5=0,0,SER_hh_emih!R5/SER_summary!R$26)</f>
        <v>94.743430632309952</v>
      </c>
      <c r="S5" s="132">
        <f>IF(SER_hh_emih!S5=0,0,SER_hh_emih!S5/SER_summary!S$26)</f>
        <v>0</v>
      </c>
      <c r="T5" s="132">
        <f>IF(SER_hh_emih!T5=0,0,SER_hh_emih!T5/SER_summary!T$26)</f>
        <v>85.371611591391243</v>
      </c>
      <c r="U5" s="132">
        <f>IF(SER_hh_emih!U5=0,0,SER_hh_emih!U5/SER_summary!U$26)</f>
        <v>70.587321250696078</v>
      </c>
      <c r="V5" s="132">
        <f>IF(SER_hh_emih!V5=0,0,SER_hh_emih!V5/SER_summary!V$26)</f>
        <v>19.64420148899146</v>
      </c>
      <c r="W5" s="132">
        <f>IF(SER_hh_emih!W5=0,0,SER_hh_emih!W5/SER_summary!W$26)</f>
        <v>53.008421270586354</v>
      </c>
      <c r="X5" s="132">
        <f>IF(SER_hh_emih!X5=0,0,SER_hh_emih!X5/SER_summary!X$26)</f>
        <v>69.222126905593441</v>
      </c>
      <c r="Y5" s="132">
        <f>IF(SER_hh_emih!Y5=0,0,SER_hh_emih!Y5/SER_summary!Y$26)</f>
        <v>43.32092869227214</v>
      </c>
      <c r="DA5" s="156" t="s">
        <v>541</v>
      </c>
    </row>
    <row r="6" spans="1:105" ht="12" customHeight="1" x14ac:dyDescent="0.25">
      <c r="A6" s="131" t="s">
        <v>52</v>
      </c>
      <c r="B6" s="132">
        <f>IF(SER_hh_emih!B6=0,0,SER_hh_emih!B6/SER_summary!B$26)</f>
        <v>0</v>
      </c>
      <c r="C6" s="132">
        <f>IF(SER_hh_emih!C6=0,0,SER_hh_emih!C6/SER_summary!C$26)</f>
        <v>0</v>
      </c>
      <c r="D6" s="132">
        <f>IF(SER_hh_emih!D6=0,0,SER_hh_emih!D6/SER_summary!D$26)</f>
        <v>0</v>
      </c>
      <c r="E6" s="132">
        <f>IF(SER_hh_emih!E6=0,0,SER_hh_emih!E6/SER_summary!E$26)</f>
        <v>0</v>
      </c>
      <c r="F6" s="132">
        <f>IF(SER_hh_emih!F6=0,0,SER_hh_emih!F6/SER_summary!F$26)</f>
        <v>0</v>
      </c>
      <c r="G6" s="132">
        <f>IF(SER_hh_emih!G6=0,0,SER_hh_emih!G6/SER_summary!G$26)</f>
        <v>0</v>
      </c>
      <c r="H6" s="132">
        <f>IF(SER_hh_emih!H6=0,0,SER_hh_emih!H6/SER_summary!H$26)</f>
        <v>0</v>
      </c>
      <c r="I6" s="132">
        <f>IF(SER_hh_emih!I6=0,0,SER_hh_emih!I6/SER_summary!I$26)</f>
        <v>0</v>
      </c>
      <c r="J6" s="132">
        <f>IF(SER_hh_emih!J6=0,0,SER_hh_emih!J6/SER_summary!J$26)</f>
        <v>0</v>
      </c>
      <c r="K6" s="132">
        <f>IF(SER_hh_emih!K6=0,0,SER_hh_emih!K6/SER_summary!K$26)</f>
        <v>0</v>
      </c>
      <c r="L6" s="132">
        <f>IF(SER_hh_emih!L6=0,0,SER_hh_emih!L6/SER_summary!L$26)</f>
        <v>0</v>
      </c>
      <c r="M6" s="132">
        <f>IF(SER_hh_emih!M6=0,0,SER_hh_emih!M6/SER_summary!M$26)</f>
        <v>0</v>
      </c>
      <c r="N6" s="132">
        <f>IF(SER_hh_emih!N6=0,0,SER_hh_emih!N6/SER_summary!N$26)</f>
        <v>0</v>
      </c>
      <c r="O6" s="132">
        <f>IF(SER_hh_emih!O6=0,0,SER_hh_emih!O6/SER_summary!O$26)</f>
        <v>0</v>
      </c>
      <c r="P6" s="132">
        <f>IF(SER_hh_emih!P6=0,0,SER_hh_emih!P6/SER_summary!P$26)</f>
        <v>0</v>
      </c>
      <c r="Q6" s="132">
        <f>IF(SER_hh_emih!Q6=0,0,SER_hh_emih!Q6/SER_summary!Q$26)</f>
        <v>0</v>
      </c>
      <c r="R6" s="132">
        <f>IF(SER_hh_emih!R6=0,0,SER_hh_emih!R6/SER_summary!R$26)</f>
        <v>0</v>
      </c>
      <c r="S6" s="132">
        <f>IF(SER_hh_emih!S6=0,0,SER_hh_emih!S6/SER_summary!S$26)</f>
        <v>0</v>
      </c>
      <c r="T6" s="132">
        <f>IF(SER_hh_emih!T6=0,0,SER_hh_emih!T6/SER_summary!T$26)</f>
        <v>0</v>
      </c>
      <c r="U6" s="132">
        <f>IF(SER_hh_emih!U6=0,0,SER_hh_emih!U6/SER_summary!U$26)</f>
        <v>0</v>
      </c>
      <c r="V6" s="132">
        <f>IF(SER_hh_emih!V6=0,0,SER_hh_emih!V6/SER_summary!V$26)</f>
        <v>0</v>
      </c>
      <c r="W6" s="132">
        <f>IF(SER_hh_emih!W6=0,0,SER_hh_emih!W6/SER_summary!W$26)</f>
        <v>0</v>
      </c>
      <c r="X6" s="132">
        <f>IF(SER_hh_emih!X6=0,0,SER_hh_emih!X6/SER_summary!X$26)</f>
        <v>0</v>
      </c>
      <c r="Y6" s="132">
        <f>IF(SER_hh_emih!Y6=0,0,SER_hh_emih!Y6/SER_summary!Y$26)</f>
        <v>0</v>
      </c>
      <c r="DA6" s="156" t="s">
        <v>542</v>
      </c>
    </row>
    <row r="7" spans="1:105" ht="12" customHeight="1" x14ac:dyDescent="0.25">
      <c r="A7" s="131" t="s">
        <v>161</v>
      </c>
      <c r="B7" s="132">
        <f>IF(SER_hh_emih!B7=0,0,SER_hh_emih!B7/SER_summary!B$26)</f>
        <v>108.73030989065711</v>
      </c>
      <c r="C7" s="132">
        <f>IF(SER_hh_emih!C7=0,0,SER_hh_emih!C7/SER_summary!C$26)</f>
        <v>72.082726546479208</v>
      </c>
      <c r="D7" s="132">
        <f>IF(SER_hh_emih!D7=0,0,SER_hh_emih!D7/SER_summary!D$26)</f>
        <v>77.281761780409965</v>
      </c>
      <c r="E7" s="132">
        <f>IF(SER_hh_emih!E7=0,0,SER_hh_emih!E7/SER_summary!E$26)</f>
        <v>68.353106452843164</v>
      </c>
      <c r="F7" s="132">
        <f>IF(SER_hh_emih!F7=0,0,SER_hh_emih!F7/SER_summary!F$26)</f>
        <v>117.04335510164196</v>
      </c>
      <c r="G7" s="132">
        <f>IF(SER_hh_emih!G7=0,0,SER_hh_emih!G7/SER_summary!G$26)</f>
        <v>130.28043784407259</v>
      </c>
      <c r="H7" s="132">
        <f>IF(SER_hh_emih!H7=0,0,SER_hh_emih!H7/SER_summary!H$26)</f>
        <v>91.45365188314311</v>
      </c>
      <c r="I7" s="132">
        <f>IF(SER_hh_emih!I7=0,0,SER_hh_emih!I7/SER_summary!I$26)</f>
        <v>145.68983923581217</v>
      </c>
      <c r="J7" s="132">
        <f>IF(SER_hh_emih!J7=0,0,SER_hh_emih!J7/SER_summary!J$26)</f>
        <v>122.60432769265272</v>
      </c>
      <c r="K7" s="132">
        <f>IF(SER_hh_emih!K7=0,0,SER_hh_emih!K7/SER_summary!K$26)</f>
        <v>58.083621727313421</v>
      </c>
      <c r="L7" s="132">
        <f>IF(SER_hh_emih!L7=0,0,SER_hh_emih!L7/SER_summary!L$26)</f>
        <v>59.265946299191675</v>
      </c>
      <c r="M7" s="132">
        <f>IF(SER_hh_emih!M7=0,0,SER_hh_emih!M7/SER_summary!M$26)</f>
        <v>100.09220380040685</v>
      </c>
      <c r="N7" s="132">
        <f>IF(SER_hh_emih!N7=0,0,SER_hh_emih!N7/SER_summary!N$26)</f>
        <v>78.135866704807611</v>
      </c>
      <c r="O7" s="132">
        <f>IF(SER_hh_emih!O7=0,0,SER_hh_emih!O7/SER_summary!O$26)</f>
        <v>58.610395041399059</v>
      </c>
      <c r="P7" s="132">
        <f>IF(SER_hh_emih!P7=0,0,SER_hh_emih!P7/SER_summary!P$26)</f>
        <v>53.023871817296261</v>
      </c>
      <c r="Q7" s="132">
        <f>IF(SER_hh_emih!Q7=0,0,SER_hh_emih!Q7/SER_summary!Q$26)</f>
        <v>50.676242288350423</v>
      </c>
      <c r="R7" s="132">
        <f>IF(SER_hh_emih!R7=0,0,SER_hh_emih!R7/SER_summary!R$26)</f>
        <v>45.311687972208532</v>
      </c>
      <c r="S7" s="132">
        <f>IF(SER_hh_emih!S7=0,0,SER_hh_emih!S7/SER_summary!S$26)</f>
        <v>51.095377707324531</v>
      </c>
      <c r="T7" s="132">
        <f>IF(SER_hh_emih!T7=0,0,SER_hh_emih!T7/SER_summary!T$26)</f>
        <v>48.919247340747077</v>
      </c>
      <c r="U7" s="132">
        <f>IF(SER_hh_emih!U7=0,0,SER_hh_emih!U7/SER_summary!U$26)</f>
        <v>44.127352554818451</v>
      </c>
      <c r="V7" s="132">
        <f>IF(SER_hh_emih!V7=0,0,SER_hh_emih!V7/SER_summary!V$26)</f>
        <v>36.289663111190542</v>
      </c>
      <c r="W7" s="132">
        <f>IF(SER_hh_emih!W7=0,0,SER_hh_emih!W7/SER_summary!W$26)</f>
        <v>50.227998545397227</v>
      </c>
      <c r="X7" s="132">
        <f>IF(SER_hh_emih!X7=0,0,SER_hh_emih!X7/SER_summary!X$26)</f>
        <v>51.177187478959993</v>
      </c>
      <c r="Y7" s="132">
        <f>IF(SER_hh_emih!Y7=0,0,SER_hh_emih!Y7/SER_summary!Y$26)</f>
        <v>53.515249044424742</v>
      </c>
      <c r="DA7" s="156" t="s">
        <v>543</v>
      </c>
    </row>
    <row r="8" spans="1:105" ht="12" customHeight="1" x14ac:dyDescent="0.25">
      <c r="A8" s="131" t="s">
        <v>73</v>
      </c>
      <c r="B8" s="132">
        <f>IF(SER_hh_emih!B8=0,0,SER_hh_emih!B8/SER_summary!B$26)</f>
        <v>0</v>
      </c>
      <c r="C8" s="132">
        <f>IF(SER_hh_emih!C8=0,0,SER_hh_emih!C8/SER_summary!C$26)</f>
        <v>0</v>
      </c>
      <c r="D8" s="132">
        <f>IF(SER_hh_emih!D8=0,0,SER_hh_emih!D8/SER_summary!D$26)</f>
        <v>0</v>
      </c>
      <c r="E8" s="132">
        <f>IF(SER_hh_emih!E8=0,0,SER_hh_emih!E8/SER_summary!E$26)</f>
        <v>0</v>
      </c>
      <c r="F8" s="132">
        <f>IF(SER_hh_emih!F8=0,0,SER_hh_emih!F8/SER_summary!F$26)</f>
        <v>0</v>
      </c>
      <c r="G8" s="132">
        <f>IF(SER_hh_emih!G8=0,0,SER_hh_emih!G8/SER_summary!G$26)</f>
        <v>0</v>
      </c>
      <c r="H8" s="132">
        <f>IF(SER_hh_emih!H8=0,0,SER_hh_emih!H8/SER_summary!H$26)</f>
        <v>0</v>
      </c>
      <c r="I8" s="132">
        <f>IF(SER_hh_emih!I8=0,0,SER_hh_emih!I8/SER_summary!I$26)</f>
        <v>0</v>
      </c>
      <c r="J8" s="132">
        <f>IF(SER_hh_emih!J8=0,0,SER_hh_emih!J8/SER_summary!J$26)</f>
        <v>0</v>
      </c>
      <c r="K8" s="132">
        <f>IF(SER_hh_emih!K8=0,0,SER_hh_emih!K8/SER_summary!K$26)</f>
        <v>0</v>
      </c>
      <c r="L8" s="132">
        <f>IF(SER_hh_emih!L8=0,0,SER_hh_emih!L8/SER_summary!L$26)</f>
        <v>0</v>
      </c>
      <c r="M8" s="132">
        <f>IF(SER_hh_emih!M8=0,0,SER_hh_emih!M8/SER_summary!M$26)</f>
        <v>0</v>
      </c>
      <c r="N8" s="132">
        <f>IF(SER_hh_emih!N8=0,0,SER_hh_emih!N8/SER_summary!N$26)</f>
        <v>0</v>
      </c>
      <c r="O8" s="132">
        <f>IF(SER_hh_emih!O8=0,0,SER_hh_emih!O8/SER_summary!O$26)</f>
        <v>0</v>
      </c>
      <c r="P8" s="132">
        <f>IF(SER_hh_emih!P8=0,0,SER_hh_emih!P8/SER_summary!P$26)</f>
        <v>0</v>
      </c>
      <c r="Q8" s="132">
        <f>IF(SER_hh_emih!Q8=0,0,SER_hh_emih!Q8/SER_summary!Q$26)</f>
        <v>0</v>
      </c>
      <c r="R8" s="132">
        <f>IF(SER_hh_emih!R8=0,0,SER_hh_emih!R8/SER_summary!R$26)</f>
        <v>0</v>
      </c>
      <c r="S8" s="132">
        <f>IF(SER_hh_emih!S8=0,0,SER_hh_emih!S8/SER_summary!S$26)</f>
        <v>0</v>
      </c>
      <c r="T8" s="132">
        <f>IF(SER_hh_emih!T8=0,0,SER_hh_emih!T8/SER_summary!T$26)</f>
        <v>0</v>
      </c>
      <c r="U8" s="132">
        <f>IF(SER_hh_emih!U8=0,0,SER_hh_emih!U8/SER_summary!U$26)</f>
        <v>0</v>
      </c>
      <c r="V8" s="132">
        <f>IF(SER_hh_emih!V8=0,0,SER_hh_emih!V8/SER_summary!V$26)</f>
        <v>0</v>
      </c>
      <c r="W8" s="132">
        <f>IF(SER_hh_emih!W8=0,0,SER_hh_emih!W8/SER_summary!W$26)</f>
        <v>0</v>
      </c>
      <c r="X8" s="132">
        <f>IF(SER_hh_emih!X8=0,0,SER_hh_emih!X8/SER_summary!X$26)</f>
        <v>0</v>
      </c>
      <c r="Y8" s="132">
        <f>IF(SER_hh_emih!Y8=0,0,SER_hh_emih!Y8/SER_summary!Y$26)</f>
        <v>0</v>
      </c>
      <c r="DA8" s="156" t="s">
        <v>544</v>
      </c>
    </row>
    <row r="9" spans="1:105" ht="12" customHeight="1" x14ac:dyDescent="0.25">
      <c r="A9" s="131" t="s">
        <v>78</v>
      </c>
      <c r="B9" s="132">
        <f>IF(SER_hh_emih!B9=0,0,SER_hh_emih!B9/SER_summary!B$26)</f>
        <v>64.620184420447018</v>
      </c>
      <c r="C9" s="132">
        <f>IF(SER_hh_emih!C9=0,0,SER_hh_emih!C9/SER_summary!C$26)</f>
        <v>151.16108888849823</v>
      </c>
      <c r="D9" s="132">
        <f>IF(SER_hh_emih!D9=0,0,SER_hh_emih!D9/SER_summary!D$26)</f>
        <v>13.64542094594843</v>
      </c>
      <c r="E9" s="132">
        <f>IF(SER_hh_emih!E9=0,0,SER_hh_emih!E9/SER_summary!E$26)</f>
        <v>72.827183999411332</v>
      </c>
      <c r="F9" s="132">
        <f>IF(SER_hh_emih!F9=0,0,SER_hh_emih!F9/SER_summary!F$26)</f>
        <v>71.956220717940809</v>
      </c>
      <c r="G9" s="132">
        <f>IF(SER_hh_emih!G9=0,0,SER_hh_emih!G9/SER_summary!G$26)</f>
        <v>71.952365155709643</v>
      </c>
      <c r="H9" s="132">
        <f>IF(SER_hh_emih!H9=0,0,SER_hh_emih!H9/SER_summary!H$26)</f>
        <v>134.37961911530016</v>
      </c>
      <c r="I9" s="132">
        <f>IF(SER_hh_emih!I9=0,0,SER_hh_emih!I9/SER_summary!I$26)</f>
        <v>87.925053444469313</v>
      </c>
      <c r="J9" s="132">
        <f>IF(SER_hh_emih!J9=0,0,SER_hh_emih!J9/SER_summary!J$26)</f>
        <v>59.945069045494236</v>
      </c>
      <c r="K9" s="132">
        <f>IF(SER_hh_emih!K9=0,0,SER_hh_emih!K9/SER_summary!K$26)</f>
        <v>67.128681052945709</v>
      </c>
      <c r="L9" s="132">
        <f>IF(SER_hh_emih!L9=0,0,SER_hh_emih!L9/SER_summary!L$26)</f>
        <v>66.741245849213257</v>
      </c>
      <c r="M9" s="132">
        <f>IF(SER_hh_emih!M9=0,0,SER_hh_emih!M9/SER_summary!M$26)</f>
        <v>50.312050902081303</v>
      </c>
      <c r="N9" s="132">
        <f>IF(SER_hh_emih!N9=0,0,SER_hh_emih!N9/SER_summary!N$26)</f>
        <v>49.812938592280624</v>
      </c>
      <c r="O9" s="132">
        <f>IF(SER_hh_emih!O9=0,0,SER_hh_emih!O9/SER_summary!O$26)</f>
        <v>46.31190502432711</v>
      </c>
      <c r="P9" s="132">
        <f>IF(SER_hh_emih!P9=0,0,SER_hh_emih!P9/SER_summary!P$26)</f>
        <v>41.863405678424648</v>
      </c>
      <c r="Q9" s="132">
        <f>IF(SER_hh_emih!Q9=0,0,SER_hh_emih!Q9/SER_summary!Q$26)</f>
        <v>36.740551428202849</v>
      </c>
      <c r="R9" s="132">
        <f>IF(SER_hh_emih!R9=0,0,SER_hh_emih!R9/SER_summary!R$26)</f>
        <v>36.226271869672217</v>
      </c>
      <c r="S9" s="132">
        <f>IF(SER_hh_emih!S9=0,0,SER_hh_emih!S9/SER_summary!S$26)</f>
        <v>37.614676324901147</v>
      </c>
      <c r="T9" s="132">
        <f>IF(SER_hh_emih!T9=0,0,SER_hh_emih!T9/SER_summary!T$26)</f>
        <v>36.282788513351079</v>
      </c>
      <c r="U9" s="132">
        <f>IF(SER_hh_emih!U9=0,0,SER_hh_emih!U9/SER_summary!U$26)</f>
        <v>34.908019493457466</v>
      </c>
      <c r="V9" s="132">
        <f>IF(SER_hh_emih!V9=0,0,SER_hh_emih!V9/SER_summary!V$26)</f>
        <v>32.109640200625584</v>
      </c>
      <c r="W9" s="132">
        <f>IF(SER_hh_emih!W9=0,0,SER_hh_emih!W9/SER_summary!W$26)</f>
        <v>31.243290634299839</v>
      </c>
      <c r="X9" s="132">
        <f>IF(SER_hh_emih!X9=0,0,SER_hh_emih!X9/SER_summary!X$26)</f>
        <v>32.809813431352765</v>
      </c>
      <c r="Y9" s="132">
        <f>IF(SER_hh_emih!Y9=0,0,SER_hh_emih!Y9/SER_summary!Y$26)</f>
        <v>40.107337817924595</v>
      </c>
      <c r="DA9" s="156" t="s">
        <v>545</v>
      </c>
    </row>
    <row r="10" spans="1:105" ht="12" customHeight="1" x14ac:dyDescent="0.25">
      <c r="A10" s="131" t="s">
        <v>128</v>
      </c>
      <c r="B10" s="132">
        <f>IF(SER_hh_emih!B10=0,0,SER_hh_emih!B10/SER_summary!B$26)</f>
        <v>0</v>
      </c>
      <c r="C10" s="132">
        <f>IF(SER_hh_emih!C10=0,0,SER_hh_emih!C10/SER_summary!C$26)</f>
        <v>0</v>
      </c>
      <c r="D10" s="132">
        <f>IF(SER_hh_emih!D10=0,0,SER_hh_emih!D10/SER_summary!D$26)</f>
        <v>0</v>
      </c>
      <c r="E10" s="132">
        <f>IF(SER_hh_emih!E10=0,0,SER_hh_emih!E10/SER_summary!E$26)</f>
        <v>0.280244076975941</v>
      </c>
      <c r="F10" s="132">
        <f>IF(SER_hh_emih!F10=0,0,SER_hh_emih!F10/SER_summary!F$26)</f>
        <v>0.23526424208859298</v>
      </c>
      <c r="G10" s="132">
        <f>IF(SER_hh_emih!G10=0,0,SER_hh_emih!G10/SER_summary!G$26)</f>
        <v>0</v>
      </c>
      <c r="H10" s="132">
        <f>IF(SER_hh_emih!H10=0,0,SER_hh_emih!H10/SER_summary!H$26)</f>
        <v>0</v>
      </c>
      <c r="I10" s="132">
        <f>IF(SER_hh_emih!I10=0,0,SER_hh_emih!I10/SER_summary!I$26)</f>
        <v>0</v>
      </c>
      <c r="J10" s="132">
        <f>IF(SER_hh_emih!J10=0,0,SER_hh_emih!J10/SER_summary!J$26)</f>
        <v>0</v>
      </c>
      <c r="K10" s="132">
        <f>IF(SER_hh_emih!K10=0,0,SER_hh_emih!K10/SER_summary!K$26)</f>
        <v>0</v>
      </c>
      <c r="L10" s="132">
        <f>IF(SER_hh_emih!L10=0,0,SER_hh_emih!L10/SER_summary!L$26)</f>
        <v>0</v>
      </c>
      <c r="M10" s="132">
        <f>IF(SER_hh_emih!M10=0,0,SER_hh_emih!M10/SER_summary!M$26)</f>
        <v>0</v>
      </c>
      <c r="N10" s="132">
        <f>IF(SER_hh_emih!N10=0,0,SER_hh_emih!N10/SER_summary!N$26)</f>
        <v>0</v>
      </c>
      <c r="O10" s="132">
        <f>IF(SER_hh_emih!O10=0,0,SER_hh_emih!O10/SER_summary!O$26)</f>
        <v>5.5949021899562183E-2</v>
      </c>
      <c r="P10" s="132">
        <f>IF(SER_hh_emih!P10=0,0,SER_hh_emih!P10/SER_summary!P$26)</f>
        <v>6.7581216942989801</v>
      </c>
      <c r="Q10" s="132">
        <f>IF(SER_hh_emih!Q10=0,0,SER_hh_emih!Q10/SER_summary!Q$26)</f>
        <v>5.0501899588199652</v>
      </c>
      <c r="R10" s="132">
        <f>IF(SER_hh_emih!R10=0,0,SER_hh_emih!R10/SER_summary!R$26)</f>
        <v>3.9731082646815863</v>
      </c>
      <c r="S10" s="132">
        <f>IF(SER_hh_emih!S10=0,0,SER_hh_emih!S10/SER_summary!S$26)</f>
        <v>2.6242005285757424</v>
      </c>
      <c r="T10" s="132">
        <f>IF(SER_hh_emih!T10=0,0,SER_hh_emih!T10/SER_summary!T$26)</f>
        <v>2.1120702239481361</v>
      </c>
      <c r="U10" s="132">
        <f>IF(SER_hh_emih!U10=0,0,SER_hh_emih!U10/SER_summary!U$26)</f>
        <v>2.2669188852066759</v>
      </c>
      <c r="V10" s="132">
        <f>IF(SER_hh_emih!V10=0,0,SER_hh_emih!V10/SER_summary!V$26)</f>
        <v>1.7347868533328907</v>
      </c>
      <c r="W10" s="132">
        <f>IF(SER_hh_emih!W10=0,0,SER_hh_emih!W10/SER_summary!W$26)</f>
        <v>1.9199442359414896</v>
      </c>
      <c r="X10" s="132">
        <f>IF(SER_hh_emih!X10=0,0,SER_hh_emih!X10/SER_summary!X$26)</f>
        <v>3.4223846961727551</v>
      </c>
      <c r="Y10" s="132">
        <f>IF(SER_hh_emih!Y10=0,0,SER_hh_emih!Y10/SER_summary!Y$26)</f>
        <v>2.8369100221970056</v>
      </c>
      <c r="DA10" s="156" t="s">
        <v>546</v>
      </c>
    </row>
    <row r="11" spans="1:105" ht="12" customHeight="1" x14ac:dyDescent="0.25">
      <c r="A11" s="131" t="s">
        <v>25</v>
      </c>
      <c r="B11" s="132">
        <f>IF(SER_hh_emih!B11=0,0,SER_hh_emih!B11/SER_summary!B$26)</f>
        <v>0</v>
      </c>
      <c r="C11" s="132">
        <f>IF(SER_hh_emih!C11=0,0,SER_hh_emih!C11/SER_summary!C$26)</f>
        <v>0</v>
      </c>
      <c r="D11" s="132">
        <f>IF(SER_hh_emih!D11=0,0,SER_hh_emih!D11/SER_summary!D$26)</f>
        <v>0</v>
      </c>
      <c r="E11" s="132">
        <f>IF(SER_hh_emih!E11=0,0,SER_hh_emih!E11/SER_summary!E$26)</f>
        <v>0</v>
      </c>
      <c r="F11" s="132">
        <f>IF(SER_hh_emih!F11=0,0,SER_hh_emih!F11/SER_summary!F$26)</f>
        <v>0</v>
      </c>
      <c r="G11" s="132">
        <f>IF(SER_hh_emih!G11=0,0,SER_hh_emih!G11/SER_summary!G$26)</f>
        <v>0</v>
      </c>
      <c r="H11" s="132">
        <f>IF(SER_hh_emih!H11=0,0,SER_hh_emih!H11/SER_summary!H$26)</f>
        <v>0</v>
      </c>
      <c r="I11" s="132">
        <f>IF(SER_hh_emih!I11=0,0,SER_hh_emih!I11/SER_summary!I$26)</f>
        <v>0</v>
      </c>
      <c r="J11" s="132">
        <f>IF(SER_hh_emih!J11=0,0,SER_hh_emih!J11/SER_summary!J$26)</f>
        <v>0</v>
      </c>
      <c r="K11" s="132">
        <f>IF(SER_hh_emih!K11=0,0,SER_hh_emih!K11/SER_summary!K$26)</f>
        <v>0</v>
      </c>
      <c r="L11" s="132">
        <f>IF(SER_hh_emih!L11=0,0,SER_hh_emih!L11/SER_summary!L$26)</f>
        <v>0</v>
      </c>
      <c r="M11" s="132">
        <f>IF(SER_hh_emih!M11=0,0,SER_hh_emih!M11/SER_summary!M$26)</f>
        <v>0</v>
      </c>
      <c r="N11" s="132">
        <f>IF(SER_hh_emih!N11=0,0,SER_hh_emih!N11/SER_summary!N$26)</f>
        <v>0</v>
      </c>
      <c r="O11" s="132">
        <f>IF(SER_hh_emih!O11=0,0,SER_hh_emih!O11/SER_summary!O$26)</f>
        <v>0</v>
      </c>
      <c r="P11" s="132">
        <f>IF(SER_hh_emih!P11=0,0,SER_hh_emih!P11/SER_summary!P$26)</f>
        <v>0</v>
      </c>
      <c r="Q11" s="132">
        <f>IF(SER_hh_emih!Q11=0,0,SER_hh_emih!Q11/SER_summary!Q$26)</f>
        <v>0</v>
      </c>
      <c r="R11" s="132">
        <f>IF(SER_hh_emih!R11=0,0,SER_hh_emih!R11/SER_summary!R$26)</f>
        <v>0</v>
      </c>
      <c r="S11" s="132">
        <f>IF(SER_hh_emih!S11=0,0,SER_hh_emih!S11/SER_summary!S$26)</f>
        <v>0</v>
      </c>
      <c r="T11" s="132">
        <f>IF(SER_hh_emih!T11=0,0,SER_hh_emih!T11/SER_summary!T$26)</f>
        <v>0</v>
      </c>
      <c r="U11" s="132">
        <f>IF(SER_hh_emih!U11=0,0,SER_hh_emih!U11/SER_summary!U$26)</f>
        <v>0</v>
      </c>
      <c r="V11" s="132">
        <f>IF(SER_hh_emih!V11=0,0,SER_hh_emih!V11/SER_summary!V$26)</f>
        <v>0</v>
      </c>
      <c r="W11" s="132">
        <f>IF(SER_hh_emih!W11=0,0,SER_hh_emih!W11/SER_summary!W$26)</f>
        <v>0</v>
      </c>
      <c r="X11" s="132">
        <f>IF(SER_hh_emih!X11=0,0,SER_hh_emih!X11/SER_summary!X$26)</f>
        <v>0</v>
      </c>
      <c r="Y11" s="132">
        <f>IF(SER_hh_emih!Y11=0,0,SER_hh_emih!Y11/SER_summary!Y$26)</f>
        <v>0</v>
      </c>
      <c r="DA11" s="156" t="s">
        <v>547</v>
      </c>
    </row>
    <row r="12" spans="1:105" ht="12" customHeight="1" x14ac:dyDescent="0.25">
      <c r="A12" s="131" t="s">
        <v>162</v>
      </c>
      <c r="B12" s="132">
        <f>IF(SER_hh_emih!B12=0,0,SER_hh_emih!B12/SER_summary!B$26)</f>
        <v>0</v>
      </c>
      <c r="C12" s="132">
        <f>IF(SER_hh_emih!C12=0,0,SER_hh_emih!C12/SER_summary!C$26)</f>
        <v>0</v>
      </c>
      <c r="D12" s="132">
        <f>IF(SER_hh_emih!D12=0,0,SER_hh_emih!D12/SER_summary!D$26)</f>
        <v>0</v>
      </c>
      <c r="E12" s="132">
        <f>IF(SER_hh_emih!E12=0,0,SER_hh_emih!E12/SER_summary!E$26)</f>
        <v>0</v>
      </c>
      <c r="F12" s="132">
        <f>IF(SER_hh_emih!F12=0,0,SER_hh_emih!F12/SER_summary!F$26)</f>
        <v>0</v>
      </c>
      <c r="G12" s="132">
        <f>IF(SER_hh_emih!G12=0,0,SER_hh_emih!G12/SER_summary!G$26)</f>
        <v>0</v>
      </c>
      <c r="H12" s="132">
        <f>IF(SER_hh_emih!H12=0,0,SER_hh_emih!H12/SER_summary!H$26)</f>
        <v>0</v>
      </c>
      <c r="I12" s="132">
        <f>IF(SER_hh_emih!I12=0,0,SER_hh_emih!I12/SER_summary!I$26)</f>
        <v>0</v>
      </c>
      <c r="J12" s="132">
        <f>IF(SER_hh_emih!J12=0,0,SER_hh_emih!J12/SER_summary!J$26)</f>
        <v>0</v>
      </c>
      <c r="K12" s="132">
        <f>IF(SER_hh_emih!K12=0,0,SER_hh_emih!K12/SER_summary!K$26)</f>
        <v>0</v>
      </c>
      <c r="L12" s="132">
        <f>IF(SER_hh_emih!L12=0,0,SER_hh_emih!L12/SER_summary!L$26)</f>
        <v>0</v>
      </c>
      <c r="M12" s="132">
        <f>IF(SER_hh_emih!M12=0,0,SER_hh_emih!M12/SER_summary!M$26)</f>
        <v>0</v>
      </c>
      <c r="N12" s="132">
        <f>IF(SER_hh_emih!N12=0,0,SER_hh_emih!N12/SER_summary!N$26)</f>
        <v>0</v>
      </c>
      <c r="O12" s="132">
        <f>IF(SER_hh_emih!O12=0,0,SER_hh_emih!O12/SER_summary!O$26)</f>
        <v>0</v>
      </c>
      <c r="P12" s="132">
        <f>IF(SER_hh_emih!P12=0,0,SER_hh_emih!P12/SER_summary!P$26)</f>
        <v>0</v>
      </c>
      <c r="Q12" s="132">
        <f>IF(SER_hh_emih!Q12=0,0,SER_hh_emih!Q12/SER_summary!Q$26)</f>
        <v>0</v>
      </c>
      <c r="R12" s="132">
        <f>IF(SER_hh_emih!R12=0,0,SER_hh_emih!R12/SER_summary!R$26)</f>
        <v>0</v>
      </c>
      <c r="S12" s="132">
        <f>IF(SER_hh_emih!S12=0,0,SER_hh_emih!S12/SER_summary!S$26)</f>
        <v>0</v>
      </c>
      <c r="T12" s="132">
        <f>IF(SER_hh_emih!T12=0,0,SER_hh_emih!T12/SER_summary!T$26)</f>
        <v>0</v>
      </c>
      <c r="U12" s="132">
        <f>IF(SER_hh_emih!U12=0,0,SER_hh_emih!U12/SER_summary!U$26)</f>
        <v>0</v>
      </c>
      <c r="V12" s="132">
        <f>IF(SER_hh_emih!V12=0,0,SER_hh_emih!V12/SER_summary!V$26)</f>
        <v>0</v>
      </c>
      <c r="W12" s="132">
        <f>IF(SER_hh_emih!W12=0,0,SER_hh_emih!W12/SER_summary!W$26)</f>
        <v>0</v>
      </c>
      <c r="X12" s="132">
        <f>IF(SER_hh_emih!X12=0,0,SER_hh_emih!X12/SER_summary!X$26)</f>
        <v>0</v>
      </c>
      <c r="Y12" s="132">
        <f>IF(SER_hh_emih!Y12=0,0,SER_hh_emih!Y12/SER_summary!Y$26)</f>
        <v>0</v>
      </c>
      <c r="DA12" s="156" t="s">
        <v>548</v>
      </c>
    </row>
    <row r="13" spans="1:105" ht="12" customHeight="1" x14ac:dyDescent="0.25">
      <c r="A13" s="131" t="s">
        <v>77</v>
      </c>
      <c r="B13" s="132">
        <f>IF(SER_hh_emih!B13=0,0,SER_hh_emih!B13/SER_summary!B$26)</f>
        <v>0</v>
      </c>
      <c r="C13" s="132">
        <f>IF(SER_hh_emih!C13=0,0,SER_hh_emih!C13/SER_summary!C$26)</f>
        <v>0</v>
      </c>
      <c r="D13" s="132">
        <f>IF(SER_hh_emih!D13=0,0,SER_hh_emih!D13/SER_summary!D$26)</f>
        <v>0</v>
      </c>
      <c r="E13" s="132">
        <f>IF(SER_hh_emih!E13=0,0,SER_hh_emih!E13/SER_summary!E$26)</f>
        <v>0</v>
      </c>
      <c r="F13" s="132">
        <f>IF(SER_hh_emih!F13=0,0,SER_hh_emih!F13/SER_summary!F$26)</f>
        <v>0</v>
      </c>
      <c r="G13" s="132">
        <f>IF(SER_hh_emih!G13=0,0,SER_hh_emih!G13/SER_summary!G$26)</f>
        <v>0</v>
      </c>
      <c r="H13" s="132">
        <f>IF(SER_hh_emih!H13=0,0,SER_hh_emih!H13/SER_summary!H$26)</f>
        <v>0</v>
      </c>
      <c r="I13" s="132">
        <f>IF(SER_hh_emih!I13=0,0,SER_hh_emih!I13/SER_summary!I$26)</f>
        <v>0</v>
      </c>
      <c r="J13" s="132">
        <f>IF(SER_hh_emih!J13=0,0,SER_hh_emih!J13/SER_summary!J$26)</f>
        <v>0</v>
      </c>
      <c r="K13" s="132">
        <f>IF(SER_hh_emih!K13=0,0,SER_hh_emih!K13/SER_summary!K$26)</f>
        <v>0</v>
      </c>
      <c r="L13" s="132">
        <f>IF(SER_hh_emih!L13=0,0,SER_hh_emih!L13/SER_summary!L$26)</f>
        <v>0</v>
      </c>
      <c r="M13" s="132">
        <f>IF(SER_hh_emih!M13=0,0,SER_hh_emih!M13/SER_summary!M$26)</f>
        <v>0</v>
      </c>
      <c r="N13" s="132">
        <f>IF(SER_hh_emih!N13=0,0,SER_hh_emih!N13/SER_summary!N$26)</f>
        <v>0</v>
      </c>
      <c r="O13" s="132">
        <f>IF(SER_hh_emih!O13=0,0,SER_hh_emih!O13/SER_summary!O$26)</f>
        <v>0</v>
      </c>
      <c r="P13" s="132">
        <f>IF(SER_hh_emih!P13=0,0,SER_hh_emih!P13/SER_summary!P$26)</f>
        <v>0</v>
      </c>
      <c r="Q13" s="132">
        <f>IF(SER_hh_emih!Q13=0,0,SER_hh_emih!Q13/SER_summary!Q$26)</f>
        <v>0</v>
      </c>
      <c r="R13" s="132">
        <f>IF(SER_hh_emih!R13=0,0,SER_hh_emih!R13/SER_summary!R$26)</f>
        <v>0</v>
      </c>
      <c r="S13" s="132">
        <f>IF(SER_hh_emih!S13=0,0,SER_hh_emih!S13/SER_summary!S$26)</f>
        <v>0</v>
      </c>
      <c r="T13" s="132">
        <f>IF(SER_hh_emih!T13=0,0,SER_hh_emih!T13/SER_summary!T$26)</f>
        <v>0</v>
      </c>
      <c r="U13" s="132">
        <f>IF(SER_hh_emih!U13=0,0,SER_hh_emih!U13/SER_summary!U$26)</f>
        <v>0</v>
      </c>
      <c r="V13" s="132">
        <f>IF(SER_hh_emih!V13=0,0,SER_hh_emih!V13/SER_summary!V$26)</f>
        <v>0</v>
      </c>
      <c r="W13" s="132">
        <f>IF(SER_hh_emih!W13=0,0,SER_hh_emih!W13/SER_summary!W$26)</f>
        <v>0</v>
      </c>
      <c r="X13" s="132">
        <f>IF(SER_hh_emih!X13=0,0,SER_hh_emih!X13/SER_summary!X$26)</f>
        <v>0</v>
      </c>
      <c r="Y13" s="132">
        <f>IF(SER_hh_emih!Y13=0,0,SER_hh_emih!Y13/SER_summary!Y$26)</f>
        <v>0</v>
      </c>
      <c r="DA13" s="156" t="s">
        <v>549</v>
      </c>
    </row>
    <row r="14" spans="1:105" ht="12" customHeight="1" x14ac:dyDescent="0.25">
      <c r="A14" s="60" t="s">
        <v>76</v>
      </c>
      <c r="B14" s="65">
        <f>IF(SER_hh_emih!B14=0,0,SER_hh_emih!B14/SER_summary!B$26)</f>
        <v>0</v>
      </c>
      <c r="C14" s="65">
        <f>IF(SER_hh_emih!C14=0,0,SER_hh_emih!C14/SER_summary!C$26)</f>
        <v>0</v>
      </c>
      <c r="D14" s="65">
        <f>IF(SER_hh_emih!D14=0,0,SER_hh_emih!D14/SER_summary!D$26)</f>
        <v>0</v>
      </c>
      <c r="E14" s="65">
        <f>IF(SER_hh_emih!E14=0,0,SER_hh_emih!E14/SER_summary!E$26)</f>
        <v>0</v>
      </c>
      <c r="F14" s="65">
        <f>IF(SER_hh_emih!F14=0,0,SER_hh_emih!F14/SER_summary!F$26)</f>
        <v>0</v>
      </c>
      <c r="G14" s="65">
        <f>IF(SER_hh_emih!G14=0,0,SER_hh_emih!G14/SER_summary!G$26)</f>
        <v>0</v>
      </c>
      <c r="H14" s="65">
        <f>IF(SER_hh_emih!H14=0,0,SER_hh_emih!H14/SER_summary!H$26)</f>
        <v>0</v>
      </c>
      <c r="I14" s="65">
        <f>IF(SER_hh_emih!I14=0,0,SER_hh_emih!I14/SER_summary!I$26)</f>
        <v>0</v>
      </c>
      <c r="J14" s="65">
        <f>IF(SER_hh_emih!J14=0,0,SER_hh_emih!J14/SER_summary!J$26)</f>
        <v>0</v>
      </c>
      <c r="K14" s="65">
        <f>IF(SER_hh_emih!K14=0,0,SER_hh_emih!K14/SER_summary!K$26)</f>
        <v>0</v>
      </c>
      <c r="L14" s="65">
        <f>IF(SER_hh_emih!L14=0,0,SER_hh_emih!L14/SER_summary!L$26)</f>
        <v>0</v>
      </c>
      <c r="M14" s="65">
        <f>IF(SER_hh_emih!M14=0,0,SER_hh_emih!M14/SER_summary!M$26)</f>
        <v>0</v>
      </c>
      <c r="N14" s="65">
        <f>IF(SER_hh_emih!N14=0,0,SER_hh_emih!N14/SER_summary!N$26)</f>
        <v>0</v>
      </c>
      <c r="O14" s="65">
        <f>IF(SER_hh_emih!O14=0,0,SER_hh_emih!O14/SER_summary!O$26)</f>
        <v>0</v>
      </c>
      <c r="P14" s="65">
        <f>IF(SER_hh_emih!P14=0,0,SER_hh_emih!P14/SER_summary!P$26)</f>
        <v>0</v>
      </c>
      <c r="Q14" s="65">
        <f>IF(SER_hh_emih!Q14=0,0,SER_hh_emih!Q14/SER_summary!Q$26)</f>
        <v>0</v>
      </c>
      <c r="R14" s="65">
        <f>IF(SER_hh_emih!R14=0,0,SER_hh_emih!R14/SER_summary!R$26)</f>
        <v>0</v>
      </c>
      <c r="S14" s="65">
        <f>IF(SER_hh_emih!S14=0,0,SER_hh_emih!S14/SER_summary!S$26)</f>
        <v>0</v>
      </c>
      <c r="T14" s="65">
        <f>IF(SER_hh_emih!T14=0,0,SER_hh_emih!T14/SER_summary!T$26)</f>
        <v>0</v>
      </c>
      <c r="U14" s="65">
        <f>IF(SER_hh_emih!U14=0,0,SER_hh_emih!U14/SER_summary!U$26)</f>
        <v>0</v>
      </c>
      <c r="V14" s="65">
        <f>IF(SER_hh_emih!V14=0,0,SER_hh_emih!V14/SER_summary!V$26)</f>
        <v>0</v>
      </c>
      <c r="W14" s="65">
        <f>IF(SER_hh_emih!W14=0,0,SER_hh_emih!W14/SER_summary!W$26)</f>
        <v>0</v>
      </c>
      <c r="X14" s="65">
        <f>IF(SER_hh_emih!X14=0,0,SER_hh_emih!X14/SER_summary!X$26)</f>
        <v>0</v>
      </c>
      <c r="Y14" s="65">
        <f>IF(SER_hh_emih!Y14=0,0,SER_hh_emih!Y14/SER_summary!Y$26)</f>
        <v>0</v>
      </c>
      <c r="DA14" s="109" t="s">
        <v>550</v>
      </c>
    </row>
    <row r="15" spans="1:105" ht="12" customHeight="1" x14ac:dyDescent="0.25">
      <c r="A15" s="133" t="s">
        <v>80</v>
      </c>
      <c r="B15" s="134">
        <f>IF(SER_hh_emih!B15=0,0,SER_hh_emih!B15/SER_summary!B$26)</f>
        <v>0</v>
      </c>
      <c r="C15" s="134">
        <f>IF(SER_hh_emih!C15=0,0,SER_hh_emih!C15/SER_summary!C$26)</f>
        <v>0</v>
      </c>
      <c r="D15" s="134">
        <f>IF(SER_hh_emih!D15=0,0,SER_hh_emih!D15/SER_summary!D$26)</f>
        <v>0</v>
      </c>
      <c r="E15" s="134">
        <f>IF(SER_hh_emih!E15=0,0,SER_hh_emih!E15/SER_summary!E$26)</f>
        <v>0</v>
      </c>
      <c r="F15" s="134">
        <f>IF(SER_hh_emih!F15=0,0,SER_hh_emih!F15/SER_summary!F$26)</f>
        <v>0</v>
      </c>
      <c r="G15" s="134">
        <f>IF(SER_hh_emih!G15=0,0,SER_hh_emih!G15/SER_summary!G$26)</f>
        <v>0</v>
      </c>
      <c r="H15" s="134">
        <f>IF(SER_hh_emih!H15=0,0,SER_hh_emih!H15/SER_summary!H$26)</f>
        <v>0</v>
      </c>
      <c r="I15" s="134">
        <f>IF(SER_hh_emih!I15=0,0,SER_hh_emih!I15/SER_summary!I$26)</f>
        <v>0</v>
      </c>
      <c r="J15" s="134">
        <f>IF(SER_hh_emih!J15=0,0,SER_hh_emih!J15/SER_summary!J$26)</f>
        <v>0</v>
      </c>
      <c r="K15" s="134">
        <f>IF(SER_hh_emih!K15=0,0,SER_hh_emih!K15/SER_summary!K$26)</f>
        <v>0</v>
      </c>
      <c r="L15" s="134">
        <f>IF(SER_hh_emih!L15=0,0,SER_hh_emih!L15/SER_summary!L$26)</f>
        <v>0</v>
      </c>
      <c r="M15" s="134">
        <f>IF(SER_hh_emih!M15=0,0,SER_hh_emih!M15/SER_summary!M$26)</f>
        <v>0</v>
      </c>
      <c r="N15" s="134">
        <f>IF(SER_hh_emih!N15=0,0,SER_hh_emih!N15/SER_summary!N$26)</f>
        <v>0</v>
      </c>
      <c r="O15" s="134">
        <f>IF(SER_hh_emih!O15=0,0,SER_hh_emih!O15/SER_summary!O$26)</f>
        <v>0</v>
      </c>
      <c r="P15" s="134">
        <f>IF(SER_hh_emih!P15=0,0,SER_hh_emih!P15/SER_summary!P$26)</f>
        <v>0</v>
      </c>
      <c r="Q15" s="134">
        <f>IF(SER_hh_emih!Q15=0,0,SER_hh_emih!Q15/SER_summary!Q$26)</f>
        <v>0</v>
      </c>
      <c r="R15" s="134">
        <f>IF(SER_hh_emih!R15=0,0,SER_hh_emih!R15/SER_summary!R$26)</f>
        <v>0</v>
      </c>
      <c r="S15" s="134">
        <f>IF(SER_hh_emih!S15=0,0,SER_hh_emih!S15/SER_summary!S$26)</f>
        <v>0</v>
      </c>
      <c r="T15" s="134">
        <f>IF(SER_hh_emih!T15=0,0,SER_hh_emih!T15/SER_summary!T$26)</f>
        <v>0</v>
      </c>
      <c r="U15" s="134">
        <f>IF(SER_hh_emih!U15=0,0,SER_hh_emih!U15/SER_summary!U$26)</f>
        <v>0</v>
      </c>
      <c r="V15" s="134">
        <f>IF(SER_hh_emih!V15=0,0,SER_hh_emih!V15/SER_summary!V$26)</f>
        <v>0</v>
      </c>
      <c r="W15" s="134">
        <f>IF(SER_hh_emih!W15=0,0,SER_hh_emih!W15/SER_summary!W$26)</f>
        <v>0</v>
      </c>
      <c r="X15" s="134">
        <f>IF(SER_hh_emih!X15=0,0,SER_hh_emih!X15/SER_summary!X$26)</f>
        <v>0</v>
      </c>
      <c r="Y15" s="134">
        <f>IF(SER_hh_emih!Y15=0,0,SER_hh_emih!Y15/SER_summary!Y$26)</f>
        <v>0</v>
      </c>
      <c r="DA15" s="157" t="s">
        <v>551</v>
      </c>
    </row>
    <row r="16" spans="1:105" ht="12.95" customHeight="1" x14ac:dyDescent="0.25">
      <c r="A16" s="129" t="s">
        <v>74</v>
      </c>
      <c r="B16" s="130">
        <f>IF(SER_hh_emih!B16=0,0,SER_hh_emih!B16/SER_summary!B$26)</f>
        <v>0</v>
      </c>
      <c r="C16" s="130">
        <f>IF(SER_hh_emih!C16=0,0,SER_hh_emih!C16/SER_summary!C$26)</f>
        <v>0</v>
      </c>
      <c r="D16" s="130">
        <f>IF(SER_hh_emih!D16=0,0,SER_hh_emih!D16/SER_summary!D$26)</f>
        <v>0</v>
      </c>
      <c r="E16" s="130">
        <f>IF(SER_hh_emih!E16=0,0,SER_hh_emih!E16/SER_summary!E$26)</f>
        <v>0</v>
      </c>
      <c r="F16" s="130">
        <f>IF(SER_hh_emih!F16=0,0,SER_hh_emih!F16/SER_summary!F$26)</f>
        <v>0</v>
      </c>
      <c r="G16" s="130">
        <f>IF(SER_hh_emih!G16=0,0,SER_hh_emih!G16/SER_summary!G$26)</f>
        <v>0</v>
      </c>
      <c r="H16" s="130">
        <f>IF(SER_hh_emih!H16=0,0,SER_hh_emih!H16/SER_summary!H$26)</f>
        <v>0</v>
      </c>
      <c r="I16" s="130">
        <f>IF(SER_hh_emih!I16=0,0,SER_hh_emih!I16/SER_summary!I$26)</f>
        <v>0</v>
      </c>
      <c r="J16" s="130">
        <f>IF(SER_hh_emih!J16=0,0,SER_hh_emih!J16/SER_summary!J$26)</f>
        <v>0</v>
      </c>
      <c r="K16" s="130">
        <f>IF(SER_hh_emih!K16=0,0,SER_hh_emih!K16/SER_summary!K$26)</f>
        <v>0</v>
      </c>
      <c r="L16" s="130">
        <f>IF(SER_hh_emih!L16=0,0,SER_hh_emih!L16/SER_summary!L$26)</f>
        <v>0</v>
      </c>
      <c r="M16" s="130">
        <f>IF(SER_hh_emih!M16=0,0,SER_hh_emih!M16/SER_summary!M$26)</f>
        <v>0</v>
      </c>
      <c r="N16" s="130">
        <f>IF(SER_hh_emih!N16=0,0,SER_hh_emih!N16/SER_summary!N$26)</f>
        <v>0</v>
      </c>
      <c r="O16" s="130">
        <f>IF(SER_hh_emih!O16=0,0,SER_hh_emih!O16/SER_summary!O$26)</f>
        <v>0</v>
      </c>
      <c r="P16" s="130">
        <f>IF(SER_hh_emih!P16=0,0,SER_hh_emih!P16/SER_summary!P$26)</f>
        <v>0</v>
      </c>
      <c r="Q16" s="130">
        <f>IF(SER_hh_emih!Q16=0,0,SER_hh_emih!Q16/SER_summary!Q$26)</f>
        <v>0</v>
      </c>
      <c r="R16" s="130">
        <f>IF(SER_hh_emih!R16=0,0,SER_hh_emih!R16/SER_summary!R$26)</f>
        <v>0</v>
      </c>
      <c r="S16" s="130">
        <f>IF(SER_hh_emih!S16=0,0,SER_hh_emih!S16/SER_summary!S$26)</f>
        <v>0</v>
      </c>
      <c r="T16" s="130">
        <f>IF(SER_hh_emih!T16=0,0,SER_hh_emih!T16/SER_summary!T$26)</f>
        <v>0</v>
      </c>
      <c r="U16" s="130">
        <f>IF(SER_hh_emih!U16=0,0,SER_hh_emih!U16/SER_summary!U$26)</f>
        <v>0</v>
      </c>
      <c r="V16" s="130">
        <f>IF(SER_hh_emih!V16=0,0,SER_hh_emih!V16/SER_summary!V$26)</f>
        <v>0</v>
      </c>
      <c r="W16" s="130">
        <f>IF(SER_hh_emih!W16=0,0,SER_hh_emih!W16/SER_summary!W$26)</f>
        <v>0</v>
      </c>
      <c r="X16" s="130">
        <f>IF(SER_hh_emih!X16=0,0,SER_hh_emih!X16/SER_summary!X$26)</f>
        <v>0</v>
      </c>
      <c r="Y16" s="130">
        <f>IF(SER_hh_emih!Y16=0,0,SER_hh_emih!Y16/SER_summary!Y$26)</f>
        <v>0</v>
      </c>
      <c r="DA16" s="155" t="s">
        <v>552</v>
      </c>
    </row>
    <row r="17" spans="1:105" ht="12.95" customHeight="1" x14ac:dyDescent="0.25">
      <c r="A17" s="131" t="s">
        <v>73</v>
      </c>
      <c r="B17" s="132">
        <f>IF(SER_hh_emih!B17=0,0,SER_hh_emih!B17/SER_summary!B$26)</f>
        <v>0</v>
      </c>
      <c r="C17" s="132">
        <f>IF(SER_hh_emih!C17=0,0,SER_hh_emih!C17/SER_summary!C$26)</f>
        <v>0</v>
      </c>
      <c r="D17" s="132">
        <f>IF(SER_hh_emih!D17=0,0,SER_hh_emih!D17/SER_summary!D$26)</f>
        <v>0</v>
      </c>
      <c r="E17" s="132">
        <f>IF(SER_hh_emih!E17=0,0,SER_hh_emih!E17/SER_summary!E$26)</f>
        <v>0</v>
      </c>
      <c r="F17" s="132">
        <f>IF(SER_hh_emih!F17=0,0,SER_hh_emih!F17/SER_summary!F$26)</f>
        <v>0</v>
      </c>
      <c r="G17" s="132">
        <f>IF(SER_hh_emih!G17=0,0,SER_hh_emih!G17/SER_summary!G$26)</f>
        <v>0</v>
      </c>
      <c r="H17" s="132">
        <f>IF(SER_hh_emih!H17=0,0,SER_hh_emih!H17/SER_summary!H$26)</f>
        <v>0</v>
      </c>
      <c r="I17" s="132">
        <f>IF(SER_hh_emih!I17=0,0,SER_hh_emih!I17/SER_summary!I$26)</f>
        <v>0</v>
      </c>
      <c r="J17" s="132">
        <f>IF(SER_hh_emih!J17=0,0,SER_hh_emih!J17/SER_summary!J$26)</f>
        <v>0</v>
      </c>
      <c r="K17" s="132">
        <f>IF(SER_hh_emih!K17=0,0,SER_hh_emih!K17/SER_summary!K$26)</f>
        <v>0</v>
      </c>
      <c r="L17" s="132">
        <f>IF(SER_hh_emih!L17=0,0,SER_hh_emih!L17/SER_summary!L$26)</f>
        <v>0</v>
      </c>
      <c r="M17" s="132">
        <f>IF(SER_hh_emih!M17=0,0,SER_hh_emih!M17/SER_summary!M$26)</f>
        <v>0</v>
      </c>
      <c r="N17" s="132">
        <f>IF(SER_hh_emih!N17=0,0,SER_hh_emih!N17/SER_summary!N$26)</f>
        <v>0</v>
      </c>
      <c r="O17" s="132">
        <f>IF(SER_hh_emih!O17=0,0,SER_hh_emih!O17/SER_summary!O$26)</f>
        <v>0</v>
      </c>
      <c r="P17" s="132">
        <f>IF(SER_hh_emih!P17=0,0,SER_hh_emih!P17/SER_summary!P$26)</f>
        <v>0</v>
      </c>
      <c r="Q17" s="132">
        <f>IF(SER_hh_emih!Q17=0,0,SER_hh_emih!Q17/SER_summary!Q$26)</f>
        <v>0</v>
      </c>
      <c r="R17" s="132">
        <f>IF(SER_hh_emih!R17=0,0,SER_hh_emih!R17/SER_summary!R$26)</f>
        <v>0</v>
      </c>
      <c r="S17" s="132">
        <f>IF(SER_hh_emih!S17=0,0,SER_hh_emih!S17/SER_summary!S$26)</f>
        <v>0</v>
      </c>
      <c r="T17" s="132">
        <f>IF(SER_hh_emih!T17=0,0,SER_hh_emih!T17/SER_summary!T$26)</f>
        <v>0</v>
      </c>
      <c r="U17" s="132">
        <f>IF(SER_hh_emih!U17=0,0,SER_hh_emih!U17/SER_summary!U$26)</f>
        <v>0</v>
      </c>
      <c r="V17" s="132">
        <f>IF(SER_hh_emih!V17=0,0,SER_hh_emih!V17/SER_summary!V$26)</f>
        <v>0</v>
      </c>
      <c r="W17" s="132">
        <f>IF(SER_hh_emih!W17=0,0,SER_hh_emih!W17/SER_summary!W$26)</f>
        <v>0</v>
      </c>
      <c r="X17" s="132">
        <f>IF(SER_hh_emih!X17=0,0,SER_hh_emih!X17/SER_summary!X$26)</f>
        <v>0</v>
      </c>
      <c r="Y17" s="132">
        <f>IF(SER_hh_emih!Y17=0,0,SER_hh_emih!Y17/SER_summary!Y$26)</f>
        <v>0</v>
      </c>
      <c r="DA17" s="156" t="s">
        <v>553</v>
      </c>
    </row>
    <row r="18" spans="1:105" ht="12" customHeight="1" x14ac:dyDescent="0.25">
      <c r="A18" s="131" t="s">
        <v>72</v>
      </c>
      <c r="B18" s="132">
        <f>IF(SER_hh_emih!B18=0,0,SER_hh_emih!B18/SER_summary!B$26)</f>
        <v>0</v>
      </c>
      <c r="C18" s="132">
        <f>IF(SER_hh_emih!C18=0,0,SER_hh_emih!C18/SER_summary!C$26)</f>
        <v>0</v>
      </c>
      <c r="D18" s="132">
        <f>IF(SER_hh_emih!D18=0,0,SER_hh_emih!D18/SER_summary!D$26)</f>
        <v>0</v>
      </c>
      <c r="E18" s="132">
        <f>IF(SER_hh_emih!E18=0,0,SER_hh_emih!E18/SER_summary!E$26)</f>
        <v>0</v>
      </c>
      <c r="F18" s="132">
        <f>IF(SER_hh_emih!F18=0,0,SER_hh_emih!F18/SER_summary!F$26)</f>
        <v>0</v>
      </c>
      <c r="G18" s="132">
        <f>IF(SER_hh_emih!G18=0,0,SER_hh_emih!G18/SER_summary!G$26)</f>
        <v>0</v>
      </c>
      <c r="H18" s="132">
        <f>IF(SER_hh_emih!H18=0,0,SER_hh_emih!H18/SER_summary!H$26)</f>
        <v>0</v>
      </c>
      <c r="I18" s="132">
        <f>IF(SER_hh_emih!I18=0,0,SER_hh_emih!I18/SER_summary!I$26)</f>
        <v>0</v>
      </c>
      <c r="J18" s="132">
        <f>IF(SER_hh_emih!J18=0,0,SER_hh_emih!J18/SER_summary!J$26)</f>
        <v>0</v>
      </c>
      <c r="K18" s="132">
        <f>IF(SER_hh_emih!K18=0,0,SER_hh_emih!K18/SER_summary!K$26)</f>
        <v>0</v>
      </c>
      <c r="L18" s="132">
        <f>IF(SER_hh_emih!L18=0,0,SER_hh_emih!L18/SER_summary!L$26)</f>
        <v>0</v>
      </c>
      <c r="M18" s="132">
        <f>IF(SER_hh_emih!M18=0,0,SER_hh_emih!M18/SER_summary!M$26)</f>
        <v>0</v>
      </c>
      <c r="N18" s="132">
        <f>IF(SER_hh_emih!N18=0,0,SER_hh_emih!N18/SER_summary!N$26)</f>
        <v>0</v>
      </c>
      <c r="O18" s="132">
        <f>IF(SER_hh_emih!O18=0,0,SER_hh_emih!O18/SER_summary!O$26)</f>
        <v>0</v>
      </c>
      <c r="P18" s="132">
        <f>IF(SER_hh_emih!P18=0,0,SER_hh_emih!P18/SER_summary!P$26)</f>
        <v>0</v>
      </c>
      <c r="Q18" s="132">
        <f>IF(SER_hh_emih!Q18=0,0,SER_hh_emih!Q18/SER_summary!Q$26)</f>
        <v>0</v>
      </c>
      <c r="R18" s="132">
        <f>IF(SER_hh_emih!R18=0,0,SER_hh_emih!R18/SER_summary!R$26)</f>
        <v>0</v>
      </c>
      <c r="S18" s="132">
        <f>IF(SER_hh_emih!S18=0,0,SER_hh_emih!S18/SER_summary!S$26)</f>
        <v>0</v>
      </c>
      <c r="T18" s="132">
        <f>IF(SER_hh_emih!T18=0,0,SER_hh_emih!T18/SER_summary!T$26)</f>
        <v>0</v>
      </c>
      <c r="U18" s="132">
        <f>IF(SER_hh_emih!U18=0,0,SER_hh_emih!U18/SER_summary!U$26)</f>
        <v>0</v>
      </c>
      <c r="V18" s="132">
        <f>IF(SER_hh_emih!V18=0,0,SER_hh_emih!V18/SER_summary!V$26)</f>
        <v>0</v>
      </c>
      <c r="W18" s="132">
        <f>IF(SER_hh_emih!W18=0,0,SER_hh_emih!W18/SER_summary!W$26)</f>
        <v>0</v>
      </c>
      <c r="X18" s="132">
        <f>IF(SER_hh_emih!X18=0,0,SER_hh_emih!X18/SER_summary!X$26)</f>
        <v>0</v>
      </c>
      <c r="Y18" s="132">
        <f>IF(SER_hh_emih!Y18=0,0,SER_hh_emih!Y18/SER_summary!Y$26)</f>
        <v>0</v>
      </c>
      <c r="DA18" s="156" t="s">
        <v>554</v>
      </c>
    </row>
    <row r="19" spans="1:105" ht="12.95" customHeight="1" x14ac:dyDescent="0.25">
      <c r="A19" s="129" t="s">
        <v>35</v>
      </c>
      <c r="B19" s="130">
        <f>IF(SER_hh_emih!B19=0,0,SER_hh_emih!B19/SER_summary!B$26)</f>
        <v>1.5849111526103221</v>
      </c>
      <c r="C19" s="130">
        <f>IF(SER_hh_emih!C19=0,0,SER_hh_emih!C19/SER_summary!C$26)</f>
        <v>1.6621854643662421</v>
      </c>
      <c r="D19" s="130">
        <f>IF(SER_hh_emih!D19=0,0,SER_hh_emih!D19/SER_summary!D$26)</f>
        <v>3.0195146371306758</v>
      </c>
      <c r="E19" s="130">
        <f>IF(SER_hh_emih!E19=0,0,SER_hh_emih!E19/SER_summary!E$26)</f>
        <v>4.886083104078061</v>
      </c>
      <c r="F19" s="130">
        <f>IF(SER_hh_emih!F19=0,0,SER_hh_emih!F19/SER_summary!F$26)</f>
        <v>7.1902167311140728</v>
      </c>
      <c r="G19" s="130">
        <f>IF(SER_hh_emih!G19=0,0,SER_hh_emih!G19/SER_summary!G$26)</f>
        <v>6.7629690076759008</v>
      </c>
      <c r="H19" s="130">
        <f>IF(SER_hh_emih!H19=0,0,SER_hh_emih!H19/SER_summary!H$26)</f>
        <v>6.4926324633866566</v>
      </c>
      <c r="I19" s="130">
        <f>IF(SER_hh_emih!I19=0,0,SER_hh_emih!I19/SER_summary!I$26)</f>
        <v>5.6099518471764442</v>
      </c>
      <c r="J19" s="130">
        <f>IF(SER_hh_emih!J19=0,0,SER_hh_emih!J19/SER_summary!J$26)</f>
        <v>4.8286574925953509</v>
      </c>
      <c r="K19" s="130">
        <f>IF(SER_hh_emih!K19=0,0,SER_hh_emih!K19/SER_summary!K$26)</f>
        <v>6.4078764161559771</v>
      </c>
      <c r="L19" s="130">
        <f>IF(SER_hh_emih!L19=0,0,SER_hh_emih!L19/SER_summary!L$26)</f>
        <v>6.1577202085656122</v>
      </c>
      <c r="M19" s="130">
        <f>IF(SER_hh_emih!M19=0,0,SER_hh_emih!M19/SER_summary!M$26)</f>
        <v>5.4981777462688219</v>
      </c>
      <c r="N19" s="130">
        <f>IF(SER_hh_emih!N19=0,0,SER_hh_emih!N19/SER_summary!N$26)</f>
        <v>5.5705485754693802</v>
      </c>
      <c r="O19" s="130">
        <f>IF(SER_hh_emih!O19=0,0,SER_hh_emih!O19/SER_summary!O$26)</f>
        <v>6.0236935505560165</v>
      </c>
      <c r="P19" s="130">
        <f>IF(SER_hh_emih!P19=0,0,SER_hh_emih!P19/SER_summary!P$26)</f>
        <v>6.3465447103602255</v>
      </c>
      <c r="Q19" s="130">
        <f>IF(SER_hh_emih!Q19=0,0,SER_hh_emih!Q19/SER_summary!Q$26)</f>
        <v>6.550059858761629</v>
      </c>
      <c r="R19" s="130">
        <f>IF(SER_hh_emih!R19=0,0,SER_hh_emih!R19/SER_summary!R$26)</f>
        <v>6.5426761328679692</v>
      </c>
      <c r="S19" s="130">
        <f>IF(SER_hh_emih!S19=0,0,SER_hh_emih!S19/SER_summary!S$26)</f>
        <v>7.1589584382028679</v>
      </c>
      <c r="T19" s="130">
        <f>IF(SER_hh_emih!T19=0,0,SER_hh_emih!T19/SER_summary!T$26)</f>
        <v>6.9848539690547327</v>
      </c>
      <c r="U19" s="130">
        <f>IF(SER_hh_emih!U19=0,0,SER_hh_emih!U19/SER_summary!U$26)</f>
        <v>6.7279613480372369</v>
      </c>
      <c r="V19" s="130">
        <f>IF(SER_hh_emih!V19=0,0,SER_hh_emih!V19/SER_summary!V$26)</f>
        <v>6.3968630970088478</v>
      </c>
      <c r="W19" s="130">
        <f>IF(SER_hh_emih!W19=0,0,SER_hh_emih!W19/SER_summary!W$26)</f>
        <v>7.3291281307690355</v>
      </c>
      <c r="X19" s="130">
        <f>IF(SER_hh_emih!X19=0,0,SER_hh_emih!X19/SER_summary!X$26)</f>
        <v>7.0646566723263877</v>
      </c>
      <c r="Y19" s="130">
        <f>IF(SER_hh_emih!Y19=0,0,SER_hh_emih!Y19/SER_summary!Y$26)</f>
        <v>6.6983616322972175</v>
      </c>
      <c r="DA19" s="155" t="s">
        <v>555</v>
      </c>
    </row>
    <row r="20" spans="1:105" ht="12" customHeight="1" x14ac:dyDescent="0.25">
      <c r="A20" s="131" t="s">
        <v>29</v>
      </c>
      <c r="B20" s="132">
        <f>IF(SER_hh_emih!B20=0,0,SER_hh_emih!B20/SER_summary!B$26)</f>
        <v>0</v>
      </c>
      <c r="C20" s="132">
        <f>IF(SER_hh_emih!C20=0,0,SER_hh_emih!C20/SER_summary!C$26)</f>
        <v>0</v>
      </c>
      <c r="D20" s="132">
        <f>IF(SER_hh_emih!D20=0,0,SER_hh_emih!D20/SER_summary!D$26)</f>
        <v>0</v>
      </c>
      <c r="E20" s="132">
        <f>IF(SER_hh_emih!E20=0,0,SER_hh_emih!E20/SER_summary!E$26)</f>
        <v>0</v>
      </c>
      <c r="F20" s="132">
        <f>IF(SER_hh_emih!F20=0,0,SER_hh_emih!F20/SER_summary!F$26)</f>
        <v>0</v>
      </c>
      <c r="G20" s="132">
        <f>IF(SER_hh_emih!G20=0,0,SER_hh_emih!G20/SER_summary!G$26)</f>
        <v>0</v>
      </c>
      <c r="H20" s="132">
        <f>IF(SER_hh_emih!H20=0,0,SER_hh_emih!H20/SER_summary!H$26)</f>
        <v>0</v>
      </c>
      <c r="I20" s="132">
        <f>IF(SER_hh_emih!I20=0,0,SER_hh_emih!I20/SER_summary!I$26)</f>
        <v>0</v>
      </c>
      <c r="J20" s="132">
        <f>IF(SER_hh_emih!J20=0,0,SER_hh_emih!J20/SER_summary!J$26)</f>
        <v>0</v>
      </c>
      <c r="K20" s="132">
        <f>IF(SER_hh_emih!K20=0,0,SER_hh_emih!K20/SER_summary!K$26)</f>
        <v>0</v>
      </c>
      <c r="L20" s="132">
        <f>IF(SER_hh_emih!L20=0,0,SER_hh_emih!L20/SER_summary!L$26)</f>
        <v>0</v>
      </c>
      <c r="M20" s="132">
        <f>IF(SER_hh_emih!M20=0,0,SER_hh_emih!M20/SER_summary!M$26)</f>
        <v>0</v>
      </c>
      <c r="N20" s="132">
        <f>IF(SER_hh_emih!N20=0,0,SER_hh_emih!N20/SER_summary!N$26)</f>
        <v>0</v>
      </c>
      <c r="O20" s="132">
        <f>IF(SER_hh_emih!O20=0,0,SER_hh_emih!O20/SER_summary!O$26)</f>
        <v>0</v>
      </c>
      <c r="P20" s="132">
        <f>IF(SER_hh_emih!P20=0,0,SER_hh_emih!P20/SER_summary!P$26)</f>
        <v>0</v>
      </c>
      <c r="Q20" s="132">
        <f>IF(SER_hh_emih!Q20=0,0,SER_hh_emih!Q20/SER_summary!Q$26)</f>
        <v>0</v>
      </c>
      <c r="R20" s="132">
        <f>IF(SER_hh_emih!R20=0,0,SER_hh_emih!R20/SER_summary!R$26)</f>
        <v>0</v>
      </c>
      <c r="S20" s="132">
        <f>IF(SER_hh_emih!S20=0,0,SER_hh_emih!S20/SER_summary!S$26)</f>
        <v>0</v>
      </c>
      <c r="T20" s="132">
        <f>IF(SER_hh_emih!T20=0,0,SER_hh_emih!T20/SER_summary!T$26)</f>
        <v>0</v>
      </c>
      <c r="U20" s="132">
        <f>IF(SER_hh_emih!U20=0,0,SER_hh_emih!U20/SER_summary!U$26)</f>
        <v>0</v>
      </c>
      <c r="V20" s="132">
        <f>IF(SER_hh_emih!V20=0,0,SER_hh_emih!V20/SER_summary!V$26)</f>
        <v>0</v>
      </c>
      <c r="W20" s="132">
        <f>IF(SER_hh_emih!W20=0,0,SER_hh_emih!W20/SER_summary!W$26)</f>
        <v>0</v>
      </c>
      <c r="X20" s="132">
        <f>IF(SER_hh_emih!X20=0,0,SER_hh_emih!X20/SER_summary!X$26)</f>
        <v>0</v>
      </c>
      <c r="Y20" s="132">
        <f>IF(SER_hh_emih!Y20=0,0,SER_hh_emih!Y20/SER_summary!Y$26)</f>
        <v>0</v>
      </c>
      <c r="DA20" s="156" t="s">
        <v>556</v>
      </c>
    </row>
    <row r="21" spans="1:105" s="2" customFormat="1" ht="12" customHeight="1" x14ac:dyDescent="0.25">
      <c r="A21" s="131" t="s">
        <v>52</v>
      </c>
      <c r="B21" s="132">
        <f>IF(SER_hh_emih!B21=0,0,SER_hh_emih!B21/SER_summary!B$26)</f>
        <v>0</v>
      </c>
      <c r="C21" s="132">
        <f>IF(SER_hh_emih!C21=0,0,SER_hh_emih!C21/SER_summary!C$26)</f>
        <v>0</v>
      </c>
      <c r="D21" s="132">
        <f>IF(SER_hh_emih!D21=0,0,SER_hh_emih!D21/SER_summary!D$26)</f>
        <v>0</v>
      </c>
      <c r="E21" s="132">
        <f>IF(SER_hh_emih!E21=0,0,SER_hh_emih!E21/SER_summary!E$26)</f>
        <v>0</v>
      </c>
      <c r="F21" s="132">
        <f>IF(SER_hh_emih!F21=0,0,SER_hh_emih!F21/SER_summary!F$26)</f>
        <v>0</v>
      </c>
      <c r="G21" s="132">
        <f>IF(SER_hh_emih!G21=0,0,SER_hh_emih!G21/SER_summary!G$26)</f>
        <v>0</v>
      </c>
      <c r="H21" s="132">
        <f>IF(SER_hh_emih!H21=0,0,SER_hh_emih!H21/SER_summary!H$26)</f>
        <v>0</v>
      </c>
      <c r="I21" s="132">
        <f>IF(SER_hh_emih!I21=0,0,SER_hh_emih!I21/SER_summary!I$26)</f>
        <v>0</v>
      </c>
      <c r="J21" s="132">
        <f>IF(SER_hh_emih!J21=0,0,SER_hh_emih!J21/SER_summary!J$26)</f>
        <v>0</v>
      </c>
      <c r="K21" s="132">
        <f>IF(SER_hh_emih!K21=0,0,SER_hh_emih!K21/SER_summary!K$26)</f>
        <v>0</v>
      </c>
      <c r="L21" s="132">
        <f>IF(SER_hh_emih!L21=0,0,SER_hh_emih!L21/SER_summary!L$26)</f>
        <v>0</v>
      </c>
      <c r="M21" s="132">
        <f>IF(SER_hh_emih!M21=0,0,SER_hh_emih!M21/SER_summary!M$26)</f>
        <v>0</v>
      </c>
      <c r="N21" s="132">
        <f>IF(SER_hh_emih!N21=0,0,SER_hh_emih!N21/SER_summary!N$26)</f>
        <v>0</v>
      </c>
      <c r="O21" s="132">
        <f>IF(SER_hh_emih!O21=0,0,SER_hh_emih!O21/SER_summary!O$26)</f>
        <v>0</v>
      </c>
      <c r="P21" s="132">
        <f>IF(SER_hh_emih!P21=0,0,SER_hh_emih!P21/SER_summary!P$26)</f>
        <v>0</v>
      </c>
      <c r="Q21" s="132">
        <f>IF(SER_hh_emih!Q21=0,0,SER_hh_emih!Q21/SER_summary!Q$26)</f>
        <v>0</v>
      </c>
      <c r="R21" s="132">
        <f>IF(SER_hh_emih!R21=0,0,SER_hh_emih!R21/SER_summary!R$26)</f>
        <v>0</v>
      </c>
      <c r="S21" s="132">
        <f>IF(SER_hh_emih!S21=0,0,SER_hh_emih!S21/SER_summary!S$26)</f>
        <v>0</v>
      </c>
      <c r="T21" s="132">
        <f>IF(SER_hh_emih!T21=0,0,SER_hh_emih!T21/SER_summary!T$26)</f>
        <v>0</v>
      </c>
      <c r="U21" s="132">
        <f>IF(SER_hh_emih!U21=0,0,SER_hh_emih!U21/SER_summary!U$26)</f>
        <v>0</v>
      </c>
      <c r="V21" s="132">
        <f>IF(SER_hh_emih!V21=0,0,SER_hh_emih!V21/SER_summary!V$26)</f>
        <v>0</v>
      </c>
      <c r="W21" s="132">
        <f>IF(SER_hh_emih!W21=0,0,SER_hh_emih!W21/SER_summary!W$26)</f>
        <v>0</v>
      </c>
      <c r="X21" s="132">
        <f>IF(SER_hh_emih!X21=0,0,SER_hh_emih!X21/SER_summary!X$26)</f>
        <v>0</v>
      </c>
      <c r="Y21" s="132">
        <f>IF(SER_hh_emih!Y21=0,0,SER_hh_emih!Y21/SER_summary!Y$26)</f>
        <v>0</v>
      </c>
      <c r="DA21" s="156" t="s">
        <v>557</v>
      </c>
    </row>
    <row r="22" spans="1:105" ht="12" customHeight="1" x14ac:dyDescent="0.25">
      <c r="A22" s="131" t="s">
        <v>161</v>
      </c>
      <c r="B22" s="132">
        <f>IF(SER_hh_emih!B22=0,0,SER_hh_emih!B22/SER_summary!B$26)</f>
        <v>2.0334449889173238</v>
      </c>
      <c r="C22" s="132">
        <f>IF(SER_hh_emih!C22=0,0,SER_hh_emih!C22/SER_summary!C$26)</f>
        <v>3.2472126831217523</v>
      </c>
      <c r="D22" s="132">
        <f>IF(SER_hh_emih!D22=0,0,SER_hh_emih!D22/SER_summary!D$26)</f>
        <v>10.028422549942542</v>
      </c>
      <c r="E22" s="132">
        <f>IF(SER_hh_emih!E22=0,0,SER_hh_emih!E22/SER_summary!E$26)</f>
        <v>13.973129718238631</v>
      </c>
      <c r="F22" s="132">
        <f>IF(SER_hh_emih!F22=0,0,SER_hh_emih!F22/SER_summary!F$26)</f>
        <v>16.127290578959467</v>
      </c>
      <c r="G22" s="132">
        <f>IF(SER_hh_emih!G22=0,0,SER_hh_emih!G22/SER_summary!G$26)</f>
        <v>19.08377639293834</v>
      </c>
      <c r="H22" s="132">
        <f>IF(SER_hh_emih!H22=0,0,SER_hh_emih!H22/SER_summary!H$26)</f>
        <v>13.261465501126132</v>
      </c>
      <c r="I22" s="132">
        <f>IF(SER_hh_emih!I22=0,0,SER_hh_emih!I22/SER_summary!I$26)</f>
        <v>15.414277855544652</v>
      </c>
      <c r="J22" s="132">
        <f>IF(SER_hh_emih!J22=0,0,SER_hh_emih!J22/SER_summary!J$26)</f>
        <v>17.134477800309966</v>
      </c>
      <c r="K22" s="132">
        <f>IF(SER_hh_emih!K22=0,0,SER_hh_emih!K22/SER_summary!K$26)</f>
        <v>16.478368913410598</v>
      </c>
      <c r="L22" s="132">
        <f>IF(SER_hh_emih!L22=0,0,SER_hh_emih!L22/SER_summary!L$26)</f>
        <v>15.777036479010725</v>
      </c>
      <c r="M22" s="132">
        <f>IF(SER_hh_emih!M22=0,0,SER_hh_emih!M22/SER_summary!M$26)</f>
        <v>14.331490730112586</v>
      </c>
      <c r="N22" s="132">
        <f>IF(SER_hh_emih!N22=0,0,SER_hh_emih!N22/SER_summary!N$26)</f>
        <v>15.187079967659235</v>
      </c>
      <c r="O22" s="132">
        <f>IF(SER_hh_emih!O22=0,0,SER_hh_emih!O22/SER_summary!O$26)</f>
        <v>17.177984841149136</v>
      </c>
      <c r="P22" s="132">
        <f>IF(SER_hh_emih!P22=0,0,SER_hh_emih!P22/SER_summary!P$26)</f>
        <v>16.109276741673725</v>
      </c>
      <c r="Q22" s="132">
        <f>IF(SER_hh_emih!Q22=0,0,SER_hh_emih!Q22/SER_summary!Q$26)</f>
        <v>15.727529865128847</v>
      </c>
      <c r="R22" s="132">
        <f>IF(SER_hh_emih!R22=0,0,SER_hh_emih!R22/SER_summary!R$26)</f>
        <v>12.984584036915122</v>
      </c>
      <c r="S22" s="132">
        <f>IF(SER_hh_emih!S22=0,0,SER_hh_emih!S22/SER_summary!S$26)</f>
        <v>14.854496429255887</v>
      </c>
      <c r="T22" s="132">
        <f>IF(SER_hh_emih!T22=0,0,SER_hh_emih!T22/SER_summary!T$26)</f>
        <v>14.550724018997498</v>
      </c>
      <c r="U22" s="132">
        <f>IF(SER_hh_emih!U22=0,0,SER_hh_emih!U22/SER_summary!U$26)</f>
        <v>12.292920646417153</v>
      </c>
      <c r="V22" s="132">
        <f>IF(SER_hh_emih!V22=0,0,SER_hh_emih!V22/SER_summary!V$26)</f>
        <v>10.958083102822712</v>
      </c>
      <c r="W22" s="132">
        <f>IF(SER_hh_emih!W22=0,0,SER_hh_emih!W22/SER_summary!W$26)</f>
        <v>14.53481369809629</v>
      </c>
      <c r="X22" s="132">
        <f>IF(SER_hh_emih!X22=0,0,SER_hh_emih!X22/SER_summary!X$26)</f>
        <v>13.51987073920694</v>
      </c>
      <c r="Y22" s="132">
        <f>IF(SER_hh_emih!Y22=0,0,SER_hh_emih!Y22/SER_summary!Y$26)</f>
        <v>13.421829977151887</v>
      </c>
      <c r="DA22" s="156" t="s">
        <v>558</v>
      </c>
    </row>
    <row r="23" spans="1:105" ht="12" customHeight="1" x14ac:dyDescent="0.25">
      <c r="A23" s="131" t="s">
        <v>149</v>
      </c>
      <c r="B23" s="132">
        <f>IF(SER_hh_emih!B23=0,0,SER_hh_emih!B23/SER_summary!B$26)</f>
        <v>9.9084093882769189</v>
      </c>
      <c r="C23" s="132">
        <f>IF(SER_hh_emih!C23=0,0,SER_hh_emih!C23/SER_summary!C$26)</f>
        <v>7.740587277645492</v>
      </c>
      <c r="D23" s="132">
        <f>IF(SER_hh_emih!D23=0,0,SER_hh_emih!D23/SER_summary!D$26)</f>
        <v>4.3512061156787709</v>
      </c>
      <c r="E23" s="132">
        <f>IF(SER_hh_emih!E23=0,0,SER_hh_emih!E23/SER_summary!E$26)</f>
        <v>8.564321735108722</v>
      </c>
      <c r="F23" s="132">
        <f>IF(SER_hh_emih!F23=0,0,SER_hh_emih!F23/SER_summary!F$26)</f>
        <v>12.899712586559184</v>
      </c>
      <c r="G23" s="132">
        <f>IF(SER_hh_emih!G23=0,0,SER_hh_emih!G23/SER_summary!G$26)</f>
        <v>11.025162478812453</v>
      </c>
      <c r="H23" s="132">
        <f>IF(SER_hh_emih!H23=0,0,SER_hh_emih!H23/SER_summary!H$26)</f>
        <v>12.739111053564377</v>
      </c>
      <c r="I23" s="132">
        <f>IF(SER_hh_emih!I23=0,0,SER_hh_emih!I23/SER_summary!I$26)</f>
        <v>11.361239662133823</v>
      </c>
      <c r="J23" s="132">
        <f>IF(SER_hh_emih!J23=0,0,SER_hh_emih!J23/SER_summary!J$26)</f>
        <v>9.5072282475056014</v>
      </c>
      <c r="K23" s="132">
        <f>IF(SER_hh_emih!K23=0,0,SER_hh_emih!K23/SER_summary!K$26)</f>
        <v>12.784539399761956</v>
      </c>
      <c r="L23" s="132">
        <f>IF(SER_hh_emih!L23=0,0,SER_hh_emih!L23/SER_summary!L$26)</f>
        <v>11.972240505163253</v>
      </c>
      <c r="M23" s="132">
        <f>IF(SER_hh_emih!M23=0,0,SER_hh_emih!M23/SER_summary!M$26)</f>
        <v>10.857933580570819</v>
      </c>
      <c r="N23" s="132">
        <f>IF(SER_hh_emih!N23=0,0,SER_hh_emih!N23/SER_summary!N$26)</f>
        <v>10.975694081899698</v>
      </c>
      <c r="O23" s="132">
        <f>IF(SER_hh_emih!O23=0,0,SER_hh_emih!O23/SER_summary!O$26)</f>
        <v>10.997799251073781</v>
      </c>
      <c r="P23" s="132">
        <f>IF(SER_hh_emih!P23=0,0,SER_hh_emih!P23/SER_summary!P$26)</f>
        <v>11.076792474905909</v>
      </c>
      <c r="Q23" s="132">
        <f>IF(SER_hh_emih!Q23=0,0,SER_hh_emih!Q23/SER_summary!Q$26)</f>
        <v>10.851143005581406</v>
      </c>
      <c r="R23" s="132">
        <f>IF(SER_hh_emih!R23=0,0,SER_hh_emih!R23/SER_summary!R$26)</f>
        <v>10.768307800567442</v>
      </c>
      <c r="S23" s="132">
        <f>IF(SER_hh_emih!S23=0,0,SER_hh_emih!S23/SER_summary!S$26)</f>
        <v>10.539586833785448</v>
      </c>
      <c r="T23" s="132">
        <f>IF(SER_hh_emih!T23=0,0,SER_hh_emih!T23/SER_summary!T$26)</f>
        <v>9.6093877411463353</v>
      </c>
      <c r="U23" s="132">
        <f>IF(SER_hh_emih!U23=0,0,SER_hh_emih!U23/SER_summary!U$26)</f>
        <v>9.3429993946263377</v>
      </c>
      <c r="V23" s="132">
        <f>IF(SER_hh_emih!V23=0,0,SER_hh_emih!V23/SER_summary!V$26)</f>
        <v>8.9290802064116512</v>
      </c>
      <c r="W23" s="132">
        <f>IF(SER_hh_emih!W23=0,0,SER_hh_emih!W23/SER_summary!W$26)</f>
        <v>9.1206375528321662</v>
      </c>
      <c r="X23" s="132">
        <f>IF(SER_hh_emih!X23=0,0,SER_hh_emih!X23/SER_summary!X$26)</f>
        <v>9.5817168190696567</v>
      </c>
      <c r="Y23" s="132">
        <f>IF(SER_hh_emih!Y23=0,0,SER_hh_emih!Y23/SER_summary!Y$26)</f>
        <v>9.2286375764512538</v>
      </c>
      <c r="DA23" s="156" t="s">
        <v>559</v>
      </c>
    </row>
    <row r="24" spans="1:105" ht="12" customHeight="1" x14ac:dyDescent="0.25">
      <c r="A24" s="131" t="s">
        <v>128</v>
      </c>
      <c r="B24" s="132">
        <f>IF(SER_hh_emih!B24=0,0,SER_hh_emih!B24/SER_summary!B$26)</f>
        <v>0</v>
      </c>
      <c r="C24" s="132">
        <f>IF(SER_hh_emih!C24=0,0,SER_hh_emih!C24/SER_summary!C$26)</f>
        <v>0</v>
      </c>
      <c r="D24" s="132">
        <f>IF(SER_hh_emih!D24=0,0,SER_hh_emih!D24/SER_summary!D$26)</f>
        <v>0</v>
      </c>
      <c r="E24" s="132">
        <f>IF(SER_hh_emih!E24=0,0,SER_hh_emih!E24/SER_summary!E$26)</f>
        <v>5.4942663747383207E-2</v>
      </c>
      <c r="F24" s="132">
        <f>IF(SER_hh_emih!F24=0,0,SER_hh_emih!F24/SER_summary!F$26)</f>
        <v>5.0750415560418941E-2</v>
      </c>
      <c r="G24" s="132">
        <f>IF(SER_hh_emih!G24=0,0,SER_hh_emih!G24/SER_summary!G$26)</f>
        <v>0</v>
      </c>
      <c r="H24" s="132">
        <f>IF(SER_hh_emih!H24=0,0,SER_hh_emih!H24/SER_summary!H$26)</f>
        <v>0</v>
      </c>
      <c r="I24" s="132">
        <f>IF(SER_hh_emih!I24=0,0,SER_hh_emih!I24/SER_summary!I$26)</f>
        <v>0</v>
      </c>
      <c r="J24" s="132">
        <f>IF(SER_hh_emih!J24=0,0,SER_hh_emih!J24/SER_summary!J$26)</f>
        <v>0</v>
      </c>
      <c r="K24" s="132">
        <f>IF(SER_hh_emih!K24=0,0,SER_hh_emih!K24/SER_summary!K$26)</f>
        <v>0</v>
      </c>
      <c r="L24" s="132">
        <f>IF(SER_hh_emih!L24=0,0,SER_hh_emih!L24/SER_summary!L$26)</f>
        <v>0</v>
      </c>
      <c r="M24" s="132">
        <f>IF(SER_hh_emih!M24=0,0,SER_hh_emih!M24/SER_summary!M$26)</f>
        <v>0</v>
      </c>
      <c r="N24" s="132">
        <f>IF(SER_hh_emih!N24=0,0,SER_hh_emih!N24/SER_summary!N$26)</f>
        <v>0</v>
      </c>
      <c r="O24" s="132">
        <f>IF(SER_hh_emih!O24=0,0,SER_hh_emih!O24/SER_summary!O$26)</f>
        <v>1.5213770361195617E-2</v>
      </c>
      <c r="P24" s="132">
        <f>IF(SER_hh_emih!P24=0,0,SER_hh_emih!P24/SER_summary!P$26)</f>
        <v>2.3839608730964055</v>
      </c>
      <c r="Q24" s="132">
        <f>IF(SER_hh_emih!Q24=0,0,SER_hh_emih!Q24/SER_summary!Q$26)</f>
        <v>1.1926710921774479</v>
      </c>
      <c r="R24" s="132">
        <f>IF(SER_hh_emih!R24=0,0,SER_hh_emih!R24/SER_summary!R$26)</f>
        <v>0.84233425757189251</v>
      </c>
      <c r="S24" s="132">
        <f>IF(SER_hh_emih!S24=0,0,SER_hh_emih!S24/SER_summary!S$26)</f>
        <v>0.62228431227624148</v>
      </c>
      <c r="T24" s="132">
        <f>IF(SER_hh_emih!T24=0,0,SER_hh_emih!T24/SER_summary!T$26)</f>
        <v>0.57100911128625609</v>
      </c>
      <c r="U24" s="132">
        <f>IF(SER_hh_emih!U24=0,0,SER_hh_emih!U24/SER_summary!U$26)</f>
        <v>0.48695628523751744</v>
      </c>
      <c r="V24" s="132">
        <f>IF(SER_hh_emih!V24=0,0,SER_hh_emih!V24/SER_summary!V$26)</f>
        <v>0.42486187314275076</v>
      </c>
      <c r="W24" s="132">
        <f>IF(SER_hh_emih!W24=0,0,SER_hh_emih!W24/SER_summary!W$26)</f>
        <v>0.4391906006654705</v>
      </c>
      <c r="X24" s="132">
        <f>IF(SER_hh_emih!X24=0,0,SER_hh_emih!X24/SER_summary!X$26)</f>
        <v>0.79545697296652884</v>
      </c>
      <c r="Y24" s="132">
        <f>IF(SER_hh_emih!Y24=0,0,SER_hh_emih!Y24/SER_summary!Y$26)</f>
        <v>0.61762588331582691</v>
      </c>
      <c r="DA24" s="156" t="s">
        <v>560</v>
      </c>
    </row>
    <row r="25" spans="1:105" ht="12" customHeight="1" x14ac:dyDescent="0.25">
      <c r="A25" s="131" t="s">
        <v>162</v>
      </c>
      <c r="B25" s="132">
        <f>IF(SER_hh_emih!B25=0,0,SER_hh_emih!B25/SER_summary!B$26)</f>
        <v>0</v>
      </c>
      <c r="C25" s="132">
        <f>IF(SER_hh_emih!C25=0,0,SER_hh_emih!C25/SER_summary!C$26)</f>
        <v>0</v>
      </c>
      <c r="D25" s="132">
        <f>IF(SER_hh_emih!D25=0,0,SER_hh_emih!D25/SER_summary!D$26)</f>
        <v>0</v>
      </c>
      <c r="E25" s="132">
        <f>IF(SER_hh_emih!E25=0,0,SER_hh_emih!E25/SER_summary!E$26)</f>
        <v>0</v>
      </c>
      <c r="F25" s="132">
        <f>IF(SER_hh_emih!F25=0,0,SER_hh_emih!F25/SER_summary!F$26)</f>
        <v>0</v>
      </c>
      <c r="G25" s="132">
        <f>IF(SER_hh_emih!G25=0,0,SER_hh_emih!G25/SER_summary!G$26)</f>
        <v>0</v>
      </c>
      <c r="H25" s="132">
        <f>IF(SER_hh_emih!H25=0,0,SER_hh_emih!H25/SER_summary!H$26)</f>
        <v>0</v>
      </c>
      <c r="I25" s="132">
        <f>IF(SER_hh_emih!I25=0,0,SER_hh_emih!I25/SER_summary!I$26)</f>
        <v>0</v>
      </c>
      <c r="J25" s="132">
        <f>IF(SER_hh_emih!J25=0,0,SER_hh_emih!J25/SER_summary!J$26)</f>
        <v>0</v>
      </c>
      <c r="K25" s="132">
        <f>IF(SER_hh_emih!K25=0,0,SER_hh_emih!K25/SER_summary!K$26)</f>
        <v>0</v>
      </c>
      <c r="L25" s="132">
        <f>IF(SER_hh_emih!L25=0,0,SER_hh_emih!L25/SER_summary!L$26)</f>
        <v>0</v>
      </c>
      <c r="M25" s="132">
        <f>IF(SER_hh_emih!M25=0,0,SER_hh_emih!M25/SER_summary!M$26)</f>
        <v>0</v>
      </c>
      <c r="N25" s="132">
        <f>IF(SER_hh_emih!N25=0,0,SER_hh_emih!N25/SER_summary!N$26)</f>
        <v>0</v>
      </c>
      <c r="O25" s="132">
        <f>IF(SER_hh_emih!O25=0,0,SER_hh_emih!O25/SER_summary!O$26)</f>
        <v>0</v>
      </c>
      <c r="P25" s="132">
        <f>IF(SER_hh_emih!P25=0,0,SER_hh_emih!P25/SER_summary!P$26)</f>
        <v>0</v>
      </c>
      <c r="Q25" s="132">
        <f>IF(SER_hh_emih!Q25=0,0,SER_hh_emih!Q25/SER_summary!Q$26)</f>
        <v>0</v>
      </c>
      <c r="R25" s="132">
        <f>IF(SER_hh_emih!R25=0,0,SER_hh_emih!R25/SER_summary!R$26)</f>
        <v>0</v>
      </c>
      <c r="S25" s="132">
        <f>IF(SER_hh_emih!S25=0,0,SER_hh_emih!S25/SER_summary!S$26)</f>
        <v>0</v>
      </c>
      <c r="T25" s="132">
        <f>IF(SER_hh_emih!T25=0,0,SER_hh_emih!T25/SER_summary!T$26)</f>
        <v>0</v>
      </c>
      <c r="U25" s="132">
        <f>IF(SER_hh_emih!U25=0,0,SER_hh_emih!U25/SER_summary!U$26)</f>
        <v>0</v>
      </c>
      <c r="V25" s="132">
        <f>IF(SER_hh_emih!V25=0,0,SER_hh_emih!V25/SER_summary!V$26)</f>
        <v>0</v>
      </c>
      <c r="W25" s="132">
        <f>IF(SER_hh_emih!W25=0,0,SER_hh_emih!W25/SER_summary!W$26)</f>
        <v>0</v>
      </c>
      <c r="X25" s="132">
        <f>IF(SER_hh_emih!X25=0,0,SER_hh_emih!X25/SER_summary!X$26)</f>
        <v>0</v>
      </c>
      <c r="Y25" s="132">
        <f>IF(SER_hh_emih!Y25=0,0,SER_hh_emih!Y25/SER_summary!Y$26)</f>
        <v>0</v>
      </c>
      <c r="DA25" s="156" t="s">
        <v>561</v>
      </c>
    </row>
    <row r="26" spans="1:105" ht="12" customHeight="1" x14ac:dyDescent="0.25">
      <c r="A26" s="131" t="s">
        <v>24</v>
      </c>
      <c r="B26" s="65">
        <f>IF(SER_hh_emih!B26=0,0,SER_hh_emih!B26/SER_summary!B$26)</f>
        <v>0</v>
      </c>
      <c r="C26" s="65">
        <f>IF(SER_hh_emih!C26=0,0,SER_hh_emih!C26/SER_summary!C$26)</f>
        <v>0</v>
      </c>
      <c r="D26" s="65">
        <f>IF(SER_hh_emih!D26=0,0,SER_hh_emih!D26/SER_summary!D$26)</f>
        <v>0</v>
      </c>
      <c r="E26" s="65">
        <f>IF(SER_hh_emih!E26=0,0,SER_hh_emih!E26/SER_summary!E$26)</f>
        <v>0</v>
      </c>
      <c r="F26" s="65">
        <f>IF(SER_hh_emih!F26=0,0,SER_hh_emih!F26/SER_summary!F$26)</f>
        <v>0</v>
      </c>
      <c r="G26" s="65">
        <f>IF(SER_hh_emih!G26=0,0,SER_hh_emih!G26/SER_summary!G$26)</f>
        <v>0</v>
      </c>
      <c r="H26" s="65">
        <f>IF(SER_hh_emih!H26=0,0,SER_hh_emih!H26/SER_summary!H$26)</f>
        <v>0</v>
      </c>
      <c r="I26" s="65">
        <f>IF(SER_hh_emih!I26=0,0,SER_hh_emih!I26/SER_summary!I$26)</f>
        <v>0</v>
      </c>
      <c r="J26" s="65">
        <f>IF(SER_hh_emih!J26=0,0,SER_hh_emih!J26/SER_summary!J$26)</f>
        <v>0</v>
      </c>
      <c r="K26" s="65">
        <f>IF(SER_hh_emih!K26=0,0,SER_hh_emih!K26/SER_summary!K$26)</f>
        <v>0</v>
      </c>
      <c r="L26" s="65">
        <f>IF(SER_hh_emih!L26=0,0,SER_hh_emih!L26/SER_summary!L$26)</f>
        <v>0</v>
      </c>
      <c r="M26" s="65">
        <f>IF(SER_hh_emih!M26=0,0,SER_hh_emih!M26/SER_summary!M$26)</f>
        <v>0</v>
      </c>
      <c r="N26" s="65">
        <f>IF(SER_hh_emih!N26=0,0,SER_hh_emih!N26/SER_summary!N$26)</f>
        <v>0</v>
      </c>
      <c r="O26" s="65">
        <f>IF(SER_hh_emih!O26=0,0,SER_hh_emih!O26/SER_summary!O$26)</f>
        <v>0</v>
      </c>
      <c r="P26" s="65">
        <f>IF(SER_hh_emih!P26=0,0,SER_hh_emih!P26/SER_summary!P$26)</f>
        <v>0</v>
      </c>
      <c r="Q26" s="65">
        <f>IF(SER_hh_emih!Q26=0,0,SER_hh_emih!Q26/SER_summary!Q$26)</f>
        <v>0</v>
      </c>
      <c r="R26" s="65">
        <f>IF(SER_hh_emih!R26=0,0,SER_hh_emih!R26/SER_summary!R$26)</f>
        <v>0</v>
      </c>
      <c r="S26" s="65">
        <f>IF(SER_hh_emih!S26=0,0,SER_hh_emih!S26/SER_summary!S$26)</f>
        <v>0</v>
      </c>
      <c r="T26" s="65">
        <f>IF(SER_hh_emih!T26=0,0,SER_hh_emih!T26/SER_summary!T$26)</f>
        <v>0</v>
      </c>
      <c r="U26" s="65">
        <f>IF(SER_hh_emih!U26=0,0,SER_hh_emih!U26/SER_summary!U$26)</f>
        <v>0</v>
      </c>
      <c r="V26" s="65">
        <f>IF(SER_hh_emih!V26=0,0,SER_hh_emih!V26/SER_summary!V$26)</f>
        <v>0</v>
      </c>
      <c r="W26" s="65">
        <f>IF(SER_hh_emih!W26=0,0,SER_hh_emih!W26/SER_summary!W$26)</f>
        <v>0</v>
      </c>
      <c r="X26" s="65">
        <f>IF(SER_hh_emih!X26=0,0,SER_hh_emih!X26/SER_summary!X$26)</f>
        <v>0</v>
      </c>
      <c r="Y26" s="65">
        <f>IF(SER_hh_emih!Y26=0,0,SER_hh_emih!Y26/SER_summary!Y$26)</f>
        <v>0</v>
      </c>
      <c r="DA26" s="109" t="s">
        <v>562</v>
      </c>
    </row>
    <row r="27" spans="1:105" ht="12" customHeight="1" x14ac:dyDescent="0.25">
      <c r="A27" s="144" t="s">
        <v>86</v>
      </c>
      <c r="B27" s="145">
        <f>IF(SER_hh_emih!B27=0,0,SER_hh_emih!B27/SER_summary!B$26)</f>
        <v>0</v>
      </c>
      <c r="C27" s="145">
        <f>IF(SER_hh_emih!C27=0,0,SER_hh_emih!C27/SER_summary!C$26)</f>
        <v>0</v>
      </c>
      <c r="D27" s="145">
        <f>IF(SER_hh_emih!D27=0,0,SER_hh_emih!D27/SER_summary!D$26)</f>
        <v>0</v>
      </c>
      <c r="E27" s="145">
        <f>IF(SER_hh_emih!E27=0,0,SER_hh_emih!E27/SER_summary!E$26)</f>
        <v>0</v>
      </c>
      <c r="F27" s="145">
        <f>IF(SER_hh_emih!F27=0,0,SER_hh_emih!F27/SER_summary!F$26)</f>
        <v>0</v>
      </c>
      <c r="G27" s="145">
        <f>IF(SER_hh_emih!G27=0,0,SER_hh_emih!G27/SER_summary!G$26)</f>
        <v>0</v>
      </c>
      <c r="H27" s="145">
        <f>IF(SER_hh_emih!H27=0,0,SER_hh_emih!H27/SER_summary!H$26)</f>
        <v>0</v>
      </c>
      <c r="I27" s="145">
        <f>IF(SER_hh_emih!I27=0,0,SER_hh_emih!I27/SER_summary!I$26)</f>
        <v>0</v>
      </c>
      <c r="J27" s="145">
        <f>IF(SER_hh_emih!J27=0,0,SER_hh_emih!J27/SER_summary!J$26)</f>
        <v>0</v>
      </c>
      <c r="K27" s="145">
        <f>IF(SER_hh_emih!K27=0,0,SER_hh_emih!K27/SER_summary!K$26)</f>
        <v>0</v>
      </c>
      <c r="L27" s="145">
        <f>IF(SER_hh_emih!L27=0,0,SER_hh_emih!L27/SER_summary!L$26)</f>
        <v>0</v>
      </c>
      <c r="M27" s="145">
        <f>IF(SER_hh_emih!M27=0,0,SER_hh_emih!M27/SER_summary!M$26)</f>
        <v>0</v>
      </c>
      <c r="N27" s="145">
        <f>IF(SER_hh_emih!N27=0,0,SER_hh_emih!N27/SER_summary!N$26)</f>
        <v>0</v>
      </c>
      <c r="O27" s="145">
        <f>IF(SER_hh_emih!O27=0,0,SER_hh_emih!O27/SER_summary!O$26)</f>
        <v>0</v>
      </c>
      <c r="P27" s="145">
        <f>IF(SER_hh_emih!P27=0,0,SER_hh_emih!P27/SER_summary!P$26)</f>
        <v>0</v>
      </c>
      <c r="Q27" s="145">
        <f>IF(SER_hh_emih!Q27=0,0,SER_hh_emih!Q27/SER_summary!Q$26)</f>
        <v>0</v>
      </c>
      <c r="R27" s="145">
        <f>IF(SER_hh_emih!R27=0,0,SER_hh_emih!R27/SER_summary!R$26)</f>
        <v>0</v>
      </c>
      <c r="S27" s="145">
        <f>IF(SER_hh_emih!S27=0,0,SER_hh_emih!S27/SER_summary!S$26)</f>
        <v>0</v>
      </c>
      <c r="T27" s="145">
        <f>IF(SER_hh_emih!T27=0,0,SER_hh_emih!T27/SER_summary!T$26)</f>
        <v>0</v>
      </c>
      <c r="U27" s="145">
        <f>IF(SER_hh_emih!U27=0,0,SER_hh_emih!U27/SER_summary!U$26)</f>
        <v>0</v>
      </c>
      <c r="V27" s="145">
        <f>IF(SER_hh_emih!V27=0,0,SER_hh_emih!V27/SER_summary!V$26)</f>
        <v>0</v>
      </c>
      <c r="W27" s="145">
        <f>IF(SER_hh_emih!W27=0,0,SER_hh_emih!W27/SER_summary!W$26)</f>
        <v>0</v>
      </c>
      <c r="X27" s="145">
        <f>IF(SER_hh_emih!X27=0,0,SER_hh_emih!X27/SER_summary!X$26)</f>
        <v>0</v>
      </c>
      <c r="Y27" s="145">
        <f>IF(SER_hh_emih!Y27=0,0,SER_hh_emih!Y27/SER_summary!Y$26)</f>
        <v>0</v>
      </c>
      <c r="DA27" s="158" t="s">
        <v>563</v>
      </c>
    </row>
    <row r="28" spans="1:105" ht="12" customHeight="1" x14ac:dyDescent="0.25">
      <c r="A28" s="78" t="s">
        <v>85</v>
      </c>
      <c r="B28" s="146">
        <f>IF(SER_hh_emih!B28=0,0,SER_hh_emih!B28/SER_summary!B$26)</f>
        <v>0</v>
      </c>
      <c r="C28" s="146">
        <f>IF(SER_hh_emih!C28=0,0,SER_hh_emih!C28/SER_summary!C$26)</f>
        <v>0</v>
      </c>
      <c r="D28" s="146">
        <f>IF(SER_hh_emih!D28=0,0,SER_hh_emih!D28/SER_summary!D$26)</f>
        <v>0</v>
      </c>
      <c r="E28" s="146">
        <f>IF(SER_hh_emih!E28=0,0,SER_hh_emih!E28/SER_summary!E$26)</f>
        <v>0</v>
      </c>
      <c r="F28" s="146">
        <f>IF(SER_hh_emih!F28=0,0,SER_hh_emih!F28/SER_summary!F$26)</f>
        <v>0</v>
      </c>
      <c r="G28" s="146">
        <f>IF(SER_hh_emih!G28=0,0,SER_hh_emih!G28/SER_summary!G$26)</f>
        <v>0</v>
      </c>
      <c r="H28" s="146">
        <f>IF(SER_hh_emih!H28=0,0,SER_hh_emih!H28/SER_summary!H$26)</f>
        <v>0</v>
      </c>
      <c r="I28" s="146">
        <f>IF(SER_hh_emih!I28=0,0,SER_hh_emih!I28/SER_summary!I$26)</f>
        <v>0</v>
      </c>
      <c r="J28" s="146">
        <f>IF(SER_hh_emih!J28=0,0,SER_hh_emih!J28/SER_summary!J$26)</f>
        <v>0</v>
      </c>
      <c r="K28" s="146">
        <f>IF(SER_hh_emih!K28=0,0,SER_hh_emih!K28/SER_summary!K$26)</f>
        <v>0</v>
      </c>
      <c r="L28" s="146">
        <f>IF(SER_hh_emih!L28=0,0,SER_hh_emih!L28/SER_summary!L$26)</f>
        <v>0</v>
      </c>
      <c r="M28" s="146">
        <f>IF(SER_hh_emih!M28=0,0,SER_hh_emih!M28/SER_summary!M$26)</f>
        <v>0</v>
      </c>
      <c r="N28" s="146">
        <f>IF(SER_hh_emih!N28=0,0,SER_hh_emih!N28/SER_summary!N$26)</f>
        <v>0</v>
      </c>
      <c r="O28" s="146">
        <f>IF(SER_hh_emih!O28=0,0,SER_hh_emih!O28/SER_summary!O$26)</f>
        <v>0</v>
      </c>
      <c r="P28" s="146">
        <f>IF(SER_hh_emih!P28=0,0,SER_hh_emih!P28/SER_summary!P$26)</f>
        <v>0</v>
      </c>
      <c r="Q28" s="146">
        <f>IF(SER_hh_emih!Q28=0,0,SER_hh_emih!Q28/SER_summary!Q$26)</f>
        <v>0</v>
      </c>
      <c r="R28" s="146">
        <f>IF(SER_hh_emih!R28=0,0,SER_hh_emih!R28/SER_summary!R$26)</f>
        <v>0</v>
      </c>
      <c r="S28" s="146">
        <f>IF(SER_hh_emih!S28=0,0,SER_hh_emih!S28/SER_summary!S$26)</f>
        <v>0</v>
      </c>
      <c r="T28" s="146">
        <f>IF(SER_hh_emih!T28=0,0,SER_hh_emih!T28/SER_summary!T$26)</f>
        <v>0</v>
      </c>
      <c r="U28" s="146">
        <f>IF(SER_hh_emih!U28=0,0,SER_hh_emih!U28/SER_summary!U$26)</f>
        <v>0</v>
      </c>
      <c r="V28" s="146">
        <f>IF(SER_hh_emih!V28=0,0,SER_hh_emih!V28/SER_summary!V$26)</f>
        <v>0</v>
      </c>
      <c r="W28" s="146">
        <f>IF(SER_hh_emih!W28=0,0,SER_hh_emih!W28/SER_summary!W$26)</f>
        <v>0</v>
      </c>
      <c r="X28" s="146">
        <f>IF(SER_hh_emih!X28=0,0,SER_hh_emih!X28/SER_summary!X$26)</f>
        <v>0</v>
      </c>
      <c r="Y28" s="146">
        <f>IF(SER_hh_emih!Y28=0,0,SER_hh_emih!Y28/SER_summary!Y$26)</f>
        <v>0</v>
      </c>
      <c r="DA28" s="159"/>
    </row>
    <row r="29" spans="1:105" ht="12.95" customHeight="1" x14ac:dyDescent="0.25">
      <c r="A29" s="129" t="s">
        <v>34</v>
      </c>
      <c r="B29" s="130">
        <f>IF(SER_hh_emih!B29=0,0,SER_hh_emih!B29/SER_summary!B$26)</f>
        <v>4.7541902970512373</v>
      </c>
      <c r="C29" s="130">
        <f>IF(SER_hh_emih!C29=0,0,SER_hh_emih!C29/SER_summary!C$26)</f>
        <v>4.3519170953560051</v>
      </c>
      <c r="D29" s="130">
        <f>IF(SER_hh_emih!D29=0,0,SER_hh_emih!D29/SER_summary!D$26)</f>
        <v>2.8789978008580057</v>
      </c>
      <c r="E29" s="130">
        <f>IF(SER_hh_emih!E29=0,0,SER_hh_emih!E29/SER_summary!E$26)</f>
        <v>7.2440887002346104</v>
      </c>
      <c r="F29" s="130">
        <f>IF(SER_hh_emih!F29=0,0,SER_hh_emih!F29/SER_summary!F$26)</f>
        <v>13.17573276089241</v>
      </c>
      <c r="G29" s="130">
        <f>IF(SER_hh_emih!G29=0,0,SER_hh_emih!G29/SER_summary!G$26)</f>
        <v>12.797960703390197</v>
      </c>
      <c r="H29" s="130">
        <f>IF(SER_hh_emih!H29=0,0,SER_hh_emih!H29/SER_summary!H$26)</f>
        <v>11.46618071285824</v>
      </c>
      <c r="I29" s="130">
        <f>IF(SER_hh_emih!I29=0,0,SER_hh_emih!I29/SER_summary!I$26)</f>
        <v>13.102256009449821</v>
      </c>
      <c r="J29" s="130">
        <f>IF(SER_hh_emih!J29=0,0,SER_hh_emih!J29/SER_summary!J$26)</f>
        <v>8.1932445498127979</v>
      </c>
      <c r="K29" s="130">
        <f>IF(SER_hh_emih!K29=0,0,SER_hh_emih!K29/SER_summary!K$26)</f>
        <v>7.2921287615815924</v>
      </c>
      <c r="L29" s="130">
        <f>IF(SER_hh_emih!L29=0,0,SER_hh_emih!L29/SER_summary!L$26)</f>
        <v>7.2851413185188134</v>
      </c>
      <c r="M29" s="130">
        <f>IF(SER_hh_emih!M29=0,0,SER_hh_emih!M29/SER_summary!M$26)</f>
        <v>6.4561890988369539</v>
      </c>
      <c r="N29" s="130">
        <f>IF(SER_hh_emih!N29=0,0,SER_hh_emih!N29/SER_summary!N$26)</f>
        <v>6.2746023318913497</v>
      </c>
      <c r="O29" s="130">
        <f>IF(SER_hh_emih!O29=0,0,SER_hh_emih!O29/SER_summary!O$26)</f>
        <v>6.1720135576858555</v>
      </c>
      <c r="P29" s="130">
        <f>IF(SER_hh_emih!P29=0,0,SER_hh_emih!P29/SER_summary!P$26)</f>
        <v>6.1610424610872094</v>
      </c>
      <c r="Q29" s="130">
        <f>IF(SER_hh_emih!Q29=0,0,SER_hh_emih!Q29/SER_summary!Q$26)</f>
        <v>6.6691752175170089</v>
      </c>
      <c r="R29" s="130">
        <f>IF(SER_hh_emih!R29=0,0,SER_hh_emih!R29/SER_summary!R$26)</f>
        <v>6.3563766568220155</v>
      </c>
      <c r="S29" s="130">
        <f>IF(SER_hh_emih!S29=0,0,SER_hh_emih!S29/SER_summary!S$26)</f>
        <v>6.6764589790816737</v>
      </c>
      <c r="T29" s="130">
        <f>IF(SER_hh_emih!T29=0,0,SER_hh_emih!T29/SER_summary!T$26)</f>
        <v>6.4893635890309831</v>
      </c>
      <c r="U29" s="130">
        <f>IF(SER_hh_emih!U29=0,0,SER_hh_emih!U29/SER_summary!U$26)</f>
        <v>6.4498921100336197</v>
      </c>
      <c r="V29" s="130">
        <f>IF(SER_hh_emih!V29=0,0,SER_hh_emih!V29/SER_summary!V$26)</f>
        <v>6.0264250426216091</v>
      </c>
      <c r="W29" s="130">
        <f>IF(SER_hh_emih!W29=0,0,SER_hh_emih!W29/SER_summary!W$26)</f>
        <v>6.0580606100665255</v>
      </c>
      <c r="X29" s="130">
        <f>IF(SER_hh_emih!X29=0,0,SER_hh_emih!X29/SER_summary!X$26)</f>
        <v>5.9857503645824002</v>
      </c>
      <c r="Y29" s="130">
        <f>IF(SER_hh_emih!Y29=0,0,SER_hh_emih!Y29/SER_summary!Y$26)</f>
        <v>5.8766947514881931</v>
      </c>
      <c r="DA29" s="155" t="s">
        <v>564</v>
      </c>
    </row>
    <row r="30" spans="1:105" ht="12" customHeight="1" x14ac:dyDescent="0.25">
      <c r="A30" s="131" t="s">
        <v>52</v>
      </c>
      <c r="B30" s="132">
        <f>IF(SER_hh_emih!B30=0,0,SER_hh_emih!B30/SER_summary!B$26)</f>
        <v>24.103230447338298</v>
      </c>
      <c r="C30" s="132">
        <f>IF(SER_hh_emih!C30=0,0,SER_hh_emih!C30/SER_summary!C$26)</f>
        <v>9.3858474146326571</v>
      </c>
      <c r="D30" s="132">
        <f>IF(SER_hh_emih!D30=0,0,SER_hh_emih!D30/SER_summary!D$26)</f>
        <v>4.1272771395629819</v>
      </c>
      <c r="E30" s="132">
        <f>IF(SER_hh_emih!E30=0,0,SER_hh_emih!E30/SER_summary!E$26)</f>
        <v>12.412719343492768</v>
      </c>
      <c r="F30" s="132">
        <f>IF(SER_hh_emih!F30=0,0,SER_hh_emih!F30/SER_summary!F$26)</f>
        <v>18.92897713537501</v>
      </c>
      <c r="G30" s="132">
        <f>IF(SER_hh_emih!G30=0,0,SER_hh_emih!G30/SER_summary!G$26)</f>
        <v>22.846766782290729</v>
      </c>
      <c r="H30" s="132">
        <f>IF(SER_hh_emih!H30=0,0,SER_hh_emih!H30/SER_summary!H$26)</f>
        <v>9.4747097125895259</v>
      </c>
      <c r="I30" s="132">
        <f>IF(SER_hh_emih!I30=0,0,SER_hh_emih!I30/SER_summary!I$26)</f>
        <v>29.040110922625217</v>
      </c>
      <c r="J30" s="132">
        <f>IF(SER_hh_emih!J30=0,0,SER_hh_emih!J30/SER_summary!J$26)</f>
        <v>10.314500204650191</v>
      </c>
      <c r="K30" s="132">
        <f>IF(SER_hh_emih!K30=0,0,SER_hh_emih!K30/SER_summary!K$26)</f>
        <v>8.5089440203912208</v>
      </c>
      <c r="L30" s="132">
        <f>IF(SER_hh_emih!L30=0,0,SER_hh_emih!L30/SER_summary!L$26)</f>
        <v>20.405422126376099</v>
      </c>
      <c r="M30" s="132">
        <f>IF(SER_hh_emih!M30=0,0,SER_hh_emih!M30/SER_summary!M$26)</f>
        <v>14.457040044965947</v>
      </c>
      <c r="N30" s="132">
        <f>IF(SER_hh_emih!N30=0,0,SER_hh_emih!N30/SER_summary!N$26)</f>
        <v>16.760269749732426</v>
      </c>
      <c r="O30" s="132">
        <f>IF(SER_hh_emih!O30=0,0,SER_hh_emih!O30/SER_summary!O$26)</f>
        <v>16.976910682248555</v>
      </c>
      <c r="P30" s="132">
        <f>IF(SER_hh_emih!P30=0,0,SER_hh_emih!P30/SER_summary!P$26)</f>
        <v>18.428167398949768</v>
      </c>
      <c r="Q30" s="132">
        <f>IF(SER_hh_emih!Q30=0,0,SER_hh_emih!Q30/SER_summary!Q$26)</f>
        <v>20.451783294464718</v>
      </c>
      <c r="R30" s="132">
        <f>IF(SER_hh_emih!R30=0,0,SER_hh_emih!R30/SER_summary!R$26)</f>
        <v>18.033134776971178</v>
      </c>
      <c r="S30" s="132">
        <f>IF(SER_hh_emih!S30=0,0,SER_hh_emih!S30/SER_summary!S$26)</f>
        <v>17.511568320786182</v>
      </c>
      <c r="T30" s="132">
        <f>IF(SER_hh_emih!T30=0,0,SER_hh_emih!T30/SER_summary!T$26)</f>
        <v>17.971252912324424</v>
      </c>
      <c r="U30" s="132">
        <f>IF(SER_hh_emih!U30=0,0,SER_hh_emih!U30/SER_summary!U$26)</f>
        <v>17.84546496800969</v>
      </c>
      <c r="V30" s="132">
        <f>IF(SER_hh_emih!V30=0,0,SER_hh_emih!V30/SER_summary!V$26)</f>
        <v>16.508445624120135</v>
      </c>
      <c r="W30" s="132">
        <f>IF(SER_hh_emih!W30=0,0,SER_hh_emih!W30/SER_summary!W$26)</f>
        <v>17.383435459347115</v>
      </c>
      <c r="X30" s="132">
        <f>IF(SER_hh_emih!X30=0,0,SER_hh_emih!X30/SER_summary!X$26)</f>
        <v>18.465305069341589</v>
      </c>
      <c r="Y30" s="132">
        <f>IF(SER_hh_emih!Y30=0,0,SER_hh_emih!Y30/SER_summary!Y$26)</f>
        <v>17.626607501145596</v>
      </c>
      <c r="DA30" s="156" t="s">
        <v>565</v>
      </c>
    </row>
    <row r="31" spans="1:105" ht="12" customHeight="1" x14ac:dyDescent="0.25">
      <c r="A31" s="131" t="s">
        <v>149</v>
      </c>
      <c r="B31" s="132">
        <f>IF(SER_hh_emih!B31=0,0,SER_hh_emih!B31/SER_summary!B$26)</f>
        <v>11.842308888765702</v>
      </c>
      <c r="C31" s="132">
        <f>IF(SER_hh_emih!C31=0,0,SER_hh_emih!C31/SER_summary!C$26)</f>
        <v>12.459121722193926</v>
      </c>
      <c r="D31" s="132">
        <f>IF(SER_hh_emih!D31=0,0,SER_hh_emih!D31/SER_summary!D$26)</f>
        <v>7.1498089557536639</v>
      </c>
      <c r="E31" s="132">
        <f>IF(SER_hh_emih!E31=0,0,SER_hh_emih!E31/SER_summary!E$26)</f>
        <v>11.780633354799884</v>
      </c>
      <c r="F31" s="132">
        <f>IF(SER_hh_emih!F31=0,0,SER_hh_emih!F31/SER_summary!F$26)</f>
        <v>15.718414878122948</v>
      </c>
      <c r="G31" s="132">
        <f>IF(SER_hh_emih!G31=0,0,SER_hh_emih!G31/SER_summary!G$26)</f>
        <v>12.797098178102248</v>
      </c>
      <c r="H31" s="132">
        <f>IF(SER_hh_emih!H31=0,0,SER_hh_emih!H31/SER_summary!H$26)</f>
        <v>17.538266762896171</v>
      </c>
      <c r="I31" s="132">
        <f>IF(SER_hh_emih!I31=0,0,SER_hh_emih!I31/SER_summary!I$26)</f>
        <v>13.311476647142136</v>
      </c>
      <c r="J31" s="132">
        <f>IF(SER_hh_emih!J31=0,0,SER_hh_emih!J31/SER_summary!J$26)</f>
        <v>14.507947474977575</v>
      </c>
      <c r="K31" s="132">
        <f>IF(SER_hh_emih!K31=0,0,SER_hh_emih!K31/SER_summary!K$26)</f>
        <v>15.14069731348504</v>
      </c>
      <c r="L31" s="132">
        <f>IF(SER_hh_emih!L31=0,0,SER_hh_emih!L31/SER_summary!L$26)</f>
        <v>15.182900194254085</v>
      </c>
      <c r="M31" s="132">
        <f>IF(SER_hh_emih!M31=0,0,SER_hh_emih!M31/SER_summary!M$26)</f>
        <v>15.282342656818326</v>
      </c>
      <c r="N31" s="132">
        <f>IF(SER_hh_emih!N31=0,0,SER_hh_emih!N31/SER_summary!N$26)</f>
        <v>15.271971521210267</v>
      </c>
      <c r="O31" s="132">
        <f>IF(SER_hh_emih!O31=0,0,SER_hh_emih!O31/SER_summary!O$26)</f>
        <v>15.728272663131259</v>
      </c>
      <c r="P31" s="132">
        <f>IF(SER_hh_emih!P31=0,0,SER_hh_emih!P31/SER_summary!P$26)</f>
        <v>15.5383979579395</v>
      </c>
      <c r="Q31" s="132">
        <f>IF(SER_hh_emih!Q31=0,0,SER_hh_emih!Q31/SER_summary!Q$26)</f>
        <v>16.271827265499052</v>
      </c>
      <c r="R31" s="132">
        <f>IF(SER_hh_emih!R31=0,0,SER_hh_emih!R31/SER_summary!R$26)</f>
        <v>15.410550508368837</v>
      </c>
      <c r="S31" s="132">
        <f>IF(SER_hh_emih!S31=0,0,SER_hh_emih!S31/SER_summary!S$26)</f>
        <v>16.053992369124078</v>
      </c>
      <c r="T31" s="132">
        <f>IF(SER_hh_emih!T31=0,0,SER_hh_emih!T31/SER_summary!T$26)</f>
        <v>15.359932047387961</v>
      </c>
      <c r="U31" s="132">
        <f>IF(SER_hh_emih!U31=0,0,SER_hh_emih!U31/SER_summary!U$26)</f>
        <v>15.294488749944712</v>
      </c>
      <c r="V31" s="132">
        <f>IF(SER_hh_emih!V31=0,0,SER_hh_emih!V31/SER_summary!V$26)</f>
        <v>14.497003166013734</v>
      </c>
      <c r="W31" s="132">
        <f>IF(SER_hh_emih!W31=0,0,SER_hh_emih!W31/SER_summary!W$26)</f>
        <v>15.039172887433752</v>
      </c>
      <c r="X31" s="132">
        <f>IF(SER_hh_emih!X31=0,0,SER_hh_emih!X31/SER_summary!X$26)</f>
        <v>15.555573538497995</v>
      </c>
      <c r="Y31" s="132">
        <f>IF(SER_hh_emih!Y31=0,0,SER_hh_emih!Y31/SER_summary!Y$26)</f>
        <v>16.067476956703516</v>
      </c>
      <c r="DA31" s="156" t="s">
        <v>566</v>
      </c>
    </row>
    <row r="32" spans="1:105" ht="12" customHeight="1" x14ac:dyDescent="0.25">
      <c r="A32" s="131" t="s">
        <v>128</v>
      </c>
      <c r="B32" s="132">
        <f>IF(SER_hh_emih!B32=0,0,SER_hh_emih!B32/SER_summary!B$26)</f>
        <v>0</v>
      </c>
      <c r="C32" s="132">
        <f>IF(SER_hh_emih!C32=0,0,SER_hh_emih!C32/SER_summary!C$26)</f>
        <v>0</v>
      </c>
      <c r="D32" s="132">
        <f>IF(SER_hh_emih!D32=0,0,SER_hh_emih!D32/SER_summary!D$26)</f>
        <v>0</v>
      </c>
      <c r="E32" s="132">
        <f>IF(SER_hh_emih!E32=0,0,SER_hh_emih!E32/SER_summary!E$26)</f>
        <v>0</v>
      </c>
      <c r="F32" s="132">
        <f>IF(SER_hh_emih!F32=0,0,SER_hh_emih!F32/SER_summary!F$26)</f>
        <v>0</v>
      </c>
      <c r="G32" s="132">
        <f>IF(SER_hh_emih!G32=0,0,SER_hh_emih!G32/SER_summary!G$26)</f>
        <v>0</v>
      </c>
      <c r="H32" s="132">
        <f>IF(SER_hh_emih!H32=0,0,SER_hh_emih!H32/SER_summary!H$26)</f>
        <v>0</v>
      </c>
      <c r="I32" s="132">
        <f>IF(SER_hh_emih!I32=0,0,SER_hh_emih!I32/SER_summary!I$26)</f>
        <v>0</v>
      </c>
      <c r="J32" s="132">
        <f>IF(SER_hh_emih!J32=0,0,SER_hh_emih!J32/SER_summary!J$26)</f>
        <v>0</v>
      </c>
      <c r="K32" s="132">
        <f>IF(SER_hh_emih!K32=0,0,SER_hh_emih!K32/SER_summary!K$26)</f>
        <v>0</v>
      </c>
      <c r="L32" s="132">
        <f>IF(SER_hh_emih!L32=0,0,SER_hh_emih!L32/SER_summary!L$26)</f>
        <v>0</v>
      </c>
      <c r="M32" s="132">
        <f>IF(SER_hh_emih!M32=0,0,SER_hh_emih!M32/SER_summary!M$26)</f>
        <v>0</v>
      </c>
      <c r="N32" s="132">
        <f>IF(SER_hh_emih!N32=0,0,SER_hh_emih!N32/SER_summary!N$26)</f>
        <v>0</v>
      </c>
      <c r="O32" s="132">
        <f>IF(SER_hh_emih!O32=0,0,SER_hh_emih!O32/SER_summary!O$26)</f>
        <v>0</v>
      </c>
      <c r="P32" s="132">
        <f>IF(SER_hh_emih!P32=0,0,SER_hh_emih!P32/SER_summary!P$26)</f>
        <v>0</v>
      </c>
      <c r="Q32" s="132">
        <f>IF(SER_hh_emih!Q32=0,0,SER_hh_emih!Q32/SER_summary!Q$26)</f>
        <v>0</v>
      </c>
      <c r="R32" s="132">
        <f>IF(SER_hh_emih!R32=0,0,SER_hh_emih!R32/SER_summary!R$26)</f>
        <v>0</v>
      </c>
      <c r="S32" s="132">
        <f>IF(SER_hh_emih!S32=0,0,SER_hh_emih!S32/SER_summary!S$26)</f>
        <v>0</v>
      </c>
      <c r="T32" s="132">
        <f>IF(SER_hh_emih!T32=0,0,SER_hh_emih!T32/SER_summary!T$26)</f>
        <v>0</v>
      </c>
      <c r="U32" s="132">
        <f>IF(SER_hh_emih!U32=0,0,SER_hh_emih!U32/SER_summary!U$26)</f>
        <v>0</v>
      </c>
      <c r="V32" s="132">
        <f>IF(SER_hh_emih!V32=0,0,SER_hh_emih!V32/SER_summary!V$26)</f>
        <v>0</v>
      </c>
      <c r="W32" s="132">
        <f>IF(SER_hh_emih!W32=0,0,SER_hh_emih!W32/SER_summary!W$26)</f>
        <v>0</v>
      </c>
      <c r="X32" s="132">
        <f>IF(SER_hh_emih!X32=0,0,SER_hh_emih!X32/SER_summary!X$26)</f>
        <v>0</v>
      </c>
      <c r="Y32" s="132">
        <f>IF(SER_hh_emih!Y32=0,0,SER_hh_emih!Y32/SER_summary!Y$26)</f>
        <v>0</v>
      </c>
      <c r="DA32" s="156" t="s">
        <v>567</v>
      </c>
    </row>
    <row r="33" spans="1:105" ht="12" customHeight="1" x14ac:dyDescent="0.25">
      <c r="A33" s="62" t="s">
        <v>24</v>
      </c>
      <c r="B33" s="68">
        <f>IF(SER_hh_emih!B33=0,0,SER_hh_emih!B33/SER_summary!B$26)</f>
        <v>0</v>
      </c>
      <c r="C33" s="68">
        <f>IF(SER_hh_emih!C33=0,0,SER_hh_emih!C33/SER_summary!C$26)</f>
        <v>0</v>
      </c>
      <c r="D33" s="68">
        <f>IF(SER_hh_emih!D33=0,0,SER_hh_emih!D33/SER_summary!D$26)</f>
        <v>0</v>
      </c>
      <c r="E33" s="68">
        <f>IF(SER_hh_emih!E33=0,0,SER_hh_emih!E33/SER_summary!E$26)</f>
        <v>0</v>
      </c>
      <c r="F33" s="68">
        <f>IF(SER_hh_emih!F33=0,0,SER_hh_emih!F33/SER_summary!F$26)</f>
        <v>0</v>
      </c>
      <c r="G33" s="68">
        <f>IF(SER_hh_emih!G33=0,0,SER_hh_emih!G33/SER_summary!G$26)</f>
        <v>0</v>
      </c>
      <c r="H33" s="68">
        <f>IF(SER_hh_emih!H33=0,0,SER_hh_emih!H33/SER_summary!H$26)</f>
        <v>0</v>
      </c>
      <c r="I33" s="68">
        <f>IF(SER_hh_emih!I33=0,0,SER_hh_emih!I33/SER_summary!I$26)</f>
        <v>0</v>
      </c>
      <c r="J33" s="68">
        <f>IF(SER_hh_emih!J33=0,0,SER_hh_emih!J33/SER_summary!J$26)</f>
        <v>0</v>
      </c>
      <c r="K33" s="68">
        <f>IF(SER_hh_emih!K33=0,0,SER_hh_emih!K33/SER_summary!K$26)</f>
        <v>0</v>
      </c>
      <c r="L33" s="68">
        <f>IF(SER_hh_emih!L33=0,0,SER_hh_emih!L33/SER_summary!L$26)</f>
        <v>0</v>
      </c>
      <c r="M33" s="68">
        <f>IF(SER_hh_emih!M33=0,0,SER_hh_emih!M33/SER_summary!M$26)</f>
        <v>0</v>
      </c>
      <c r="N33" s="68">
        <f>IF(SER_hh_emih!N33=0,0,SER_hh_emih!N33/SER_summary!N$26)</f>
        <v>0</v>
      </c>
      <c r="O33" s="68">
        <f>IF(SER_hh_emih!O33=0,0,SER_hh_emih!O33/SER_summary!O$26)</f>
        <v>0</v>
      </c>
      <c r="P33" s="68">
        <f>IF(SER_hh_emih!P33=0,0,SER_hh_emih!P33/SER_summary!P$26)</f>
        <v>0</v>
      </c>
      <c r="Q33" s="68">
        <f>IF(SER_hh_emih!Q33=0,0,SER_hh_emih!Q33/SER_summary!Q$26)</f>
        <v>0</v>
      </c>
      <c r="R33" s="68">
        <f>IF(SER_hh_emih!R33=0,0,SER_hh_emih!R33/SER_summary!R$26)</f>
        <v>0</v>
      </c>
      <c r="S33" s="68">
        <f>IF(SER_hh_emih!S33=0,0,SER_hh_emih!S33/SER_summary!S$26)</f>
        <v>0</v>
      </c>
      <c r="T33" s="68">
        <f>IF(SER_hh_emih!T33=0,0,SER_hh_emih!T33/SER_summary!T$26)</f>
        <v>0</v>
      </c>
      <c r="U33" s="68">
        <f>IF(SER_hh_emih!U33=0,0,SER_hh_emih!U33/SER_summary!U$26)</f>
        <v>0</v>
      </c>
      <c r="V33" s="68">
        <f>IF(SER_hh_emih!V33=0,0,SER_hh_emih!V33/SER_summary!V$26)</f>
        <v>0</v>
      </c>
      <c r="W33" s="68">
        <f>IF(SER_hh_emih!W33=0,0,SER_hh_emih!W33/SER_summary!W$26)</f>
        <v>0</v>
      </c>
      <c r="X33" s="68">
        <f>IF(SER_hh_emih!X33=0,0,SER_hh_emih!X33/SER_summary!X$26)</f>
        <v>0</v>
      </c>
      <c r="Y33" s="68">
        <f>IF(SER_hh_emih!Y33=0,0,SER_hh_emih!Y33/SER_summary!Y$26)</f>
        <v>0</v>
      </c>
      <c r="DA33" s="111" t="s">
        <v>568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3">
    <tabColor theme="6" tint="0.79998168889431442"/>
    <pageSetUpPr fitToPage="1"/>
  </sheetPr>
  <dimension ref="A1:DA33"/>
  <sheetViews>
    <sheetView showGridLines="0" zoomScaleNormal="100" workbookViewId="0">
      <pane xSplit="1" ySplit="1" topLeftCell="G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40.7109375" style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25.5" customHeight="1" x14ac:dyDescent="0.25">
      <c r="A1" s="28" t="s">
        <v>569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X1" s="27">
        <v>2022</v>
      </c>
      <c r="Y1" s="27">
        <v>2023</v>
      </c>
      <c r="DA1" s="87" t="s">
        <v>150</v>
      </c>
    </row>
    <row r="2" spans="1:105" s="2" customFormat="1" ht="12" customHeight="1" x14ac:dyDescent="0.25">
      <c r="DA2" s="7"/>
    </row>
    <row r="3" spans="1:105" ht="12.95" customHeight="1" x14ac:dyDescent="0.25">
      <c r="A3" s="123" t="s">
        <v>79</v>
      </c>
      <c r="B3" s="124"/>
      <c r="C3" s="124">
        <f t="shared" ref="C3:Y3" si="0">C4</f>
        <v>3012.7952558790012</v>
      </c>
      <c r="D3" s="124">
        <f t="shared" si="0"/>
        <v>1580.0216535063546</v>
      </c>
      <c r="E3" s="124">
        <f t="shared" si="0"/>
        <v>2848.9897091515095</v>
      </c>
      <c r="F3" s="124">
        <f t="shared" si="0"/>
        <v>2868.5527531546541</v>
      </c>
      <c r="G3" s="124">
        <f t="shared" si="0"/>
        <v>3514.8213404302205</v>
      </c>
      <c r="H3" s="124">
        <f t="shared" si="0"/>
        <v>2933.9888469175412</v>
      </c>
      <c r="I3" s="124">
        <f t="shared" si="0"/>
        <v>1536.1168954026159</v>
      </c>
      <c r="J3" s="124">
        <f t="shared" si="0"/>
        <v>1729.2652532888617</v>
      </c>
      <c r="K3" s="124">
        <f t="shared" si="0"/>
        <v>1339.442432463514</v>
      </c>
      <c r="L3" s="124">
        <f t="shared" si="0"/>
        <v>2336.158058205915</v>
      </c>
      <c r="M3" s="124">
        <f t="shared" si="0"/>
        <v>2389.1171577067157</v>
      </c>
      <c r="N3" s="124">
        <f t="shared" si="0"/>
        <v>1687.4782761568556</v>
      </c>
      <c r="O3" s="124">
        <f t="shared" si="0"/>
        <v>2983.8798145346213</v>
      </c>
      <c r="P3" s="124">
        <f t="shared" si="0"/>
        <v>2799.7224122475091</v>
      </c>
      <c r="Q3" s="124">
        <f t="shared" si="0"/>
        <v>3524.39892151613</v>
      </c>
      <c r="R3" s="124">
        <f t="shared" si="0"/>
        <v>2968.4660196712016</v>
      </c>
      <c r="S3" s="124">
        <f t="shared" si="0"/>
        <v>3337.139549143661</v>
      </c>
      <c r="T3" s="124">
        <f t="shared" si="0"/>
        <v>2439.6661903796457</v>
      </c>
      <c r="U3" s="124">
        <f t="shared" si="0"/>
        <v>2143.0775265536927</v>
      </c>
      <c r="V3" s="124">
        <f t="shared" si="0"/>
        <v>1932.1413170118958</v>
      </c>
      <c r="W3" s="124">
        <f t="shared" si="0"/>
        <v>1775.5110727904325</v>
      </c>
      <c r="X3" s="124">
        <f t="shared" si="0"/>
        <v>1689.3676312842706</v>
      </c>
      <c r="Y3" s="124">
        <f t="shared" si="0"/>
        <v>1648.967726398977</v>
      </c>
      <c r="DA3" s="168" t="s">
        <v>570</v>
      </c>
    </row>
    <row r="4" spans="1:105" ht="12.95" customHeight="1" x14ac:dyDescent="0.25">
      <c r="A4" s="129" t="s">
        <v>32</v>
      </c>
      <c r="B4" s="139"/>
      <c r="C4" s="139">
        <f t="shared" ref="C4:Q4" si="1">SUM(C5:C14)</f>
        <v>3012.7952558790012</v>
      </c>
      <c r="D4" s="139">
        <f t="shared" si="1"/>
        <v>1580.0216535063546</v>
      </c>
      <c r="E4" s="139">
        <f t="shared" si="1"/>
        <v>2848.9897091515095</v>
      </c>
      <c r="F4" s="139">
        <f t="shared" si="1"/>
        <v>2868.5527531546541</v>
      </c>
      <c r="G4" s="139">
        <f t="shared" si="1"/>
        <v>3514.8213404302205</v>
      </c>
      <c r="H4" s="139">
        <f t="shared" si="1"/>
        <v>2933.9888469175412</v>
      </c>
      <c r="I4" s="139">
        <f t="shared" si="1"/>
        <v>1536.1168954026159</v>
      </c>
      <c r="J4" s="139">
        <f t="shared" si="1"/>
        <v>1729.2652532888617</v>
      </c>
      <c r="K4" s="139">
        <f t="shared" si="1"/>
        <v>1339.442432463514</v>
      </c>
      <c r="L4" s="139">
        <f t="shared" si="1"/>
        <v>2336.158058205915</v>
      </c>
      <c r="M4" s="139">
        <f t="shared" si="1"/>
        <v>2389.1171577067157</v>
      </c>
      <c r="N4" s="139">
        <f t="shared" si="1"/>
        <v>1687.4782761568556</v>
      </c>
      <c r="O4" s="139">
        <f t="shared" si="1"/>
        <v>2983.8798145346213</v>
      </c>
      <c r="P4" s="139">
        <f t="shared" si="1"/>
        <v>2799.7224122475091</v>
      </c>
      <c r="Q4" s="139">
        <f t="shared" si="1"/>
        <v>3524.39892151613</v>
      </c>
      <c r="R4" s="139">
        <f t="shared" ref="R4:W4" si="2">SUM(R5:R14)</f>
        <v>2968.4660196712016</v>
      </c>
      <c r="S4" s="139">
        <f t="shared" si="2"/>
        <v>3337.139549143661</v>
      </c>
      <c r="T4" s="139">
        <f t="shared" si="2"/>
        <v>2439.6661903796457</v>
      </c>
      <c r="U4" s="139">
        <f t="shared" si="2"/>
        <v>2143.0775265536927</v>
      </c>
      <c r="V4" s="139">
        <f t="shared" si="2"/>
        <v>1932.1413170118958</v>
      </c>
      <c r="W4" s="139">
        <f t="shared" si="2"/>
        <v>1775.5110727904325</v>
      </c>
      <c r="X4" s="139">
        <f t="shared" ref="X4:Y4" si="3">SUM(X5:X14)</f>
        <v>1689.3676312842706</v>
      </c>
      <c r="Y4" s="139">
        <f t="shared" si="3"/>
        <v>1648.967726398977</v>
      </c>
      <c r="DA4" s="169" t="s">
        <v>571</v>
      </c>
    </row>
    <row r="5" spans="1:105" ht="12" customHeight="1" x14ac:dyDescent="0.25">
      <c r="A5" s="131" t="s">
        <v>29</v>
      </c>
      <c r="B5" s="140"/>
      <c r="C5" s="140">
        <v>2.8507090175159502</v>
      </c>
      <c r="D5" s="140">
        <v>0.7693674508107019</v>
      </c>
      <c r="E5" s="140">
        <v>0</v>
      </c>
      <c r="F5" s="140">
        <v>0</v>
      </c>
      <c r="G5" s="140">
        <v>0</v>
      </c>
      <c r="H5" s="140">
        <v>0.36855970142810646</v>
      </c>
      <c r="I5" s="140">
        <v>0</v>
      </c>
      <c r="J5" s="140">
        <v>0</v>
      </c>
      <c r="K5" s="140">
        <v>0</v>
      </c>
      <c r="L5" s="140">
        <v>1.4955240800964058</v>
      </c>
      <c r="M5" s="140">
        <v>2.6049124793846845</v>
      </c>
      <c r="N5" s="140">
        <v>1.2688326665583933</v>
      </c>
      <c r="O5" s="140">
        <v>7.5143021556827581</v>
      </c>
      <c r="P5" s="140">
        <v>1.2622074317180181</v>
      </c>
      <c r="Q5" s="140">
        <v>0.73142863677293779</v>
      </c>
      <c r="R5" s="140">
        <v>1.9260263981134609</v>
      </c>
      <c r="S5" s="140">
        <v>0</v>
      </c>
      <c r="T5" s="140">
        <v>11.247681506926837</v>
      </c>
      <c r="U5" s="140">
        <v>0</v>
      </c>
      <c r="V5" s="140">
        <v>0</v>
      </c>
      <c r="W5" s="140">
        <v>0</v>
      </c>
      <c r="X5" s="140">
        <v>0</v>
      </c>
      <c r="Y5" s="140">
        <v>0</v>
      </c>
      <c r="DA5" s="170" t="s">
        <v>572</v>
      </c>
    </row>
    <row r="6" spans="1:105" ht="12" customHeight="1" x14ac:dyDescent="0.25">
      <c r="A6" s="131" t="s">
        <v>52</v>
      </c>
      <c r="B6" s="140"/>
      <c r="C6" s="140">
        <v>0</v>
      </c>
      <c r="D6" s="140">
        <v>0</v>
      </c>
      <c r="E6" s="140">
        <v>0</v>
      </c>
      <c r="F6" s="140">
        <v>0</v>
      </c>
      <c r="G6" s="140">
        <v>0</v>
      </c>
      <c r="H6" s="140">
        <v>0</v>
      </c>
      <c r="I6" s="140">
        <v>0</v>
      </c>
      <c r="J6" s="140">
        <v>0</v>
      </c>
      <c r="K6" s="140">
        <v>0</v>
      </c>
      <c r="L6" s="140">
        <v>0</v>
      </c>
      <c r="M6" s="140">
        <v>0</v>
      </c>
      <c r="N6" s="140">
        <v>0</v>
      </c>
      <c r="O6" s="140">
        <v>0</v>
      </c>
      <c r="P6" s="140">
        <v>0</v>
      </c>
      <c r="Q6" s="140">
        <v>0</v>
      </c>
      <c r="R6" s="140">
        <v>0</v>
      </c>
      <c r="S6" s="140">
        <v>0</v>
      </c>
      <c r="T6" s="140">
        <v>0</v>
      </c>
      <c r="U6" s="140">
        <v>0</v>
      </c>
      <c r="V6" s="140">
        <v>0</v>
      </c>
      <c r="W6" s="140">
        <v>0</v>
      </c>
      <c r="X6" s="140">
        <v>0</v>
      </c>
      <c r="Y6" s="140">
        <v>0</v>
      </c>
      <c r="DA6" s="170" t="s">
        <v>573</v>
      </c>
    </row>
    <row r="7" spans="1:105" ht="12" customHeight="1" x14ac:dyDescent="0.25">
      <c r="A7" s="131" t="s">
        <v>161</v>
      </c>
      <c r="B7" s="140"/>
      <c r="C7" s="140">
        <v>1099.1420691524465</v>
      </c>
      <c r="D7" s="140">
        <v>803.54460362260363</v>
      </c>
      <c r="E7" s="140">
        <v>469.32470270642892</v>
      </c>
      <c r="F7" s="140">
        <v>611.27012654208215</v>
      </c>
      <c r="G7" s="140">
        <v>0</v>
      </c>
      <c r="H7" s="140">
        <v>0</v>
      </c>
      <c r="I7" s="140">
        <v>0</v>
      </c>
      <c r="J7" s="140">
        <v>0</v>
      </c>
      <c r="K7" s="140">
        <v>0</v>
      </c>
      <c r="L7" s="140">
        <v>127.54727364772015</v>
      </c>
      <c r="M7" s="140">
        <v>677.32068418401889</v>
      </c>
      <c r="N7" s="140">
        <v>222.92918122933656</v>
      </c>
      <c r="O7" s="140">
        <v>90.650450850223351</v>
      </c>
      <c r="P7" s="140">
        <v>206.79423166003252</v>
      </c>
      <c r="Q7" s="140">
        <v>869.54142805206482</v>
      </c>
      <c r="R7" s="140">
        <v>1041.0584536647079</v>
      </c>
      <c r="S7" s="140">
        <v>1340.7107272051076</v>
      </c>
      <c r="T7" s="140">
        <v>957.2195713796491</v>
      </c>
      <c r="U7" s="140">
        <v>775.9473459290831</v>
      </c>
      <c r="V7" s="140">
        <v>710.28831325231897</v>
      </c>
      <c r="W7" s="140">
        <v>869.45456373455659</v>
      </c>
      <c r="X7" s="140">
        <v>376.60786521875008</v>
      </c>
      <c r="Y7" s="140">
        <v>37.266370707776375</v>
      </c>
      <c r="DA7" s="170" t="s">
        <v>574</v>
      </c>
    </row>
    <row r="8" spans="1:105" ht="12" customHeight="1" x14ac:dyDescent="0.25">
      <c r="A8" s="131" t="s">
        <v>73</v>
      </c>
      <c r="B8" s="140"/>
      <c r="C8" s="140">
        <v>0</v>
      </c>
      <c r="D8" s="140">
        <v>0</v>
      </c>
      <c r="E8" s="140">
        <v>0</v>
      </c>
      <c r="F8" s="140">
        <v>0</v>
      </c>
      <c r="G8" s="140">
        <v>0</v>
      </c>
      <c r="H8" s="140">
        <v>0</v>
      </c>
      <c r="I8" s="140">
        <v>0</v>
      </c>
      <c r="J8" s="140">
        <v>0</v>
      </c>
      <c r="K8" s="140">
        <v>0</v>
      </c>
      <c r="L8" s="140">
        <v>0</v>
      </c>
      <c r="M8" s="140">
        <v>0</v>
      </c>
      <c r="N8" s="140">
        <v>0</v>
      </c>
      <c r="O8" s="140">
        <v>0</v>
      </c>
      <c r="P8" s="140">
        <v>0</v>
      </c>
      <c r="Q8" s="140">
        <v>0</v>
      </c>
      <c r="R8" s="140">
        <v>0</v>
      </c>
      <c r="S8" s="140">
        <v>0</v>
      </c>
      <c r="T8" s="140">
        <v>0</v>
      </c>
      <c r="U8" s="140">
        <v>0</v>
      </c>
      <c r="V8" s="140">
        <v>0</v>
      </c>
      <c r="W8" s="140">
        <v>0</v>
      </c>
      <c r="X8" s="140">
        <v>0</v>
      </c>
      <c r="Y8" s="140">
        <v>0</v>
      </c>
      <c r="DA8" s="170" t="s">
        <v>575</v>
      </c>
    </row>
    <row r="9" spans="1:105" ht="12" customHeight="1" x14ac:dyDescent="0.25">
      <c r="A9" s="131" t="s">
        <v>78</v>
      </c>
      <c r="B9" s="140"/>
      <c r="C9" s="140">
        <v>364.62775069751029</v>
      </c>
      <c r="D9" s="140">
        <v>302.89738029438064</v>
      </c>
      <c r="E9" s="140">
        <v>2372.3808481143051</v>
      </c>
      <c r="F9" s="140">
        <v>2257.2826266125721</v>
      </c>
      <c r="G9" s="140">
        <v>2614.6539101969611</v>
      </c>
      <c r="H9" s="140">
        <v>2874.0530798327886</v>
      </c>
      <c r="I9" s="140">
        <v>436.62960766082057</v>
      </c>
      <c r="J9" s="140">
        <v>536.26078510462639</v>
      </c>
      <c r="K9" s="140">
        <v>470.33414920435695</v>
      </c>
      <c r="L9" s="140">
        <v>717.09227272561884</v>
      </c>
      <c r="M9" s="140">
        <v>582.43683872029942</v>
      </c>
      <c r="N9" s="140">
        <v>715.33056675823536</v>
      </c>
      <c r="O9" s="140">
        <v>1959.7482809440748</v>
      </c>
      <c r="P9" s="140">
        <v>1918.3940397288525</v>
      </c>
      <c r="Q9" s="140">
        <v>1493.0641055521394</v>
      </c>
      <c r="R9" s="140">
        <v>1098.0967095302556</v>
      </c>
      <c r="S9" s="140">
        <v>1548.6570927642833</v>
      </c>
      <c r="T9" s="140">
        <v>1454.1116540556798</v>
      </c>
      <c r="U9" s="140">
        <v>1367.1301806246095</v>
      </c>
      <c r="V9" s="140">
        <v>1030.2164925568788</v>
      </c>
      <c r="W9" s="140">
        <v>709.63326496107948</v>
      </c>
      <c r="X9" s="140">
        <v>1022.2425422647287</v>
      </c>
      <c r="Y9" s="140">
        <v>0</v>
      </c>
      <c r="DA9" s="170" t="s">
        <v>576</v>
      </c>
    </row>
    <row r="10" spans="1:105" ht="12" customHeight="1" x14ac:dyDescent="0.25">
      <c r="A10" s="131" t="s">
        <v>128</v>
      </c>
      <c r="B10" s="140"/>
      <c r="C10" s="140">
        <v>1490.5315526756185</v>
      </c>
      <c r="D10" s="140">
        <v>425.44792895384171</v>
      </c>
      <c r="E10" s="140">
        <v>0</v>
      </c>
      <c r="F10" s="140">
        <v>0</v>
      </c>
      <c r="G10" s="140">
        <v>0</v>
      </c>
      <c r="H10" s="140">
        <v>0</v>
      </c>
      <c r="I10" s="140">
        <v>0</v>
      </c>
      <c r="J10" s="140">
        <v>72.641631530250464</v>
      </c>
      <c r="K10" s="140">
        <v>0</v>
      </c>
      <c r="L10" s="140">
        <v>0</v>
      </c>
      <c r="M10" s="140">
        <v>0</v>
      </c>
      <c r="N10" s="140">
        <v>0</v>
      </c>
      <c r="O10" s="140">
        <v>61.33946432548592</v>
      </c>
      <c r="P10" s="140">
        <v>500.20584631339261</v>
      </c>
      <c r="Q10" s="140">
        <v>972.13550680163894</v>
      </c>
      <c r="R10" s="140">
        <v>683.96615783051641</v>
      </c>
      <c r="S10" s="140">
        <v>365.90718502749439</v>
      </c>
      <c r="T10" s="140">
        <v>17.087283437390028</v>
      </c>
      <c r="U10" s="140">
        <v>0</v>
      </c>
      <c r="V10" s="140">
        <v>0</v>
      </c>
      <c r="W10" s="140">
        <v>0</v>
      </c>
      <c r="X10" s="140">
        <v>0</v>
      </c>
      <c r="Y10" s="140">
        <v>0</v>
      </c>
      <c r="DA10" s="170" t="s">
        <v>577</v>
      </c>
    </row>
    <row r="11" spans="1:105" ht="12" customHeight="1" x14ac:dyDescent="0.25">
      <c r="A11" s="131" t="s">
        <v>25</v>
      </c>
      <c r="B11" s="140"/>
      <c r="C11" s="140">
        <v>55.643174335909698</v>
      </c>
      <c r="D11" s="140">
        <v>47.362373184717754</v>
      </c>
      <c r="E11" s="140">
        <v>7.2841583307755933</v>
      </c>
      <c r="F11" s="140">
        <v>0</v>
      </c>
      <c r="G11" s="140">
        <v>0</v>
      </c>
      <c r="H11" s="140">
        <v>0</v>
      </c>
      <c r="I11" s="140">
        <v>64.893404302067864</v>
      </c>
      <c r="J11" s="140">
        <v>66.555445516621674</v>
      </c>
      <c r="K11" s="140">
        <v>13.403178655121661</v>
      </c>
      <c r="L11" s="140">
        <v>0</v>
      </c>
      <c r="M11" s="140">
        <v>32.606467780264737</v>
      </c>
      <c r="N11" s="140">
        <v>50.009839463529978</v>
      </c>
      <c r="O11" s="140">
        <v>132.65948180474737</v>
      </c>
      <c r="P11" s="140">
        <v>148.02375106409301</v>
      </c>
      <c r="Q11" s="140">
        <v>125.80435167721063</v>
      </c>
      <c r="R11" s="140">
        <v>103.32902279489116</v>
      </c>
      <c r="S11" s="140">
        <v>81.8645441467757</v>
      </c>
      <c r="T11" s="140">
        <v>0</v>
      </c>
      <c r="U11" s="140">
        <v>0</v>
      </c>
      <c r="V11" s="140">
        <v>0</v>
      </c>
      <c r="W11" s="140">
        <v>0</v>
      </c>
      <c r="X11" s="140">
        <v>0</v>
      </c>
      <c r="Y11" s="140">
        <v>0</v>
      </c>
      <c r="DA11" s="170" t="s">
        <v>578</v>
      </c>
    </row>
    <row r="12" spans="1:105" ht="12" customHeight="1" x14ac:dyDescent="0.25">
      <c r="A12" s="131" t="s">
        <v>162</v>
      </c>
      <c r="B12" s="140"/>
      <c r="C12" s="140">
        <v>0</v>
      </c>
      <c r="D12" s="140">
        <v>0</v>
      </c>
      <c r="E12" s="140">
        <v>0</v>
      </c>
      <c r="F12" s="140">
        <v>0</v>
      </c>
      <c r="G12" s="140">
        <v>768.47187676078659</v>
      </c>
      <c r="H12" s="140">
        <v>20.500813818592668</v>
      </c>
      <c r="I12" s="140">
        <v>477.36015682050754</v>
      </c>
      <c r="J12" s="140">
        <v>800.42570488601575</v>
      </c>
      <c r="K12" s="140">
        <v>593.69131902298011</v>
      </c>
      <c r="L12" s="140">
        <v>992.75537353395885</v>
      </c>
      <c r="M12" s="140">
        <v>977.74181491575087</v>
      </c>
      <c r="N12" s="140">
        <v>697.93985603919532</v>
      </c>
      <c r="O12" s="140">
        <v>731.96783445440667</v>
      </c>
      <c r="P12" s="140">
        <v>25.04233604942009</v>
      </c>
      <c r="Q12" s="140">
        <v>63.122100796303123</v>
      </c>
      <c r="R12" s="140">
        <v>40.089649452717524</v>
      </c>
      <c r="S12" s="140">
        <v>0</v>
      </c>
      <c r="T12" s="140">
        <v>0</v>
      </c>
      <c r="U12" s="140">
        <v>0</v>
      </c>
      <c r="V12" s="140">
        <v>169.21913354555971</v>
      </c>
      <c r="W12" s="140">
        <v>118.8900155891954</v>
      </c>
      <c r="X12" s="140">
        <v>154.15974979327106</v>
      </c>
      <c r="Y12" s="140">
        <v>0</v>
      </c>
      <c r="DA12" s="170" t="s">
        <v>579</v>
      </c>
    </row>
    <row r="13" spans="1:105" ht="12" customHeight="1" x14ac:dyDescent="0.25">
      <c r="A13" s="131" t="s">
        <v>77</v>
      </c>
      <c r="B13" s="140"/>
      <c r="C13" s="140">
        <v>0</v>
      </c>
      <c r="D13" s="140">
        <v>0</v>
      </c>
      <c r="E13" s="140">
        <v>0</v>
      </c>
      <c r="F13" s="140">
        <v>0</v>
      </c>
      <c r="G13" s="140">
        <v>0</v>
      </c>
      <c r="H13" s="140">
        <v>0</v>
      </c>
      <c r="I13" s="140">
        <v>0</v>
      </c>
      <c r="J13" s="140">
        <v>0</v>
      </c>
      <c r="K13" s="140">
        <v>0</v>
      </c>
      <c r="L13" s="140">
        <v>0</v>
      </c>
      <c r="M13" s="140">
        <v>0</v>
      </c>
      <c r="N13" s="140">
        <v>0</v>
      </c>
      <c r="O13" s="140">
        <v>0</v>
      </c>
      <c r="P13" s="140">
        <v>0</v>
      </c>
      <c r="Q13" s="140">
        <v>0</v>
      </c>
      <c r="R13" s="140">
        <v>0</v>
      </c>
      <c r="S13" s="140">
        <v>0</v>
      </c>
      <c r="T13" s="140">
        <v>0</v>
      </c>
      <c r="U13" s="140">
        <v>0</v>
      </c>
      <c r="V13" s="140">
        <v>0</v>
      </c>
      <c r="W13" s="140">
        <v>0</v>
      </c>
      <c r="X13" s="140">
        <v>0</v>
      </c>
      <c r="Y13" s="140">
        <v>1449.7420300053204</v>
      </c>
      <c r="DA13" s="170" t="s">
        <v>580</v>
      </c>
    </row>
    <row r="14" spans="1:105" ht="12" customHeight="1" x14ac:dyDescent="0.25">
      <c r="A14" s="60" t="s">
        <v>76</v>
      </c>
      <c r="B14" s="141"/>
      <c r="C14" s="141">
        <v>0</v>
      </c>
      <c r="D14" s="141">
        <v>0</v>
      </c>
      <c r="E14" s="141">
        <v>0</v>
      </c>
      <c r="F14" s="141">
        <v>0</v>
      </c>
      <c r="G14" s="141">
        <v>131.6955534724728</v>
      </c>
      <c r="H14" s="141">
        <v>39.066393564731897</v>
      </c>
      <c r="I14" s="141">
        <v>557.23372661921996</v>
      </c>
      <c r="J14" s="141">
        <v>253.3816862513475</v>
      </c>
      <c r="K14" s="141">
        <v>262.0137855810554</v>
      </c>
      <c r="L14" s="141">
        <v>497.26761421852069</v>
      </c>
      <c r="M14" s="141">
        <v>116.40643962699754</v>
      </c>
      <c r="N14" s="141">
        <v>0</v>
      </c>
      <c r="O14" s="141">
        <v>0</v>
      </c>
      <c r="P14" s="141">
        <v>0</v>
      </c>
      <c r="Q14" s="141">
        <v>0</v>
      </c>
      <c r="R14" s="141">
        <v>0</v>
      </c>
      <c r="S14" s="141">
        <v>0</v>
      </c>
      <c r="T14" s="141">
        <v>0</v>
      </c>
      <c r="U14" s="141">
        <v>0</v>
      </c>
      <c r="V14" s="141">
        <v>22.417377657138204</v>
      </c>
      <c r="W14" s="141">
        <v>77.533228505600974</v>
      </c>
      <c r="X14" s="141">
        <v>136.35747400752072</v>
      </c>
      <c r="Y14" s="141">
        <v>161.95932568588034</v>
      </c>
      <c r="DA14" s="171" t="s">
        <v>581</v>
      </c>
    </row>
    <row r="15" spans="1:105" ht="12" customHeight="1" x14ac:dyDescent="0.25">
      <c r="A15" s="142" t="s">
        <v>75</v>
      </c>
      <c r="B15" s="143"/>
      <c r="C15" s="143">
        <f t="shared" ref="C15:Q15" si="4">SUM(C5:C12)</f>
        <v>3012.7952558790012</v>
      </c>
      <c r="D15" s="143">
        <f t="shared" si="4"/>
        <v>1580.0216535063546</v>
      </c>
      <c r="E15" s="143">
        <f t="shared" si="4"/>
        <v>2848.9897091515095</v>
      </c>
      <c r="F15" s="143">
        <f t="shared" si="4"/>
        <v>2868.5527531546541</v>
      </c>
      <c r="G15" s="143">
        <f t="shared" si="4"/>
        <v>3383.1257869577476</v>
      </c>
      <c r="H15" s="143">
        <f t="shared" si="4"/>
        <v>2894.9224533528095</v>
      </c>
      <c r="I15" s="143">
        <f t="shared" si="4"/>
        <v>978.88316878339594</v>
      </c>
      <c r="J15" s="143">
        <f t="shared" si="4"/>
        <v>1475.8835670375142</v>
      </c>
      <c r="K15" s="143">
        <f t="shared" si="4"/>
        <v>1077.4286468824587</v>
      </c>
      <c r="L15" s="143">
        <f t="shared" si="4"/>
        <v>1838.8904439873943</v>
      </c>
      <c r="M15" s="143">
        <f t="shared" si="4"/>
        <v>2272.7107180797184</v>
      </c>
      <c r="N15" s="143">
        <f t="shared" si="4"/>
        <v>1687.4782761568556</v>
      </c>
      <c r="O15" s="143">
        <f t="shared" si="4"/>
        <v>2983.8798145346213</v>
      </c>
      <c r="P15" s="143">
        <f t="shared" si="4"/>
        <v>2799.7224122475091</v>
      </c>
      <c r="Q15" s="143">
        <f t="shared" si="4"/>
        <v>3524.39892151613</v>
      </c>
      <c r="R15" s="143">
        <f t="shared" ref="R15:W15" si="5">SUM(R5:R12)</f>
        <v>2968.4660196712016</v>
      </c>
      <c r="S15" s="143">
        <f t="shared" si="5"/>
        <v>3337.139549143661</v>
      </c>
      <c r="T15" s="143">
        <f t="shared" si="5"/>
        <v>2439.6661903796457</v>
      </c>
      <c r="U15" s="143">
        <f t="shared" si="5"/>
        <v>2143.0775265536927</v>
      </c>
      <c r="V15" s="143">
        <f t="shared" si="5"/>
        <v>1909.7239393547577</v>
      </c>
      <c r="W15" s="143">
        <f t="shared" si="5"/>
        <v>1697.9778442848315</v>
      </c>
      <c r="X15" s="143">
        <f t="shared" ref="X15:Y15" si="6">SUM(X5:X12)</f>
        <v>1553.0101572767499</v>
      </c>
      <c r="Y15" s="143">
        <f t="shared" si="6"/>
        <v>37.266370707776375</v>
      </c>
      <c r="DA15" s="172"/>
    </row>
    <row r="16" spans="1:105" ht="12.95" customHeight="1" x14ac:dyDescent="0.25">
      <c r="A16" s="129" t="s">
        <v>74</v>
      </c>
      <c r="B16" s="139"/>
      <c r="C16" s="139">
        <f t="shared" ref="C16:Q16" si="7">SUM(C17:C18)</f>
        <v>403.97950299419892</v>
      </c>
      <c r="D16" s="139">
        <f t="shared" si="7"/>
        <v>535.14364997880887</v>
      </c>
      <c r="E16" s="139">
        <f t="shared" si="7"/>
        <v>477.90932222462112</v>
      </c>
      <c r="F16" s="139">
        <f t="shared" si="7"/>
        <v>624.89293386983877</v>
      </c>
      <c r="G16" s="139">
        <f t="shared" si="7"/>
        <v>573.32187224211009</v>
      </c>
      <c r="H16" s="139">
        <f t="shared" si="7"/>
        <v>815.96841951754811</v>
      </c>
      <c r="I16" s="139">
        <f t="shared" si="7"/>
        <v>886.00876504529992</v>
      </c>
      <c r="J16" s="139">
        <f t="shared" si="7"/>
        <v>1015.1336690000629</v>
      </c>
      <c r="K16" s="139">
        <f t="shared" si="7"/>
        <v>995.60168388813167</v>
      </c>
      <c r="L16" s="139">
        <f t="shared" si="7"/>
        <v>1015.4658630010216</v>
      </c>
      <c r="M16" s="139">
        <f t="shared" si="7"/>
        <v>1421.1164725563847</v>
      </c>
      <c r="N16" s="139">
        <f t="shared" si="7"/>
        <v>1451.5119029780203</v>
      </c>
      <c r="O16" s="139">
        <f t="shared" si="7"/>
        <v>1396.8395820957057</v>
      </c>
      <c r="P16" s="139">
        <f t="shared" si="7"/>
        <v>1612.6978445522545</v>
      </c>
      <c r="Q16" s="139">
        <f t="shared" si="7"/>
        <v>1530.2517545614887</v>
      </c>
      <c r="R16" s="139">
        <f t="shared" ref="R16:W16" si="8">SUM(R17:R18)</f>
        <v>1311.8842394655469</v>
      </c>
      <c r="S16" s="139">
        <f t="shared" si="8"/>
        <v>1531.2792223729464</v>
      </c>
      <c r="T16" s="139">
        <f t="shared" si="8"/>
        <v>1544.706169339154</v>
      </c>
      <c r="U16" s="139">
        <f t="shared" si="8"/>
        <v>1674.1514741620822</v>
      </c>
      <c r="V16" s="139">
        <f t="shared" si="8"/>
        <v>1796.00465137435</v>
      </c>
      <c r="W16" s="139">
        <f t="shared" si="8"/>
        <v>1775.5110727904323</v>
      </c>
      <c r="X16" s="139">
        <f t="shared" ref="X16:Y16" si="9">SUM(X17:X18)</f>
        <v>1685.0317922453719</v>
      </c>
      <c r="Y16" s="139">
        <f t="shared" si="9"/>
        <v>1622.6181618521753</v>
      </c>
      <c r="DA16" s="169" t="s">
        <v>582</v>
      </c>
    </row>
    <row r="17" spans="1:105" ht="12.95" customHeight="1" x14ac:dyDescent="0.25">
      <c r="A17" s="131" t="s">
        <v>73</v>
      </c>
      <c r="B17" s="140"/>
      <c r="C17" s="140">
        <v>0</v>
      </c>
      <c r="D17" s="140">
        <v>0</v>
      </c>
      <c r="E17" s="140">
        <v>0</v>
      </c>
      <c r="F17" s="140">
        <v>0</v>
      </c>
      <c r="G17" s="140">
        <v>0</v>
      </c>
      <c r="H17" s="140">
        <v>0</v>
      </c>
      <c r="I17" s="140">
        <v>0</v>
      </c>
      <c r="J17" s="140">
        <v>0</v>
      </c>
      <c r="K17" s="140">
        <v>0</v>
      </c>
      <c r="L17" s="140">
        <v>0</v>
      </c>
      <c r="M17" s="140">
        <v>0</v>
      </c>
      <c r="N17" s="140">
        <v>0</v>
      </c>
      <c r="O17" s="140">
        <v>0</v>
      </c>
      <c r="P17" s="140">
        <v>0</v>
      </c>
      <c r="Q17" s="140">
        <v>0</v>
      </c>
      <c r="R17" s="140">
        <v>0</v>
      </c>
      <c r="S17" s="140">
        <v>0</v>
      </c>
      <c r="T17" s="140">
        <v>0</v>
      </c>
      <c r="U17" s="140">
        <v>0</v>
      </c>
      <c r="V17" s="140">
        <v>0</v>
      </c>
      <c r="W17" s="140">
        <v>0</v>
      </c>
      <c r="X17" s="140">
        <v>0</v>
      </c>
      <c r="Y17" s="140">
        <v>0</v>
      </c>
      <c r="DA17" s="170" t="s">
        <v>583</v>
      </c>
    </row>
    <row r="18" spans="1:105" ht="12" customHeight="1" x14ac:dyDescent="0.25">
      <c r="A18" s="131" t="s">
        <v>72</v>
      </c>
      <c r="B18" s="140"/>
      <c r="C18" s="140">
        <v>403.97950299419892</v>
      </c>
      <c r="D18" s="140">
        <v>535.14364997880887</v>
      </c>
      <c r="E18" s="140">
        <v>477.90932222462112</v>
      </c>
      <c r="F18" s="140">
        <v>624.89293386983877</v>
      </c>
      <c r="G18" s="140">
        <v>573.32187224211009</v>
      </c>
      <c r="H18" s="140">
        <v>815.96841951754811</v>
      </c>
      <c r="I18" s="140">
        <v>886.00876504529992</v>
      </c>
      <c r="J18" s="140">
        <v>1015.1336690000629</v>
      </c>
      <c r="K18" s="140">
        <v>995.60168388813167</v>
      </c>
      <c r="L18" s="140">
        <v>1015.4658630010216</v>
      </c>
      <c r="M18" s="140">
        <v>1421.1164725563847</v>
      </c>
      <c r="N18" s="140">
        <v>1451.5119029780203</v>
      </c>
      <c r="O18" s="140">
        <v>1396.8395820957057</v>
      </c>
      <c r="P18" s="140">
        <v>1612.6978445522545</v>
      </c>
      <c r="Q18" s="140">
        <v>1530.2517545614887</v>
      </c>
      <c r="R18" s="140">
        <v>1311.8842394655469</v>
      </c>
      <c r="S18" s="140">
        <v>1531.2792223729464</v>
      </c>
      <c r="T18" s="140">
        <v>1544.706169339154</v>
      </c>
      <c r="U18" s="140">
        <v>1674.1514741620822</v>
      </c>
      <c r="V18" s="140">
        <v>1796.00465137435</v>
      </c>
      <c r="W18" s="140">
        <v>1775.5110727904323</v>
      </c>
      <c r="X18" s="140">
        <v>1685.0317922453719</v>
      </c>
      <c r="Y18" s="140">
        <v>1622.6181618521753</v>
      </c>
      <c r="DA18" s="170" t="s">
        <v>584</v>
      </c>
    </row>
    <row r="19" spans="1:105" ht="12.95" customHeight="1" x14ac:dyDescent="0.25">
      <c r="A19" s="129" t="s">
        <v>35</v>
      </c>
      <c r="B19" s="139"/>
      <c r="C19" s="139">
        <f t="shared" ref="C19:Q19" si="10">SUM(C20:C26)</f>
        <v>3012.7952558790012</v>
      </c>
      <c r="D19" s="139">
        <f t="shared" si="10"/>
        <v>1580.0216535063544</v>
      </c>
      <c r="E19" s="139">
        <f t="shared" si="10"/>
        <v>2848.9897091515095</v>
      </c>
      <c r="F19" s="139">
        <f t="shared" si="10"/>
        <v>2868.5527531546541</v>
      </c>
      <c r="G19" s="139">
        <f t="shared" si="10"/>
        <v>3514.8213404302205</v>
      </c>
      <c r="H19" s="139">
        <f t="shared" si="10"/>
        <v>2933.9888469175412</v>
      </c>
      <c r="I19" s="139">
        <f t="shared" si="10"/>
        <v>1536.1168954026157</v>
      </c>
      <c r="J19" s="139">
        <f t="shared" si="10"/>
        <v>1729.2652532888615</v>
      </c>
      <c r="K19" s="139">
        <f t="shared" si="10"/>
        <v>1339.4424324635143</v>
      </c>
      <c r="L19" s="139">
        <f t="shared" si="10"/>
        <v>2336.158058205915</v>
      </c>
      <c r="M19" s="139">
        <f t="shared" si="10"/>
        <v>2389.1171577067162</v>
      </c>
      <c r="N19" s="139">
        <f t="shared" si="10"/>
        <v>1687.4782761568556</v>
      </c>
      <c r="O19" s="139">
        <f t="shared" si="10"/>
        <v>2983.8798145346213</v>
      </c>
      <c r="P19" s="139">
        <f t="shared" si="10"/>
        <v>2799.7224122475091</v>
      </c>
      <c r="Q19" s="139">
        <f t="shared" si="10"/>
        <v>3524.3989215161291</v>
      </c>
      <c r="R19" s="139">
        <f t="shared" ref="R19:W19" si="11">SUM(R20:R26)</f>
        <v>2968.466019671202</v>
      </c>
      <c r="S19" s="139">
        <f t="shared" si="11"/>
        <v>3337.1395491436615</v>
      </c>
      <c r="T19" s="139">
        <f t="shared" si="11"/>
        <v>2439.6661903796457</v>
      </c>
      <c r="U19" s="139">
        <f t="shared" si="11"/>
        <v>2143.0775265536927</v>
      </c>
      <c r="V19" s="139">
        <f t="shared" si="11"/>
        <v>1932.1413170118956</v>
      </c>
      <c r="W19" s="139">
        <f t="shared" si="11"/>
        <v>1775.5110727904325</v>
      </c>
      <c r="X19" s="139">
        <f t="shared" ref="X19:Y19" si="12">SUM(X20:X26)</f>
        <v>1689.3676312842704</v>
      </c>
      <c r="Y19" s="139">
        <f t="shared" si="12"/>
        <v>1648.967726398977</v>
      </c>
      <c r="DA19" s="169" t="s">
        <v>585</v>
      </c>
    </row>
    <row r="20" spans="1:105" ht="12" customHeight="1" x14ac:dyDescent="0.25">
      <c r="A20" s="131" t="s">
        <v>29</v>
      </c>
      <c r="B20" s="140"/>
      <c r="C20" s="140">
        <v>0</v>
      </c>
      <c r="D20" s="140">
        <v>0</v>
      </c>
      <c r="E20" s="140">
        <v>0</v>
      </c>
      <c r="F20" s="140">
        <v>0</v>
      </c>
      <c r="G20" s="140">
        <v>0</v>
      </c>
      <c r="H20" s="140">
        <v>0</v>
      </c>
      <c r="I20" s="140">
        <v>0</v>
      </c>
      <c r="J20" s="140">
        <v>0</v>
      </c>
      <c r="K20" s="140">
        <v>0</v>
      </c>
      <c r="L20" s="140">
        <v>0</v>
      </c>
      <c r="M20" s="140">
        <v>0</v>
      </c>
      <c r="N20" s="140">
        <v>0</v>
      </c>
      <c r="O20" s="140">
        <v>0</v>
      </c>
      <c r="P20" s="140">
        <v>0</v>
      </c>
      <c r="Q20" s="140">
        <v>0</v>
      </c>
      <c r="R20" s="140">
        <v>0</v>
      </c>
      <c r="S20" s="140">
        <v>0</v>
      </c>
      <c r="T20" s="140">
        <v>0</v>
      </c>
      <c r="U20" s="140">
        <v>0</v>
      </c>
      <c r="V20" s="140">
        <v>0</v>
      </c>
      <c r="W20" s="140">
        <v>0</v>
      </c>
      <c r="X20" s="140">
        <v>0</v>
      </c>
      <c r="Y20" s="140">
        <v>0</v>
      </c>
      <c r="DA20" s="170" t="s">
        <v>586</v>
      </c>
    </row>
    <row r="21" spans="1:105" s="2" customFormat="1" ht="12" customHeight="1" x14ac:dyDescent="0.25">
      <c r="A21" s="131" t="s">
        <v>52</v>
      </c>
      <c r="B21" s="140"/>
      <c r="C21" s="140">
        <v>0</v>
      </c>
      <c r="D21" s="140">
        <v>0</v>
      </c>
      <c r="E21" s="140">
        <v>0</v>
      </c>
      <c r="F21" s="140">
        <v>0</v>
      </c>
      <c r="G21" s="140">
        <v>0</v>
      </c>
      <c r="H21" s="140">
        <v>0</v>
      </c>
      <c r="I21" s="140">
        <v>0</v>
      </c>
      <c r="J21" s="140">
        <v>0</v>
      </c>
      <c r="K21" s="140">
        <v>0</v>
      </c>
      <c r="L21" s="140">
        <v>0</v>
      </c>
      <c r="M21" s="140">
        <v>0</v>
      </c>
      <c r="N21" s="140">
        <v>0</v>
      </c>
      <c r="O21" s="140">
        <v>0</v>
      </c>
      <c r="P21" s="140">
        <v>0</v>
      </c>
      <c r="Q21" s="140">
        <v>0</v>
      </c>
      <c r="R21" s="140">
        <v>0</v>
      </c>
      <c r="S21" s="140">
        <v>0</v>
      </c>
      <c r="T21" s="140">
        <v>0</v>
      </c>
      <c r="U21" s="140">
        <v>0</v>
      </c>
      <c r="V21" s="140">
        <v>0</v>
      </c>
      <c r="W21" s="140">
        <v>0</v>
      </c>
      <c r="X21" s="140">
        <v>0</v>
      </c>
      <c r="Y21" s="140">
        <v>0</v>
      </c>
      <c r="DA21" s="170" t="s">
        <v>587</v>
      </c>
    </row>
    <row r="22" spans="1:105" ht="12" customHeight="1" x14ac:dyDescent="0.25">
      <c r="A22" s="131" t="s">
        <v>161</v>
      </c>
      <c r="B22" s="140"/>
      <c r="C22" s="140">
        <v>808.94685925864633</v>
      </c>
      <c r="D22" s="140">
        <v>491.99298195655882</v>
      </c>
      <c r="E22" s="140">
        <v>92.03351251461828</v>
      </c>
      <c r="F22" s="140">
        <v>49.293064195618491</v>
      </c>
      <c r="G22" s="140">
        <v>0</v>
      </c>
      <c r="H22" s="140">
        <v>0</v>
      </c>
      <c r="I22" s="140">
        <v>0</v>
      </c>
      <c r="J22" s="140">
        <v>0</v>
      </c>
      <c r="K22" s="140">
        <v>0</v>
      </c>
      <c r="L22" s="140">
        <v>244.18772958037741</v>
      </c>
      <c r="M22" s="140">
        <v>385.88785413362228</v>
      </c>
      <c r="N22" s="140">
        <v>428.6597243496642</v>
      </c>
      <c r="O22" s="140">
        <v>672.57978186832656</v>
      </c>
      <c r="P22" s="140">
        <v>431.24138748483261</v>
      </c>
      <c r="Q22" s="140">
        <v>527.92876283954297</v>
      </c>
      <c r="R22" s="140">
        <v>551.49916726199274</v>
      </c>
      <c r="S22" s="140">
        <v>878.21496873668639</v>
      </c>
      <c r="T22" s="140">
        <v>636.42804819479397</v>
      </c>
      <c r="U22" s="140">
        <v>512.91280755482467</v>
      </c>
      <c r="V22" s="140">
        <v>558.031186133662</v>
      </c>
      <c r="W22" s="140">
        <v>730.51526245273806</v>
      </c>
      <c r="X22" s="140">
        <v>366.93437059113245</v>
      </c>
      <c r="Y22" s="140">
        <v>280.32459530045395</v>
      </c>
      <c r="DA22" s="170" t="s">
        <v>588</v>
      </c>
    </row>
    <row r="23" spans="1:105" ht="12" customHeight="1" x14ac:dyDescent="0.25">
      <c r="A23" s="131" t="s">
        <v>149</v>
      </c>
      <c r="B23" s="140"/>
      <c r="C23" s="140">
        <v>565.73840082551726</v>
      </c>
      <c r="D23" s="140">
        <v>975.06723161532761</v>
      </c>
      <c r="E23" s="140">
        <v>1105.220238524347</v>
      </c>
      <c r="F23" s="140">
        <v>2314.8720505936685</v>
      </c>
      <c r="G23" s="140">
        <v>1962.0079421549135</v>
      </c>
      <c r="H23" s="140">
        <v>1414.5034549494862</v>
      </c>
      <c r="I23" s="140">
        <v>14.188513289480824</v>
      </c>
      <c r="J23" s="140">
        <v>579.18398876911033</v>
      </c>
      <c r="K23" s="140">
        <v>742.53003498008707</v>
      </c>
      <c r="L23" s="140">
        <v>1010.0218788532846</v>
      </c>
      <c r="M23" s="140">
        <v>397.82281899965045</v>
      </c>
      <c r="N23" s="140">
        <v>109.72416433228599</v>
      </c>
      <c r="O23" s="140">
        <v>1067.4295423500155</v>
      </c>
      <c r="P23" s="140">
        <v>1803.6011973742154</v>
      </c>
      <c r="Q23" s="140">
        <v>2485.9916532925558</v>
      </c>
      <c r="R23" s="140">
        <v>1974.1220853323919</v>
      </c>
      <c r="S23" s="140">
        <v>2101.2705511780246</v>
      </c>
      <c r="T23" s="140">
        <v>1402.2924271850088</v>
      </c>
      <c r="U23" s="140">
        <v>1062.8142782410468</v>
      </c>
      <c r="V23" s="140">
        <v>701.96739489770471</v>
      </c>
      <c r="W23" s="140">
        <v>237.17596146386396</v>
      </c>
      <c r="X23" s="140">
        <v>0</v>
      </c>
      <c r="Y23" s="140">
        <v>0</v>
      </c>
      <c r="DA23" s="170" t="s">
        <v>589</v>
      </c>
    </row>
    <row r="24" spans="1:105" ht="12" customHeight="1" x14ac:dyDescent="0.25">
      <c r="A24" s="131" t="s">
        <v>128</v>
      </c>
      <c r="B24" s="140"/>
      <c r="C24" s="140">
        <v>120.71914815999024</v>
      </c>
      <c r="D24" s="140">
        <v>0</v>
      </c>
      <c r="E24" s="140">
        <v>26.037085568495591</v>
      </c>
      <c r="F24" s="140">
        <v>0</v>
      </c>
      <c r="G24" s="140">
        <v>0</v>
      </c>
      <c r="H24" s="140">
        <v>0</v>
      </c>
      <c r="I24" s="140">
        <v>0</v>
      </c>
      <c r="J24" s="140">
        <v>16.10066915547668</v>
      </c>
      <c r="K24" s="140">
        <v>95.060758923898234</v>
      </c>
      <c r="L24" s="140">
        <v>257.75528380600508</v>
      </c>
      <c r="M24" s="140">
        <v>241.58072621109423</v>
      </c>
      <c r="N24" s="140">
        <v>172.94747729769372</v>
      </c>
      <c r="O24" s="140">
        <v>187.87748139252807</v>
      </c>
      <c r="P24" s="140">
        <v>37.614019963865566</v>
      </c>
      <c r="Q24" s="140">
        <v>0.30350679612032117</v>
      </c>
      <c r="R24" s="140">
        <v>0</v>
      </c>
      <c r="S24" s="140">
        <v>0</v>
      </c>
      <c r="T24" s="140">
        <v>0</v>
      </c>
      <c r="U24" s="140">
        <v>0</v>
      </c>
      <c r="V24" s="140">
        <v>4.9204354704989108E-2</v>
      </c>
      <c r="W24" s="140">
        <v>0</v>
      </c>
      <c r="X24" s="140">
        <v>0</v>
      </c>
      <c r="Y24" s="140">
        <v>8.7401522811541419</v>
      </c>
      <c r="DA24" s="170" t="s">
        <v>590</v>
      </c>
    </row>
    <row r="25" spans="1:105" ht="12" customHeight="1" x14ac:dyDescent="0.25">
      <c r="A25" s="131" t="s">
        <v>162</v>
      </c>
      <c r="B25" s="140"/>
      <c r="C25" s="140">
        <v>0</v>
      </c>
      <c r="D25" s="140">
        <v>0</v>
      </c>
      <c r="E25" s="140">
        <v>0</v>
      </c>
      <c r="F25" s="140">
        <v>0</v>
      </c>
      <c r="G25" s="140">
        <v>132.86857680823047</v>
      </c>
      <c r="H25" s="140">
        <v>265.21652068762478</v>
      </c>
      <c r="I25" s="140">
        <v>365.55810569227162</v>
      </c>
      <c r="J25" s="140">
        <v>615.26623050747742</v>
      </c>
      <c r="K25" s="140">
        <v>501.85163855952908</v>
      </c>
      <c r="L25" s="140">
        <v>824.1931659662481</v>
      </c>
      <c r="M25" s="140">
        <v>746.68320763260544</v>
      </c>
      <c r="N25" s="140">
        <v>513.99134079818714</v>
      </c>
      <c r="O25" s="140">
        <v>502.53936050852332</v>
      </c>
      <c r="P25" s="140">
        <v>6.9525730186999972</v>
      </c>
      <c r="Q25" s="140">
        <v>38.421523346731306</v>
      </c>
      <c r="R25" s="140">
        <v>22.000729247675192</v>
      </c>
      <c r="S25" s="140">
        <v>0</v>
      </c>
      <c r="T25" s="140">
        <v>10.419540683603014</v>
      </c>
      <c r="U25" s="140">
        <v>64.23392780037824</v>
      </c>
      <c r="V25" s="140">
        <v>124.884388188667</v>
      </c>
      <c r="W25" s="140">
        <v>94.868384011346862</v>
      </c>
      <c r="X25" s="140">
        <v>46.517781076627863</v>
      </c>
      <c r="Y25" s="140">
        <v>252.72116872757428</v>
      </c>
      <c r="DA25" s="170" t="s">
        <v>591</v>
      </c>
    </row>
    <row r="26" spans="1:105" ht="12" customHeight="1" x14ac:dyDescent="0.25">
      <c r="A26" s="131" t="s">
        <v>24</v>
      </c>
      <c r="B26" s="141"/>
      <c r="C26" s="141">
        <v>1517.3908476348472</v>
      </c>
      <c r="D26" s="141">
        <v>112.96143993446806</v>
      </c>
      <c r="E26" s="141">
        <v>1625.6988725440485</v>
      </c>
      <c r="F26" s="141">
        <v>504.38763836536691</v>
      </c>
      <c r="G26" s="141">
        <v>1419.9448214670763</v>
      </c>
      <c r="H26" s="141">
        <v>1254.2688712804302</v>
      </c>
      <c r="I26" s="141">
        <v>1156.3702764208633</v>
      </c>
      <c r="J26" s="141">
        <v>518.71436485679715</v>
      </c>
      <c r="K26" s="141">
        <v>0</v>
      </c>
      <c r="L26" s="141">
        <v>0</v>
      </c>
      <c r="M26" s="141">
        <v>617.14255072974356</v>
      </c>
      <c r="N26" s="141">
        <v>462.15556937902437</v>
      </c>
      <c r="O26" s="141">
        <v>553.45364841522769</v>
      </c>
      <c r="P26" s="141">
        <v>520.31323440589506</v>
      </c>
      <c r="Q26" s="141">
        <v>471.75347524117893</v>
      </c>
      <c r="R26" s="141">
        <v>420.844037829142</v>
      </c>
      <c r="S26" s="141">
        <v>357.65402922895044</v>
      </c>
      <c r="T26" s="141">
        <v>390.5261743162398</v>
      </c>
      <c r="U26" s="141">
        <v>503.11651295744286</v>
      </c>
      <c r="V26" s="141">
        <v>547.20914343715708</v>
      </c>
      <c r="W26" s="141">
        <v>712.95146486248359</v>
      </c>
      <c r="X26" s="141">
        <v>1275.9154796165101</v>
      </c>
      <c r="Y26" s="141">
        <v>1107.1818100897947</v>
      </c>
      <c r="DA26" s="171" t="s">
        <v>592</v>
      </c>
    </row>
    <row r="27" spans="1:105" ht="12" customHeight="1" x14ac:dyDescent="0.25">
      <c r="A27" s="144" t="s">
        <v>26</v>
      </c>
      <c r="B27" s="150"/>
      <c r="C27" s="150">
        <v>0</v>
      </c>
      <c r="D27" s="150">
        <v>0</v>
      </c>
      <c r="E27" s="150">
        <v>0</v>
      </c>
      <c r="F27" s="150">
        <v>0</v>
      </c>
      <c r="G27" s="150">
        <v>0</v>
      </c>
      <c r="H27" s="150">
        <v>0</v>
      </c>
      <c r="I27" s="150">
        <v>11.757497659499847</v>
      </c>
      <c r="J27" s="150">
        <v>0</v>
      </c>
      <c r="K27" s="150">
        <v>0</v>
      </c>
      <c r="L27" s="150">
        <v>21.550693983767633</v>
      </c>
      <c r="M27" s="150">
        <v>0</v>
      </c>
      <c r="N27" s="150">
        <v>23.653444156407396</v>
      </c>
      <c r="O27" s="150">
        <v>3.382558604192872E-15</v>
      </c>
      <c r="P27" s="150">
        <v>0</v>
      </c>
      <c r="Q27" s="150">
        <v>0</v>
      </c>
      <c r="R27" s="150">
        <v>5.4048160786453794E-6</v>
      </c>
      <c r="S27" s="150">
        <v>17.937259480109137</v>
      </c>
      <c r="T27" s="150">
        <v>5.6772034475966677E-7</v>
      </c>
      <c r="U27" s="150">
        <v>5.9273155047836132</v>
      </c>
      <c r="V27" s="150">
        <v>4.2934968954587579E-15</v>
      </c>
      <c r="W27" s="150">
        <v>164.15360608338295</v>
      </c>
      <c r="X27" s="150">
        <v>0</v>
      </c>
      <c r="Y27" s="150">
        <v>5.5853462114513697</v>
      </c>
      <c r="DA27" s="173" t="s">
        <v>593</v>
      </c>
    </row>
    <row r="28" spans="1:105" ht="12" hidden="1" customHeight="1" x14ac:dyDescent="0.25">
      <c r="A28" s="78" t="s">
        <v>26</v>
      </c>
      <c r="B28" s="151"/>
      <c r="C28" s="151"/>
      <c r="D28" s="151"/>
      <c r="E28" s="151"/>
      <c r="F28" s="151"/>
      <c r="G28" s="151"/>
      <c r="H28" s="151"/>
      <c r="I28" s="151"/>
      <c r="J28" s="151"/>
      <c r="K28" s="151"/>
      <c r="L28" s="151"/>
      <c r="M28" s="151"/>
      <c r="N28" s="151"/>
      <c r="O28" s="151"/>
      <c r="P28" s="151"/>
      <c r="Q28" s="151"/>
      <c r="R28" s="151"/>
      <c r="S28" s="151"/>
      <c r="T28" s="151"/>
      <c r="U28" s="151"/>
      <c r="V28" s="151"/>
      <c r="W28" s="151"/>
      <c r="X28" s="151"/>
      <c r="Y28" s="151"/>
      <c r="DA28" s="174"/>
    </row>
    <row r="29" spans="1:105" ht="12.95" customHeight="1" x14ac:dyDescent="0.25">
      <c r="A29" s="129" t="s">
        <v>34</v>
      </c>
      <c r="B29" s="139"/>
      <c r="C29" s="139">
        <f t="shared" ref="C29:Q29" si="13">SUM(C30:C33)</f>
        <v>3012.7952558790012</v>
      </c>
      <c r="D29" s="139">
        <f t="shared" si="13"/>
        <v>1580.0216535063544</v>
      </c>
      <c r="E29" s="139">
        <f t="shared" si="13"/>
        <v>2848.9897091515095</v>
      </c>
      <c r="F29" s="139">
        <f t="shared" si="13"/>
        <v>2868.5527531546541</v>
      </c>
      <c r="G29" s="139">
        <f t="shared" si="13"/>
        <v>3514.8213404302201</v>
      </c>
      <c r="H29" s="139">
        <f t="shared" si="13"/>
        <v>2933.9888469175412</v>
      </c>
      <c r="I29" s="139">
        <f t="shared" si="13"/>
        <v>1536.1168954026157</v>
      </c>
      <c r="J29" s="139">
        <f t="shared" si="13"/>
        <v>1729.2652532888617</v>
      </c>
      <c r="K29" s="139">
        <f t="shared" si="13"/>
        <v>1339.4424324635143</v>
      </c>
      <c r="L29" s="139">
        <f t="shared" si="13"/>
        <v>2336.158058205915</v>
      </c>
      <c r="M29" s="139">
        <f t="shared" si="13"/>
        <v>2389.1171577067162</v>
      </c>
      <c r="N29" s="139">
        <f t="shared" si="13"/>
        <v>1687.4782761568558</v>
      </c>
      <c r="O29" s="139">
        <f t="shared" si="13"/>
        <v>2983.8798145346218</v>
      </c>
      <c r="P29" s="139">
        <f t="shared" si="13"/>
        <v>2799.7224122475081</v>
      </c>
      <c r="Q29" s="139">
        <f t="shared" si="13"/>
        <v>3524.39892151613</v>
      </c>
      <c r="R29" s="139">
        <f t="shared" ref="R29:W29" si="14">SUM(R30:R33)</f>
        <v>2968.466019671202</v>
      </c>
      <c r="S29" s="139">
        <f t="shared" si="14"/>
        <v>3337.139549143661</v>
      </c>
      <c r="T29" s="139">
        <f t="shared" si="14"/>
        <v>2439.6661903796457</v>
      </c>
      <c r="U29" s="139">
        <f t="shared" si="14"/>
        <v>2143.0775265536927</v>
      </c>
      <c r="V29" s="139">
        <f t="shared" si="14"/>
        <v>1932.141317011896</v>
      </c>
      <c r="W29" s="139">
        <f t="shared" si="14"/>
        <v>1775.5110727904325</v>
      </c>
      <c r="X29" s="139">
        <f t="shared" ref="X29:Y29" si="15">SUM(X30:X33)</f>
        <v>1689.3676312842706</v>
      </c>
      <c r="Y29" s="139">
        <f t="shared" si="15"/>
        <v>1648.967726398977</v>
      </c>
      <c r="DA29" s="169" t="s">
        <v>594</v>
      </c>
    </row>
    <row r="30" spans="1:105" s="2" customFormat="1" ht="12" customHeight="1" x14ac:dyDescent="0.25">
      <c r="A30" s="131" t="s">
        <v>52</v>
      </c>
      <c r="B30" s="140"/>
      <c r="C30" s="140">
        <v>679.56011459232593</v>
      </c>
      <c r="D30" s="140">
        <v>642.19581080005617</v>
      </c>
      <c r="E30" s="140">
        <v>975.92920936942539</v>
      </c>
      <c r="F30" s="140">
        <v>1014.0658457824378</v>
      </c>
      <c r="G30" s="140">
        <v>479.14666014615176</v>
      </c>
      <c r="H30" s="140">
        <v>107.66688097634491</v>
      </c>
      <c r="I30" s="140">
        <v>53.366580040886298</v>
      </c>
      <c r="J30" s="140">
        <v>0</v>
      </c>
      <c r="K30" s="140">
        <v>0</v>
      </c>
      <c r="L30" s="140">
        <v>0</v>
      </c>
      <c r="M30" s="140">
        <v>0</v>
      </c>
      <c r="N30" s="140">
        <v>71.639003573696172</v>
      </c>
      <c r="O30" s="140">
        <v>267.71752410187901</v>
      </c>
      <c r="P30" s="140">
        <v>416.45487712372307</v>
      </c>
      <c r="Q30" s="140">
        <v>498.82357558452276</v>
      </c>
      <c r="R30" s="140">
        <v>362.36043994488551</v>
      </c>
      <c r="S30" s="140">
        <v>113.93930308210568</v>
      </c>
      <c r="T30" s="140">
        <v>37.553977849484959</v>
      </c>
      <c r="U30" s="140">
        <v>27.971159905879642</v>
      </c>
      <c r="V30" s="140">
        <v>16.819191747374209</v>
      </c>
      <c r="W30" s="140">
        <v>3.8265467430942155</v>
      </c>
      <c r="X30" s="140">
        <v>12.038970619796697</v>
      </c>
      <c r="Y30" s="140">
        <v>39.791184559747741</v>
      </c>
      <c r="DA30" s="170" t="s">
        <v>595</v>
      </c>
    </row>
    <row r="31" spans="1:105" ht="12" customHeight="1" x14ac:dyDescent="0.25">
      <c r="A31" s="131" t="s">
        <v>149</v>
      </c>
      <c r="B31" s="140"/>
      <c r="C31" s="140">
        <v>1317.6319104789518</v>
      </c>
      <c r="D31" s="140">
        <v>937.8258427062982</v>
      </c>
      <c r="E31" s="140">
        <v>1873.0604997820842</v>
      </c>
      <c r="F31" s="140">
        <v>1854.4869073722164</v>
      </c>
      <c r="G31" s="140">
        <v>3035.6746802840685</v>
      </c>
      <c r="H31" s="140">
        <v>1122.9989022528828</v>
      </c>
      <c r="I31" s="140">
        <v>218.99403305489227</v>
      </c>
      <c r="J31" s="140">
        <v>70.734508764475777</v>
      </c>
      <c r="K31" s="140">
        <v>101.94034926517691</v>
      </c>
      <c r="L31" s="140">
        <v>448.89847957890203</v>
      </c>
      <c r="M31" s="140">
        <v>665.85849082469599</v>
      </c>
      <c r="N31" s="140">
        <v>653.3488933326164</v>
      </c>
      <c r="O31" s="140">
        <v>1164.4478127359421</v>
      </c>
      <c r="P31" s="140">
        <v>1268.8012004553786</v>
      </c>
      <c r="Q31" s="140">
        <v>1715.4007752405594</v>
      </c>
      <c r="R31" s="140">
        <v>1375.0330680016955</v>
      </c>
      <c r="S31" s="140">
        <v>1353.1230886529806</v>
      </c>
      <c r="T31" s="140">
        <v>642.37396845547221</v>
      </c>
      <c r="U31" s="140">
        <v>495.16505317128764</v>
      </c>
      <c r="V31" s="140">
        <v>421.66513150262648</v>
      </c>
      <c r="W31" s="140">
        <v>366.36044220300357</v>
      </c>
      <c r="X31" s="140">
        <v>360.56679874909725</v>
      </c>
      <c r="Y31" s="140">
        <v>480.49324863465171</v>
      </c>
      <c r="DA31" s="170" t="s">
        <v>596</v>
      </c>
    </row>
    <row r="32" spans="1:105" ht="12" customHeight="1" x14ac:dyDescent="0.25">
      <c r="A32" s="131" t="s">
        <v>128</v>
      </c>
      <c r="B32" s="140"/>
      <c r="C32" s="140">
        <v>0</v>
      </c>
      <c r="D32" s="140">
        <v>0</v>
      </c>
      <c r="E32" s="140">
        <v>0</v>
      </c>
      <c r="F32" s="140">
        <v>0</v>
      </c>
      <c r="G32" s="140">
        <v>0</v>
      </c>
      <c r="H32" s="140">
        <v>0</v>
      </c>
      <c r="I32" s="140">
        <v>0</v>
      </c>
      <c r="J32" s="140">
        <v>0</v>
      </c>
      <c r="K32" s="140">
        <v>0</v>
      </c>
      <c r="L32" s="140">
        <v>0</v>
      </c>
      <c r="M32" s="140">
        <v>0</v>
      </c>
      <c r="N32" s="140">
        <v>0</v>
      </c>
      <c r="O32" s="140">
        <v>0</v>
      </c>
      <c r="P32" s="140">
        <v>0</v>
      </c>
      <c r="Q32" s="140">
        <v>0</v>
      </c>
      <c r="R32" s="140">
        <v>0</v>
      </c>
      <c r="S32" s="140">
        <v>0</v>
      </c>
      <c r="T32" s="140">
        <v>0</v>
      </c>
      <c r="U32" s="140">
        <v>0</v>
      </c>
      <c r="V32" s="140">
        <v>0</v>
      </c>
      <c r="W32" s="140">
        <v>0</v>
      </c>
      <c r="X32" s="140">
        <v>0</v>
      </c>
      <c r="Y32" s="140">
        <v>0</v>
      </c>
      <c r="DA32" s="170" t="s">
        <v>597</v>
      </c>
    </row>
    <row r="33" spans="1:105" ht="12" customHeight="1" x14ac:dyDescent="0.25">
      <c r="A33" s="62" t="s">
        <v>24</v>
      </c>
      <c r="B33" s="152"/>
      <c r="C33" s="152">
        <v>1015.6032308077232</v>
      </c>
      <c r="D33" s="152">
        <v>0</v>
      </c>
      <c r="E33" s="152">
        <v>0</v>
      </c>
      <c r="F33" s="152">
        <v>0</v>
      </c>
      <c r="G33" s="152">
        <v>0</v>
      </c>
      <c r="H33" s="152">
        <v>1703.3230636883134</v>
      </c>
      <c r="I33" s="152">
        <v>1263.7562823068372</v>
      </c>
      <c r="J33" s="152">
        <v>1658.5307445243859</v>
      </c>
      <c r="K33" s="152">
        <v>1237.5020831983375</v>
      </c>
      <c r="L33" s="152">
        <v>1887.2595786270128</v>
      </c>
      <c r="M33" s="152">
        <v>1723.25866688202</v>
      </c>
      <c r="N33" s="152">
        <v>962.49037925054313</v>
      </c>
      <c r="O33" s="152">
        <v>1551.7144776968005</v>
      </c>
      <c r="P33" s="152">
        <v>1114.4663346684065</v>
      </c>
      <c r="Q33" s="152">
        <v>1310.1745706910476</v>
      </c>
      <c r="R33" s="152">
        <v>1231.0725117246209</v>
      </c>
      <c r="S33" s="152">
        <v>1870.0771574085747</v>
      </c>
      <c r="T33" s="152">
        <v>1759.7382440746887</v>
      </c>
      <c r="U33" s="152">
        <v>1619.9413134765255</v>
      </c>
      <c r="V33" s="152">
        <v>1493.6569937618954</v>
      </c>
      <c r="W33" s="152">
        <v>1405.3240838443348</v>
      </c>
      <c r="X33" s="152">
        <v>1316.7618619153766</v>
      </c>
      <c r="Y33" s="152">
        <v>1128.6832932045777</v>
      </c>
      <c r="DA33" s="175" t="s">
        <v>598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  <ignoredErrors>
    <ignoredError sqref="C15:Y15 C19:Y19" formulaRange="1"/>
  </ignoredError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2">
    <tabColor theme="6" tint="0.79998168889431442"/>
    <pageSetUpPr fitToPage="1"/>
  </sheetPr>
  <dimension ref="A1:DA33"/>
  <sheetViews>
    <sheetView showGridLines="0" zoomScaleNormal="100" workbookViewId="0">
      <pane xSplit="1" ySplit="1" topLeftCell="G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40.7109375" style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25.5" customHeight="1" x14ac:dyDescent="0.25">
      <c r="A1" s="28" t="s">
        <v>599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X1" s="27">
        <v>2022</v>
      </c>
      <c r="Y1" s="27">
        <v>2023</v>
      </c>
      <c r="DA1" s="87" t="s">
        <v>150</v>
      </c>
    </row>
    <row r="2" spans="1:105" s="2" customFormat="1" ht="12" customHeight="1" x14ac:dyDescent="0.25">
      <c r="DA2" s="7"/>
    </row>
    <row r="3" spans="1:105" ht="12.95" customHeight="1" x14ac:dyDescent="0.25">
      <c r="A3" s="123" t="s">
        <v>81</v>
      </c>
      <c r="B3" s="125"/>
      <c r="C3" s="125">
        <f t="shared" ref="C3:Q3" si="0">SUM(C4,C16,C19,C29)</f>
        <v>110.84406720686704</v>
      </c>
      <c r="D3" s="125">
        <f t="shared" si="0"/>
        <v>35.755493272600418</v>
      </c>
      <c r="E3" s="125">
        <f t="shared" si="0"/>
        <v>93.909156085556532</v>
      </c>
      <c r="F3" s="125">
        <f t="shared" si="0"/>
        <v>108.70968547163105</v>
      </c>
      <c r="G3" s="125">
        <f t="shared" si="0"/>
        <v>124.16478936570195</v>
      </c>
      <c r="H3" s="125">
        <f t="shared" si="0"/>
        <v>163.56497693619383</v>
      </c>
      <c r="I3" s="125">
        <f t="shared" si="0"/>
        <v>50.747896968368366</v>
      </c>
      <c r="J3" s="125">
        <f t="shared" si="0"/>
        <v>48.252421513022455</v>
      </c>
      <c r="K3" s="125">
        <f t="shared" si="0"/>
        <v>34.137090350886652</v>
      </c>
      <c r="L3" s="125">
        <f t="shared" si="0"/>
        <v>60.663349893435324</v>
      </c>
      <c r="M3" s="125">
        <f t="shared" si="0"/>
        <v>59.743368455291346</v>
      </c>
      <c r="N3" s="125">
        <f t="shared" si="0"/>
        <v>38.562692085558609</v>
      </c>
      <c r="O3" s="125">
        <f t="shared" si="0"/>
        <v>63.017417969218258</v>
      </c>
      <c r="P3" s="125">
        <f t="shared" si="0"/>
        <v>54.677080347221107</v>
      </c>
      <c r="Q3" s="125">
        <f t="shared" si="0"/>
        <v>69.355338036296132</v>
      </c>
      <c r="R3" s="125">
        <f t="shared" ref="R3:W3" si="1">SUM(R4,R16,R19,R29)</f>
        <v>54.932162273023422</v>
      </c>
      <c r="S3" s="125">
        <f t="shared" si="1"/>
        <v>59.640581904155205</v>
      </c>
      <c r="T3" s="125">
        <f t="shared" si="1"/>
        <v>40.486062001842967</v>
      </c>
      <c r="U3" s="125">
        <f t="shared" si="1"/>
        <v>33.107322923153497</v>
      </c>
      <c r="V3" s="125">
        <f t="shared" si="1"/>
        <v>25.606225173850216</v>
      </c>
      <c r="W3" s="125">
        <f t="shared" si="1"/>
        <v>24.523545930605476</v>
      </c>
      <c r="X3" s="125">
        <f t="shared" ref="X3:Y3" si="2">SUM(X4,X16,X19,X29)</f>
        <v>21.181014762923819</v>
      </c>
      <c r="Y3" s="125">
        <f t="shared" si="2"/>
        <v>17.766853259750214</v>
      </c>
      <c r="DA3" s="154" t="s">
        <v>600</v>
      </c>
    </row>
    <row r="4" spans="1:105" ht="12.95" customHeight="1" x14ac:dyDescent="0.25">
      <c r="A4" s="129" t="s">
        <v>32</v>
      </c>
      <c r="B4" s="130"/>
      <c r="C4" s="130">
        <f t="shared" ref="C4:Q4" si="3">SUM(C5:C15)</f>
        <v>85.37120512622117</v>
      </c>
      <c r="D4" s="130">
        <f t="shared" si="3"/>
        <v>28.738078342494003</v>
      </c>
      <c r="E4" s="130">
        <f t="shared" si="3"/>
        <v>70.663809176238601</v>
      </c>
      <c r="F4" s="130">
        <f t="shared" si="3"/>
        <v>77.507554056686345</v>
      </c>
      <c r="G4" s="130">
        <f t="shared" si="3"/>
        <v>91.89032952165887</v>
      </c>
      <c r="H4" s="130">
        <f t="shared" si="3"/>
        <v>137.27571200795313</v>
      </c>
      <c r="I4" s="130">
        <f t="shared" si="3"/>
        <v>39.647601935745008</v>
      </c>
      <c r="J4" s="130">
        <f t="shared" si="3"/>
        <v>32.298948539414496</v>
      </c>
      <c r="K4" s="130">
        <f t="shared" si="3"/>
        <v>21.763737642267209</v>
      </c>
      <c r="L4" s="130">
        <f t="shared" si="3"/>
        <v>40.57064585638873</v>
      </c>
      <c r="M4" s="130">
        <f t="shared" si="3"/>
        <v>38.798605946074211</v>
      </c>
      <c r="N4" s="130">
        <f t="shared" si="3"/>
        <v>22.648314878250677</v>
      </c>
      <c r="O4" s="130">
        <f t="shared" si="3"/>
        <v>35.567009118779943</v>
      </c>
      <c r="P4" s="130">
        <f t="shared" si="3"/>
        <v>28.569321095428251</v>
      </c>
      <c r="Q4" s="130">
        <f t="shared" si="3"/>
        <v>36.198084990208535</v>
      </c>
      <c r="R4" s="130">
        <f t="shared" ref="R4:W4" si="4">SUM(R5:R15)</f>
        <v>28.68801848030499</v>
      </c>
      <c r="S4" s="130">
        <f t="shared" si="4"/>
        <v>31.04504261167796</v>
      </c>
      <c r="T4" s="130">
        <f t="shared" si="4"/>
        <v>20.742589450757951</v>
      </c>
      <c r="U4" s="130">
        <f t="shared" si="4"/>
        <v>16.238235079897599</v>
      </c>
      <c r="V4" s="130">
        <f t="shared" si="4"/>
        <v>11.907949872569658</v>
      </c>
      <c r="W4" s="130">
        <f t="shared" si="4"/>
        <v>10.904544932964832</v>
      </c>
      <c r="X4" s="130">
        <f t="shared" ref="X4:Y4" si="5">SUM(X5:X15)</f>
        <v>8.1637452019598022</v>
      </c>
      <c r="Y4" s="130">
        <f t="shared" si="5"/>
        <v>4.1618650053793944</v>
      </c>
      <c r="DA4" s="155" t="s">
        <v>601</v>
      </c>
    </row>
    <row r="5" spans="1:105" ht="12" customHeight="1" x14ac:dyDescent="0.25">
      <c r="A5" s="131" t="s">
        <v>29</v>
      </c>
      <c r="B5" s="132"/>
      <c r="C5" s="132">
        <v>8.9676117436167116E-2</v>
      </c>
      <c r="D5" s="132">
        <v>1.5163453341815101E-2</v>
      </c>
      <c r="E5" s="132">
        <v>0</v>
      </c>
      <c r="F5" s="132">
        <v>0</v>
      </c>
      <c r="G5" s="132">
        <v>0</v>
      </c>
      <c r="H5" s="132">
        <v>1.9420472030687592E-2</v>
      </c>
      <c r="I5" s="132">
        <v>0</v>
      </c>
      <c r="J5" s="132">
        <v>0</v>
      </c>
      <c r="K5" s="132">
        <v>0</v>
      </c>
      <c r="L5" s="132">
        <v>2.7144268104904109E-2</v>
      </c>
      <c r="M5" s="132">
        <v>5.0118658213942825E-2</v>
      </c>
      <c r="N5" s="132">
        <v>1.2778709205639307E-2</v>
      </c>
      <c r="O5" s="132">
        <v>0.11118968765843422</v>
      </c>
      <c r="P5" s="132">
        <v>1.1189149743533123E-2</v>
      </c>
      <c r="Q5" s="132">
        <v>6.470708861500662E-3</v>
      </c>
      <c r="R5" s="132">
        <v>2.8622299043926228E-2</v>
      </c>
      <c r="S5" s="132">
        <v>0</v>
      </c>
      <c r="T5" s="132">
        <v>0.14721954256588965</v>
      </c>
      <c r="U5" s="132">
        <v>0</v>
      </c>
      <c r="V5" s="132">
        <v>0</v>
      </c>
      <c r="W5" s="132">
        <v>0</v>
      </c>
      <c r="X5" s="132">
        <v>0</v>
      </c>
      <c r="Y5" s="132">
        <v>0</v>
      </c>
      <c r="DA5" s="156" t="s">
        <v>602</v>
      </c>
    </row>
    <row r="6" spans="1:105" ht="12" customHeight="1" x14ac:dyDescent="0.25">
      <c r="A6" s="131" t="s">
        <v>52</v>
      </c>
      <c r="B6" s="132"/>
      <c r="C6" s="132">
        <v>0</v>
      </c>
      <c r="D6" s="132">
        <v>0</v>
      </c>
      <c r="E6" s="132">
        <v>0</v>
      </c>
      <c r="F6" s="132">
        <v>0</v>
      </c>
      <c r="G6" s="132">
        <v>0</v>
      </c>
      <c r="H6" s="132">
        <v>0</v>
      </c>
      <c r="I6" s="132">
        <v>0</v>
      </c>
      <c r="J6" s="132">
        <v>0</v>
      </c>
      <c r="K6" s="132">
        <v>0</v>
      </c>
      <c r="L6" s="132">
        <v>0</v>
      </c>
      <c r="M6" s="132">
        <v>0</v>
      </c>
      <c r="N6" s="132">
        <v>0</v>
      </c>
      <c r="O6" s="132">
        <v>0</v>
      </c>
      <c r="P6" s="132">
        <v>0</v>
      </c>
      <c r="Q6" s="132">
        <v>0</v>
      </c>
      <c r="R6" s="132">
        <v>0</v>
      </c>
      <c r="S6" s="132">
        <v>0</v>
      </c>
      <c r="T6" s="132">
        <v>0</v>
      </c>
      <c r="U6" s="132">
        <v>0</v>
      </c>
      <c r="V6" s="132">
        <v>0</v>
      </c>
      <c r="W6" s="132">
        <v>0</v>
      </c>
      <c r="X6" s="132">
        <v>0</v>
      </c>
      <c r="Y6" s="132">
        <v>0</v>
      </c>
      <c r="DA6" s="156" t="s">
        <v>603</v>
      </c>
    </row>
    <row r="7" spans="1:105" ht="12" customHeight="1" x14ac:dyDescent="0.25">
      <c r="A7" s="131" t="s">
        <v>161</v>
      </c>
      <c r="B7" s="132"/>
      <c r="C7" s="132">
        <v>22.73959475605756</v>
      </c>
      <c r="D7" s="132">
        <v>17.312397652445128</v>
      </c>
      <c r="E7" s="132">
        <v>8.8545608571599246</v>
      </c>
      <c r="F7" s="132">
        <v>19.335967725058929</v>
      </c>
      <c r="G7" s="132">
        <v>0</v>
      </c>
      <c r="H7" s="132">
        <v>0</v>
      </c>
      <c r="I7" s="132">
        <v>0</v>
      </c>
      <c r="J7" s="132">
        <v>0</v>
      </c>
      <c r="K7" s="132">
        <v>0</v>
      </c>
      <c r="L7" s="132">
        <v>1.7060212266086523</v>
      </c>
      <c r="M7" s="132">
        <v>15.129490757610307</v>
      </c>
      <c r="N7" s="132">
        <v>3.6877015948288214</v>
      </c>
      <c r="O7" s="132">
        <v>1.044720387840772</v>
      </c>
      <c r="P7" s="132">
        <v>1.9957046936144351</v>
      </c>
      <c r="Q7" s="132">
        <v>7.8991208166236486</v>
      </c>
      <c r="R7" s="132">
        <v>8.6613938164400803</v>
      </c>
      <c r="S7" s="132">
        <v>12.908060556127412</v>
      </c>
      <c r="T7" s="132">
        <v>8.7472758125161008</v>
      </c>
      <c r="U7" s="132">
        <v>6.105088409184404</v>
      </c>
      <c r="V7" s="132">
        <v>4.2880890462521357</v>
      </c>
      <c r="W7" s="132">
        <v>6.1992434941825119</v>
      </c>
      <c r="X7" s="132">
        <v>2.2150703679487944</v>
      </c>
      <c r="Y7" s="132">
        <v>0.23032962080871722</v>
      </c>
      <c r="DA7" s="156" t="s">
        <v>604</v>
      </c>
    </row>
    <row r="8" spans="1:105" ht="12" customHeight="1" x14ac:dyDescent="0.25">
      <c r="A8" s="131" t="s">
        <v>73</v>
      </c>
      <c r="B8" s="132"/>
      <c r="C8" s="132">
        <v>0</v>
      </c>
      <c r="D8" s="132">
        <v>0</v>
      </c>
      <c r="E8" s="132">
        <v>0</v>
      </c>
      <c r="F8" s="132">
        <v>0</v>
      </c>
      <c r="G8" s="132">
        <v>0</v>
      </c>
      <c r="H8" s="132">
        <v>0</v>
      </c>
      <c r="I8" s="132">
        <v>0</v>
      </c>
      <c r="J8" s="132">
        <v>0</v>
      </c>
      <c r="K8" s="132">
        <v>0</v>
      </c>
      <c r="L8" s="132">
        <v>0</v>
      </c>
      <c r="M8" s="132">
        <v>0</v>
      </c>
      <c r="N8" s="132">
        <v>0</v>
      </c>
      <c r="O8" s="132">
        <v>0</v>
      </c>
      <c r="P8" s="132">
        <v>0</v>
      </c>
      <c r="Q8" s="132">
        <v>0</v>
      </c>
      <c r="R8" s="132">
        <v>0</v>
      </c>
      <c r="S8" s="132">
        <v>0</v>
      </c>
      <c r="T8" s="132">
        <v>0</v>
      </c>
      <c r="U8" s="132">
        <v>0</v>
      </c>
      <c r="V8" s="132">
        <v>0</v>
      </c>
      <c r="W8" s="132">
        <v>0</v>
      </c>
      <c r="X8" s="132">
        <v>0</v>
      </c>
      <c r="Y8" s="132">
        <v>0</v>
      </c>
      <c r="DA8" s="156" t="s">
        <v>605</v>
      </c>
    </row>
    <row r="9" spans="1:105" ht="12" customHeight="1" x14ac:dyDescent="0.25">
      <c r="A9" s="131" t="s">
        <v>78</v>
      </c>
      <c r="B9" s="132"/>
      <c r="C9" s="132">
        <v>19.224328657887749</v>
      </c>
      <c r="D9" s="132">
        <v>1.4373425861940377</v>
      </c>
      <c r="E9" s="132">
        <v>60.992911505456739</v>
      </c>
      <c r="F9" s="132">
        <v>57.429529375066387</v>
      </c>
      <c r="G9" s="132">
        <v>66.169126644081672</v>
      </c>
      <c r="H9" s="132">
        <v>134.62082529845839</v>
      </c>
      <c r="I9" s="132">
        <v>13.067223065034952</v>
      </c>
      <c r="J9" s="132">
        <v>10.668169336700256</v>
      </c>
      <c r="K9" s="132">
        <v>10.1885303537601</v>
      </c>
      <c r="L9" s="132">
        <v>14.995757959049472</v>
      </c>
      <c r="M9" s="132">
        <v>8.8034784671220034</v>
      </c>
      <c r="N9" s="132">
        <v>10.16591716881711</v>
      </c>
      <c r="O9" s="132">
        <v>24.629980377845037</v>
      </c>
      <c r="P9" s="132">
        <v>20.47522071304989</v>
      </c>
      <c r="Q9" s="132">
        <v>13.184783744118569</v>
      </c>
      <c r="R9" s="132">
        <v>9.1574507812828472</v>
      </c>
      <c r="S9" s="132">
        <v>12.993726976899309</v>
      </c>
      <c r="T9" s="132">
        <v>11.435596850854909</v>
      </c>
      <c r="U9" s="132">
        <v>9.9503870605057756</v>
      </c>
      <c r="V9" s="132">
        <v>6.5154536996325083</v>
      </c>
      <c r="W9" s="132">
        <v>3.7705174255550054</v>
      </c>
      <c r="X9" s="132">
        <v>4.7253382236475963</v>
      </c>
      <c r="Y9" s="132">
        <v>0</v>
      </c>
      <c r="DA9" s="156" t="s">
        <v>606</v>
      </c>
    </row>
    <row r="10" spans="1:105" ht="12" customHeight="1" x14ac:dyDescent="0.25">
      <c r="A10" s="131" t="s">
        <v>128</v>
      </c>
      <c r="B10" s="132"/>
      <c r="C10" s="132">
        <v>42.230773216814391</v>
      </c>
      <c r="D10" s="132">
        <v>9.0399077149961116</v>
      </c>
      <c r="E10" s="132">
        <v>0</v>
      </c>
      <c r="F10" s="132">
        <v>0</v>
      </c>
      <c r="G10" s="132">
        <v>0</v>
      </c>
      <c r="H10" s="132">
        <v>0</v>
      </c>
      <c r="I10" s="132">
        <v>0</v>
      </c>
      <c r="J10" s="132">
        <v>1.7516134572508752</v>
      </c>
      <c r="K10" s="132">
        <v>0</v>
      </c>
      <c r="L10" s="132">
        <v>0</v>
      </c>
      <c r="M10" s="132">
        <v>0</v>
      </c>
      <c r="N10" s="132">
        <v>0</v>
      </c>
      <c r="O10" s="132">
        <v>0.66939617596826084</v>
      </c>
      <c r="P10" s="132">
        <v>4.2797249124796979</v>
      </c>
      <c r="Q10" s="132">
        <v>13.393427337194465</v>
      </c>
      <c r="R10" s="132">
        <v>9.4840461458405905</v>
      </c>
      <c r="S10" s="132">
        <v>4.1740496116780577</v>
      </c>
      <c r="T10" s="132">
        <v>0.18302344074576973</v>
      </c>
      <c r="U10" s="132">
        <v>0</v>
      </c>
      <c r="V10" s="132">
        <v>0</v>
      </c>
      <c r="W10" s="132">
        <v>0</v>
      </c>
      <c r="X10" s="132">
        <v>0</v>
      </c>
      <c r="Y10" s="132">
        <v>0</v>
      </c>
      <c r="DA10" s="156" t="s">
        <v>607</v>
      </c>
    </row>
    <row r="11" spans="1:105" ht="12" customHeight="1" x14ac:dyDescent="0.25">
      <c r="A11" s="131" t="s">
        <v>25</v>
      </c>
      <c r="B11" s="132"/>
      <c r="C11" s="132">
        <v>0.45071767946065394</v>
      </c>
      <c r="D11" s="132">
        <v>0.70676623279291739</v>
      </c>
      <c r="E11" s="132">
        <v>0.12912503507808812</v>
      </c>
      <c r="F11" s="132">
        <v>0</v>
      </c>
      <c r="G11" s="132">
        <v>0</v>
      </c>
      <c r="H11" s="132">
        <v>0</v>
      </c>
      <c r="I11" s="132">
        <v>0.91596025451195995</v>
      </c>
      <c r="J11" s="132">
        <v>1.4410281934789242</v>
      </c>
      <c r="K11" s="132">
        <v>0.24218266431605098</v>
      </c>
      <c r="L11" s="132">
        <v>0</v>
      </c>
      <c r="M11" s="132">
        <v>0.37602801716065898</v>
      </c>
      <c r="N11" s="132">
        <v>0.47041438814236847</v>
      </c>
      <c r="O11" s="132">
        <v>1.3327017374911891</v>
      </c>
      <c r="P11" s="132">
        <v>1.3415227224473532</v>
      </c>
      <c r="Q11" s="132">
        <v>0.94590809447758939</v>
      </c>
      <c r="R11" s="132">
        <v>0.80919796791224774</v>
      </c>
      <c r="S11" s="132">
        <v>0.65890360932731196</v>
      </c>
      <c r="T11" s="132">
        <v>0</v>
      </c>
      <c r="U11" s="132">
        <v>0</v>
      </c>
      <c r="V11" s="132">
        <v>0</v>
      </c>
      <c r="W11" s="132">
        <v>0</v>
      </c>
      <c r="X11" s="132">
        <v>0</v>
      </c>
      <c r="Y11" s="132">
        <v>0</v>
      </c>
      <c r="DA11" s="156" t="s">
        <v>608</v>
      </c>
    </row>
    <row r="12" spans="1:105" ht="12" customHeight="1" x14ac:dyDescent="0.25">
      <c r="A12" s="131" t="s">
        <v>162</v>
      </c>
      <c r="B12" s="132"/>
      <c r="C12" s="132">
        <v>0</v>
      </c>
      <c r="D12" s="132">
        <v>0</v>
      </c>
      <c r="E12" s="132">
        <v>0</v>
      </c>
      <c r="F12" s="132">
        <v>0</v>
      </c>
      <c r="G12" s="132">
        <v>22.348753908710062</v>
      </c>
      <c r="H12" s="132">
        <v>0.47250192191325407</v>
      </c>
      <c r="I12" s="132">
        <v>8.9461993637917523</v>
      </c>
      <c r="J12" s="132">
        <v>14.396282010383826</v>
      </c>
      <c r="K12" s="132">
        <v>7.9545870303035615</v>
      </c>
      <c r="L12" s="132">
        <v>13.492991578232509</v>
      </c>
      <c r="M12" s="132">
        <v>12.284396264504863</v>
      </c>
      <c r="N12" s="132">
        <v>8.1465914567566315</v>
      </c>
      <c r="O12" s="132">
        <v>7.480696235194455</v>
      </c>
      <c r="P12" s="132">
        <v>0.19914917804769633</v>
      </c>
      <c r="Q12" s="132">
        <v>0.47170666969005265</v>
      </c>
      <c r="R12" s="132">
        <v>0.30364578906133843</v>
      </c>
      <c r="S12" s="132">
        <v>0</v>
      </c>
      <c r="T12" s="132">
        <v>0</v>
      </c>
      <c r="U12" s="132">
        <v>0</v>
      </c>
      <c r="V12" s="132">
        <v>0.88317771424873004</v>
      </c>
      <c r="W12" s="132">
        <v>0.57580982219725085</v>
      </c>
      <c r="X12" s="132">
        <v>0.5708216814498962</v>
      </c>
      <c r="Y12" s="132">
        <v>0</v>
      </c>
      <c r="DA12" s="156" t="s">
        <v>609</v>
      </c>
    </row>
    <row r="13" spans="1:105" ht="12" customHeight="1" x14ac:dyDescent="0.25">
      <c r="A13" s="131" t="s">
        <v>77</v>
      </c>
      <c r="B13" s="132"/>
      <c r="C13" s="132">
        <v>0</v>
      </c>
      <c r="D13" s="132">
        <v>0</v>
      </c>
      <c r="E13" s="132">
        <v>0</v>
      </c>
      <c r="F13" s="132">
        <v>0</v>
      </c>
      <c r="G13" s="132">
        <v>0</v>
      </c>
      <c r="H13" s="132">
        <v>0</v>
      </c>
      <c r="I13" s="132">
        <v>0</v>
      </c>
      <c r="J13" s="132">
        <v>0</v>
      </c>
      <c r="K13" s="132">
        <v>0</v>
      </c>
      <c r="L13" s="132">
        <v>0</v>
      </c>
      <c r="M13" s="132">
        <v>0</v>
      </c>
      <c r="N13" s="132">
        <v>0</v>
      </c>
      <c r="O13" s="132">
        <v>0</v>
      </c>
      <c r="P13" s="132">
        <v>0</v>
      </c>
      <c r="Q13" s="132">
        <v>0</v>
      </c>
      <c r="R13" s="132">
        <v>0</v>
      </c>
      <c r="S13" s="132">
        <v>0</v>
      </c>
      <c r="T13" s="132">
        <v>0</v>
      </c>
      <c r="U13" s="132">
        <v>0</v>
      </c>
      <c r="V13" s="132">
        <v>0</v>
      </c>
      <c r="W13" s="132">
        <v>0</v>
      </c>
      <c r="X13" s="132">
        <v>0</v>
      </c>
      <c r="Y13" s="132">
        <v>2.9513074201067475</v>
      </c>
      <c r="DA13" s="156" t="s">
        <v>610</v>
      </c>
    </row>
    <row r="14" spans="1:105" ht="12" customHeight="1" x14ac:dyDescent="0.25">
      <c r="A14" s="60" t="s">
        <v>76</v>
      </c>
      <c r="B14" s="65"/>
      <c r="C14" s="65">
        <v>0</v>
      </c>
      <c r="D14" s="65">
        <v>0</v>
      </c>
      <c r="E14" s="65">
        <v>0</v>
      </c>
      <c r="F14" s="65">
        <v>0</v>
      </c>
      <c r="G14" s="65">
        <v>2.6490567606563507</v>
      </c>
      <c r="H14" s="65">
        <v>0.8598148782266436</v>
      </c>
      <c r="I14" s="65">
        <v>16.558402111876834</v>
      </c>
      <c r="J14" s="65">
        <v>3.8770546897558242</v>
      </c>
      <c r="K14" s="65">
        <v>3.2531111137032251</v>
      </c>
      <c r="L14" s="65">
        <v>10.144034867245781</v>
      </c>
      <c r="M14" s="65">
        <v>1.887829135200314</v>
      </c>
      <c r="N14" s="65">
        <v>0</v>
      </c>
      <c r="O14" s="65">
        <v>0</v>
      </c>
      <c r="P14" s="65">
        <v>0</v>
      </c>
      <c r="Q14" s="65">
        <v>0</v>
      </c>
      <c r="R14" s="65">
        <v>0</v>
      </c>
      <c r="S14" s="65">
        <v>0</v>
      </c>
      <c r="T14" s="65">
        <v>0</v>
      </c>
      <c r="U14" s="65">
        <v>0</v>
      </c>
      <c r="V14" s="65">
        <v>9.477567817922096E-2</v>
      </c>
      <c r="W14" s="65">
        <v>0.24504911746886343</v>
      </c>
      <c r="X14" s="65">
        <v>0.56998000305732288</v>
      </c>
      <c r="Y14" s="65">
        <v>0.97772940764267535</v>
      </c>
      <c r="DA14" s="109" t="s">
        <v>611</v>
      </c>
    </row>
    <row r="15" spans="1:105" ht="12" customHeight="1" x14ac:dyDescent="0.25">
      <c r="A15" s="133" t="s">
        <v>80</v>
      </c>
      <c r="B15" s="134"/>
      <c r="C15" s="134">
        <v>0.63611469856465264</v>
      </c>
      <c r="D15" s="134">
        <v>0.22650070272399311</v>
      </c>
      <c r="E15" s="134">
        <v>0.68721177854385196</v>
      </c>
      <c r="F15" s="134">
        <v>0.74205695656103021</v>
      </c>
      <c r="G15" s="134">
        <v>0.72339220821077688</v>
      </c>
      <c r="H15" s="134">
        <v>1.3031494373241894</v>
      </c>
      <c r="I15" s="134">
        <v>0.15981714052950158</v>
      </c>
      <c r="J15" s="134">
        <v>0.16480085184478563</v>
      </c>
      <c r="K15" s="134">
        <v>0.12532648018427067</v>
      </c>
      <c r="L15" s="134">
        <v>0.20469595714741706</v>
      </c>
      <c r="M15" s="134">
        <v>0.26726464626211699</v>
      </c>
      <c r="N15" s="134">
        <v>0.16491156050010458</v>
      </c>
      <c r="O15" s="134">
        <v>0.29832451678179883</v>
      </c>
      <c r="P15" s="134">
        <v>0.26680972604564418</v>
      </c>
      <c r="Q15" s="134">
        <v>0.29666761924271345</v>
      </c>
      <c r="R15" s="134">
        <v>0.24366168072396119</v>
      </c>
      <c r="S15" s="134">
        <v>0.31030185764587004</v>
      </c>
      <c r="T15" s="134">
        <v>0.22947380407527881</v>
      </c>
      <c r="U15" s="134">
        <v>0.1827596102074209</v>
      </c>
      <c r="V15" s="134">
        <v>0.12645373425706222</v>
      </c>
      <c r="W15" s="134">
        <v>0.11392507356120078</v>
      </c>
      <c r="X15" s="134">
        <v>8.2534925856192598E-2</v>
      </c>
      <c r="Y15" s="134">
        <v>2.4985568212538018E-3</v>
      </c>
      <c r="DA15" s="157" t="s">
        <v>612</v>
      </c>
    </row>
    <row r="16" spans="1:105" ht="12.95" customHeight="1" x14ac:dyDescent="0.25">
      <c r="A16" s="129" t="s">
        <v>74</v>
      </c>
      <c r="B16" s="130"/>
      <c r="C16" s="130">
        <f t="shared" ref="C16:Q16" si="6">SUM(C17:C18)</f>
        <v>0.45997821611404704</v>
      </c>
      <c r="D16" s="130">
        <f t="shared" si="6"/>
        <v>0.55967861365340577</v>
      </c>
      <c r="E16" s="130">
        <f t="shared" si="6"/>
        <v>0.48476358827375443</v>
      </c>
      <c r="F16" s="130">
        <f t="shared" si="6"/>
        <v>0.53180255955882638</v>
      </c>
      <c r="G16" s="130">
        <f t="shared" si="6"/>
        <v>0.4721547136114374</v>
      </c>
      <c r="H16" s="130">
        <f t="shared" si="6"/>
        <v>0.69118831027267158</v>
      </c>
      <c r="I16" s="130">
        <f t="shared" si="6"/>
        <v>0.95642766247840616</v>
      </c>
      <c r="J16" s="130">
        <f t="shared" si="6"/>
        <v>0.83396532259354217</v>
      </c>
      <c r="K16" s="130">
        <f t="shared" si="6"/>
        <v>0.74701611897440356</v>
      </c>
      <c r="L16" s="130">
        <f t="shared" si="6"/>
        <v>0.86490839095534922</v>
      </c>
      <c r="M16" s="130">
        <f t="shared" si="6"/>
        <v>0.99723171652323661</v>
      </c>
      <c r="N16" s="130">
        <f t="shared" si="6"/>
        <v>1.4808405909477742</v>
      </c>
      <c r="O16" s="130">
        <f t="shared" si="6"/>
        <v>0.92191438309734919</v>
      </c>
      <c r="P16" s="130">
        <f t="shared" si="6"/>
        <v>0.95135597706658626</v>
      </c>
      <c r="Q16" s="130">
        <f t="shared" si="6"/>
        <v>1.1373660669631014</v>
      </c>
      <c r="R16" s="130">
        <f t="shared" ref="R16:W16" si="7">SUM(R17:R18)</f>
        <v>0.79781806777453967</v>
      </c>
      <c r="S16" s="130">
        <f t="shared" si="7"/>
        <v>0.97636861647239948</v>
      </c>
      <c r="T16" s="130">
        <f t="shared" si="7"/>
        <v>0.84240003885652914</v>
      </c>
      <c r="U16" s="130">
        <f t="shared" si="7"/>
        <v>1.0017963872236715</v>
      </c>
      <c r="V16" s="130">
        <f t="shared" si="7"/>
        <v>0.93262226749450328</v>
      </c>
      <c r="W16" s="130">
        <f t="shared" si="7"/>
        <v>0.98569565239145573</v>
      </c>
      <c r="X16" s="130">
        <f t="shared" ref="X16:Y16" si="8">SUM(X17:X18)</f>
        <v>0.90905047982801657</v>
      </c>
      <c r="Y16" s="130">
        <f t="shared" si="8"/>
        <v>0.96016617951287164</v>
      </c>
      <c r="DA16" s="155" t="s">
        <v>613</v>
      </c>
    </row>
    <row r="17" spans="1:105" ht="12.95" customHeight="1" x14ac:dyDescent="0.25">
      <c r="A17" s="131" t="s">
        <v>73</v>
      </c>
      <c r="B17" s="132"/>
      <c r="C17" s="132">
        <v>0</v>
      </c>
      <c r="D17" s="132">
        <v>0</v>
      </c>
      <c r="E17" s="132">
        <v>0</v>
      </c>
      <c r="F17" s="132">
        <v>0</v>
      </c>
      <c r="G17" s="132">
        <v>0</v>
      </c>
      <c r="H17" s="132">
        <v>0</v>
      </c>
      <c r="I17" s="132">
        <v>0</v>
      </c>
      <c r="J17" s="132">
        <v>0</v>
      </c>
      <c r="K17" s="132">
        <v>0</v>
      </c>
      <c r="L17" s="132">
        <v>0</v>
      </c>
      <c r="M17" s="132">
        <v>0</v>
      </c>
      <c r="N17" s="132">
        <v>0</v>
      </c>
      <c r="O17" s="132">
        <v>0</v>
      </c>
      <c r="P17" s="132">
        <v>0</v>
      </c>
      <c r="Q17" s="132">
        <v>0</v>
      </c>
      <c r="R17" s="132">
        <v>0</v>
      </c>
      <c r="S17" s="132">
        <v>0</v>
      </c>
      <c r="T17" s="132">
        <v>0</v>
      </c>
      <c r="U17" s="132">
        <v>0</v>
      </c>
      <c r="V17" s="132">
        <v>0</v>
      </c>
      <c r="W17" s="132">
        <v>0</v>
      </c>
      <c r="X17" s="132">
        <v>0</v>
      </c>
      <c r="Y17" s="132">
        <v>0</v>
      </c>
      <c r="DA17" s="156" t="s">
        <v>614</v>
      </c>
    </row>
    <row r="18" spans="1:105" ht="12" customHeight="1" x14ac:dyDescent="0.25">
      <c r="A18" s="131" t="s">
        <v>72</v>
      </c>
      <c r="B18" s="132"/>
      <c r="C18" s="132">
        <v>0.45997821611404704</v>
      </c>
      <c r="D18" s="132">
        <v>0.55967861365340577</v>
      </c>
      <c r="E18" s="132">
        <v>0.48476358827375443</v>
      </c>
      <c r="F18" s="132">
        <v>0.53180255955882638</v>
      </c>
      <c r="G18" s="132">
        <v>0.4721547136114374</v>
      </c>
      <c r="H18" s="132">
        <v>0.69118831027267158</v>
      </c>
      <c r="I18" s="132">
        <v>0.95642766247840616</v>
      </c>
      <c r="J18" s="132">
        <v>0.83396532259354217</v>
      </c>
      <c r="K18" s="132">
        <v>0.74701611897440356</v>
      </c>
      <c r="L18" s="132">
        <v>0.86490839095534922</v>
      </c>
      <c r="M18" s="132">
        <v>0.99723171652323661</v>
      </c>
      <c r="N18" s="132">
        <v>1.4808405909477742</v>
      </c>
      <c r="O18" s="132">
        <v>0.92191438309734919</v>
      </c>
      <c r="P18" s="132">
        <v>0.95135597706658626</v>
      </c>
      <c r="Q18" s="132">
        <v>1.1373660669631014</v>
      </c>
      <c r="R18" s="132">
        <v>0.79781806777453967</v>
      </c>
      <c r="S18" s="132">
        <v>0.97636861647239948</v>
      </c>
      <c r="T18" s="132">
        <v>0.84240003885652914</v>
      </c>
      <c r="U18" s="132">
        <v>1.0017963872236715</v>
      </c>
      <c r="V18" s="132">
        <v>0.93262226749450328</v>
      </c>
      <c r="W18" s="132">
        <v>0.98569565239145573</v>
      </c>
      <c r="X18" s="132">
        <v>0.90905047982801657</v>
      </c>
      <c r="Y18" s="132">
        <v>0.96016617951287164</v>
      </c>
      <c r="DA18" s="156" t="s">
        <v>615</v>
      </c>
    </row>
    <row r="19" spans="1:105" ht="12.95" customHeight="1" x14ac:dyDescent="0.25">
      <c r="A19" s="129" t="s">
        <v>35</v>
      </c>
      <c r="B19" s="130"/>
      <c r="C19" s="130">
        <f t="shared" ref="C19:Q19" si="9">SUM(C20:C27)</f>
        <v>12.53738980681171</v>
      </c>
      <c r="D19" s="130">
        <f t="shared" si="9"/>
        <v>3.0053335322133505</v>
      </c>
      <c r="E19" s="130">
        <f t="shared" si="9"/>
        <v>10.229358765780464</v>
      </c>
      <c r="F19" s="130">
        <f t="shared" si="9"/>
        <v>13.014505011872401</v>
      </c>
      <c r="G19" s="130">
        <f t="shared" si="9"/>
        <v>13.244027555516457</v>
      </c>
      <c r="H19" s="130">
        <f t="shared" si="9"/>
        <v>11.759250175949944</v>
      </c>
      <c r="I19" s="130">
        <f t="shared" si="9"/>
        <v>5.9317194842385836</v>
      </c>
      <c r="J19" s="130">
        <f t="shared" si="9"/>
        <v>6.3019313874504803</v>
      </c>
      <c r="K19" s="130">
        <f t="shared" si="9"/>
        <v>5.2141197327179754</v>
      </c>
      <c r="L19" s="130">
        <f t="shared" si="9"/>
        <v>8.5442905315125266</v>
      </c>
      <c r="M19" s="130">
        <f t="shared" si="9"/>
        <v>8.5052748200554742</v>
      </c>
      <c r="N19" s="130">
        <f t="shared" si="9"/>
        <v>5.9574048952422176</v>
      </c>
      <c r="O19" s="130">
        <f t="shared" si="9"/>
        <v>10.858697515652217</v>
      </c>
      <c r="P19" s="130">
        <f t="shared" si="9"/>
        <v>9.84800964326827</v>
      </c>
      <c r="Q19" s="130">
        <f t="shared" si="9"/>
        <v>11.99278537514669</v>
      </c>
      <c r="R19" s="130">
        <f t="shared" ref="R19:W19" si="10">SUM(R20:R27)</f>
        <v>9.7688665735152522</v>
      </c>
      <c r="S19" s="130">
        <f t="shared" si="10"/>
        <v>11.182106742710186</v>
      </c>
      <c r="T19" s="130">
        <f t="shared" si="10"/>
        <v>7.7166844798942344</v>
      </c>
      <c r="U19" s="130">
        <f t="shared" si="10"/>
        <v>6.2593554221236323</v>
      </c>
      <c r="V19" s="130">
        <f t="shared" si="10"/>
        <v>5.1121414848400333</v>
      </c>
      <c r="W19" s="130">
        <f t="shared" si="10"/>
        <v>5.246653155273453</v>
      </c>
      <c r="X19" s="130">
        <f t="shared" ref="X19:Y19" si="11">SUM(X20:X27)</f>
        <v>4.619682451142463</v>
      </c>
      <c r="Y19" s="130">
        <f t="shared" si="11"/>
        <v>4.8484636404415857</v>
      </c>
      <c r="DA19" s="155" t="s">
        <v>616</v>
      </c>
    </row>
    <row r="20" spans="1:105" ht="12" customHeight="1" x14ac:dyDescent="0.25">
      <c r="A20" s="131" t="s">
        <v>29</v>
      </c>
      <c r="B20" s="132"/>
      <c r="C20" s="132">
        <v>0</v>
      </c>
      <c r="D20" s="132">
        <v>0</v>
      </c>
      <c r="E20" s="132">
        <v>0</v>
      </c>
      <c r="F20" s="132">
        <v>0</v>
      </c>
      <c r="G20" s="132">
        <v>0</v>
      </c>
      <c r="H20" s="132">
        <v>0</v>
      </c>
      <c r="I20" s="132">
        <v>0</v>
      </c>
      <c r="J20" s="132">
        <v>0</v>
      </c>
      <c r="K20" s="132">
        <v>0</v>
      </c>
      <c r="L20" s="132">
        <v>0</v>
      </c>
      <c r="M20" s="132">
        <v>0</v>
      </c>
      <c r="N20" s="132">
        <v>0</v>
      </c>
      <c r="O20" s="132">
        <v>0</v>
      </c>
      <c r="P20" s="132">
        <v>0</v>
      </c>
      <c r="Q20" s="132">
        <v>0</v>
      </c>
      <c r="R20" s="132">
        <v>0</v>
      </c>
      <c r="S20" s="132">
        <v>0</v>
      </c>
      <c r="T20" s="132">
        <v>0</v>
      </c>
      <c r="U20" s="132">
        <v>0</v>
      </c>
      <c r="V20" s="132">
        <v>0</v>
      </c>
      <c r="W20" s="132">
        <v>0</v>
      </c>
      <c r="X20" s="132">
        <v>0</v>
      </c>
      <c r="Y20" s="132">
        <v>0</v>
      </c>
      <c r="DA20" s="156" t="s">
        <v>617</v>
      </c>
    </row>
    <row r="21" spans="1:105" s="2" customFormat="1" ht="12" customHeight="1" x14ac:dyDescent="0.25">
      <c r="A21" s="131" t="s">
        <v>52</v>
      </c>
      <c r="B21" s="132"/>
      <c r="C21" s="132">
        <v>0</v>
      </c>
      <c r="D21" s="132">
        <v>0</v>
      </c>
      <c r="E21" s="132">
        <v>0</v>
      </c>
      <c r="F21" s="132">
        <v>0</v>
      </c>
      <c r="G21" s="132">
        <v>0</v>
      </c>
      <c r="H21" s="132">
        <v>0</v>
      </c>
      <c r="I21" s="132">
        <v>0</v>
      </c>
      <c r="J21" s="132">
        <v>0</v>
      </c>
      <c r="K21" s="132">
        <v>0</v>
      </c>
      <c r="L21" s="132">
        <v>0</v>
      </c>
      <c r="M21" s="132">
        <v>0</v>
      </c>
      <c r="N21" s="132">
        <v>0</v>
      </c>
      <c r="O21" s="132">
        <v>0</v>
      </c>
      <c r="P21" s="132">
        <v>0</v>
      </c>
      <c r="Q21" s="132">
        <v>0</v>
      </c>
      <c r="R21" s="132">
        <v>0</v>
      </c>
      <c r="S21" s="132">
        <v>0</v>
      </c>
      <c r="T21" s="132">
        <v>0</v>
      </c>
      <c r="U21" s="132">
        <v>0</v>
      </c>
      <c r="V21" s="132">
        <v>0</v>
      </c>
      <c r="W21" s="132">
        <v>0</v>
      </c>
      <c r="X21" s="132">
        <v>0</v>
      </c>
      <c r="Y21" s="132">
        <v>0</v>
      </c>
      <c r="DA21" s="156" t="s">
        <v>618</v>
      </c>
    </row>
    <row r="22" spans="1:105" ht="12" customHeight="1" x14ac:dyDescent="0.25">
      <c r="A22" s="131" t="s">
        <v>161</v>
      </c>
      <c r="B22" s="132"/>
      <c r="C22" s="132">
        <v>0.77150058800735843</v>
      </c>
      <c r="D22" s="132">
        <v>1.4021021334076595</v>
      </c>
      <c r="E22" s="132">
        <v>0.36548108897749915</v>
      </c>
      <c r="F22" s="132">
        <v>0.2230638963674377</v>
      </c>
      <c r="G22" s="132">
        <v>0</v>
      </c>
      <c r="H22" s="132">
        <v>0</v>
      </c>
      <c r="I22" s="132">
        <v>0</v>
      </c>
      <c r="J22" s="132">
        <v>0</v>
      </c>
      <c r="K22" s="132">
        <v>0</v>
      </c>
      <c r="L22" s="132">
        <v>1.018071064881622</v>
      </c>
      <c r="M22" s="132">
        <v>1.468421301131591</v>
      </c>
      <c r="N22" s="132">
        <v>1.7138238873893774</v>
      </c>
      <c r="O22" s="132">
        <v>2.9926148825957903</v>
      </c>
      <c r="P22" s="132">
        <v>1.7167272459897336</v>
      </c>
      <c r="Q22" s="132">
        <v>1.9928748001592327</v>
      </c>
      <c r="R22" s="132">
        <v>1.7257042830971747</v>
      </c>
      <c r="S22" s="132">
        <v>3.1828745026686542</v>
      </c>
      <c r="T22" s="132">
        <v>2.2708146322124003</v>
      </c>
      <c r="U22" s="132">
        <v>1.5329536092207705</v>
      </c>
      <c r="V22" s="132">
        <v>1.4761577593573361</v>
      </c>
      <c r="W22" s="132">
        <v>2.505177308835139</v>
      </c>
      <c r="X22" s="132">
        <v>1.1776886957950088</v>
      </c>
      <c r="Y22" s="132">
        <v>0.90167734115094389</v>
      </c>
      <c r="DA22" s="156" t="s">
        <v>619</v>
      </c>
    </row>
    <row r="23" spans="1:105" ht="12" customHeight="1" x14ac:dyDescent="0.25">
      <c r="A23" s="131" t="s">
        <v>149</v>
      </c>
      <c r="B23" s="132"/>
      <c r="C23" s="132">
        <v>1.5500728418275533</v>
      </c>
      <c r="D23" s="132">
        <v>1.538663456887972</v>
      </c>
      <c r="E23" s="132">
        <v>3.4460374870451176</v>
      </c>
      <c r="F23" s="132">
        <v>10.93347575001151</v>
      </c>
      <c r="G23" s="132">
        <v>7.8979902617112367</v>
      </c>
      <c r="H23" s="132">
        <v>6.5354453070330409</v>
      </c>
      <c r="I23" s="132">
        <v>5.4800282830677033E-2</v>
      </c>
      <c r="J23" s="132">
        <v>1.9466966069651872</v>
      </c>
      <c r="K23" s="132">
        <v>3.3311559455461826</v>
      </c>
      <c r="L23" s="132">
        <v>4.1704810535891355</v>
      </c>
      <c r="M23" s="132">
        <v>1.4699778709803242</v>
      </c>
      <c r="N23" s="132">
        <v>0.3965136209229787</v>
      </c>
      <c r="O23" s="132">
        <v>3.7547095537826869</v>
      </c>
      <c r="P23" s="132">
        <v>6.2232445752311669</v>
      </c>
      <c r="Q23" s="132">
        <v>8.3365509018765387</v>
      </c>
      <c r="R23" s="132">
        <v>6.6078658400616872</v>
      </c>
      <c r="S23" s="132">
        <v>6.9584859095704727</v>
      </c>
      <c r="T23" s="132">
        <v>4.2948641485991326</v>
      </c>
      <c r="U23" s="132">
        <v>3.1774558687747185</v>
      </c>
      <c r="V23" s="132">
        <v>2.0079069312976281</v>
      </c>
      <c r="W23" s="132">
        <v>0.62231516658266339</v>
      </c>
      <c r="X23" s="132">
        <v>0</v>
      </c>
      <c r="Y23" s="132">
        <v>0</v>
      </c>
      <c r="DA23" s="156" t="s">
        <v>620</v>
      </c>
    </row>
    <row r="24" spans="1:105" ht="12" customHeight="1" x14ac:dyDescent="0.25">
      <c r="A24" s="131" t="s">
        <v>128</v>
      </c>
      <c r="B24" s="132"/>
      <c r="C24" s="132">
        <v>0.22028557967928647</v>
      </c>
      <c r="D24" s="132">
        <v>0</v>
      </c>
      <c r="E24" s="132">
        <v>8.4721486521193129E-2</v>
      </c>
      <c r="F24" s="132">
        <v>0</v>
      </c>
      <c r="G24" s="132">
        <v>0</v>
      </c>
      <c r="H24" s="132">
        <v>0</v>
      </c>
      <c r="I24" s="132">
        <v>0</v>
      </c>
      <c r="J24" s="132">
        <v>5.8519169853406473E-2</v>
      </c>
      <c r="K24" s="132">
        <v>0.34119298854500602</v>
      </c>
      <c r="L24" s="132">
        <v>0.91654850293316914</v>
      </c>
      <c r="M24" s="132">
        <v>0.87352820545710619</v>
      </c>
      <c r="N24" s="132">
        <v>0.62800593068259691</v>
      </c>
      <c r="O24" s="132">
        <v>0.67796637528680825</v>
      </c>
      <c r="P24" s="132">
        <v>0.1363404723700431</v>
      </c>
      <c r="Q24" s="132">
        <v>1.1628440479133654E-3</v>
      </c>
      <c r="R24" s="132">
        <v>0</v>
      </c>
      <c r="S24" s="132">
        <v>0</v>
      </c>
      <c r="T24" s="132">
        <v>0</v>
      </c>
      <c r="U24" s="132">
        <v>0</v>
      </c>
      <c r="V24" s="132">
        <v>1.3827363731552328E-4</v>
      </c>
      <c r="W24" s="132">
        <v>0</v>
      </c>
      <c r="X24" s="132">
        <v>0</v>
      </c>
      <c r="Y24" s="132">
        <v>2.6451575655852905E-2</v>
      </c>
      <c r="DA24" s="156" t="s">
        <v>621</v>
      </c>
    </row>
    <row r="25" spans="1:105" ht="12" customHeight="1" x14ac:dyDescent="0.25">
      <c r="A25" s="131" t="s">
        <v>162</v>
      </c>
      <c r="B25" s="132"/>
      <c r="C25" s="132">
        <v>0</v>
      </c>
      <c r="D25" s="132">
        <v>0</v>
      </c>
      <c r="E25" s="132">
        <v>0</v>
      </c>
      <c r="F25" s="132">
        <v>0</v>
      </c>
      <c r="G25" s="132">
        <v>0.44020861721943477</v>
      </c>
      <c r="H25" s="132">
        <v>0.80550722140778985</v>
      </c>
      <c r="I25" s="132">
        <v>1.0519908594316678</v>
      </c>
      <c r="J25" s="132">
        <v>2.0449504013854947</v>
      </c>
      <c r="K25" s="132">
        <v>1.541770798626787</v>
      </c>
      <c r="L25" s="132">
        <v>2.3992185826618133</v>
      </c>
      <c r="M25" s="132">
        <v>2.2796802440137385</v>
      </c>
      <c r="N25" s="132">
        <v>1.600954566955215</v>
      </c>
      <c r="O25" s="132">
        <v>1.5856326518534678</v>
      </c>
      <c r="P25" s="132">
        <v>2.0380057544691244E-2</v>
      </c>
      <c r="Q25" s="132">
        <v>0.11645226653790629</v>
      </c>
      <c r="R25" s="132">
        <v>6.7521155792714047E-2</v>
      </c>
      <c r="S25" s="132">
        <v>0</v>
      </c>
      <c r="T25" s="132">
        <v>2.9314478572311904E-2</v>
      </c>
      <c r="U25" s="132">
        <v>0.16748680599425297</v>
      </c>
      <c r="V25" s="132">
        <v>0.32823323071720917</v>
      </c>
      <c r="W25" s="132">
        <v>0.25258449626910207</v>
      </c>
      <c r="X25" s="132">
        <v>0.11821303437768547</v>
      </c>
      <c r="Y25" s="132">
        <v>0.7118023765744883</v>
      </c>
      <c r="DA25" s="156" t="s">
        <v>622</v>
      </c>
    </row>
    <row r="26" spans="1:105" ht="12" customHeight="1" x14ac:dyDescent="0.25">
      <c r="A26" s="131" t="s">
        <v>24</v>
      </c>
      <c r="B26" s="65"/>
      <c r="C26" s="65">
        <v>9.995530797297512</v>
      </c>
      <c r="D26" s="65">
        <v>6.4567941917718794E-2</v>
      </c>
      <c r="E26" s="65">
        <v>6.3331187032366536</v>
      </c>
      <c r="F26" s="65">
        <v>1.857965365493454</v>
      </c>
      <c r="G26" s="65">
        <v>4.9058286765857853</v>
      </c>
      <c r="H26" s="65">
        <v>4.4182976475091138</v>
      </c>
      <c r="I26" s="65">
        <v>4.8018489659439467</v>
      </c>
      <c r="J26" s="65">
        <v>2.2517652092463916</v>
      </c>
      <c r="K26" s="65">
        <v>0</v>
      </c>
      <c r="L26" s="65">
        <v>0</v>
      </c>
      <c r="M26" s="65">
        <v>2.4136671984727136</v>
      </c>
      <c r="N26" s="65">
        <v>1.556185744505775</v>
      </c>
      <c r="O26" s="65">
        <v>1.8477740521334627</v>
      </c>
      <c r="P26" s="65">
        <v>1.7513172921326354</v>
      </c>
      <c r="Q26" s="65">
        <v>1.545744562525099</v>
      </c>
      <c r="R26" s="65">
        <v>1.3677752812049875</v>
      </c>
      <c r="S26" s="65">
        <v>1.004454108149349</v>
      </c>
      <c r="T26" s="65">
        <v>1.1216912193604291</v>
      </c>
      <c r="U26" s="65">
        <v>1.3702499068007965</v>
      </c>
      <c r="V26" s="65">
        <v>1.2997052898305441</v>
      </c>
      <c r="W26" s="65">
        <v>1.5351464163320532</v>
      </c>
      <c r="X26" s="65">
        <v>3.323780720969769</v>
      </c>
      <c r="Y26" s="65">
        <v>3.1961507582756572</v>
      </c>
      <c r="DA26" s="109" t="s">
        <v>623</v>
      </c>
    </row>
    <row r="27" spans="1:105" ht="12" customHeight="1" x14ac:dyDescent="0.25">
      <c r="A27" s="144" t="s">
        <v>26</v>
      </c>
      <c r="B27" s="147"/>
      <c r="C27" s="147">
        <v>0</v>
      </c>
      <c r="D27" s="147">
        <v>0</v>
      </c>
      <c r="E27" s="147">
        <v>0</v>
      </c>
      <c r="F27" s="147">
        <v>0</v>
      </c>
      <c r="G27" s="147">
        <v>0</v>
      </c>
      <c r="H27" s="147">
        <v>0</v>
      </c>
      <c r="I27" s="147">
        <v>2.3079376032291571E-2</v>
      </c>
      <c r="J27" s="147">
        <v>0</v>
      </c>
      <c r="K27" s="147">
        <v>0</v>
      </c>
      <c r="L27" s="147">
        <v>3.9971327446786442E-2</v>
      </c>
      <c r="M27" s="147">
        <v>0</v>
      </c>
      <c r="N27" s="147">
        <v>6.1921144786274508E-2</v>
      </c>
      <c r="O27" s="147">
        <v>8.8048514295172486E-18</v>
      </c>
      <c r="P27" s="147">
        <v>0</v>
      </c>
      <c r="Q27" s="147">
        <v>0</v>
      </c>
      <c r="R27" s="147">
        <v>1.335868722620652E-8</v>
      </c>
      <c r="S27" s="147">
        <v>3.6292222321709047E-2</v>
      </c>
      <c r="T27" s="147">
        <v>1.1499608355654937E-9</v>
      </c>
      <c r="U27" s="147">
        <v>1.1209231333094295E-2</v>
      </c>
      <c r="V27" s="147">
        <v>7.7736789502683211E-18</v>
      </c>
      <c r="W27" s="147">
        <v>0.33142976725449569</v>
      </c>
      <c r="X27" s="147">
        <v>0</v>
      </c>
      <c r="Y27" s="147">
        <v>1.2381588784643358E-2</v>
      </c>
      <c r="DA27" s="160" t="s">
        <v>624</v>
      </c>
    </row>
    <row r="28" spans="1:105" ht="12" hidden="1" customHeight="1" x14ac:dyDescent="0.25">
      <c r="A28" s="78" t="s">
        <v>26</v>
      </c>
      <c r="B28" s="68"/>
      <c r="C28" s="68"/>
      <c r="D28" s="68"/>
      <c r="E28" s="68"/>
      <c r="F28" s="68"/>
      <c r="G28" s="68"/>
      <c r="H28" s="68"/>
      <c r="I28" s="68"/>
      <c r="J28" s="68"/>
      <c r="K28" s="68"/>
      <c r="L28" s="68"/>
      <c r="M28" s="68"/>
      <c r="N28" s="68"/>
      <c r="O28" s="68"/>
      <c r="P28" s="68"/>
      <c r="Q28" s="68"/>
      <c r="R28" s="68"/>
      <c r="S28" s="68"/>
      <c r="T28" s="68"/>
      <c r="U28" s="68"/>
      <c r="V28" s="68"/>
      <c r="W28" s="68"/>
      <c r="X28" s="68"/>
      <c r="Y28" s="68"/>
      <c r="DA28" s="111"/>
    </row>
    <row r="29" spans="1:105" ht="12.95" customHeight="1" x14ac:dyDescent="0.25">
      <c r="A29" s="129" t="s">
        <v>34</v>
      </c>
      <c r="B29" s="130"/>
      <c r="C29" s="130">
        <f t="shared" ref="C29:Q29" si="12">SUM(C30:C33)</f>
        <v>12.47549405772012</v>
      </c>
      <c r="D29" s="130">
        <f t="shared" si="12"/>
        <v>3.452402784239661</v>
      </c>
      <c r="E29" s="130">
        <f t="shared" si="12"/>
        <v>12.531224555263718</v>
      </c>
      <c r="F29" s="130">
        <f t="shared" si="12"/>
        <v>17.655823843513474</v>
      </c>
      <c r="G29" s="130">
        <f t="shared" si="12"/>
        <v>18.558277574915191</v>
      </c>
      <c r="H29" s="130">
        <f t="shared" si="12"/>
        <v>13.838826442018076</v>
      </c>
      <c r="I29" s="130">
        <f t="shared" si="12"/>
        <v>4.2121478859063686</v>
      </c>
      <c r="J29" s="130">
        <f t="shared" si="12"/>
        <v>8.8175762635639376</v>
      </c>
      <c r="K29" s="130">
        <f t="shared" si="12"/>
        <v>6.4122168569270599</v>
      </c>
      <c r="L29" s="130">
        <f t="shared" si="12"/>
        <v>10.683505114578722</v>
      </c>
      <c r="M29" s="130">
        <f t="shared" si="12"/>
        <v>11.442255972638419</v>
      </c>
      <c r="N29" s="130">
        <f t="shared" si="12"/>
        <v>8.4761317211179446</v>
      </c>
      <c r="O29" s="130">
        <f t="shared" si="12"/>
        <v>15.669796951688745</v>
      </c>
      <c r="P29" s="130">
        <f t="shared" si="12"/>
        <v>15.308393631458003</v>
      </c>
      <c r="Q29" s="130">
        <f t="shared" si="12"/>
        <v>20.027101603977805</v>
      </c>
      <c r="R29" s="130">
        <f t="shared" ref="R29:W29" si="13">SUM(R30:R33)</f>
        <v>15.677459151428645</v>
      </c>
      <c r="S29" s="130">
        <f t="shared" si="13"/>
        <v>16.43706393329466</v>
      </c>
      <c r="T29" s="130">
        <f t="shared" si="13"/>
        <v>11.184388032334255</v>
      </c>
      <c r="U29" s="130">
        <f t="shared" si="13"/>
        <v>9.6079360339085955</v>
      </c>
      <c r="V29" s="130">
        <f t="shared" si="13"/>
        <v>7.653511548946021</v>
      </c>
      <c r="W29" s="130">
        <f t="shared" si="13"/>
        <v>7.3866521899757345</v>
      </c>
      <c r="X29" s="130">
        <f t="shared" ref="X29:Y29" si="14">SUM(X30:X33)</f>
        <v>7.4885366299935381</v>
      </c>
      <c r="Y29" s="130">
        <f t="shared" si="14"/>
        <v>7.7963584344163621</v>
      </c>
      <c r="DA29" s="155" t="s">
        <v>625</v>
      </c>
    </row>
    <row r="30" spans="1:105" s="2" customFormat="1" ht="12" customHeight="1" x14ac:dyDescent="0.25">
      <c r="A30" s="131" t="s">
        <v>52</v>
      </c>
      <c r="B30" s="132"/>
      <c r="C30" s="132">
        <v>2.1581682411545193</v>
      </c>
      <c r="D30" s="132">
        <v>0.89884600731405229</v>
      </c>
      <c r="E30" s="132">
        <v>4.1136086829216758</v>
      </c>
      <c r="F30" s="132">
        <v>6.5236526760812925</v>
      </c>
      <c r="G30" s="132">
        <v>3.7196016899287083</v>
      </c>
      <c r="H30" s="132">
        <v>0.34650592267056818</v>
      </c>
      <c r="I30" s="132">
        <v>0.52626032853163862</v>
      </c>
      <c r="J30" s="132">
        <v>0</v>
      </c>
      <c r="K30" s="132">
        <v>0</v>
      </c>
      <c r="L30" s="132">
        <v>0</v>
      </c>
      <c r="M30" s="132">
        <v>0</v>
      </c>
      <c r="N30" s="132">
        <v>0.40714398652990064</v>
      </c>
      <c r="O30" s="132">
        <v>1.5427747553438835</v>
      </c>
      <c r="P30" s="132">
        <v>2.6078364957131326</v>
      </c>
      <c r="Q30" s="132">
        <v>3.4666317302878888</v>
      </c>
      <c r="R30" s="132">
        <v>2.2155149095798881</v>
      </c>
      <c r="S30" s="132">
        <v>0.67264218346863758</v>
      </c>
      <c r="T30" s="132">
        <v>0.22601470526680878</v>
      </c>
      <c r="U30" s="132">
        <v>0.16618899333985337</v>
      </c>
      <c r="V30" s="132">
        <v>9.2072302187915303E-2</v>
      </c>
      <c r="W30" s="132">
        <v>2.2016196280125334E-2</v>
      </c>
      <c r="X30" s="132">
        <v>7.3585415870026011E-2</v>
      </c>
      <c r="Y30" s="132">
        <v>0.23262298165838471</v>
      </c>
      <c r="DA30" s="156" t="s">
        <v>626</v>
      </c>
    </row>
    <row r="31" spans="1:105" ht="12" customHeight="1" x14ac:dyDescent="0.25">
      <c r="A31" s="131" t="s">
        <v>149</v>
      </c>
      <c r="B31" s="132"/>
      <c r="C31" s="132">
        <v>6.2420702154667991</v>
      </c>
      <c r="D31" s="132">
        <v>2.5535567769256087</v>
      </c>
      <c r="E31" s="132">
        <v>8.4176158723420418</v>
      </c>
      <c r="F31" s="132">
        <v>11.132171167432181</v>
      </c>
      <c r="G31" s="132">
        <v>14.838675884986483</v>
      </c>
      <c r="H31" s="132">
        <v>7.5215308985665033</v>
      </c>
      <c r="I31" s="132">
        <v>1.1129835201823002</v>
      </c>
      <c r="J31" s="132">
        <v>0.391656540545534</v>
      </c>
      <c r="K31" s="132">
        <v>0.58893479471007792</v>
      </c>
      <c r="L31" s="132">
        <v>2.6002614356447542</v>
      </c>
      <c r="M31" s="132">
        <v>3.881697004349999</v>
      </c>
      <c r="N31" s="132">
        <v>3.8074383867621728</v>
      </c>
      <c r="O31" s="132">
        <v>6.9943669699662374</v>
      </c>
      <c r="P31" s="132">
        <v>7.5336685836585504</v>
      </c>
      <c r="Q31" s="132">
        <v>10.659829378995914</v>
      </c>
      <c r="R31" s="132">
        <v>8.0638531563997322</v>
      </c>
      <c r="S31" s="132">
        <v>8.2206266662278829</v>
      </c>
      <c r="T31" s="132">
        <v>3.7279143495973721</v>
      </c>
      <c r="U31" s="132">
        <v>2.8438502454885737</v>
      </c>
      <c r="V31" s="132">
        <v>2.2833523869226782</v>
      </c>
      <c r="W31" s="132">
        <v>2.0559915413727605</v>
      </c>
      <c r="X31" s="132">
        <v>2.0992668473097407</v>
      </c>
      <c r="Y31" s="132">
        <v>2.9030398960600245</v>
      </c>
      <c r="DA31" s="156" t="s">
        <v>627</v>
      </c>
    </row>
    <row r="32" spans="1:105" ht="12" customHeight="1" x14ac:dyDescent="0.25">
      <c r="A32" s="131" t="s">
        <v>128</v>
      </c>
      <c r="B32" s="132"/>
      <c r="C32" s="132">
        <v>0</v>
      </c>
      <c r="D32" s="132">
        <v>0</v>
      </c>
      <c r="E32" s="132">
        <v>0</v>
      </c>
      <c r="F32" s="132">
        <v>0</v>
      </c>
      <c r="G32" s="132">
        <v>0</v>
      </c>
      <c r="H32" s="132">
        <v>0</v>
      </c>
      <c r="I32" s="132">
        <v>0</v>
      </c>
      <c r="J32" s="132">
        <v>0</v>
      </c>
      <c r="K32" s="132">
        <v>0</v>
      </c>
      <c r="L32" s="132">
        <v>0</v>
      </c>
      <c r="M32" s="132">
        <v>0</v>
      </c>
      <c r="N32" s="132">
        <v>0</v>
      </c>
      <c r="O32" s="132">
        <v>0</v>
      </c>
      <c r="P32" s="132">
        <v>0</v>
      </c>
      <c r="Q32" s="132">
        <v>0</v>
      </c>
      <c r="R32" s="132">
        <v>0</v>
      </c>
      <c r="S32" s="132">
        <v>0</v>
      </c>
      <c r="T32" s="132">
        <v>0</v>
      </c>
      <c r="U32" s="132">
        <v>0</v>
      </c>
      <c r="V32" s="132">
        <v>0</v>
      </c>
      <c r="W32" s="132">
        <v>0</v>
      </c>
      <c r="X32" s="132">
        <v>0</v>
      </c>
      <c r="Y32" s="132">
        <v>0</v>
      </c>
      <c r="DA32" s="156" t="s">
        <v>628</v>
      </c>
    </row>
    <row r="33" spans="1:105" ht="12" customHeight="1" x14ac:dyDescent="0.25">
      <c r="A33" s="62" t="s">
        <v>24</v>
      </c>
      <c r="B33" s="68"/>
      <c r="C33" s="68">
        <v>4.0752556010988021</v>
      </c>
      <c r="D33" s="68">
        <v>0</v>
      </c>
      <c r="E33" s="68">
        <v>0</v>
      </c>
      <c r="F33" s="68">
        <v>0</v>
      </c>
      <c r="G33" s="68">
        <v>0</v>
      </c>
      <c r="H33" s="68">
        <v>5.9707896207810052</v>
      </c>
      <c r="I33" s="68">
        <v>2.5729040371924303</v>
      </c>
      <c r="J33" s="68">
        <v>8.4259197230184029</v>
      </c>
      <c r="K33" s="68">
        <v>5.8232820622169816</v>
      </c>
      <c r="L33" s="68">
        <v>8.0832436789339681</v>
      </c>
      <c r="M33" s="68">
        <v>7.5605589682884196</v>
      </c>
      <c r="N33" s="68">
        <v>4.2615493478258699</v>
      </c>
      <c r="O33" s="68">
        <v>7.1326552263786249</v>
      </c>
      <c r="P33" s="68">
        <v>5.1668885520863199</v>
      </c>
      <c r="Q33" s="68">
        <v>5.9006404946940005</v>
      </c>
      <c r="R33" s="68">
        <v>5.3980910854490247</v>
      </c>
      <c r="S33" s="68">
        <v>7.5437950835981376</v>
      </c>
      <c r="T33" s="68">
        <v>7.2304589774700734</v>
      </c>
      <c r="U33" s="68">
        <v>6.5978967950801684</v>
      </c>
      <c r="V33" s="68">
        <v>5.2780868598354269</v>
      </c>
      <c r="W33" s="68">
        <v>5.3086444523228487</v>
      </c>
      <c r="X33" s="68">
        <v>5.3156843668137714</v>
      </c>
      <c r="Y33" s="68">
        <v>4.6606955566979522</v>
      </c>
      <c r="DA33" s="111" t="s">
        <v>629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0">
    <tabColor theme="6" tint="0.79998168889431442"/>
    <pageSetUpPr fitToPage="1"/>
  </sheetPr>
  <dimension ref="A1:DA33"/>
  <sheetViews>
    <sheetView showGridLines="0" zoomScaleNormal="100" workbookViewId="0">
      <pane xSplit="1" ySplit="1" topLeftCell="G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40.7109375" style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25.5" customHeight="1" x14ac:dyDescent="0.25">
      <c r="A1" s="28" t="s">
        <v>630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X1" s="27">
        <v>2022</v>
      </c>
      <c r="Y1" s="27">
        <v>2023</v>
      </c>
      <c r="DA1" s="87" t="s">
        <v>150</v>
      </c>
    </row>
    <row r="2" spans="1:105" s="2" customFormat="1" ht="12" customHeight="1" x14ac:dyDescent="0.25">
      <c r="DA2" s="7"/>
    </row>
    <row r="3" spans="1:105" ht="12.95" customHeight="1" x14ac:dyDescent="0.25">
      <c r="A3" s="123" t="s">
        <v>82</v>
      </c>
      <c r="B3" s="125"/>
      <c r="C3" s="125">
        <f t="shared" ref="C3:Q3" si="0">SUM(C4,C16,C19,C29)</f>
        <v>61.831843228559705</v>
      </c>
      <c r="D3" s="125">
        <f t="shared" si="0"/>
        <v>19.798265147178853</v>
      </c>
      <c r="E3" s="125">
        <f t="shared" si="0"/>
        <v>52.165751174632206</v>
      </c>
      <c r="F3" s="125">
        <f t="shared" si="0"/>
        <v>60.325416328908958</v>
      </c>
      <c r="G3" s="125">
        <f t="shared" si="0"/>
        <v>75.953620963226314</v>
      </c>
      <c r="H3" s="125">
        <f t="shared" si="0"/>
        <v>93.665597784523115</v>
      </c>
      <c r="I3" s="125">
        <f t="shared" si="0"/>
        <v>36.54170158986733</v>
      </c>
      <c r="J3" s="125">
        <f t="shared" si="0"/>
        <v>35.903452028283141</v>
      </c>
      <c r="K3" s="125">
        <f t="shared" si="0"/>
        <v>25.292158614006603</v>
      </c>
      <c r="L3" s="125">
        <f t="shared" si="0"/>
        <v>44.083841463887097</v>
      </c>
      <c r="M3" s="125">
        <f t="shared" si="0"/>
        <v>42.509480838900217</v>
      </c>
      <c r="N3" s="125">
        <f t="shared" si="0"/>
        <v>30.079048452848891</v>
      </c>
      <c r="O3" s="125">
        <f t="shared" si="0"/>
        <v>45.573698090899072</v>
      </c>
      <c r="P3" s="125">
        <f t="shared" si="0"/>
        <v>39.401107199594541</v>
      </c>
      <c r="Q3" s="125">
        <f t="shared" si="0"/>
        <v>49.542652850524789</v>
      </c>
      <c r="R3" s="125">
        <f t="shared" ref="R3:W3" si="1">SUM(R4,R16,R19,R29)</f>
        <v>39.837912749417178</v>
      </c>
      <c r="S3" s="125">
        <f t="shared" si="1"/>
        <v>45.415111172116937</v>
      </c>
      <c r="T3" s="125">
        <f t="shared" si="1"/>
        <v>32.737732492226641</v>
      </c>
      <c r="U3" s="125">
        <f t="shared" si="1"/>
        <v>28.284145535180812</v>
      </c>
      <c r="V3" s="125">
        <f t="shared" si="1"/>
        <v>22.764665086819605</v>
      </c>
      <c r="W3" s="125">
        <f t="shared" si="1"/>
        <v>22.213862321555148</v>
      </c>
      <c r="X3" s="125">
        <f t="shared" ref="X3:Y3" si="2">SUM(X4,X16,X19,X29)</f>
        <v>19.990830190900528</v>
      </c>
      <c r="Y3" s="125">
        <f t="shared" si="2"/>
        <v>26.277711882024732</v>
      </c>
      <c r="DA3" s="154" t="s">
        <v>631</v>
      </c>
    </row>
    <row r="4" spans="1:105" ht="12.95" customHeight="1" x14ac:dyDescent="0.25">
      <c r="A4" s="129" t="s">
        <v>32</v>
      </c>
      <c r="B4" s="130"/>
      <c r="C4" s="130">
        <f t="shared" ref="C4:Q4" si="3">SUM(C5:C15)</f>
        <v>44.810343237018088</v>
      </c>
      <c r="D4" s="130">
        <f t="shared" si="3"/>
        <v>14.881356836228523</v>
      </c>
      <c r="E4" s="130">
        <f t="shared" si="3"/>
        <v>37.248541160719363</v>
      </c>
      <c r="F4" s="130">
        <f t="shared" si="3"/>
        <v>40.856351854009908</v>
      </c>
      <c r="G4" s="130">
        <f t="shared" si="3"/>
        <v>55.468490172958582</v>
      </c>
      <c r="H4" s="130">
        <f t="shared" si="3"/>
        <v>75.01351532467153</v>
      </c>
      <c r="I4" s="130">
        <f t="shared" si="3"/>
        <v>26.971371448427739</v>
      </c>
      <c r="J4" s="130">
        <f t="shared" si="3"/>
        <v>22.305649172165051</v>
      </c>
      <c r="K4" s="130">
        <f t="shared" si="3"/>
        <v>14.668861288432847</v>
      </c>
      <c r="L4" s="130">
        <f t="shared" si="3"/>
        <v>27.761645810685174</v>
      </c>
      <c r="M4" s="130">
        <f t="shared" si="3"/>
        <v>25.209477287411211</v>
      </c>
      <c r="N4" s="130">
        <f t="shared" si="3"/>
        <v>15.317005166275635</v>
      </c>
      <c r="O4" s="130">
        <f t="shared" si="3"/>
        <v>24.034459339865336</v>
      </c>
      <c r="P4" s="130">
        <f t="shared" si="3"/>
        <v>18.725739162081929</v>
      </c>
      <c r="Q4" s="130">
        <f t="shared" si="3"/>
        <v>23.121037515201284</v>
      </c>
      <c r="R4" s="130">
        <f t="shared" ref="R4:W4" si="4">SUM(R5:R15)</f>
        <v>18.648603905707162</v>
      </c>
      <c r="S4" s="130">
        <f t="shared" si="4"/>
        <v>21.210872667629165</v>
      </c>
      <c r="T4" s="130">
        <f t="shared" si="4"/>
        <v>14.701238120061356</v>
      </c>
      <c r="U4" s="130">
        <f t="shared" si="4"/>
        <v>11.662152382159242</v>
      </c>
      <c r="V4" s="130">
        <f t="shared" si="4"/>
        <v>8.7404096802578444</v>
      </c>
      <c r="W4" s="130">
        <f t="shared" si="4"/>
        <v>7.8818351577376582</v>
      </c>
      <c r="X4" s="130">
        <f t="shared" ref="X4:Y4" si="5">SUM(X5:X15)</f>
        <v>6.1633845810342596</v>
      </c>
      <c r="Y4" s="130">
        <f t="shared" si="5"/>
        <v>11.953142994955678</v>
      </c>
      <c r="DA4" s="155" t="s">
        <v>632</v>
      </c>
    </row>
    <row r="5" spans="1:105" ht="12" customHeight="1" x14ac:dyDescent="0.25">
      <c r="A5" s="131" t="s">
        <v>29</v>
      </c>
      <c r="B5" s="132"/>
      <c r="C5" s="132">
        <v>5.1870819744170994E-2</v>
      </c>
      <c r="D5" s="132">
        <v>8.8760220152247649E-3</v>
      </c>
      <c r="E5" s="132">
        <v>0</v>
      </c>
      <c r="F5" s="132">
        <v>0</v>
      </c>
      <c r="G5" s="132">
        <v>0</v>
      </c>
      <c r="H5" s="132">
        <v>1.1903629162873082E-2</v>
      </c>
      <c r="I5" s="132">
        <v>0</v>
      </c>
      <c r="J5" s="132">
        <v>0</v>
      </c>
      <c r="K5" s="132">
        <v>0</v>
      </c>
      <c r="L5" s="132">
        <v>1.737484710147779E-2</v>
      </c>
      <c r="M5" s="132">
        <v>3.2391547232275192E-2</v>
      </c>
      <c r="N5" s="132">
        <v>8.3296613187871099E-3</v>
      </c>
      <c r="O5" s="132">
        <v>7.3020771063185705E-2</v>
      </c>
      <c r="P5" s="132">
        <v>7.4012703531791003E-3</v>
      </c>
      <c r="Q5" s="132">
        <v>4.3198310132842779E-3</v>
      </c>
      <c r="R5" s="132">
        <v>1.9377247135177258E-2</v>
      </c>
      <c r="S5" s="132">
        <v>0</v>
      </c>
      <c r="T5" s="132">
        <v>0.10306709163737014</v>
      </c>
      <c r="U5" s="132">
        <v>0</v>
      </c>
      <c r="V5" s="132">
        <v>0</v>
      </c>
      <c r="W5" s="132">
        <v>0</v>
      </c>
      <c r="X5" s="132">
        <v>0</v>
      </c>
      <c r="Y5" s="132">
        <v>0</v>
      </c>
      <c r="DA5" s="156" t="s">
        <v>633</v>
      </c>
    </row>
    <row r="6" spans="1:105" ht="12" customHeight="1" x14ac:dyDescent="0.25">
      <c r="A6" s="131" t="s">
        <v>52</v>
      </c>
      <c r="B6" s="132"/>
      <c r="C6" s="132">
        <v>0</v>
      </c>
      <c r="D6" s="132">
        <v>0</v>
      </c>
      <c r="E6" s="132">
        <v>0</v>
      </c>
      <c r="F6" s="132">
        <v>0</v>
      </c>
      <c r="G6" s="132">
        <v>0</v>
      </c>
      <c r="H6" s="132">
        <v>0</v>
      </c>
      <c r="I6" s="132">
        <v>0</v>
      </c>
      <c r="J6" s="132">
        <v>0</v>
      </c>
      <c r="K6" s="132">
        <v>0</v>
      </c>
      <c r="L6" s="132">
        <v>0</v>
      </c>
      <c r="M6" s="132">
        <v>0</v>
      </c>
      <c r="N6" s="132">
        <v>0</v>
      </c>
      <c r="O6" s="132">
        <v>0</v>
      </c>
      <c r="P6" s="132">
        <v>0</v>
      </c>
      <c r="Q6" s="132">
        <v>0</v>
      </c>
      <c r="R6" s="132">
        <v>0</v>
      </c>
      <c r="S6" s="132">
        <v>0</v>
      </c>
      <c r="T6" s="132">
        <v>0</v>
      </c>
      <c r="U6" s="132">
        <v>0</v>
      </c>
      <c r="V6" s="132">
        <v>0</v>
      </c>
      <c r="W6" s="132">
        <v>0</v>
      </c>
      <c r="X6" s="132">
        <v>0</v>
      </c>
      <c r="Y6" s="132">
        <v>0</v>
      </c>
      <c r="DA6" s="156" t="s">
        <v>634</v>
      </c>
    </row>
    <row r="7" spans="1:105" ht="12" customHeight="1" x14ac:dyDescent="0.25">
      <c r="A7" s="131" t="s">
        <v>161</v>
      </c>
      <c r="B7" s="132"/>
      <c r="C7" s="132">
        <v>11.013277335754049</v>
      </c>
      <c r="D7" s="132">
        <v>8.4657788367954119</v>
      </c>
      <c r="E7" s="132">
        <v>4.373527754863205</v>
      </c>
      <c r="F7" s="132">
        <v>9.6453779341687405</v>
      </c>
      <c r="G7" s="132">
        <v>0</v>
      </c>
      <c r="H7" s="132">
        <v>0</v>
      </c>
      <c r="I7" s="132">
        <v>0</v>
      </c>
      <c r="J7" s="132">
        <v>0</v>
      </c>
      <c r="K7" s="132">
        <v>0</v>
      </c>
      <c r="L7" s="132">
        <v>0.91275345012927644</v>
      </c>
      <c r="M7" s="132">
        <v>8.2986194802551729</v>
      </c>
      <c r="N7" s="132">
        <v>2.1005637156959245</v>
      </c>
      <c r="O7" s="132">
        <v>0.62594155589704437</v>
      </c>
      <c r="P7" s="132">
        <v>1.2636487839815771</v>
      </c>
      <c r="Q7" s="132">
        <v>5.216287456208903</v>
      </c>
      <c r="R7" s="132">
        <v>5.8093485709604407</v>
      </c>
      <c r="S7" s="132">
        <v>8.7205732251189296</v>
      </c>
      <c r="T7" s="132">
        <v>5.9237349652841473</v>
      </c>
      <c r="U7" s="132">
        <v>4.1373164137393053</v>
      </c>
      <c r="V7" s="132">
        <v>2.9118054535488787</v>
      </c>
      <c r="W7" s="132">
        <v>4.2212461053234795</v>
      </c>
      <c r="X7" s="132">
        <v>1.5107331899178844</v>
      </c>
      <c r="Y7" s="132">
        <v>0.15725227551502952</v>
      </c>
      <c r="DA7" s="156" t="s">
        <v>635</v>
      </c>
    </row>
    <row r="8" spans="1:105" ht="12" customHeight="1" x14ac:dyDescent="0.25">
      <c r="A8" s="131" t="s">
        <v>73</v>
      </c>
      <c r="B8" s="132"/>
      <c r="C8" s="132">
        <v>0</v>
      </c>
      <c r="D8" s="132">
        <v>0</v>
      </c>
      <c r="E8" s="132">
        <v>0</v>
      </c>
      <c r="F8" s="132">
        <v>0</v>
      </c>
      <c r="G8" s="132">
        <v>0</v>
      </c>
      <c r="H8" s="132">
        <v>0</v>
      </c>
      <c r="I8" s="132">
        <v>0</v>
      </c>
      <c r="J8" s="132">
        <v>0</v>
      </c>
      <c r="K8" s="132">
        <v>0</v>
      </c>
      <c r="L8" s="132">
        <v>0</v>
      </c>
      <c r="M8" s="132">
        <v>0</v>
      </c>
      <c r="N8" s="132">
        <v>0</v>
      </c>
      <c r="O8" s="132">
        <v>0</v>
      </c>
      <c r="P8" s="132">
        <v>0</v>
      </c>
      <c r="Q8" s="132">
        <v>0</v>
      </c>
      <c r="R8" s="132">
        <v>0</v>
      </c>
      <c r="S8" s="132">
        <v>0</v>
      </c>
      <c r="T8" s="132">
        <v>0</v>
      </c>
      <c r="U8" s="132">
        <v>0</v>
      </c>
      <c r="V8" s="132">
        <v>0</v>
      </c>
      <c r="W8" s="132">
        <v>0</v>
      </c>
      <c r="X8" s="132">
        <v>0</v>
      </c>
      <c r="Y8" s="132">
        <v>0</v>
      </c>
      <c r="DA8" s="156" t="s">
        <v>636</v>
      </c>
    </row>
    <row r="9" spans="1:105" ht="12" customHeight="1" x14ac:dyDescent="0.25">
      <c r="A9" s="131" t="s">
        <v>78</v>
      </c>
      <c r="B9" s="132"/>
      <c r="C9" s="132">
        <v>9.947072436928071</v>
      </c>
      <c r="D9" s="132">
        <v>0.74975335416901934</v>
      </c>
      <c r="E9" s="132">
        <v>32.087928240366459</v>
      </c>
      <c r="F9" s="132">
        <v>30.46891696328014</v>
      </c>
      <c r="G9" s="132">
        <v>35.415896725160657</v>
      </c>
      <c r="H9" s="132">
        <v>72.712199260996542</v>
      </c>
      <c r="I9" s="132">
        <v>7.1253522112924195</v>
      </c>
      <c r="J9" s="132">
        <v>5.8777460236276982</v>
      </c>
      <c r="K9" s="132">
        <v>5.678771445056185</v>
      </c>
      <c r="L9" s="132">
        <v>8.4660265552235234</v>
      </c>
      <c r="M9" s="132">
        <v>5.0872223775419005</v>
      </c>
      <c r="N9" s="132">
        <v>6.0887378112232824</v>
      </c>
      <c r="O9" s="132">
        <v>15.489235501437118</v>
      </c>
      <c r="P9" s="132">
        <v>13.598337356814401</v>
      </c>
      <c r="Q9" s="132">
        <v>9.148325797930184</v>
      </c>
      <c r="R9" s="132">
        <v>6.4918992216848306</v>
      </c>
      <c r="S9" s="132">
        <v>9.3610646673159561</v>
      </c>
      <c r="T9" s="132">
        <v>8.3452623452412773</v>
      </c>
      <c r="U9" s="132">
        <v>7.3420763582125153</v>
      </c>
      <c r="V9" s="132">
        <v>4.8554408705183194</v>
      </c>
      <c r="W9" s="132">
        <v>2.8304766582387524</v>
      </c>
      <c r="X9" s="132">
        <v>3.5638278618797452</v>
      </c>
      <c r="Y9" s="132">
        <v>0</v>
      </c>
      <c r="DA9" s="156" t="s">
        <v>637</v>
      </c>
    </row>
    <row r="10" spans="1:105" ht="12" customHeight="1" x14ac:dyDescent="0.25">
      <c r="A10" s="131" t="s">
        <v>128</v>
      </c>
      <c r="B10" s="132"/>
      <c r="C10" s="132">
        <v>22.817087924117974</v>
      </c>
      <c r="D10" s="132">
        <v>4.8866865613128407</v>
      </c>
      <c r="E10" s="132">
        <v>0</v>
      </c>
      <c r="F10" s="132">
        <v>0</v>
      </c>
      <c r="G10" s="132">
        <v>0</v>
      </c>
      <c r="H10" s="132">
        <v>0</v>
      </c>
      <c r="I10" s="132">
        <v>0</v>
      </c>
      <c r="J10" s="132">
        <v>0.94981104713195841</v>
      </c>
      <c r="K10" s="132">
        <v>0</v>
      </c>
      <c r="L10" s="132">
        <v>0</v>
      </c>
      <c r="M10" s="132">
        <v>0</v>
      </c>
      <c r="N10" s="132">
        <v>0</v>
      </c>
      <c r="O10" s="132">
        <v>0.36380070387115088</v>
      </c>
      <c r="P10" s="132">
        <v>2.3266011142818961</v>
      </c>
      <c r="Q10" s="132">
        <v>7.2836290794194651</v>
      </c>
      <c r="R10" s="132">
        <v>5.1602930401492566</v>
      </c>
      <c r="S10" s="132">
        <v>2.2724323926456735</v>
      </c>
      <c r="T10" s="132">
        <v>9.9699913823282471E-2</v>
      </c>
      <c r="U10" s="132">
        <v>0</v>
      </c>
      <c r="V10" s="132">
        <v>0</v>
      </c>
      <c r="W10" s="132">
        <v>0</v>
      </c>
      <c r="X10" s="132">
        <v>0</v>
      </c>
      <c r="Y10" s="132">
        <v>0</v>
      </c>
      <c r="DA10" s="156" t="s">
        <v>638</v>
      </c>
    </row>
    <row r="11" spans="1:105" ht="12" customHeight="1" x14ac:dyDescent="0.25">
      <c r="A11" s="131" t="s">
        <v>25</v>
      </c>
      <c r="B11" s="132"/>
      <c r="C11" s="132">
        <v>0.34492002190917564</v>
      </c>
      <c r="D11" s="132">
        <v>0.54376135921203472</v>
      </c>
      <c r="E11" s="132">
        <v>9.9873386945847381E-2</v>
      </c>
      <c r="F11" s="132">
        <v>0</v>
      </c>
      <c r="G11" s="132">
        <v>0</v>
      </c>
      <c r="H11" s="132">
        <v>0</v>
      </c>
      <c r="I11" s="132">
        <v>0.7234766143110376</v>
      </c>
      <c r="J11" s="132">
        <v>1.1441133154084218</v>
      </c>
      <c r="K11" s="132">
        <v>0.19327583952561278</v>
      </c>
      <c r="L11" s="132">
        <v>0</v>
      </c>
      <c r="M11" s="132">
        <v>0.30319479002922262</v>
      </c>
      <c r="N11" s="132">
        <v>0.38127841749850494</v>
      </c>
      <c r="O11" s="132">
        <v>1.0858368078664484</v>
      </c>
      <c r="P11" s="132">
        <v>1.0986571260186655</v>
      </c>
      <c r="Q11" s="132">
        <v>0.77835619935995837</v>
      </c>
      <c r="R11" s="132">
        <v>0.66861803427029765</v>
      </c>
      <c r="S11" s="132">
        <v>0.54650052490273793</v>
      </c>
      <c r="T11" s="132">
        <v>0</v>
      </c>
      <c r="U11" s="132">
        <v>0</v>
      </c>
      <c r="V11" s="132">
        <v>0</v>
      </c>
      <c r="W11" s="132">
        <v>0</v>
      </c>
      <c r="X11" s="132">
        <v>0</v>
      </c>
      <c r="Y11" s="132">
        <v>0</v>
      </c>
      <c r="DA11" s="156" t="s">
        <v>639</v>
      </c>
    </row>
    <row r="12" spans="1:105" ht="12" customHeight="1" x14ac:dyDescent="0.25">
      <c r="A12" s="131" t="s">
        <v>162</v>
      </c>
      <c r="B12" s="132"/>
      <c r="C12" s="132">
        <v>0</v>
      </c>
      <c r="D12" s="132">
        <v>0</v>
      </c>
      <c r="E12" s="132">
        <v>0</v>
      </c>
      <c r="F12" s="132">
        <v>0</v>
      </c>
      <c r="G12" s="132">
        <v>17.440904679918976</v>
      </c>
      <c r="H12" s="132">
        <v>0.37007835023561542</v>
      </c>
      <c r="I12" s="132">
        <v>7.0329467063750739</v>
      </c>
      <c r="J12" s="132">
        <v>11.361156575204076</v>
      </c>
      <c r="K12" s="132">
        <v>6.3030899706175685</v>
      </c>
      <c r="L12" s="132">
        <v>10.737517112845266</v>
      </c>
      <c r="M12" s="132">
        <v>9.8335746117511071</v>
      </c>
      <c r="N12" s="132">
        <v>6.5731840000390305</v>
      </c>
      <c r="O12" s="132">
        <v>6.0982994829485868</v>
      </c>
      <c r="P12" s="132">
        <v>0.16428378458656512</v>
      </c>
      <c r="Q12" s="132">
        <v>0.39345153202677219</v>
      </c>
      <c r="R12" s="132">
        <v>0.25540611078319975</v>
      </c>
      <c r="S12" s="132">
        <v>0</v>
      </c>
      <c r="T12" s="132">
        <v>0</v>
      </c>
      <c r="U12" s="132">
        <v>0</v>
      </c>
      <c r="V12" s="132">
        <v>0.76561223201089923</v>
      </c>
      <c r="W12" s="132">
        <v>0.50233817943709813</v>
      </c>
      <c r="X12" s="132">
        <v>0.50063717057367563</v>
      </c>
      <c r="Y12" s="132">
        <v>0</v>
      </c>
      <c r="DA12" s="156" t="s">
        <v>640</v>
      </c>
    </row>
    <row r="13" spans="1:105" ht="12" customHeight="1" x14ac:dyDescent="0.25">
      <c r="A13" s="131" t="s">
        <v>77</v>
      </c>
      <c r="B13" s="132"/>
      <c r="C13" s="132">
        <v>0</v>
      </c>
      <c r="D13" s="132">
        <v>0</v>
      </c>
      <c r="E13" s="132">
        <v>0</v>
      </c>
      <c r="F13" s="132">
        <v>0</v>
      </c>
      <c r="G13" s="132">
        <v>0</v>
      </c>
      <c r="H13" s="132">
        <v>0</v>
      </c>
      <c r="I13" s="132">
        <v>0</v>
      </c>
      <c r="J13" s="132">
        <v>0</v>
      </c>
      <c r="K13" s="132">
        <v>0</v>
      </c>
      <c r="L13" s="132">
        <v>0</v>
      </c>
      <c r="M13" s="132">
        <v>0</v>
      </c>
      <c r="N13" s="132">
        <v>0</v>
      </c>
      <c r="O13" s="132">
        <v>0</v>
      </c>
      <c r="P13" s="132">
        <v>0</v>
      </c>
      <c r="Q13" s="132">
        <v>0</v>
      </c>
      <c r="R13" s="132">
        <v>0</v>
      </c>
      <c r="S13" s="132">
        <v>0</v>
      </c>
      <c r="T13" s="132">
        <v>0</v>
      </c>
      <c r="U13" s="132">
        <v>0</v>
      </c>
      <c r="V13" s="132">
        <v>0</v>
      </c>
      <c r="W13" s="132">
        <v>0</v>
      </c>
      <c r="X13" s="132">
        <v>0</v>
      </c>
      <c r="Y13" s="132">
        <v>10.912674848954039</v>
      </c>
      <c r="DA13" s="156" t="s">
        <v>641</v>
      </c>
    </row>
    <row r="14" spans="1:105" ht="12" customHeight="1" x14ac:dyDescent="0.25">
      <c r="A14" s="60" t="s">
        <v>76</v>
      </c>
      <c r="B14" s="65"/>
      <c r="C14" s="65">
        <v>0</v>
      </c>
      <c r="D14" s="65">
        <v>0</v>
      </c>
      <c r="E14" s="65">
        <v>0</v>
      </c>
      <c r="F14" s="65">
        <v>0</v>
      </c>
      <c r="G14" s="65">
        <v>1.8882965596681685</v>
      </c>
      <c r="H14" s="65">
        <v>0.61618464695229969</v>
      </c>
      <c r="I14" s="65">
        <v>11.929778775919708</v>
      </c>
      <c r="J14" s="65">
        <v>2.8080213589481113</v>
      </c>
      <c r="K14" s="65">
        <v>2.3683975530492103</v>
      </c>
      <c r="L14" s="65">
        <v>7.4232778882382151</v>
      </c>
      <c r="M14" s="65">
        <v>1.3872098343394146</v>
      </c>
      <c r="N14" s="65">
        <v>0</v>
      </c>
      <c r="O14" s="65">
        <v>0</v>
      </c>
      <c r="P14" s="65">
        <v>0</v>
      </c>
      <c r="Q14" s="65">
        <v>0</v>
      </c>
      <c r="R14" s="65">
        <v>0</v>
      </c>
      <c r="S14" s="65">
        <v>0</v>
      </c>
      <c r="T14" s="65">
        <v>0</v>
      </c>
      <c r="U14" s="65">
        <v>0</v>
      </c>
      <c r="V14" s="65">
        <v>8.1097389922686294E-2</v>
      </c>
      <c r="W14" s="65">
        <v>0.21384914117712728</v>
      </c>
      <c r="X14" s="65">
        <v>0.50565143280676239</v>
      </c>
      <c r="Y14" s="65">
        <v>0.88071731366535688</v>
      </c>
      <c r="DA14" s="109" t="s">
        <v>642</v>
      </c>
    </row>
    <row r="15" spans="1:105" ht="12" customHeight="1" x14ac:dyDescent="0.25">
      <c r="A15" s="133" t="s">
        <v>80</v>
      </c>
      <c r="B15" s="134"/>
      <c r="C15" s="134">
        <v>0.63611469856465264</v>
      </c>
      <c r="D15" s="134">
        <v>0.22650070272399311</v>
      </c>
      <c r="E15" s="134">
        <v>0.68721177854385196</v>
      </c>
      <c r="F15" s="134">
        <v>0.74205695656103021</v>
      </c>
      <c r="G15" s="134">
        <v>0.72339220821077688</v>
      </c>
      <c r="H15" s="134">
        <v>1.3031494373241894</v>
      </c>
      <c r="I15" s="134">
        <v>0.15981714052950158</v>
      </c>
      <c r="J15" s="134">
        <v>0.16480085184478563</v>
      </c>
      <c r="K15" s="134">
        <v>0.12532648018427067</v>
      </c>
      <c r="L15" s="134">
        <v>0.20469595714741706</v>
      </c>
      <c r="M15" s="134">
        <v>0.26726464626211699</v>
      </c>
      <c r="N15" s="134">
        <v>0.16491156050010458</v>
      </c>
      <c r="O15" s="134">
        <v>0.29832451678179883</v>
      </c>
      <c r="P15" s="134">
        <v>0.26680972604564418</v>
      </c>
      <c r="Q15" s="134">
        <v>0.29666761924271345</v>
      </c>
      <c r="R15" s="134">
        <v>0.24366168072396119</v>
      </c>
      <c r="S15" s="134">
        <v>0.31030185764587004</v>
      </c>
      <c r="T15" s="134">
        <v>0.22947380407527881</v>
      </c>
      <c r="U15" s="134">
        <v>0.1827596102074209</v>
      </c>
      <c r="V15" s="134">
        <v>0.12645373425706222</v>
      </c>
      <c r="W15" s="134">
        <v>0.11392507356120078</v>
      </c>
      <c r="X15" s="134">
        <v>8.2534925856192598E-2</v>
      </c>
      <c r="Y15" s="134">
        <v>2.4985568212538018E-3</v>
      </c>
      <c r="DA15" s="157" t="s">
        <v>643</v>
      </c>
    </row>
    <row r="16" spans="1:105" ht="12.95" customHeight="1" x14ac:dyDescent="0.25">
      <c r="A16" s="129" t="s">
        <v>74</v>
      </c>
      <c r="B16" s="130"/>
      <c r="C16" s="130">
        <f t="shared" ref="C16:Q16" si="6">SUM(C17:C18)</f>
        <v>0.96461999953011779</v>
      </c>
      <c r="D16" s="130">
        <f t="shared" si="6"/>
        <v>1.2191090467557164</v>
      </c>
      <c r="E16" s="130">
        <f t="shared" si="6"/>
        <v>1.095845939616978</v>
      </c>
      <c r="F16" s="130">
        <f t="shared" si="6"/>
        <v>1.2463255622374911</v>
      </c>
      <c r="G16" s="130">
        <f t="shared" si="6"/>
        <v>1.1462680297945322</v>
      </c>
      <c r="H16" s="130">
        <f t="shared" si="6"/>
        <v>1.7369258690999074</v>
      </c>
      <c r="I16" s="130">
        <f t="shared" si="6"/>
        <v>2.48608209598315</v>
      </c>
      <c r="J16" s="130">
        <f t="shared" si="6"/>
        <v>2.2411535257657862</v>
      </c>
      <c r="K16" s="130">
        <f t="shared" si="6"/>
        <v>2.0747088238534634</v>
      </c>
      <c r="L16" s="130">
        <f t="shared" si="6"/>
        <v>2.4817115302325341</v>
      </c>
      <c r="M16" s="130">
        <f t="shared" si="6"/>
        <v>2.9665322176213365</v>
      </c>
      <c r="N16" s="130">
        <f t="shared" si="6"/>
        <v>4.5861790696490594</v>
      </c>
      <c r="O16" s="130">
        <f t="shared" si="6"/>
        <v>2.9831736682832166</v>
      </c>
      <c r="P16" s="130">
        <f t="shared" si="6"/>
        <v>3.2134560032492359</v>
      </c>
      <c r="Q16" s="130">
        <f t="shared" si="6"/>
        <v>3.9656353486111016</v>
      </c>
      <c r="R16" s="130">
        <f t="shared" ref="R16:W16" si="7">SUM(R17:R18)</f>
        <v>2.8654000727402593</v>
      </c>
      <c r="S16" s="130">
        <f t="shared" si="7"/>
        <v>3.55997792488842</v>
      </c>
      <c r="T16" s="130">
        <f t="shared" si="7"/>
        <v>3.1010070255449427</v>
      </c>
      <c r="U16" s="130">
        <f t="shared" si="7"/>
        <v>3.7125647591087296</v>
      </c>
      <c r="V16" s="130">
        <f t="shared" si="7"/>
        <v>3.4785109971359018</v>
      </c>
      <c r="W16" s="130">
        <f t="shared" si="7"/>
        <v>3.6987468576992133</v>
      </c>
      <c r="X16" s="130">
        <f t="shared" ref="X16:Y16" si="8">SUM(X17:X18)</f>
        <v>3.4280742876594399</v>
      </c>
      <c r="Y16" s="130">
        <f t="shared" si="8"/>
        <v>3.6363935594214269</v>
      </c>
      <c r="DA16" s="155" t="s">
        <v>644</v>
      </c>
    </row>
    <row r="17" spans="1:105" ht="12.95" customHeight="1" x14ac:dyDescent="0.25">
      <c r="A17" s="131" t="s">
        <v>73</v>
      </c>
      <c r="B17" s="132"/>
      <c r="C17" s="132">
        <v>0</v>
      </c>
      <c r="D17" s="132">
        <v>0</v>
      </c>
      <c r="E17" s="132">
        <v>0</v>
      </c>
      <c r="F17" s="132">
        <v>0</v>
      </c>
      <c r="G17" s="132">
        <v>0</v>
      </c>
      <c r="H17" s="132">
        <v>0</v>
      </c>
      <c r="I17" s="132">
        <v>0</v>
      </c>
      <c r="J17" s="132">
        <v>0</v>
      </c>
      <c r="K17" s="132">
        <v>0</v>
      </c>
      <c r="L17" s="132">
        <v>0</v>
      </c>
      <c r="M17" s="132">
        <v>0</v>
      </c>
      <c r="N17" s="132">
        <v>0</v>
      </c>
      <c r="O17" s="132">
        <v>0</v>
      </c>
      <c r="P17" s="132">
        <v>0</v>
      </c>
      <c r="Q17" s="132">
        <v>0</v>
      </c>
      <c r="R17" s="132">
        <v>0</v>
      </c>
      <c r="S17" s="132">
        <v>0</v>
      </c>
      <c r="T17" s="132">
        <v>0</v>
      </c>
      <c r="U17" s="132">
        <v>0</v>
      </c>
      <c r="V17" s="132">
        <v>0</v>
      </c>
      <c r="W17" s="132">
        <v>0</v>
      </c>
      <c r="X17" s="132">
        <v>0</v>
      </c>
      <c r="Y17" s="132">
        <v>0</v>
      </c>
      <c r="DA17" s="156" t="s">
        <v>645</v>
      </c>
    </row>
    <row r="18" spans="1:105" ht="12" customHeight="1" x14ac:dyDescent="0.25">
      <c r="A18" s="131" t="s">
        <v>72</v>
      </c>
      <c r="B18" s="132"/>
      <c r="C18" s="132">
        <v>0.96461999953011779</v>
      </c>
      <c r="D18" s="132">
        <v>1.2191090467557164</v>
      </c>
      <c r="E18" s="132">
        <v>1.095845939616978</v>
      </c>
      <c r="F18" s="132">
        <v>1.2463255622374911</v>
      </c>
      <c r="G18" s="132">
        <v>1.1462680297945322</v>
      </c>
      <c r="H18" s="132">
        <v>1.7369258690999074</v>
      </c>
      <c r="I18" s="132">
        <v>2.48608209598315</v>
      </c>
      <c r="J18" s="132">
        <v>2.2411535257657862</v>
      </c>
      <c r="K18" s="132">
        <v>2.0747088238534634</v>
      </c>
      <c r="L18" s="132">
        <v>2.4817115302325341</v>
      </c>
      <c r="M18" s="132">
        <v>2.9665322176213365</v>
      </c>
      <c r="N18" s="132">
        <v>4.5861790696490594</v>
      </c>
      <c r="O18" s="132">
        <v>2.9831736682832166</v>
      </c>
      <c r="P18" s="132">
        <v>3.2134560032492359</v>
      </c>
      <c r="Q18" s="132">
        <v>3.9656353486111016</v>
      </c>
      <c r="R18" s="132">
        <v>2.8654000727402593</v>
      </c>
      <c r="S18" s="132">
        <v>3.55997792488842</v>
      </c>
      <c r="T18" s="132">
        <v>3.1010070255449427</v>
      </c>
      <c r="U18" s="132">
        <v>3.7125647591087296</v>
      </c>
      <c r="V18" s="132">
        <v>3.4785109971359018</v>
      </c>
      <c r="W18" s="132">
        <v>3.6987468576992133</v>
      </c>
      <c r="X18" s="132">
        <v>3.4280742876594399</v>
      </c>
      <c r="Y18" s="132">
        <v>3.6363935594214269</v>
      </c>
      <c r="DA18" s="156" t="s">
        <v>646</v>
      </c>
    </row>
    <row r="19" spans="1:105" ht="12.95" customHeight="1" x14ac:dyDescent="0.25">
      <c r="A19" s="129" t="s">
        <v>35</v>
      </c>
      <c r="B19" s="130"/>
      <c r="C19" s="130">
        <f t="shared" ref="C19:Q19" si="9">SUM(C20:C27)</f>
        <v>7.6823304926292435</v>
      </c>
      <c r="D19" s="130">
        <f t="shared" si="9"/>
        <v>1.5977587525591628</v>
      </c>
      <c r="E19" s="130">
        <f t="shared" si="9"/>
        <v>6.1997783575729191</v>
      </c>
      <c r="F19" s="130">
        <f t="shared" si="9"/>
        <v>7.4822190816195837</v>
      </c>
      <c r="G19" s="130">
        <f t="shared" si="9"/>
        <v>8.0163588205662926</v>
      </c>
      <c r="H19" s="130">
        <f t="shared" si="9"/>
        <v>7.2690494253633151</v>
      </c>
      <c r="I19" s="130">
        <f t="shared" si="9"/>
        <v>3.9977427802133567</v>
      </c>
      <c r="J19" s="130">
        <f t="shared" si="9"/>
        <v>4.2687977716355459</v>
      </c>
      <c r="K19" s="130">
        <f t="shared" si="9"/>
        <v>3.4435737632576884</v>
      </c>
      <c r="L19" s="130">
        <f t="shared" si="9"/>
        <v>5.6423580664221689</v>
      </c>
      <c r="M19" s="130">
        <f t="shared" si="9"/>
        <v>5.7514850555461994</v>
      </c>
      <c r="N19" s="130">
        <f t="shared" si="9"/>
        <v>4.0786564612093246</v>
      </c>
      <c r="O19" s="130">
        <f t="shared" si="9"/>
        <v>7.4055317550835449</v>
      </c>
      <c r="P19" s="130">
        <f t="shared" si="9"/>
        <v>6.9227020512255049</v>
      </c>
      <c r="Q19" s="130">
        <f t="shared" si="9"/>
        <v>8.7836778619702081</v>
      </c>
      <c r="R19" s="130">
        <f t="shared" ref="R19:W19" si="10">SUM(R20:R27)</f>
        <v>7.3311305791253547</v>
      </c>
      <c r="S19" s="130">
        <f t="shared" si="10"/>
        <v>8.4830100817616092</v>
      </c>
      <c r="T19" s="130">
        <f t="shared" si="10"/>
        <v>5.9817565328241473</v>
      </c>
      <c r="U19" s="130">
        <f t="shared" si="10"/>
        <v>4.9888586962927723</v>
      </c>
      <c r="V19" s="130">
        <f t="shared" si="10"/>
        <v>4.1467966005572343</v>
      </c>
      <c r="W19" s="130">
        <f t="shared" si="10"/>
        <v>4.3356251684958798</v>
      </c>
      <c r="X19" s="130">
        <f t="shared" ref="X19:Y19" si="11">SUM(X20:X27)</f>
        <v>4.0114669735140804</v>
      </c>
      <c r="Y19" s="130">
        <f t="shared" si="11"/>
        <v>4.2825946744927821</v>
      </c>
      <c r="DA19" s="155" t="s">
        <v>647</v>
      </c>
    </row>
    <row r="20" spans="1:105" ht="12" customHeight="1" x14ac:dyDescent="0.25">
      <c r="A20" s="131" t="s">
        <v>29</v>
      </c>
      <c r="B20" s="132"/>
      <c r="C20" s="132">
        <v>0</v>
      </c>
      <c r="D20" s="132">
        <v>0</v>
      </c>
      <c r="E20" s="132">
        <v>0</v>
      </c>
      <c r="F20" s="132">
        <v>0</v>
      </c>
      <c r="G20" s="132">
        <v>0</v>
      </c>
      <c r="H20" s="132">
        <v>0</v>
      </c>
      <c r="I20" s="132">
        <v>0</v>
      </c>
      <c r="J20" s="132">
        <v>0</v>
      </c>
      <c r="K20" s="132">
        <v>0</v>
      </c>
      <c r="L20" s="132">
        <v>0</v>
      </c>
      <c r="M20" s="132">
        <v>0</v>
      </c>
      <c r="N20" s="132">
        <v>0</v>
      </c>
      <c r="O20" s="132">
        <v>0</v>
      </c>
      <c r="P20" s="132">
        <v>0</v>
      </c>
      <c r="Q20" s="132">
        <v>0</v>
      </c>
      <c r="R20" s="132">
        <v>0</v>
      </c>
      <c r="S20" s="132">
        <v>0</v>
      </c>
      <c r="T20" s="132">
        <v>0</v>
      </c>
      <c r="U20" s="132">
        <v>0</v>
      </c>
      <c r="V20" s="132">
        <v>0</v>
      </c>
      <c r="W20" s="132">
        <v>0</v>
      </c>
      <c r="X20" s="132">
        <v>0</v>
      </c>
      <c r="Y20" s="132">
        <v>0</v>
      </c>
      <c r="DA20" s="156" t="s">
        <v>648</v>
      </c>
    </row>
    <row r="21" spans="1:105" s="2" customFormat="1" ht="12" customHeight="1" x14ac:dyDescent="0.25">
      <c r="A21" s="131" t="s">
        <v>52</v>
      </c>
      <c r="B21" s="132"/>
      <c r="C21" s="132">
        <v>0</v>
      </c>
      <c r="D21" s="132">
        <v>0</v>
      </c>
      <c r="E21" s="132">
        <v>0</v>
      </c>
      <c r="F21" s="132">
        <v>0</v>
      </c>
      <c r="G21" s="132">
        <v>0</v>
      </c>
      <c r="H21" s="132">
        <v>0</v>
      </c>
      <c r="I21" s="132">
        <v>0</v>
      </c>
      <c r="J21" s="132">
        <v>0</v>
      </c>
      <c r="K21" s="132">
        <v>0</v>
      </c>
      <c r="L21" s="132">
        <v>0</v>
      </c>
      <c r="M21" s="132">
        <v>0</v>
      </c>
      <c r="N21" s="132">
        <v>0</v>
      </c>
      <c r="O21" s="132">
        <v>0</v>
      </c>
      <c r="P21" s="132">
        <v>0</v>
      </c>
      <c r="Q21" s="132">
        <v>0</v>
      </c>
      <c r="R21" s="132">
        <v>0</v>
      </c>
      <c r="S21" s="132">
        <v>0</v>
      </c>
      <c r="T21" s="132">
        <v>0</v>
      </c>
      <c r="U21" s="132">
        <v>0</v>
      </c>
      <c r="V21" s="132">
        <v>0</v>
      </c>
      <c r="W21" s="132">
        <v>0</v>
      </c>
      <c r="X21" s="132">
        <v>0</v>
      </c>
      <c r="Y21" s="132">
        <v>0</v>
      </c>
      <c r="DA21" s="156" t="s">
        <v>649</v>
      </c>
    </row>
    <row r="22" spans="1:105" ht="12" customHeight="1" x14ac:dyDescent="0.25">
      <c r="A22" s="131" t="s">
        <v>161</v>
      </c>
      <c r="B22" s="132"/>
      <c r="C22" s="132">
        <v>0.38763279443672366</v>
      </c>
      <c r="D22" s="132">
        <v>0.70791959556652628</v>
      </c>
      <c r="E22" s="132">
        <v>0.18555445306356286</v>
      </c>
      <c r="F22" s="132">
        <v>0.11388443569777146</v>
      </c>
      <c r="G22" s="132">
        <v>0</v>
      </c>
      <c r="H22" s="132">
        <v>0</v>
      </c>
      <c r="I22" s="132">
        <v>0</v>
      </c>
      <c r="J22" s="132">
        <v>0</v>
      </c>
      <c r="K22" s="132">
        <v>0</v>
      </c>
      <c r="L22" s="132">
        <v>0.54648299804329359</v>
      </c>
      <c r="M22" s="132">
        <v>0.80669174938222921</v>
      </c>
      <c r="N22" s="132">
        <v>0.97703702308368345</v>
      </c>
      <c r="O22" s="132">
        <v>1.7967682372226772</v>
      </c>
      <c r="P22" s="132">
        <v>1.0938189088121513</v>
      </c>
      <c r="Q22" s="132">
        <v>1.3357131924472081</v>
      </c>
      <c r="R22" s="132">
        <v>1.1936921026169782</v>
      </c>
      <c r="S22" s="132">
        <v>2.2652591745245418</v>
      </c>
      <c r="T22" s="132">
        <v>1.6568384649252488</v>
      </c>
      <c r="U22" s="132">
        <v>1.141874892270631</v>
      </c>
      <c r="V22" s="132">
        <v>1.1173045960850172</v>
      </c>
      <c r="W22" s="132">
        <v>1.9146709921641716</v>
      </c>
      <c r="X22" s="132">
        <v>0.90400611161490396</v>
      </c>
      <c r="Y22" s="132">
        <v>0.69365498099628342</v>
      </c>
      <c r="DA22" s="156" t="s">
        <v>650</v>
      </c>
    </row>
    <row r="23" spans="1:105" ht="12" customHeight="1" x14ac:dyDescent="0.25">
      <c r="A23" s="131" t="s">
        <v>149</v>
      </c>
      <c r="B23" s="132"/>
      <c r="C23" s="132">
        <v>0.8452254506241591</v>
      </c>
      <c r="D23" s="132">
        <v>0.84880827418133997</v>
      </c>
      <c r="E23" s="132">
        <v>1.9239690490811741</v>
      </c>
      <c r="F23" s="132">
        <v>6.1776895539906311</v>
      </c>
      <c r="G23" s="132">
        <v>4.5176561807958402</v>
      </c>
      <c r="H23" s="132">
        <v>3.7854067875981934</v>
      </c>
      <c r="I23" s="132">
        <v>3.2151786399031705E-2</v>
      </c>
      <c r="J23" s="132">
        <v>1.1577022760677333</v>
      </c>
      <c r="K23" s="132">
        <v>2.0099034460082934</v>
      </c>
      <c r="L23" s="132">
        <v>2.5554325891114535</v>
      </c>
      <c r="M23" s="132">
        <v>0.92198636201542516</v>
      </c>
      <c r="N23" s="132">
        <v>0.25698884599485811</v>
      </c>
      <c r="O23" s="132">
        <v>2.5398268500835606</v>
      </c>
      <c r="P23" s="132">
        <v>4.4145346856298664</v>
      </c>
      <c r="Q23" s="132">
        <v>6.1539462874992346</v>
      </c>
      <c r="R23" s="132">
        <v>4.9942863030281028</v>
      </c>
      <c r="S23" s="132">
        <v>5.3637076260351906</v>
      </c>
      <c r="T23" s="132">
        <v>3.3647779842523571</v>
      </c>
      <c r="U23" s="132">
        <v>2.5226276412618476</v>
      </c>
      <c r="V23" s="132">
        <v>1.61120120514614</v>
      </c>
      <c r="W23" s="132">
        <v>0.50286973646581967</v>
      </c>
      <c r="X23" s="132">
        <v>0</v>
      </c>
      <c r="Y23" s="132">
        <v>0</v>
      </c>
      <c r="DA23" s="156" t="s">
        <v>651</v>
      </c>
    </row>
    <row r="24" spans="1:105" ht="12" customHeight="1" x14ac:dyDescent="0.25">
      <c r="A24" s="131" t="s">
        <v>128</v>
      </c>
      <c r="B24" s="132"/>
      <c r="C24" s="132">
        <v>0.12197174940127675</v>
      </c>
      <c r="D24" s="132">
        <v>0</v>
      </c>
      <c r="E24" s="132">
        <v>4.8873504860884154E-2</v>
      </c>
      <c r="F24" s="132">
        <v>0</v>
      </c>
      <c r="G24" s="132">
        <v>0</v>
      </c>
      <c r="H24" s="132">
        <v>0</v>
      </c>
      <c r="I24" s="132">
        <v>0</v>
      </c>
      <c r="J24" s="132">
        <v>3.7233893122531343E-2</v>
      </c>
      <c r="K24" s="132">
        <v>0.22116304983207147</v>
      </c>
      <c r="L24" s="132">
        <v>0.60497816736610832</v>
      </c>
      <c r="M24" s="132">
        <v>0.58609557950303914</v>
      </c>
      <c r="N24" s="132">
        <v>0.42729121136618359</v>
      </c>
      <c r="O24" s="132">
        <v>0.46651287124859508</v>
      </c>
      <c r="P24" s="132">
        <v>9.4723645353592109E-2</v>
      </c>
      <c r="Q24" s="132">
        <v>8.171247173287034E-4</v>
      </c>
      <c r="R24" s="132">
        <v>0</v>
      </c>
      <c r="S24" s="132">
        <v>0</v>
      </c>
      <c r="T24" s="132">
        <v>0</v>
      </c>
      <c r="U24" s="132">
        <v>0</v>
      </c>
      <c r="V24" s="132">
        <v>1.0569439092843557E-4</v>
      </c>
      <c r="W24" s="132">
        <v>0</v>
      </c>
      <c r="X24" s="132">
        <v>0</v>
      </c>
      <c r="Y24" s="132">
        <v>2.0823252976686222E-2</v>
      </c>
      <c r="DA24" s="156" t="s">
        <v>652</v>
      </c>
    </row>
    <row r="25" spans="1:105" ht="12" customHeight="1" x14ac:dyDescent="0.25">
      <c r="A25" s="131" t="s">
        <v>162</v>
      </c>
      <c r="B25" s="132"/>
      <c r="C25" s="132">
        <v>0</v>
      </c>
      <c r="D25" s="132">
        <v>0</v>
      </c>
      <c r="E25" s="132">
        <v>0</v>
      </c>
      <c r="F25" s="132">
        <v>0</v>
      </c>
      <c r="G25" s="132">
        <v>0.34059807337582954</v>
      </c>
      <c r="H25" s="132">
        <v>0.62565906139436123</v>
      </c>
      <c r="I25" s="132">
        <v>0.8203536736121978</v>
      </c>
      <c r="J25" s="132">
        <v>1.6012592061899777</v>
      </c>
      <c r="K25" s="132">
        <v>1.2125072674173234</v>
      </c>
      <c r="L25" s="132">
        <v>1.8954929844545267</v>
      </c>
      <c r="M25" s="132">
        <v>1.8124405271254524</v>
      </c>
      <c r="N25" s="132">
        <v>1.2836455881937778</v>
      </c>
      <c r="O25" s="132">
        <v>1.2853942541336538</v>
      </c>
      <c r="P25" s="132">
        <v>1.6731361927880807E-2</v>
      </c>
      <c r="Q25" s="132">
        <v>9.6736998030803878E-2</v>
      </c>
      <c r="R25" s="132">
        <v>5.6593486120172266E-2</v>
      </c>
      <c r="S25" s="132">
        <v>0</v>
      </c>
      <c r="T25" s="132">
        <v>2.4988244508868586E-2</v>
      </c>
      <c r="U25" s="132">
        <v>0.14389210735575461</v>
      </c>
      <c r="V25" s="132">
        <v>0.28407998852574101</v>
      </c>
      <c r="W25" s="132">
        <v>0.22008652081510868</v>
      </c>
      <c r="X25" s="132">
        <v>0.10355179530191819</v>
      </c>
      <c r="Y25" s="132">
        <v>0.62669423653900325</v>
      </c>
      <c r="DA25" s="156" t="s">
        <v>653</v>
      </c>
    </row>
    <row r="26" spans="1:105" ht="12" customHeight="1" x14ac:dyDescent="0.25">
      <c r="A26" s="131" t="s">
        <v>24</v>
      </c>
      <c r="B26" s="65"/>
      <c r="C26" s="65">
        <v>6.3275004981670842</v>
      </c>
      <c r="D26" s="65">
        <v>4.1030882811296528E-2</v>
      </c>
      <c r="E26" s="65">
        <v>4.0413813505672982</v>
      </c>
      <c r="F26" s="65">
        <v>1.1906450919311806</v>
      </c>
      <c r="G26" s="65">
        <v>3.158104566394623</v>
      </c>
      <c r="H26" s="65">
        <v>2.8579835763707608</v>
      </c>
      <c r="I26" s="65">
        <v>3.1221579441698357</v>
      </c>
      <c r="J26" s="65">
        <v>1.472602396255303</v>
      </c>
      <c r="K26" s="65">
        <v>0</v>
      </c>
      <c r="L26" s="65">
        <v>0</v>
      </c>
      <c r="M26" s="65">
        <v>1.624270837520053</v>
      </c>
      <c r="N26" s="65">
        <v>1.0717726477845471</v>
      </c>
      <c r="O26" s="65">
        <v>1.3170295423950582</v>
      </c>
      <c r="P26" s="65">
        <v>1.3028934495020144</v>
      </c>
      <c r="Q26" s="65">
        <v>1.1964642592756325</v>
      </c>
      <c r="R26" s="65">
        <v>1.0865586740014139</v>
      </c>
      <c r="S26" s="65">
        <v>0.81775105888016797</v>
      </c>
      <c r="T26" s="65">
        <v>0.93515183798771118</v>
      </c>
      <c r="U26" s="65">
        <v>1.1692548240714451</v>
      </c>
      <c r="V26" s="65">
        <v>1.134105116409408</v>
      </c>
      <c r="W26" s="65">
        <v>1.3665681517962847</v>
      </c>
      <c r="X26" s="65">
        <v>3.0039090665972581</v>
      </c>
      <c r="Y26" s="65">
        <v>2.9290406151961657</v>
      </c>
      <c r="DA26" s="109" t="s">
        <v>654</v>
      </c>
    </row>
    <row r="27" spans="1:105" ht="12" customHeight="1" x14ac:dyDescent="0.25">
      <c r="A27" s="144" t="s">
        <v>26</v>
      </c>
      <c r="B27" s="147"/>
      <c r="C27" s="147">
        <v>0</v>
      </c>
      <c r="D27" s="147">
        <v>0</v>
      </c>
      <c r="E27" s="147">
        <v>0</v>
      </c>
      <c r="F27" s="147">
        <v>0</v>
      </c>
      <c r="G27" s="147">
        <v>0</v>
      </c>
      <c r="H27" s="147">
        <v>0</v>
      </c>
      <c r="I27" s="147">
        <v>2.3079376032291571E-2</v>
      </c>
      <c r="J27" s="147">
        <v>0</v>
      </c>
      <c r="K27" s="147">
        <v>0</v>
      </c>
      <c r="L27" s="147">
        <v>3.9971327446786442E-2</v>
      </c>
      <c r="M27" s="147">
        <v>0</v>
      </c>
      <c r="N27" s="147">
        <v>6.1921144786274508E-2</v>
      </c>
      <c r="O27" s="147">
        <v>8.8048514295172486E-18</v>
      </c>
      <c r="P27" s="147">
        <v>0</v>
      </c>
      <c r="Q27" s="147">
        <v>0</v>
      </c>
      <c r="R27" s="147">
        <v>1.335868722620652E-8</v>
      </c>
      <c r="S27" s="147">
        <v>3.6292222321709047E-2</v>
      </c>
      <c r="T27" s="147">
        <v>1.1499608355654937E-9</v>
      </c>
      <c r="U27" s="147">
        <v>1.1209231333094295E-2</v>
      </c>
      <c r="V27" s="147">
        <v>7.7736789502683211E-18</v>
      </c>
      <c r="W27" s="147">
        <v>0.33142976725449569</v>
      </c>
      <c r="X27" s="147">
        <v>0</v>
      </c>
      <c r="Y27" s="147">
        <v>1.2381588784643358E-2</v>
      </c>
      <c r="DA27" s="160" t="s">
        <v>655</v>
      </c>
    </row>
    <row r="28" spans="1:105" ht="12" hidden="1" customHeight="1" x14ac:dyDescent="0.25">
      <c r="A28" s="78" t="s">
        <v>26</v>
      </c>
      <c r="B28" s="68"/>
      <c r="C28" s="68"/>
      <c r="D28" s="68"/>
      <c r="E28" s="68"/>
      <c r="F28" s="68"/>
      <c r="G28" s="68"/>
      <c r="H28" s="68"/>
      <c r="I28" s="68"/>
      <c r="J28" s="68"/>
      <c r="K28" s="68"/>
      <c r="L28" s="68"/>
      <c r="M28" s="68"/>
      <c r="N28" s="68"/>
      <c r="O28" s="68"/>
      <c r="P28" s="68"/>
      <c r="Q28" s="68"/>
      <c r="R28" s="68"/>
      <c r="S28" s="68"/>
      <c r="T28" s="68"/>
      <c r="U28" s="68"/>
      <c r="V28" s="68"/>
      <c r="W28" s="68"/>
      <c r="X28" s="68"/>
      <c r="Y28" s="68"/>
      <c r="DA28" s="111"/>
    </row>
    <row r="29" spans="1:105" ht="12.95" customHeight="1" x14ac:dyDescent="0.25">
      <c r="A29" s="129" t="s">
        <v>34</v>
      </c>
      <c r="B29" s="130"/>
      <c r="C29" s="130">
        <f t="shared" ref="C29:Q29" si="12">SUM(C30:C33)</f>
        <v>8.3745494993822618</v>
      </c>
      <c r="D29" s="130">
        <f t="shared" si="12"/>
        <v>2.1000405116354521</v>
      </c>
      <c r="E29" s="130">
        <f t="shared" si="12"/>
        <v>7.6215857167229482</v>
      </c>
      <c r="F29" s="130">
        <f t="shared" si="12"/>
        <v>10.740519831041976</v>
      </c>
      <c r="G29" s="130">
        <f t="shared" si="12"/>
        <v>11.322503939906905</v>
      </c>
      <c r="H29" s="130">
        <f t="shared" si="12"/>
        <v>9.6461071653883632</v>
      </c>
      <c r="I29" s="130">
        <f t="shared" si="12"/>
        <v>3.0865052652430816</v>
      </c>
      <c r="J29" s="130">
        <f t="shared" si="12"/>
        <v>7.0878515587167596</v>
      </c>
      <c r="K29" s="130">
        <f t="shared" si="12"/>
        <v>5.1050147384626037</v>
      </c>
      <c r="L29" s="130">
        <f t="shared" si="12"/>
        <v>8.1981260565472258</v>
      </c>
      <c r="M29" s="130">
        <f t="shared" si="12"/>
        <v>8.5819862783214766</v>
      </c>
      <c r="N29" s="130">
        <f t="shared" si="12"/>
        <v>6.0972077557148721</v>
      </c>
      <c r="O29" s="130">
        <f t="shared" si="12"/>
        <v>11.150533327666967</v>
      </c>
      <c r="P29" s="130">
        <f t="shared" si="12"/>
        <v>10.539209983037871</v>
      </c>
      <c r="Q29" s="130">
        <f t="shared" si="12"/>
        <v>13.672302124742192</v>
      </c>
      <c r="R29" s="130">
        <f t="shared" ref="R29:W29" si="13">SUM(R30:R33)</f>
        <v>10.992778191844407</v>
      </c>
      <c r="S29" s="130">
        <f t="shared" si="13"/>
        <v>12.161250497837742</v>
      </c>
      <c r="T29" s="130">
        <f t="shared" si="13"/>
        <v>8.9537308137961951</v>
      </c>
      <c r="U29" s="130">
        <f t="shared" si="13"/>
        <v>7.9205696976200661</v>
      </c>
      <c r="V29" s="130">
        <f t="shared" si="13"/>
        <v>6.3989478088686251</v>
      </c>
      <c r="W29" s="130">
        <f t="shared" si="13"/>
        <v>6.297655137622395</v>
      </c>
      <c r="X29" s="130">
        <f t="shared" ref="X29:Y29" si="14">SUM(X30:X33)</f>
        <v>6.3879043486927483</v>
      </c>
      <c r="Y29" s="130">
        <f t="shared" si="14"/>
        <v>6.405580653154848</v>
      </c>
      <c r="DA29" s="155" t="s">
        <v>656</v>
      </c>
    </row>
    <row r="30" spans="1:105" s="2" customFormat="1" ht="12" customHeight="1" x14ac:dyDescent="0.25">
      <c r="A30" s="131" t="s">
        <v>52</v>
      </c>
      <c r="B30" s="132"/>
      <c r="C30" s="132">
        <v>1.299774909908511</v>
      </c>
      <c r="D30" s="132">
        <v>0.54167718827537292</v>
      </c>
      <c r="E30" s="132">
        <v>2.4805642677137278</v>
      </c>
      <c r="F30" s="132">
        <v>3.9363202612328538</v>
      </c>
      <c r="G30" s="132">
        <v>2.245783934421536</v>
      </c>
      <c r="H30" s="132">
        <v>0.20934085140371333</v>
      </c>
      <c r="I30" s="132">
        <v>0.31813803985314371</v>
      </c>
      <c r="J30" s="132">
        <v>0</v>
      </c>
      <c r="K30" s="132">
        <v>0</v>
      </c>
      <c r="L30" s="132">
        <v>0</v>
      </c>
      <c r="M30" s="132">
        <v>0</v>
      </c>
      <c r="N30" s="132">
        <v>0.24677332719426093</v>
      </c>
      <c r="O30" s="132">
        <v>0.93523654838331194</v>
      </c>
      <c r="P30" s="132">
        <v>1.5815797520113142</v>
      </c>
      <c r="Q30" s="132">
        <v>2.1061932007971516</v>
      </c>
      <c r="R30" s="132">
        <v>1.3524050070587594</v>
      </c>
      <c r="S30" s="132">
        <v>0.41331376970957118</v>
      </c>
      <c r="T30" s="132">
        <v>0.13987912843362843</v>
      </c>
      <c r="U30" s="132">
        <v>0.1035248248256284</v>
      </c>
      <c r="V30" s="132">
        <v>5.761895481993351E-2</v>
      </c>
      <c r="W30" s="132">
        <v>1.3808096274706206E-2</v>
      </c>
      <c r="X30" s="132">
        <v>4.6179475418594199E-2</v>
      </c>
      <c r="Y30" s="132">
        <v>0.14599447761364387</v>
      </c>
      <c r="DA30" s="156" t="s">
        <v>657</v>
      </c>
    </row>
    <row r="31" spans="1:105" ht="12" customHeight="1" x14ac:dyDescent="0.25">
      <c r="A31" s="131" t="s">
        <v>149</v>
      </c>
      <c r="B31" s="132"/>
      <c r="C31" s="132">
        <v>3.8064007061949026</v>
      </c>
      <c r="D31" s="132">
        <v>1.5583633233600793</v>
      </c>
      <c r="E31" s="132">
        <v>5.1410214490092203</v>
      </c>
      <c r="F31" s="132">
        <v>6.8041995698091222</v>
      </c>
      <c r="G31" s="132">
        <v>9.0767200054853703</v>
      </c>
      <c r="H31" s="132">
        <v>4.6044357821928372</v>
      </c>
      <c r="I31" s="132">
        <v>0.68185976905235557</v>
      </c>
      <c r="J31" s="132">
        <v>0.24013068976244967</v>
      </c>
      <c r="K31" s="132">
        <v>0.36136431657504903</v>
      </c>
      <c r="L31" s="132">
        <v>1.5967269475423094</v>
      </c>
      <c r="M31" s="132">
        <v>2.3850086528981009</v>
      </c>
      <c r="N31" s="132">
        <v>2.3401489640274757</v>
      </c>
      <c r="O31" s="132">
        <v>4.2997584280078494</v>
      </c>
      <c r="P31" s="132">
        <v>4.6338215632361495</v>
      </c>
      <c r="Q31" s="132">
        <v>6.5712347669654534</v>
      </c>
      <c r="R31" s="132">
        <v>4.9998987852329337</v>
      </c>
      <c r="S31" s="132">
        <v>5.1387347546755544</v>
      </c>
      <c r="T31" s="132">
        <v>2.351042391249023</v>
      </c>
      <c r="U31" s="132">
        <v>1.8079083227687882</v>
      </c>
      <c r="V31" s="132">
        <v>1.4597943313337818</v>
      </c>
      <c r="W31" s="132">
        <v>1.3179902348835228</v>
      </c>
      <c r="X31" s="132">
        <v>1.3465626200206666</v>
      </c>
      <c r="Y31" s="132">
        <v>1.8622531017402786</v>
      </c>
      <c r="DA31" s="156" t="s">
        <v>658</v>
      </c>
    </row>
    <row r="32" spans="1:105" ht="12" customHeight="1" x14ac:dyDescent="0.25">
      <c r="A32" s="131" t="s">
        <v>128</v>
      </c>
      <c r="B32" s="132"/>
      <c r="C32" s="132">
        <v>0</v>
      </c>
      <c r="D32" s="132">
        <v>0</v>
      </c>
      <c r="E32" s="132">
        <v>0</v>
      </c>
      <c r="F32" s="132">
        <v>0</v>
      </c>
      <c r="G32" s="132">
        <v>0</v>
      </c>
      <c r="H32" s="132">
        <v>0</v>
      </c>
      <c r="I32" s="132">
        <v>0</v>
      </c>
      <c r="J32" s="132">
        <v>0</v>
      </c>
      <c r="K32" s="132">
        <v>0</v>
      </c>
      <c r="L32" s="132">
        <v>0</v>
      </c>
      <c r="M32" s="132">
        <v>0</v>
      </c>
      <c r="N32" s="132">
        <v>0</v>
      </c>
      <c r="O32" s="132">
        <v>0</v>
      </c>
      <c r="P32" s="132">
        <v>0</v>
      </c>
      <c r="Q32" s="132">
        <v>0</v>
      </c>
      <c r="R32" s="132">
        <v>0</v>
      </c>
      <c r="S32" s="132">
        <v>0</v>
      </c>
      <c r="T32" s="132">
        <v>0</v>
      </c>
      <c r="U32" s="132">
        <v>0</v>
      </c>
      <c r="V32" s="132">
        <v>0</v>
      </c>
      <c r="W32" s="132">
        <v>0</v>
      </c>
      <c r="X32" s="132">
        <v>0</v>
      </c>
      <c r="Y32" s="132">
        <v>0</v>
      </c>
      <c r="DA32" s="156" t="s">
        <v>659</v>
      </c>
    </row>
    <row r="33" spans="1:105" ht="12" customHeight="1" x14ac:dyDescent="0.25">
      <c r="A33" s="62" t="s">
        <v>24</v>
      </c>
      <c r="B33" s="68"/>
      <c r="C33" s="68">
        <v>3.2683738832788478</v>
      </c>
      <c r="D33" s="68">
        <v>0</v>
      </c>
      <c r="E33" s="68">
        <v>0</v>
      </c>
      <c r="F33" s="68">
        <v>0</v>
      </c>
      <c r="G33" s="68">
        <v>0</v>
      </c>
      <c r="H33" s="68">
        <v>4.832330531791813</v>
      </c>
      <c r="I33" s="68">
        <v>2.0865074563375825</v>
      </c>
      <c r="J33" s="68">
        <v>6.8477208689543101</v>
      </c>
      <c r="K33" s="68">
        <v>4.7436504218875548</v>
      </c>
      <c r="L33" s="68">
        <v>6.601399109004916</v>
      </c>
      <c r="M33" s="68">
        <v>6.1969776254233757</v>
      </c>
      <c r="N33" s="68">
        <v>3.5102854644931352</v>
      </c>
      <c r="O33" s="68">
        <v>5.9155383512758064</v>
      </c>
      <c r="P33" s="68">
        <v>4.3238086677904066</v>
      </c>
      <c r="Q33" s="68">
        <v>4.9948741569795878</v>
      </c>
      <c r="R33" s="68">
        <v>4.6404743995527138</v>
      </c>
      <c r="S33" s="68">
        <v>6.6092019734526168</v>
      </c>
      <c r="T33" s="68">
        <v>6.4628092941135442</v>
      </c>
      <c r="U33" s="68">
        <v>6.0091365500256497</v>
      </c>
      <c r="V33" s="68">
        <v>4.8815345227149098</v>
      </c>
      <c r="W33" s="68">
        <v>4.9658568064641662</v>
      </c>
      <c r="X33" s="68">
        <v>4.9951622532534872</v>
      </c>
      <c r="Y33" s="68">
        <v>4.397333073800926</v>
      </c>
      <c r="DA33" s="111" t="s">
        <v>660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4">
    <tabColor theme="6" tint="0.79998168889431442"/>
    <pageSetUpPr fitToPage="1"/>
  </sheetPr>
  <dimension ref="A1:DA33"/>
  <sheetViews>
    <sheetView showGridLines="0" zoomScaleNormal="100" workbookViewId="0">
      <pane xSplit="1" ySplit="1" topLeftCell="G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40.7109375" style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25.5" customHeight="1" x14ac:dyDescent="0.25">
      <c r="A1" s="28" t="s">
        <v>661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X1" s="27">
        <v>2022</v>
      </c>
      <c r="Y1" s="27">
        <v>2023</v>
      </c>
      <c r="DA1" s="87" t="s">
        <v>150</v>
      </c>
    </row>
    <row r="2" spans="1:105" s="2" customFormat="1" ht="12" customHeight="1" x14ac:dyDescent="0.25">
      <c r="DA2" s="7"/>
    </row>
    <row r="3" spans="1:105" ht="12.95" customHeight="1" x14ac:dyDescent="0.25">
      <c r="A3" s="123" t="s">
        <v>83</v>
      </c>
      <c r="B3" s="126"/>
      <c r="C3" s="126">
        <f>IF(SER_hh_tes_in!C3=0,"",SER_hh_tes_in!C3/SER_hh_fec_in!C3)</f>
        <v>0.55782726840186792</v>
      </c>
      <c r="D3" s="126">
        <f>IF(SER_hh_tes_in!D3=0,"",SER_hh_tes_in!D3/SER_hh_fec_in!D3)</f>
        <v>0.55371254414633808</v>
      </c>
      <c r="E3" s="126">
        <f>IF(SER_hh_tes_in!E3=0,"",SER_hh_tes_in!E3/SER_hh_fec_in!E3)</f>
        <v>0.55549164052870703</v>
      </c>
      <c r="F3" s="126">
        <f>IF(SER_hh_tes_in!F3=0,"",SER_hh_tes_in!F3/SER_hh_fec_in!F3)</f>
        <v>0.55492218625406209</v>
      </c>
      <c r="G3" s="126">
        <f>IF(SER_hh_tes_in!G3=0,"",SER_hh_tes_in!G3/SER_hh_fec_in!G3)</f>
        <v>0.61171626313093064</v>
      </c>
      <c r="H3" s="126">
        <f>IF(SER_hh_tes_in!H3=0,"",SER_hh_tes_in!H3/SER_hh_fec_in!H3)</f>
        <v>0.57265069539343838</v>
      </c>
      <c r="I3" s="126">
        <f>IF(SER_hh_tes_in!I3=0,"",SER_hh_tes_in!I3/SER_hh_fec_in!I3)</f>
        <v>0.72006336760406275</v>
      </c>
      <c r="J3" s="126">
        <f>IF(SER_hh_tes_in!J3=0,"",SER_hh_tes_in!J3/SER_hh_fec_in!J3)</f>
        <v>0.74407565263006437</v>
      </c>
      <c r="K3" s="126">
        <f>IF(SER_hh_tes_in!K3=0,"",SER_hh_tes_in!K3/SER_hh_fec_in!K3)</f>
        <v>0.74089965940373947</v>
      </c>
      <c r="L3" s="126">
        <f>IF(SER_hh_tes_in!L3=0,"",SER_hh_tes_in!L3/SER_hh_fec_in!L3)</f>
        <v>0.72669645743809519</v>
      </c>
      <c r="M3" s="126">
        <f>IF(SER_hh_tes_in!M3=0,"",SER_hh_tes_in!M3/SER_hh_fec_in!M3)</f>
        <v>0.71153471821248204</v>
      </c>
      <c r="N3" s="126">
        <f>IF(SER_hh_tes_in!N3=0,"",SER_hh_tes_in!N3/SER_hh_fec_in!N3)</f>
        <v>0.7800038541425699</v>
      </c>
      <c r="O3" s="126">
        <f>IF(SER_hh_tes_in!O3=0,"",SER_hh_tes_in!O3/SER_hh_fec_in!O3)</f>
        <v>0.72319208814871128</v>
      </c>
      <c r="P3" s="126">
        <f>IF(SER_hh_tes_in!P3=0,"",SER_hh_tes_in!P3/SER_hh_fec_in!P3)</f>
        <v>0.72061468808103712</v>
      </c>
      <c r="Q3" s="126">
        <f>IF(SER_hh_tes_in!Q3=0,"",SER_hh_tes_in!Q3/SER_hh_fec_in!Q3)</f>
        <v>0.71433078193054644</v>
      </c>
      <c r="R3" s="126">
        <f>IF(SER_hh_tes_in!R3=0,"",SER_hh_tes_in!R3/SER_hh_fec_in!R3)</f>
        <v>0.72522018251193321</v>
      </c>
      <c r="S3" s="126">
        <f>IF(SER_hh_tes_in!S3=0,"",SER_hh_tes_in!S3/SER_hh_fec_in!S3)</f>
        <v>0.76148001448243463</v>
      </c>
      <c r="T3" s="126">
        <f>IF(SER_hh_tes_in!T3=0,"",SER_hh_tes_in!T3/SER_hh_fec_in!T3)</f>
        <v>0.80861735801166301</v>
      </c>
      <c r="U3" s="126">
        <f>IF(SER_hh_tes_in!U3=0,"",SER_hh_tes_in!U3/SER_hh_fec_in!U3)</f>
        <v>0.85431690145506722</v>
      </c>
      <c r="V3" s="126">
        <f>IF(SER_hh_tes_in!V3=0,"",SER_hh_tes_in!V3/SER_hh_fec_in!V3)</f>
        <v>0.88902854412400889</v>
      </c>
      <c r="W3" s="126">
        <f>IF(SER_hh_tes_in!W3=0,"",SER_hh_tes_in!W3/SER_hh_fec_in!W3)</f>
        <v>0.90581771430664781</v>
      </c>
      <c r="X3" s="126">
        <f>IF(SER_hh_tes_in!X3=0,"",SER_hh_tes_in!X3/SER_hh_fec_in!X3)</f>
        <v>0.94380889747989583</v>
      </c>
      <c r="Y3" s="126">
        <f>IF(SER_hh_tes_in!Y3=0,"",SER_hh_tes_in!Y3/SER_hh_fec_in!Y3)</f>
        <v>1.4790301635211556</v>
      </c>
      <c r="DA3" s="161" t="s">
        <v>662</v>
      </c>
    </row>
    <row r="4" spans="1:105" ht="12.95" customHeight="1" x14ac:dyDescent="0.25">
      <c r="A4" s="129" t="s">
        <v>32</v>
      </c>
      <c r="B4" s="135"/>
      <c r="C4" s="135">
        <f>IF(SER_hh_tes_in!C4=0,"",SER_hh_tes_in!C4/SER_hh_fec_in!C4)</f>
        <v>0.52488825911226245</v>
      </c>
      <c r="D4" s="135">
        <f>IF(SER_hh_tes_in!D4=0,"",SER_hh_tes_in!D4/SER_hh_fec_in!D4)</f>
        <v>0.51782713718279405</v>
      </c>
      <c r="E4" s="135">
        <f>IF(SER_hh_tes_in!E4=0,"",SER_hh_tes_in!E4/SER_hh_fec_in!E4)</f>
        <v>0.52712331241328769</v>
      </c>
      <c r="F4" s="135">
        <f>IF(SER_hh_tes_in!F4=0,"",SER_hh_tes_in!F4/SER_hh_fec_in!F4)</f>
        <v>0.52712735360128882</v>
      </c>
      <c r="G4" s="135">
        <f>IF(SER_hh_tes_in!G4=0,"",SER_hh_tes_in!G4/SER_hh_fec_in!G4)</f>
        <v>0.60363795038828827</v>
      </c>
      <c r="H4" s="135">
        <f>IF(SER_hh_tes_in!H4=0,"",SER_hh_tes_in!H4/SER_hh_fec_in!H4)</f>
        <v>0.54644419050855542</v>
      </c>
      <c r="I4" s="135">
        <f>IF(SER_hh_tes_in!I4=0,"",SER_hh_tes_in!I4/SER_hh_fec_in!I4)</f>
        <v>0.68027749804739679</v>
      </c>
      <c r="J4" s="135">
        <f>IF(SER_hh_tes_in!J4=0,"",SER_hh_tes_in!J4/SER_hh_fec_in!J4)</f>
        <v>0.69059985482020891</v>
      </c>
      <c r="K4" s="135">
        <f>IF(SER_hh_tes_in!K4=0,"",SER_hh_tes_in!K4/SER_hh_fec_in!K4)</f>
        <v>0.67400469209592706</v>
      </c>
      <c r="L4" s="135">
        <f>IF(SER_hh_tes_in!L4=0,"",SER_hh_tes_in!L4/SER_hh_fec_in!L4)</f>
        <v>0.68427911916796613</v>
      </c>
      <c r="M4" s="135">
        <f>IF(SER_hh_tes_in!M4=0,"",SER_hh_tes_in!M4/SER_hh_fec_in!M4)</f>
        <v>0.64975214115810265</v>
      </c>
      <c r="N4" s="135">
        <f>IF(SER_hh_tes_in!N4=0,"",SER_hh_tes_in!N4/SER_hh_fec_in!N4)</f>
        <v>0.67629778412276731</v>
      </c>
      <c r="O4" s="135">
        <f>IF(SER_hh_tes_in!O4=0,"",SER_hh_tes_in!O4/SER_hh_fec_in!O4)</f>
        <v>0.67575148811640617</v>
      </c>
      <c r="P4" s="135">
        <f>IF(SER_hh_tes_in!P4=0,"",SER_hh_tes_in!P4/SER_hh_fec_in!P4)</f>
        <v>0.6554492176952178</v>
      </c>
      <c r="Q4" s="135">
        <f>IF(SER_hh_tes_in!Q4=0,"",SER_hh_tes_in!Q4/SER_hh_fec_in!Q4)</f>
        <v>0.63873648347572665</v>
      </c>
      <c r="R4" s="135">
        <f>IF(SER_hh_tes_in!R4=0,"",SER_hh_tes_in!R4/SER_hh_fec_in!R4)</f>
        <v>0.65004851828681975</v>
      </c>
      <c r="S4" s="135">
        <f>IF(SER_hh_tes_in!S4=0,"",SER_hh_tes_in!S4/SER_hh_fec_in!S4)</f>
        <v>0.68322897581240372</v>
      </c>
      <c r="T4" s="135">
        <f>IF(SER_hh_tes_in!T4=0,"",SER_hh_tes_in!T4/SER_hh_fec_in!T4)</f>
        <v>0.70874652149682116</v>
      </c>
      <c r="U4" s="135">
        <f>IF(SER_hh_tes_in!U4=0,"",SER_hh_tes_in!U4/SER_hh_fec_in!U4)</f>
        <v>0.71819088249292573</v>
      </c>
      <c r="V4" s="135">
        <f>IF(SER_hh_tes_in!V4=0,"",SER_hh_tes_in!V4/SER_hh_fec_in!V4)</f>
        <v>0.73399785637254455</v>
      </c>
      <c r="W4" s="135">
        <f>IF(SER_hh_tes_in!W4=0,"",SER_hh_tes_in!W4/SER_hh_fec_in!W4)</f>
        <v>0.72280275850031916</v>
      </c>
      <c r="X4" s="135">
        <f>IF(SER_hh_tes_in!X4=0,"",SER_hh_tes_in!X4/SER_hh_fec_in!X4)</f>
        <v>0.75497022856062035</v>
      </c>
      <c r="Y4" s="135">
        <f>IF(SER_hh_tes_in!Y4=0,"",SER_hh_tes_in!Y4/SER_hh_fec_in!Y4)</f>
        <v>2.8720640817291558</v>
      </c>
      <c r="DA4" s="162" t="s">
        <v>663</v>
      </c>
    </row>
    <row r="5" spans="1:105" ht="12" customHeight="1" x14ac:dyDescent="0.25">
      <c r="A5" s="131" t="s">
        <v>29</v>
      </c>
      <c r="B5" s="136"/>
      <c r="C5" s="136">
        <f>IF(SER_hh_tes_in!C5=0,"",SER_hh_tes_in!C5/SER_hh_fec_in!C5)</f>
        <v>0.57842401329532878</v>
      </c>
      <c r="D5" s="136">
        <f>IF(SER_hh_tes_in!D5=0,"",SER_hh_tes_in!D5/SER_hh_fec_in!D5)</f>
        <v>0.58535623878948706</v>
      </c>
      <c r="E5" s="136" t="str">
        <f>IF(SER_hh_tes_in!E5=0,"",SER_hh_tes_in!E5/SER_hh_fec_in!E5)</f>
        <v/>
      </c>
      <c r="F5" s="136" t="str">
        <f>IF(SER_hh_tes_in!F5=0,"",SER_hh_tes_in!F5/SER_hh_fec_in!F5)</f>
        <v/>
      </c>
      <c r="G5" s="136" t="str">
        <f>IF(SER_hh_tes_in!G5=0,"",SER_hh_tes_in!G5/SER_hh_fec_in!G5)</f>
        <v/>
      </c>
      <c r="H5" s="136">
        <f>IF(SER_hh_tes_in!H5=0,"",SER_hh_tes_in!H5/SER_hh_fec_in!H5)</f>
        <v>0.61294231901590024</v>
      </c>
      <c r="I5" s="136" t="str">
        <f>IF(SER_hh_tes_in!I5=0,"",SER_hh_tes_in!I5/SER_hh_fec_in!I5)</f>
        <v/>
      </c>
      <c r="J5" s="136" t="str">
        <f>IF(SER_hh_tes_in!J5=0,"",SER_hh_tes_in!J5/SER_hh_fec_in!J5)</f>
        <v/>
      </c>
      <c r="K5" s="136" t="str">
        <f>IF(SER_hh_tes_in!K5=0,"",SER_hh_tes_in!K5/SER_hh_fec_in!K5)</f>
        <v/>
      </c>
      <c r="L5" s="136">
        <f>IF(SER_hh_tes_in!L5=0,"",SER_hh_tes_in!L5/SER_hh_fec_in!L5)</f>
        <v>0.64009267202672182</v>
      </c>
      <c r="M5" s="136">
        <f>IF(SER_hh_tes_in!M5=0,"",SER_hh_tes_in!M5/SER_hh_fec_in!M5)</f>
        <v>0.64629717527561392</v>
      </c>
      <c r="N5" s="136">
        <f>IF(SER_hh_tes_in!N5=0,"",SER_hh_tes_in!N5/SER_hh_fec_in!N5)</f>
        <v>0.65183902260732174</v>
      </c>
      <c r="O5" s="136">
        <f>IF(SER_hh_tes_in!O5=0,"",SER_hh_tes_in!O5/SER_hh_fec_in!O5)</f>
        <v>0.65672251268030934</v>
      </c>
      <c r="P5" s="136">
        <f>IF(SER_hh_tes_in!P5=0,"",SER_hh_tes_in!P5/SER_hh_fec_in!P5)</f>
        <v>0.66146852288367453</v>
      </c>
      <c r="Q5" s="136">
        <f>IF(SER_hh_tes_in!Q5=0,"",SER_hh_tes_in!Q5/SER_hh_fec_in!Q5)</f>
        <v>0.66759780199451579</v>
      </c>
      <c r="R5" s="136">
        <f>IF(SER_hh_tes_in!R5=0,"",SER_hh_tes_in!R5/SER_hh_fec_in!R5)</f>
        <v>0.67699827695319925</v>
      </c>
      <c r="S5" s="136" t="str">
        <f>IF(SER_hh_tes_in!S5=0,"",SER_hh_tes_in!S5/SER_hh_fec_in!S5)</f>
        <v/>
      </c>
      <c r="T5" s="136">
        <f>IF(SER_hh_tes_in!T5=0,"",SER_hh_tes_in!T5/SER_hh_fec_in!T5)</f>
        <v>0.70009110095720739</v>
      </c>
      <c r="U5" s="136" t="str">
        <f>IF(SER_hh_tes_in!U5=0,"",SER_hh_tes_in!U5/SER_hh_fec_in!U5)</f>
        <v/>
      </c>
      <c r="V5" s="136" t="str">
        <f>IF(SER_hh_tes_in!V5=0,"",SER_hh_tes_in!V5/SER_hh_fec_in!V5)</f>
        <v/>
      </c>
      <c r="W5" s="136" t="str">
        <f>IF(SER_hh_tes_in!W5=0,"",SER_hh_tes_in!W5/SER_hh_fec_in!W5)</f>
        <v/>
      </c>
      <c r="X5" s="136" t="str">
        <f>IF(SER_hh_tes_in!X5=0,"",SER_hh_tes_in!X5/SER_hh_fec_in!X5)</f>
        <v/>
      </c>
      <c r="Y5" s="136" t="str">
        <f>IF(SER_hh_tes_in!Y5=0,"",SER_hh_tes_in!Y5/SER_hh_fec_in!Y5)</f>
        <v/>
      </c>
      <c r="DA5" s="163" t="s">
        <v>664</v>
      </c>
    </row>
    <row r="6" spans="1:105" ht="12" customHeight="1" x14ac:dyDescent="0.25">
      <c r="A6" s="131" t="s">
        <v>52</v>
      </c>
      <c r="B6" s="136"/>
      <c r="C6" s="136" t="str">
        <f>IF(SER_hh_tes_in!C6=0,"",SER_hh_tes_in!C6/SER_hh_fec_in!C6)</f>
        <v/>
      </c>
      <c r="D6" s="136" t="str">
        <f>IF(SER_hh_tes_in!D6=0,"",SER_hh_tes_in!D6/SER_hh_fec_in!D6)</f>
        <v/>
      </c>
      <c r="E6" s="136" t="str">
        <f>IF(SER_hh_tes_in!E6=0,"",SER_hh_tes_in!E6/SER_hh_fec_in!E6)</f>
        <v/>
      </c>
      <c r="F6" s="136" t="str">
        <f>IF(SER_hh_tes_in!F6=0,"",SER_hh_tes_in!F6/SER_hh_fec_in!F6)</f>
        <v/>
      </c>
      <c r="G6" s="136" t="str">
        <f>IF(SER_hh_tes_in!G6=0,"",SER_hh_tes_in!G6/SER_hh_fec_in!G6)</f>
        <v/>
      </c>
      <c r="H6" s="136" t="str">
        <f>IF(SER_hh_tes_in!H6=0,"",SER_hh_tes_in!H6/SER_hh_fec_in!H6)</f>
        <v/>
      </c>
      <c r="I6" s="136" t="str">
        <f>IF(SER_hh_tes_in!I6=0,"",SER_hh_tes_in!I6/SER_hh_fec_in!I6)</f>
        <v/>
      </c>
      <c r="J6" s="136" t="str">
        <f>IF(SER_hh_tes_in!J6=0,"",SER_hh_tes_in!J6/SER_hh_fec_in!J6)</f>
        <v/>
      </c>
      <c r="K6" s="136" t="str">
        <f>IF(SER_hh_tes_in!K6=0,"",SER_hh_tes_in!K6/SER_hh_fec_in!K6)</f>
        <v/>
      </c>
      <c r="L6" s="136" t="str">
        <f>IF(SER_hh_tes_in!L6=0,"",SER_hh_tes_in!L6/SER_hh_fec_in!L6)</f>
        <v/>
      </c>
      <c r="M6" s="136" t="str">
        <f>IF(SER_hh_tes_in!M6=0,"",SER_hh_tes_in!M6/SER_hh_fec_in!M6)</f>
        <v/>
      </c>
      <c r="N6" s="136" t="str">
        <f>IF(SER_hh_tes_in!N6=0,"",SER_hh_tes_in!N6/SER_hh_fec_in!N6)</f>
        <v/>
      </c>
      <c r="O6" s="136" t="str">
        <f>IF(SER_hh_tes_in!O6=0,"",SER_hh_tes_in!O6/SER_hh_fec_in!O6)</f>
        <v/>
      </c>
      <c r="P6" s="136" t="str">
        <f>IF(SER_hh_tes_in!P6=0,"",SER_hh_tes_in!P6/SER_hh_fec_in!P6)</f>
        <v/>
      </c>
      <c r="Q6" s="136" t="str">
        <f>IF(SER_hh_tes_in!Q6=0,"",SER_hh_tes_in!Q6/SER_hh_fec_in!Q6)</f>
        <v/>
      </c>
      <c r="R6" s="136" t="str">
        <f>IF(SER_hh_tes_in!R6=0,"",SER_hh_tes_in!R6/SER_hh_fec_in!R6)</f>
        <v/>
      </c>
      <c r="S6" s="136" t="str">
        <f>IF(SER_hh_tes_in!S6=0,"",SER_hh_tes_in!S6/SER_hh_fec_in!S6)</f>
        <v/>
      </c>
      <c r="T6" s="136" t="str">
        <f>IF(SER_hh_tes_in!T6=0,"",SER_hh_tes_in!T6/SER_hh_fec_in!T6)</f>
        <v/>
      </c>
      <c r="U6" s="136" t="str">
        <f>IF(SER_hh_tes_in!U6=0,"",SER_hh_tes_in!U6/SER_hh_fec_in!U6)</f>
        <v/>
      </c>
      <c r="V6" s="136" t="str">
        <f>IF(SER_hh_tes_in!V6=0,"",SER_hh_tes_in!V6/SER_hh_fec_in!V6)</f>
        <v/>
      </c>
      <c r="W6" s="136" t="str">
        <f>IF(SER_hh_tes_in!W6=0,"",SER_hh_tes_in!W6/SER_hh_fec_in!W6)</f>
        <v/>
      </c>
      <c r="X6" s="136" t="str">
        <f>IF(SER_hh_tes_in!X6=0,"",SER_hh_tes_in!X6/SER_hh_fec_in!X6)</f>
        <v/>
      </c>
      <c r="Y6" s="136" t="str">
        <f>IF(SER_hh_tes_in!Y6=0,"",SER_hh_tes_in!Y6/SER_hh_fec_in!Y6)</f>
        <v/>
      </c>
      <c r="DA6" s="163" t="s">
        <v>665</v>
      </c>
    </row>
    <row r="7" spans="1:105" ht="12" customHeight="1" x14ac:dyDescent="0.25">
      <c r="A7" s="131" t="s">
        <v>161</v>
      </c>
      <c r="B7" s="136"/>
      <c r="C7" s="136">
        <f>IF(SER_hh_tes_in!C7=0,"",SER_hh_tes_in!C7/SER_hh_fec_in!C7)</f>
        <v>0.48432161847652283</v>
      </c>
      <c r="D7" s="136">
        <f>IF(SER_hh_tes_in!D7=0,"",SER_hh_tes_in!D7/SER_hh_fec_in!D7)</f>
        <v>0.4890009464171326</v>
      </c>
      <c r="E7" s="136">
        <f>IF(SER_hh_tes_in!E7=0,"",SER_hh_tes_in!E7/SER_hh_fec_in!E7)</f>
        <v>0.49392938005804182</v>
      </c>
      <c r="F7" s="136">
        <f>IF(SER_hh_tes_in!F7=0,"",SER_hh_tes_in!F7/SER_hh_fec_in!F7)</f>
        <v>0.49883088714864643</v>
      </c>
      <c r="G7" s="136" t="str">
        <f>IF(SER_hh_tes_in!G7=0,"",SER_hh_tes_in!G7/SER_hh_fec_in!G7)</f>
        <v/>
      </c>
      <c r="H7" s="136" t="str">
        <f>IF(SER_hh_tes_in!H7=0,"",SER_hh_tes_in!H7/SER_hh_fec_in!H7)</f>
        <v/>
      </c>
      <c r="I7" s="136" t="str">
        <f>IF(SER_hh_tes_in!I7=0,"",SER_hh_tes_in!I7/SER_hh_fec_in!I7)</f>
        <v/>
      </c>
      <c r="J7" s="136" t="str">
        <f>IF(SER_hh_tes_in!J7=0,"",SER_hh_tes_in!J7/SER_hh_fec_in!J7)</f>
        <v/>
      </c>
      <c r="K7" s="136" t="str">
        <f>IF(SER_hh_tes_in!K7=0,"",SER_hh_tes_in!K7/SER_hh_fec_in!K7)</f>
        <v/>
      </c>
      <c r="L7" s="136">
        <f>IF(SER_hh_tes_in!L7=0,"",SER_hh_tes_in!L7/SER_hh_fec_in!L7)</f>
        <v>0.53501881213032221</v>
      </c>
      <c r="M7" s="136">
        <f>IF(SER_hh_tes_in!M7=0,"",SER_hh_tes_in!M7/SER_hh_fec_in!M7)</f>
        <v>0.54850619979267123</v>
      </c>
      <c r="N7" s="136">
        <f>IF(SER_hh_tes_in!N7=0,"",SER_hh_tes_in!N7/SER_hh_fec_in!N7)</f>
        <v>0.56961325684309605</v>
      </c>
      <c r="O7" s="136">
        <f>IF(SER_hh_tes_in!O7=0,"",SER_hh_tes_in!O7/SER_hh_fec_in!O7)</f>
        <v>0.59914744957810218</v>
      </c>
      <c r="P7" s="136">
        <f>IF(SER_hh_tes_in!P7=0,"",SER_hh_tes_in!P7/SER_hh_fec_in!P7)</f>
        <v>0.63318425217158436</v>
      </c>
      <c r="Q7" s="136">
        <f>IF(SER_hh_tes_in!Q7=0,"",SER_hh_tes_in!Q7/SER_hh_fec_in!Q7)</f>
        <v>0.66036304258459499</v>
      </c>
      <c r="R7" s="136">
        <f>IF(SER_hh_tes_in!R7=0,"",SER_hh_tes_in!R7/SER_hh_fec_in!R7)</f>
        <v>0.67071751892100673</v>
      </c>
      <c r="S7" s="136">
        <f>IF(SER_hh_tes_in!S7=0,"",SER_hh_tes_in!S7/SER_hh_fec_in!S7)</f>
        <v>0.67559128555368486</v>
      </c>
      <c r="T7" s="136">
        <f>IF(SER_hh_tes_in!T7=0,"",SER_hh_tes_in!T7/SER_hh_fec_in!T7)</f>
        <v>0.67720912113096166</v>
      </c>
      <c r="U7" s="136">
        <f>IF(SER_hh_tes_in!U7=0,"",SER_hh_tes_in!U7/SER_hh_fec_in!U7)</f>
        <v>0.67768329243442049</v>
      </c>
      <c r="V7" s="136">
        <f>IF(SER_hh_tes_in!V7=0,"",SER_hh_tes_in!V7/SER_hh_fec_in!V7)</f>
        <v>0.67904500632836606</v>
      </c>
      <c r="W7" s="136">
        <f>IF(SER_hh_tes_in!W7=0,"",SER_hh_tes_in!W7/SER_hh_fec_in!W7)</f>
        <v>0.68092923100774749</v>
      </c>
      <c r="X7" s="136">
        <f>IF(SER_hh_tes_in!X7=0,"",SER_hh_tes_in!X7/SER_hh_fec_in!X7)</f>
        <v>0.68202491973961876</v>
      </c>
      <c r="Y7" s="136">
        <f>IF(SER_hh_tes_in!Y7=0,"",SER_hh_tes_in!Y7/SER_hh_fec_in!Y7)</f>
        <v>0.68272710632221922</v>
      </c>
      <c r="DA7" s="163" t="s">
        <v>666</v>
      </c>
    </row>
    <row r="8" spans="1:105" ht="12" customHeight="1" x14ac:dyDescent="0.25">
      <c r="A8" s="131" t="s">
        <v>73</v>
      </c>
      <c r="B8" s="136"/>
      <c r="C8" s="136" t="str">
        <f>IF(SER_hh_tes_in!C8=0,"",SER_hh_tes_in!C8/SER_hh_fec_in!C8)</f>
        <v/>
      </c>
      <c r="D8" s="136" t="str">
        <f>IF(SER_hh_tes_in!D8=0,"",SER_hh_tes_in!D8/SER_hh_fec_in!D8)</f>
        <v/>
      </c>
      <c r="E8" s="136" t="str">
        <f>IF(SER_hh_tes_in!E8=0,"",SER_hh_tes_in!E8/SER_hh_fec_in!E8)</f>
        <v/>
      </c>
      <c r="F8" s="136" t="str">
        <f>IF(SER_hh_tes_in!F8=0,"",SER_hh_tes_in!F8/SER_hh_fec_in!F8)</f>
        <v/>
      </c>
      <c r="G8" s="136" t="str">
        <f>IF(SER_hh_tes_in!G8=0,"",SER_hh_tes_in!G8/SER_hh_fec_in!G8)</f>
        <v/>
      </c>
      <c r="H8" s="136" t="str">
        <f>IF(SER_hh_tes_in!H8=0,"",SER_hh_tes_in!H8/SER_hh_fec_in!H8)</f>
        <v/>
      </c>
      <c r="I8" s="136" t="str">
        <f>IF(SER_hh_tes_in!I8=0,"",SER_hh_tes_in!I8/SER_hh_fec_in!I8)</f>
        <v/>
      </c>
      <c r="J8" s="136" t="str">
        <f>IF(SER_hh_tes_in!J8=0,"",SER_hh_tes_in!J8/SER_hh_fec_in!J8)</f>
        <v/>
      </c>
      <c r="K8" s="136" t="str">
        <f>IF(SER_hh_tes_in!K8=0,"",SER_hh_tes_in!K8/SER_hh_fec_in!K8)</f>
        <v/>
      </c>
      <c r="L8" s="136" t="str">
        <f>IF(SER_hh_tes_in!L8=0,"",SER_hh_tes_in!L8/SER_hh_fec_in!L8)</f>
        <v/>
      </c>
      <c r="M8" s="136" t="str">
        <f>IF(SER_hh_tes_in!M8=0,"",SER_hh_tes_in!M8/SER_hh_fec_in!M8)</f>
        <v/>
      </c>
      <c r="N8" s="136" t="str">
        <f>IF(SER_hh_tes_in!N8=0,"",SER_hh_tes_in!N8/SER_hh_fec_in!N8)</f>
        <v/>
      </c>
      <c r="O8" s="136" t="str">
        <f>IF(SER_hh_tes_in!O8=0,"",SER_hh_tes_in!O8/SER_hh_fec_in!O8)</f>
        <v/>
      </c>
      <c r="P8" s="136" t="str">
        <f>IF(SER_hh_tes_in!P8=0,"",SER_hh_tes_in!P8/SER_hh_fec_in!P8)</f>
        <v/>
      </c>
      <c r="Q8" s="136" t="str">
        <f>IF(SER_hh_tes_in!Q8=0,"",SER_hh_tes_in!Q8/SER_hh_fec_in!Q8)</f>
        <v/>
      </c>
      <c r="R8" s="136" t="str">
        <f>IF(SER_hh_tes_in!R8=0,"",SER_hh_tes_in!R8/SER_hh_fec_in!R8)</f>
        <v/>
      </c>
      <c r="S8" s="136" t="str">
        <f>IF(SER_hh_tes_in!S8=0,"",SER_hh_tes_in!S8/SER_hh_fec_in!S8)</f>
        <v/>
      </c>
      <c r="T8" s="136" t="str">
        <f>IF(SER_hh_tes_in!T8=0,"",SER_hh_tes_in!T8/SER_hh_fec_in!T8)</f>
        <v/>
      </c>
      <c r="U8" s="136" t="str">
        <f>IF(SER_hh_tes_in!U8=0,"",SER_hh_tes_in!U8/SER_hh_fec_in!U8)</f>
        <v/>
      </c>
      <c r="V8" s="136" t="str">
        <f>IF(SER_hh_tes_in!V8=0,"",SER_hh_tes_in!V8/SER_hh_fec_in!V8)</f>
        <v/>
      </c>
      <c r="W8" s="136" t="str">
        <f>IF(SER_hh_tes_in!W8=0,"",SER_hh_tes_in!W8/SER_hh_fec_in!W8)</f>
        <v/>
      </c>
      <c r="X8" s="136" t="str">
        <f>IF(SER_hh_tes_in!X8=0,"",SER_hh_tes_in!X8/SER_hh_fec_in!X8)</f>
        <v/>
      </c>
      <c r="Y8" s="136" t="str">
        <f>IF(SER_hh_tes_in!Y8=0,"",SER_hh_tes_in!Y8/SER_hh_fec_in!Y8)</f>
        <v/>
      </c>
      <c r="DA8" s="163" t="s">
        <v>667</v>
      </c>
    </row>
    <row r="9" spans="1:105" ht="12" customHeight="1" x14ac:dyDescent="0.25">
      <c r="A9" s="131" t="s">
        <v>78</v>
      </c>
      <c r="B9" s="136"/>
      <c r="C9" s="136">
        <f>IF(SER_hh_tes_in!C9=0,"",SER_hh_tes_in!C9/SER_hh_fec_in!C9)</f>
        <v>0.51742105609741451</v>
      </c>
      <c r="D9" s="136">
        <f>IF(SER_hh_tes_in!D9=0,"",SER_hh_tes_in!D9/SER_hh_fec_in!D9)</f>
        <v>0.52162467136961632</v>
      </c>
      <c r="E9" s="136">
        <f>IF(SER_hh_tes_in!E9=0,"",SER_hh_tes_in!E9/SER_hh_fec_in!E9)</f>
        <v>0.52609274501506142</v>
      </c>
      <c r="F9" s="136">
        <f>IF(SER_hh_tes_in!F9=0,"",SER_hh_tes_in!F9/SER_hh_fec_in!F9)</f>
        <v>0.53054443062367374</v>
      </c>
      <c r="G9" s="136">
        <f>IF(SER_hh_tes_in!G9=0,"",SER_hh_tes_in!G9/SER_hh_fec_in!G9)</f>
        <v>0.53523294807350075</v>
      </c>
      <c r="H9" s="136">
        <f>IF(SER_hh_tes_in!H9=0,"",SER_hh_tes_in!H9/SER_hh_fec_in!H9)</f>
        <v>0.54012593593741109</v>
      </c>
      <c r="I9" s="136">
        <f>IF(SER_hh_tes_in!I9=0,"",SER_hh_tes_in!I9/SER_hh_fec_in!I9)</f>
        <v>0.54528434816103455</v>
      </c>
      <c r="J9" s="136">
        <f>IF(SER_hh_tes_in!J9=0,"",SER_hh_tes_in!J9/SER_hh_fec_in!J9)</f>
        <v>0.55096107290004159</v>
      </c>
      <c r="K9" s="136">
        <f>IF(SER_hh_tes_in!K9=0,"",SER_hh_tes_in!K9/SER_hh_fec_in!K9)</f>
        <v>0.55736904616085492</v>
      </c>
      <c r="L9" s="136">
        <f>IF(SER_hh_tes_in!L9=0,"",SER_hh_tes_in!L9/SER_hh_fec_in!L9)</f>
        <v>0.56456142986187241</v>
      </c>
      <c r="M9" s="136">
        <f>IF(SER_hh_tes_in!M9=0,"",SER_hh_tes_in!M9/SER_hh_fec_in!M9)</f>
        <v>0.57786503329802474</v>
      </c>
      <c r="N9" s="136">
        <f>IF(SER_hh_tes_in!N9=0,"",SER_hh_tes_in!N9/SER_hh_fec_in!N9)</f>
        <v>0.59893639797694298</v>
      </c>
      <c r="O9" s="136">
        <f>IF(SER_hh_tes_in!O9=0,"",SER_hh_tes_in!O9/SER_hh_fec_in!O9)</f>
        <v>0.6288772976599637</v>
      </c>
      <c r="P9" s="136">
        <f>IF(SER_hh_tes_in!P9=0,"",SER_hh_tes_in!P9/SER_hh_fec_in!P9)</f>
        <v>0.66413630150260095</v>
      </c>
      <c r="Q9" s="136">
        <f>IF(SER_hh_tes_in!Q9=0,"",SER_hh_tes_in!Q9/SER_hh_fec_in!Q9)</f>
        <v>0.69385482352041183</v>
      </c>
      <c r="R9" s="136">
        <f>IF(SER_hh_tes_in!R9=0,"",SER_hh_tes_in!R9/SER_hh_fec_in!R9)</f>
        <v>0.70891991414835587</v>
      </c>
      <c r="S9" s="136">
        <f>IF(SER_hh_tes_in!S9=0,"",SER_hh_tes_in!S9/SER_hh_fec_in!S9)</f>
        <v>0.72042953372487939</v>
      </c>
      <c r="T9" s="136">
        <f>IF(SER_hh_tes_in!T9=0,"",SER_hh_tes_in!T9/SER_hh_fec_in!T9)</f>
        <v>0.72976185275518857</v>
      </c>
      <c r="U9" s="136">
        <f>IF(SER_hh_tes_in!U9=0,"",SER_hh_tes_in!U9/SER_hh_fec_in!U9)</f>
        <v>0.73786841793864044</v>
      </c>
      <c r="V9" s="136">
        <f>IF(SER_hh_tes_in!V9=0,"",SER_hh_tes_in!V9/SER_hh_fec_in!V9)</f>
        <v>0.74521915040117337</v>
      </c>
      <c r="W9" s="136">
        <f>IF(SER_hh_tes_in!W9=0,"",SER_hh_tes_in!W9/SER_hh_fec_in!W9)</f>
        <v>0.75068653417564235</v>
      </c>
      <c r="X9" s="136">
        <f>IF(SER_hh_tes_in!X9=0,"",SER_hh_tes_in!X9/SER_hh_fec_in!X9)</f>
        <v>0.75419529633769689</v>
      </c>
      <c r="Y9" s="136" t="str">
        <f>IF(SER_hh_tes_in!Y9=0,"",SER_hh_tes_in!Y9/SER_hh_fec_in!Y9)</f>
        <v/>
      </c>
      <c r="DA9" s="163" t="s">
        <v>668</v>
      </c>
    </row>
    <row r="10" spans="1:105" ht="12" customHeight="1" x14ac:dyDescent="0.25">
      <c r="A10" s="131" t="s">
        <v>128</v>
      </c>
      <c r="B10" s="136"/>
      <c r="C10" s="136">
        <f>IF(SER_hh_tes_in!C10=0,"",SER_hh_tes_in!C10/SER_hh_fec_in!C10)</f>
        <v>0.5402952914684791</v>
      </c>
      <c r="D10" s="136">
        <f>IF(SER_hh_tes_in!D10=0,"",SER_hh_tes_in!D10/SER_hh_fec_in!D10)</f>
        <v>0.54056819111177645</v>
      </c>
      <c r="E10" s="136" t="str">
        <f>IF(SER_hh_tes_in!E10=0,"",SER_hh_tes_in!E10/SER_hh_fec_in!E10)</f>
        <v/>
      </c>
      <c r="F10" s="136" t="str">
        <f>IF(SER_hh_tes_in!F10=0,"",SER_hh_tes_in!F10/SER_hh_fec_in!F10)</f>
        <v/>
      </c>
      <c r="G10" s="136" t="str">
        <f>IF(SER_hh_tes_in!G10=0,"",SER_hh_tes_in!G10/SER_hh_fec_in!G10)</f>
        <v/>
      </c>
      <c r="H10" s="136" t="str">
        <f>IF(SER_hh_tes_in!H10=0,"",SER_hh_tes_in!H10/SER_hh_fec_in!H10)</f>
        <v/>
      </c>
      <c r="I10" s="136" t="str">
        <f>IF(SER_hh_tes_in!I10=0,"",SER_hh_tes_in!I10/SER_hh_fec_in!I10)</f>
        <v/>
      </c>
      <c r="J10" s="136">
        <f>IF(SER_hh_tes_in!J10=0,"",SER_hh_tes_in!J10/SER_hh_fec_in!J10)</f>
        <v>0.54224922924642815</v>
      </c>
      <c r="K10" s="136" t="str">
        <f>IF(SER_hh_tes_in!K10=0,"",SER_hh_tes_in!K10/SER_hh_fec_in!K10)</f>
        <v/>
      </c>
      <c r="L10" s="136" t="str">
        <f>IF(SER_hh_tes_in!L10=0,"",SER_hh_tes_in!L10/SER_hh_fec_in!L10)</f>
        <v/>
      </c>
      <c r="M10" s="136" t="str">
        <f>IF(SER_hh_tes_in!M10=0,"",SER_hh_tes_in!M10/SER_hh_fec_in!M10)</f>
        <v/>
      </c>
      <c r="N10" s="136" t="str">
        <f>IF(SER_hh_tes_in!N10=0,"",SER_hh_tes_in!N10/SER_hh_fec_in!N10)</f>
        <v/>
      </c>
      <c r="O10" s="136">
        <f>IF(SER_hh_tes_in!O10=0,"",SER_hh_tes_in!O10/SER_hh_fec_in!O10)</f>
        <v>0.54347592193057337</v>
      </c>
      <c r="P10" s="136">
        <f>IF(SER_hh_tes_in!P10=0,"",SER_hh_tes_in!P10/SER_hh_fec_in!P10)</f>
        <v>0.5436333320156902</v>
      </c>
      <c r="Q10" s="136">
        <f>IF(SER_hh_tes_in!Q10=0,"",SER_hh_tes_in!Q10/SER_hh_fec_in!Q10)</f>
        <v>0.54382115167731027</v>
      </c>
      <c r="R10" s="136">
        <f>IF(SER_hh_tes_in!R10=0,"",SER_hh_tes_in!R10/SER_hh_fec_in!R10)</f>
        <v>0.54410248124028815</v>
      </c>
      <c r="S10" s="136">
        <f>IF(SER_hh_tes_in!S10=0,"",SER_hh_tes_in!S10/SER_hh_fec_in!S10)</f>
        <v>0.54441911430279022</v>
      </c>
      <c r="T10" s="136">
        <f>IF(SER_hh_tes_in!T10=0,"",SER_hh_tes_in!T10/SER_hh_fec_in!T10)</f>
        <v>0.54473849588354906</v>
      </c>
      <c r="U10" s="136" t="str">
        <f>IF(SER_hh_tes_in!U10=0,"",SER_hh_tes_in!U10/SER_hh_fec_in!U10)</f>
        <v/>
      </c>
      <c r="V10" s="136" t="str">
        <f>IF(SER_hh_tes_in!V10=0,"",SER_hh_tes_in!V10/SER_hh_fec_in!V10)</f>
        <v/>
      </c>
      <c r="W10" s="136" t="str">
        <f>IF(SER_hh_tes_in!W10=0,"",SER_hh_tes_in!W10/SER_hh_fec_in!W10)</f>
        <v/>
      </c>
      <c r="X10" s="136" t="str">
        <f>IF(SER_hh_tes_in!X10=0,"",SER_hh_tes_in!X10/SER_hh_fec_in!X10)</f>
        <v/>
      </c>
      <c r="Y10" s="136" t="str">
        <f>IF(SER_hh_tes_in!Y10=0,"",SER_hh_tes_in!Y10/SER_hh_fec_in!Y10)</f>
        <v/>
      </c>
      <c r="DA10" s="163" t="s">
        <v>669</v>
      </c>
    </row>
    <row r="11" spans="1:105" ht="12" customHeight="1" x14ac:dyDescent="0.25">
      <c r="A11" s="131" t="s">
        <v>25</v>
      </c>
      <c r="B11" s="136"/>
      <c r="C11" s="136">
        <f>IF(SER_hh_tes_in!C11=0,"",SER_hh_tes_in!C11/SER_hh_fec_in!C11)</f>
        <v>0.76526845435022683</v>
      </c>
      <c r="D11" s="136">
        <f>IF(SER_hh_tes_in!D11=0,"",SER_hh_tes_in!D11/SER_hh_fec_in!D11)</f>
        <v>0.7693652214583897</v>
      </c>
      <c r="E11" s="136">
        <f>IF(SER_hh_tes_in!E11=0,"",SER_hh_tes_in!E11/SER_hh_fec_in!E11)</f>
        <v>0.77346261230790092</v>
      </c>
      <c r="F11" s="136" t="str">
        <f>IF(SER_hh_tes_in!F11=0,"",SER_hh_tes_in!F11/SER_hh_fec_in!F11)</f>
        <v/>
      </c>
      <c r="G11" s="136" t="str">
        <f>IF(SER_hh_tes_in!G11=0,"",SER_hh_tes_in!G11/SER_hh_fec_in!G11)</f>
        <v/>
      </c>
      <c r="H11" s="136" t="str">
        <f>IF(SER_hh_tes_in!H11=0,"",SER_hh_tes_in!H11/SER_hh_fec_in!H11)</f>
        <v/>
      </c>
      <c r="I11" s="136">
        <f>IF(SER_hh_tes_in!I11=0,"",SER_hh_tes_in!I11/SER_hh_fec_in!I11)</f>
        <v>0.7898559034054583</v>
      </c>
      <c r="J11" s="136">
        <f>IF(SER_hh_tes_in!J11=0,"",SER_hh_tes_in!J11/SER_hh_fec_in!J11)</f>
        <v>0.79395623249140479</v>
      </c>
      <c r="K11" s="136">
        <f>IF(SER_hh_tes_in!K11=0,"",SER_hh_tes_in!K11/SER_hh_fec_in!K11)</f>
        <v>0.79805811068865662</v>
      </c>
      <c r="L11" s="136" t="str">
        <f>IF(SER_hh_tes_in!L11=0,"",SER_hh_tes_in!L11/SER_hh_fec_in!L11)</f>
        <v/>
      </c>
      <c r="M11" s="136">
        <f>IF(SER_hh_tes_in!M11=0,"",SER_hh_tes_in!M11/SER_hh_fec_in!M11)</f>
        <v>0.80630904132784831</v>
      </c>
      <c r="N11" s="136">
        <f>IF(SER_hh_tes_in!N11=0,"",SER_hh_tes_in!N11/SER_hh_fec_in!N11)</f>
        <v>0.81051606224066641</v>
      </c>
      <c r="O11" s="136">
        <f>IF(SER_hh_tes_in!O11=0,"",SER_hh_tes_in!O11/SER_hh_fec_in!O11)</f>
        <v>0.81476355685596691</v>
      </c>
      <c r="P11" s="136">
        <f>IF(SER_hh_tes_in!P11=0,"",SER_hh_tes_in!P11/SER_hh_fec_in!P11)</f>
        <v>0.81896274109645673</v>
      </c>
      <c r="Q11" s="136">
        <f>IF(SER_hh_tes_in!Q11=0,"",SER_hh_tes_in!Q11/SER_hh_fec_in!Q11)</f>
        <v>0.82286662298818003</v>
      </c>
      <c r="R11" s="136">
        <f>IF(SER_hh_tes_in!R11=0,"",SER_hh_tes_in!R11/SER_hh_fec_in!R11)</f>
        <v>0.82627250782073758</v>
      </c>
      <c r="S11" s="136">
        <f>IF(SER_hh_tes_in!S11=0,"",SER_hh_tes_in!S11/SER_hh_fec_in!S11)</f>
        <v>0.82940891075201639</v>
      </c>
      <c r="T11" s="136" t="str">
        <f>IF(SER_hh_tes_in!T11=0,"",SER_hh_tes_in!T11/SER_hh_fec_in!T11)</f>
        <v/>
      </c>
      <c r="U11" s="136" t="str">
        <f>IF(SER_hh_tes_in!U11=0,"",SER_hh_tes_in!U11/SER_hh_fec_in!U11)</f>
        <v/>
      </c>
      <c r="V11" s="136" t="str">
        <f>IF(SER_hh_tes_in!V11=0,"",SER_hh_tes_in!V11/SER_hh_fec_in!V11)</f>
        <v/>
      </c>
      <c r="W11" s="136" t="str">
        <f>IF(SER_hh_tes_in!W11=0,"",SER_hh_tes_in!W11/SER_hh_fec_in!W11)</f>
        <v/>
      </c>
      <c r="X11" s="136" t="str">
        <f>IF(SER_hh_tes_in!X11=0,"",SER_hh_tes_in!X11/SER_hh_fec_in!X11)</f>
        <v/>
      </c>
      <c r="Y11" s="136" t="str">
        <f>IF(SER_hh_tes_in!Y11=0,"",SER_hh_tes_in!Y11/SER_hh_fec_in!Y11)</f>
        <v/>
      </c>
      <c r="DA11" s="163" t="s">
        <v>670</v>
      </c>
    </row>
    <row r="12" spans="1:105" ht="12" customHeight="1" x14ac:dyDescent="0.25">
      <c r="A12" s="131" t="s">
        <v>162</v>
      </c>
      <c r="B12" s="136"/>
      <c r="C12" s="136" t="str">
        <f>IF(SER_hh_tes_in!C12=0,"",SER_hh_tes_in!C12/SER_hh_fec_in!C12)</f>
        <v/>
      </c>
      <c r="D12" s="136" t="str">
        <f>IF(SER_hh_tes_in!D12=0,"",SER_hh_tes_in!D12/SER_hh_fec_in!D12)</f>
        <v/>
      </c>
      <c r="E12" s="136" t="str">
        <f>IF(SER_hh_tes_in!E12=0,"",SER_hh_tes_in!E12/SER_hh_fec_in!E12)</f>
        <v/>
      </c>
      <c r="F12" s="136" t="str">
        <f>IF(SER_hh_tes_in!F12=0,"",SER_hh_tes_in!F12/SER_hh_fec_in!F12)</f>
        <v/>
      </c>
      <c r="G12" s="136">
        <f>IF(SER_hh_tes_in!G12=0,"",SER_hh_tes_in!G12/SER_hh_fec_in!G12)</f>
        <v>0.78039718684815207</v>
      </c>
      <c r="H12" s="136">
        <f>IF(SER_hh_tes_in!H12=0,"",SER_hh_tes_in!H12/SER_hh_fec_in!H12)</f>
        <v>0.78323141784713746</v>
      </c>
      <c r="I12" s="136">
        <f>IF(SER_hh_tes_in!I12=0,"",SER_hh_tes_in!I12/SER_hh_fec_in!I12)</f>
        <v>0.78613793638891516</v>
      </c>
      <c r="J12" s="136">
        <f>IF(SER_hh_tes_in!J12=0,"",SER_hh_tes_in!J12/SER_hh_fec_in!J12)</f>
        <v>0.78917296611787968</v>
      </c>
      <c r="K12" s="136">
        <f>IF(SER_hh_tes_in!K12=0,"",SER_hh_tes_in!K12/SER_hh_fec_in!K12)</f>
        <v>0.79238431192034253</v>
      </c>
      <c r="L12" s="136">
        <f>IF(SER_hh_tes_in!L12=0,"",SER_hh_tes_in!L12/SER_hh_fec_in!L12)</f>
        <v>0.79578476356329342</v>
      </c>
      <c r="M12" s="136">
        <f>IF(SER_hh_tes_in!M12=0,"",SER_hh_tes_in!M12/SER_hh_fec_in!M12)</f>
        <v>0.80049311337869489</v>
      </c>
      <c r="N12" s="136">
        <f>IF(SER_hh_tes_in!N12=0,"",SER_hh_tes_in!N12/SER_hh_fec_in!N12)</f>
        <v>0.80686309543451495</v>
      </c>
      <c r="O12" s="136">
        <f>IF(SER_hh_tes_in!O12=0,"",SER_hh_tes_in!O12/SER_hh_fec_in!O12)</f>
        <v>0.81520480062509393</v>
      </c>
      <c r="P12" s="136">
        <f>IF(SER_hh_tes_in!P12=0,"",SER_hh_tes_in!P12/SER_hh_fec_in!P12)</f>
        <v>0.82492825828896499</v>
      </c>
      <c r="Q12" s="136">
        <f>IF(SER_hh_tes_in!Q12=0,"",SER_hh_tes_in!Q12/SER_hh_fec_in!Q12)</f>
        <v>0.8341021174987836</v>
      </c>
      <c r="R12" s="136">
        <f>IF(SER_hh_tes_in!R12=0,"",SER_hh_tes_in!R12/SER_hh_fec_in!R12)</f>
        <v>0.8411317396257586</v>
      </c>
      <c r="S12" s="136" t="str">
        <f>IF(SER_hh_tes_in!S12=0,"",SER_hh_tes_in!S12/SER_hh_fec_in!S12)</f>
        <v/>
      </c>
      <c r="T12" s="136" t="str">
        <f>IF(SER_hh_tes_in!T12=0,"",SER_hh_tes_in!T12/SER_hh_fec_in!T12)</f>
        <v/>
      </c>
      <c r="U12" s="136" t="str">
        <f>IF(SER_hh_tes_in!U12=0,"",SER_hh_tes_in!U12/SER_hh_fec_in!U12)</f>
        <v/>
      </c>
      <c r="V12" s="136">
        <f>IF(SER_hh_tes_in!V12=0,"",SER_hh_tes_in!V12/SER_hh_fec_in!V12)</f>
        <v>0.86688354977589399</v>
      </c>
      <c r="W12" s="136">
        <f>IF(SER_hh_tes_in!W12=0,"",SER_hh_tes_in!W12/SER_hh_fec_in!W12)</f>
        <v>0.87240293595585094</v>
      </c>
      <c r="X12" s="136">
        <f>IF(SER_hh_tes_in!X12=0,"",SER_hh_tes_in!X12/SER_hh_fec_in!X12)</f>
        <v>0.87704652230806857</v>
      </c>
      <c r="Y12" s="136" t="str">
        <f>IF(SER_hh_tes_in!Y12=0,"",SER_hh_tes_in!Y12/SER_hh_fec_in!Y12)</f>
        <v/>
      </c>
      <c r="DA12" s="163" t="s">
        <v>671</v>
      </c>
    </row>
    <row r="13" spans="1:105" ht="12" customHeight="1" x14ac:dyDescent="0.25">
      <c r="A13" s="131" t="s">
        <v>77</v>
      </c>
      <c r="B13" s="136"/>
      <c r="C13" s="136" t="str">
        <f>IF(SER_hh_tes_in!C13=0,"",SER_hh_tes_in!C13/SER_hh_fec_in!C13)</f>
        <v/>
      </c>
      <c r="D13" s="136" t="str">
        <f>IF(SER_hh_tes_in!D13=0,"",SER_hh_tes_in!D13/SER_hh_fec_in!D13)</f>
        <v/>
      </c>
      <c r="E13" s="136" t="str">
        <f>IF(SER_hh_tes_in!E13=0,"",SER_hh_tes_in!E13/SER_hh_fec_in!E13)</f>
        <v/>
      </c>
      <c r="F13" s="136" t="str">
        <f>IF(SER_hh_tes_in!F13=0,"",SER_hh_tes_in!F13/SER_hh_fec_in!F13)</f>
        <v/>
      </c>
      <c r="G13" s="136" t="str">
        <f>IF(SER_hh_tes_in!G13=0,"",SER_hh_tes_in!G13/SER_hh_fec_in!G13)</f>
        <v/>
      </c>
      <c r="H13" s="136" t="str">
        <f>IF(SER_hh_tes_in!H13=0,"",SER_hh_tes_in!H13/SER_hh_fec_in!H13)</f>
        <v/>
      </c>
      <c r="I13" s="136" t="str">
        <f>IF(SER_hh_tes_in!I13=0,"",SER_hh_tes_in!I13/SER_hh_fec_in!I13)</f>
        <v/>
      </c>
      <c r="J13" s="136" t="str">
        <f>IF(SER_hh_tes_in!J13=0,"",SER_hh_tes_in!J13/SER_hh_fec_in!J13)</f>
        <v/>
      </c>
      <c r="K13" s="136" t="str">
        <f>IF(SER_hh_tes_in!K13=0,"",SER_hh_tes_in!K13/SER_hh_fec_in!K13)</f>
        <v/>
      </c>
      <c r="L13" s="136" t="str">
        <f>IF(SER_hh_tes_in!L13=0,"",SER_hh_tes_in!L13/SER_hh_fec_in!L13)</f>
        <v/>
      </c>
      <c r="M13" s="136" t="str">
        <f>IF(SER_hh_tes_in!M13=0,"",SER_hh_tes_in!M13/SER_hh_fec_in!M13)</f>
        <v/>
      </c>
      <c r="N13" s="136" t="str">
        <f>IF(SER_hh_tes_in!N13=0,"",SER_hh_tes_in!N13/SER_hh_fec_in!N13)</f>
        <v/>
      </c>
      <c r="O13" s="136" t="str">
        <f>IF(SER_hh_tes_in!O13=0,"",SER_hh_tes_in!O13/SER_hh_fec_in!O13)</f>
        <v/>
      </c>
      <c r="P13" s="136" t="str">
        <f>IF(SER_hh_tes_in!P13=0,"",SER_hh_tes_in!P13/SER_hh_fec_in!P13)</f>
        <v/>
      </c>
      <c r="Q13" s="136" t="str">
        <f>IF(SER_hh_tes_in!Q13=0,"",SER_hh_tes_in!Q13/SER_hh_fec_in!Q13)</f>
        <v/>
      </c>
      <c r="R13" s="136" t="str">
        <f>IF(SER_hh_tes_in!R13=0,"",SER_hh_tes_in!R13/SER_hh_fec_in!R13)</f>
        <v/>
      </c>
      <c r="S13" s="136" t="str">
        <f>IF(SER_hh_tes_in!S13=0,"",SER_hh_tes_in!S13/SER_hh_fec_in!S13)</f>
        <v/>
      </c>
      <c r="T13" s="136" t="str">
        <f>IF(SER_hh_tes_in!T13=0,"",SER_hh_tes_in!T13/SER_hh_fec_in!T13)</f>
        <v/>
      </c>
      <c r="U13" s="136" t="str">
        <f>IF(SER_hh_tes_in!U13=0,"",SER_hh_tes_in!U13/SER_hh_fec_in!U13)</f>
        <v/>
      </c>
      <c r="V13" s="136" t="str">
        <f>IF(SER_hh_tes_in!V13=0,"",SER_hh_tes_in!V13/SER_hh_fec_in!V13)</f>
        <v/>
      </c>
      <c r="W13" s="136" t="str">
        <f>IF(SER_hh_tes_in!W13=0,"",SER_hh_tes_in!W13/SER_hh_fec_in!W13)</f>
        <v/>
      </c>
      <c r="X13" s="136" t="str">
        <f>IF(SER_hh_tes_in!X13=0,"",SER_hh_tes_in!X13/SER_hh_fec_in!X13)</f>
        <v/>
      </c>
      <c r="Y13" s="136">
        <f>IF(SER_hh_tes_in!Y13=0,"",SER_hh_tes_in!Y13/SER_hh_fec_in!Y13)</f>
        <v>3.6975730737529648</v>
      </c>
      <c r="DA13" s="163" t="s">
        <v>672</v>
      </c>
    </row>
    <row r="14" spans="1:105" ht="12" customHeight="1" x14ac:dyDescent="0.25">
      <c r="A14" s="60" t="s">
        <v>76</v>
      </c>
      <c r="B14" s="137"/>
      <c r="C14" s="137" t="str">
        <f>IF(SER_hh_tes_in!C14=0,"",SER_hh_tes_in!C14/SER_hh_fec_in!C14)</f>
        <v/>
      </c>
      <c r="D14" s="137" t="str">
        <f>IF(SER_hh_tes_in!D14=0,"",SER_hh_tes_in!D14/SER_hh_fec_in!D14)</f>
        <v/>
      </c>
      <c r="E14" s="137" t="str">
        <f>IF(SER_hh_tes_in!E14=0,"",SER_hh_tes_in!E14/SER_hh_fec_in!E14)</f>
        <v/>
      </c>
      <c r="F14" s="137" t="str">
        <f>IF(SER_hh_tes_in!F14=0,"",SER_hh_tes_in!F14/SER_hh_fec_in!F14)</f>
        <v/>
      </c>
      <c r="G14" s="137">
        <f>IF(SER_hh_tes_in!G14=0,"",SER_hh_tes_in!G14/SER_hh_fec_in!G14)</f>
        <v>0.71281845965441282</v>
      </c>
      <c r="H14" s="137">
        <f>IF(SER_hh_tes_in!H14=0,"",SER_hh_tes_in!H14/SER_hh_fec_in!H14)</f>
        <v>0.71664803966078383</v>
      </c>
      <c r="I14" s="137">
        <f>IF(SER_hh_tes_in!I14=0,"",SER_hh_tes_in!I14/SER_hh_fec_in!I14)</f>
        <v>0.72046678751465054</v>
      </c>
      <c r="J14" s="137">
        <f>IF(SER_hh_tes_in!J14=0,"",SER_hh_tes_in!J14/SER_hh_fec_in!J14)</f>
        <v>0.72426663631225685</v>
      </c>
      <c r="K14" s="137">
        <f>IF(SER_hh_tes_in!K14=0,"",SER_hh_tes_in!K14/SER_hh_fec_in!K14)</f>
        <v>0.72804078012358797</v>
      </c>
      <c r="L14" s="137">
        <f>IF(SER_hh_tes_in!L14=0,"",SER_hh_tes_in!L14/SER_hh_fec_in!L14)</f>
        <v>0.73178749732094706</v>
      </c>
      <c r="M14" s="137">
        <f>IF(SER_hh_tes_in!M14=0,"",SER_hh_tes_in!M14/SER_hh_fec_in!M14)</f>
        <v>0.73481747287061561</v>
      </c>
      <c r="N14" s="137" t="str">
        <f>IF(SER_hh_tes_in!N14=0,"",SER_hh_tes_in!N14/SER_hh_fec_in!N14)</f>
        <v/>
      </c>
      <c r="O14" s="137" t="str">
        <f>IF(SER_hh_tes_in!O14=0,"",SER_hh_tes_in!O14/SER_hh_fec_in!O14)</f>
        <v/>
      </c>
      <c r="P14" s="137" t="str">
        <f>IF(SER_hh_tes_in!P14=0,"",SER_hh_tes_in!P14/SER_hh_fec_in!P14)</f>
        <v/>
      </c>
      <c r="Q14" s="137" t="str">
        <f>IF(SER_hh_tes_in!Q14=0,"",SER_hh_tes_in!Q14/SER_hh_fec_in!Q14)</f>
        <v/>
      </c>
      <c r="R14" s="137" t="str">
        <f>IF(SER_hh_tes_in!R14=0,"",SER_hh_tes_in!R14/SER_hh_fec_in!R14)</f>
        <v/>
      </c>
      <c r="S14" s="137" t="str">
        <f>IF(SER_hh_tes_in!S14=0,"",SER_hh_tes_in!S14/SER_hh_fec_in!S14)</f>
        <v/>
      </c>
      <c r="T14" s="137" t="str">
        <f>IF(SER_hh_tes_in!T14=0,"",SER_hh_tes_in!T14/SER_hh_fec_in!T14)</f>
        <v/>
      </c>
      <c r="U14" s="137" t="str">
        <f>IF(SER_hh_tes_in!U14=0,"",SER_hh_tes_in!U14/SER_hh_fec_in!U14)</f>
        <v/>
      </c>
      <c r="V14" s="137">
        <f>IF(SER_hh_tes_in!V14=0,"",SER_hh_tes_in!V14/SER_hh_fec_in!V14)</f>
        <v>0.85567723155017683</v>
      </c>
      <c r="W14" s="137">
        <f>IF(SER_hh_tes_in!W14=0,"",SER_hh_tes_in!W14/SER_hh_fec_in!W14)</f>
        <v>0.87267868330233633</v>
      </c>
      <c r="X14" s="137">
        <f>IF(SER_hh_tes_in!X14=0,"",SER_hh_tes_in!X14/SER_hh_fec_in!X14)</f>
        <v>0.88713889977629445</v>
      </c>
      <c r="Y14" s="137">
        <f>IF(SER_hh_tes_in!Y14=0,"",SER_hh_tes_in!Y14/SER_hh_fec_in!Y14)</f>
        <v>0.90077817725538545</v>
      </c>
      <c r="DA14" s="164" t="s">
        <v>673</v>
      </c>
    </row>
    <row r="15" spans="1:105" ht="12" customHeight="1" x14ac:dyDescent="0.25">
      <c r="A15" s="133" t="s">
        <v>80</v>
      </c>
      <c r="B15" s="138"/>
      <c r="C15" s="138">
        <f>IF(SER_hh_tes_in!C15=0,"",SER_hh_tes_in!C15/SER_hh_fec_in!C15)</f>
        <v>1</v>
      </c>
      <c r="D15" s="138">
        <f>IF(SER_hh_tes_in!D15=0,"",SER_hh_tes_in!D15/SER_hh_fec_in!D15)</f>
        <v>1</v>
      </c>
      <c r="E15" s="138">
        <f>IF(SER_hh_tes_in!E15=0,"",SER_hh_tes_in!E15/SER_hh_fec_in!E15)</f>
        <v>1</v>
      </c>
      <c r="F15" s="138">
        <f>IF(SER_hh_tes_in!F15=0,"",SER_hh_tes_in!F15/SER_hh_fec_in!F15)</f>
        <v>1</v>
      </c>
      <c r="G15" s="138">
        <f>IF(SER_hh_tes_in!G15=0,"",SER_hh_tes_in!G15/SER_hh_fec_in!G15)</f>
        <v>1</v>
      </c>
      <c r="H15" s="138">
        <f>IF(SER_hh_tes_in!H15=0,"",SER_hh_tes_in!H15/SER_hh_fec_in!H15)</f>
        <v>1</v>
      </c>
      <c r="I15" s="138">
        <f>IF(SER_hh_tes_in!I15=0,"",SER_hh_tes_in!I15/SER_hh_fec_in!I15)</f>
        <v>1</v>
      </c>
      <c r="J15" s="138">
        <f>IF(SER_hh_tes_in!J15=0,"",SER_hh_tes_in!J15/SER_hh_fec_in!J15)</f>
        <v>1</v>
      </c>
      <c r="K15" s="138">
        <f>IF(SER_hh_tes_in!K15=0,"",SER_hh_tes_in!K15/SER_hh_fec_in!K15)</f>
        <v>1</v>
      </c>
      <c r="L15" s="138">
        <f>IF(SER_hh_tes_in!L15=0,"",SER_hh_tes_in!L15/SER_hh_fec_in!L15)</f>
        <v>1</v>
      </c>
      <c r="M15" s="138">
        <f>IF(SER_hh_tes_in!M15=0,"",SER_hh_tes_in!M15/SER_hh_fec_in!M15)</f>
        <v>1</v>
      </c>
      <c r="N15" s="138">
        <f>IF(SER_hh_tes_in!N15=0,"",SER_hh_tes_in!N15/SER_hh_fec_in!N15)</f>
        <v>1</v>
      </c>
      <c r="O15" s="138">
        <f>IF(SER_hh_tes_in!O15=0,"",SER_hh_tes_in!O15/SER_hh_fec_in!O15)</f>
        <v>1</v>
      </c>
      <c r="P15" s="138">
        <f>IF(SER_hh_tes_in!P15=0,"",SER_hh_tes_in!P15/SER_hh_fec_in!P15)</f>
        <v>1</v>
      </c>
      <c r="Q15" s="138">
        <f>IF(SER_hh_tes_in!Q15=0,"",SER_hh_tes_in!Q15/SER_hh_fec_in!Q15)</f>
        <v>1</v>
      </c>
      <c r="R15" s="138">
        <f>IF(SER_hh_tes_in!R15=0,"",SER_hh_tes_in!R15/SER_hh_fec_in!R15)</f>
        <v>1</v>
      </c>
      <c r="S15" s="138">
        <f>IF(SER_hh_tes_in!S15=0,"",SER_hh_tes_in!S15/SER_hh_fec_in!S15)</f>
        <v>1</v>
      </c>
      <c r="T15" s="138">
        <f>IF(SER_hh_tes_in!T15=0,"",SER_hh_tes_in!T15/SER_hh_fec_in!T15)</f>
        <v>1</v>
      </c>
      <c r="U15" s="138">
        <f>IF(SER_hh_tes_in!U15=0,"",SER_hh_tes_in!U15/SER_hh_fec_in!U15)</f>
        <v>1</v>
      </c>
      <c r="V15" s="138">
        <f>IF(SER_hh_tes_in!V15=0,"",SER_hh_tes_in!V15/SER_hh_fec_in!V15)</f>
        <v>1</v>
      </c>
      <c r="W15" s="138">
        <f>IF(SER_hh_tes_in!W15=0,"",SER_hh_tes_in!W15/SER_hh_fec_in!W15)</f>
        <v>1</v>
      </c>
      <c r="X15" s="138">
        <f>IF(SER_hh_tes_in!X15=0,"",SER_hh_tes_in!X15/SER_hh_fec_in!X15)</f>
        <v>1</v>
      </c>
      <c r="Y15" s="138">
        <f>IF(SER_hh_tes_in!Y15=0,"",SER_hh_tes_in!Y15/SER_hh_fec_in!Y15)</f>
        <v>1</v>
      </c>
      <c r="DA15" s="165" t="s">
        <v>674</v>
      </c>
    </row>
    <row r="16" spans="1:105" ht="12.95" customHeight="1" x14ac:dyDescent="0.25">
      <c r="A16" s="129" t="s">
        <v>74</v>
      </c>
      <c r="B16" s="135"/>
      <c r="C16" s="135">
        <f>IF(SER_hh_tes_in!C16=0,"",SER_hh_tes_in!C16/SER_hh_fec_in!C16)</f>
        <v>2.0970993097876396</v>
      </c>
      <c r="D16" s="135">
        <f>IF(SER_hh_tes_in!D16=0,"",SER_hh_tes_in!D16/SER_hh_fec_in!D16)</f>
        <v>2.1782305362675132</v>
      </c>
      <c r="E16" s="135">
        <f>IF(SER_hh_tes_in!E16=0,"",SER_hh_tes_in!E16/SER_hh_fec_in!E16)</f>
        <v>2.2605780758395877</v>
      </c>
      <c r="F16" s="135">
        <f>IF(SER_hh_tes_in!F16=0,"",SER_hh_tes_in!F16/SER_hh_fec_in!F16)</f>
        <v>2.3435869945255998</v>
      </c>
      <c r="G16" s="135">
        <f>IF(SER_hh_tes_in!G16=0,"",SER_hh_tes_in!G16/SER_hh_fec_in!G16)</f>
        <v>2.4277381899397081</v>
      </c>
      <c r="H16" s="135">
        <f>IF(SER_hh_tes_in!H16=0,"",SER_hh_tes_in!H16/SER_hh_fec_in!H16)</f>
        <v>2.5129560834365035</v>
      </c>
      <c r="I16" s="135">
        <f>IF(SER_hh_tes_in!I16=0,"",SER_hh_tes_in!I16/SER_hh_fec_in!I16)</f>
        <v>2.5993414802965087</v>
      </c>
      <c r="J16" s="135">
        <f>IF(SER_hh_tes_in!J16=0,"",SER_hh_tes_in!J16/SER_hh_fec_in!J16)</f>
        <v>2.6873461822082008</v>
      </c>
      <c r="K16" s="135">
        <f>IF(SER_hh_tes_in!K16=0,"",SER_hh_tes_in!K16/SER_hh_fec_in!K16)</f>
        <v>2.7773280537799923</v>
      </c>
      <c r="L16" s="135">
        <f>IF(SER_hh_tes_in!L16=0,"",SER_hh_tes_in!L16/SER_hh_fec_in!L16)</f>
        <v>2.8693345517105202</v>
      </c>
      <c r="M16" s="135">
        <f>IF(SER_hh_tes_in!M16=0,"",SER_hh_tes_in!M16/SER_hh_fec_in!M16)</f>
        <v>2.9747672165541408</v>
      </c>
      <c r="N16" s="135">
        <f>IF(SER_hh_tes_in!N16=0,"",SER_hh_tes_in!N16/SER_hh_fec_in!N16)</f>
        <v>3.0970106422554182</v>
      </c>
      <c r="O16" s="135">
        <f>IF(SER_hh_tes_in!O16=0,"",SER_hh_tes_in!O16/SER_hh_fec_in!O16)</f>
        <v>3.2358467586335613</v>
      </c>
      <c r="P16" s="135">
        <f>IF(SER_hh_tes_in!P16=0,"",SER_hh_tes_in!P16/SER_hh_fec_in!P16)</f>
        <v>3.3777640344023645</v>
      </c>
      <c r="Q16" s="135">
        <f>IF(SER_hh_tes_in!Q16=0,"",SER_hh_tes_in!Q16/SER_hh_fec_in!Q16)</f>
        <v>3.4866833676511955</v>
      </c>
      <c r="R16" s="135">
        <f>IF(SER_hh_tes_in!R16=0,"",SER_hh_tes_in!R16/SER_hh_fec_in!R16)</f>
        <v>3.5915457276282323</v>
      </c>
      <c r="S16" s="135">
        <f>IF(SER_hh_tes_in!S16=0,"",SER_hh_tes_in!S16/SER_hh_fec_in!S16)</f>
        <v>3.6461412880624429</v>
      </c>
      <c r="T16" s="135">
        <f>IF(SER_hh_tes_in!T16=0,"",SER_hh_tes_in!T16/SER_hh_fec_in!T16)</f>
        <v>3.6811572679344113</v>
      </c>
      <c r="U16" s="135">
        <f>IF(SER_hh_tes_in!U16=0,"",SER_hh_tes_in!U16/SER_hh_fec_in!U16)</f>
        <v>3.7059075141981159</v>
      </c>
      <c r="V16" s="135">
        <f>IF(SER_hh_tes_in!V16=0,"",SER_hh_tes_in!V16/SER_hh_fec_in!V16)</f>
        <v>3.729817653272367</v>
      </c>
      <c r="W16" s="135">
        <f>IF(SER_hh_tes_in!W16=0,"",SER_hh_tes_in!W16/SER_hh_fec_in!W16)</f>
        <v>3.7524228180630201</v>
      </c>
      <c r="X16" s="135">
        <f>IF(SER_hh_tes_in!X16=0,"",SER_hh_tes_in!X16/SER_hh_fec_in!X16)</f>
        <v>3.7710494232487486</v>
      </c>
      <c r="Y16" s="135">
        <f>IF(SER_hh_tes_in!Y16=0,"",SER_hh_tes_in!Y16/SER_hh_fec_in!Y16)</f>
        <v>3.7872543701407042</v>
      </c>
      <c r="DA16" s="162" t="s">
        <v>675</v>
      </c>
    </row>
    <row r="17" spans="1:105" ht="12.95" customHeight="1" x14ac:dyDescent="0.25">
      <c r="A17" s="131" t="s">
        <v>73</v>
      </c>
      <c r="B17" s="136"/>
      <c r="C17" s="136" t="str">
        <f>IF(SER_hh_tes_in!C17=0,"",SER_hh_tes_in!C17/SER_hh_fec_in!C17)</f>
        <v/>
      </c>
      <c r="D17" s="136" t="str">
        <f>IF(SER_hh_tes_in!D17=0,"",SER_hh_tes_in!D17/SER_hh_fec_in!D17)</f>
        <v/>
      </c>
      <c r="E17" s="136" t="str">
        <f>IF(SER_hh_tes_in!E17=0,"",SER_hh_tes_in!E17/SER_hh_fec_in!E17)</f>
        <v/>
      </c>
      <c r="F17" s="136" t="str">
        <f>IF(SER_hh_tes_in!F17=0,"",SER_hh_tes_in!F17/SER_hh_fec_in!F17)</f>
        <v/>
      </c>
      <c r="G17" s="136" t="str">
        <f>IF(SER_hh_tes_in!G17=0,"",SER_hh_tes_in!G17/SER_hh_fec_in!G17)</f>
        <v/>
      </c>
      <c r="H17" s="136" t="str">
        <f>IF(SER_hh_tes_in!H17=0,"",SER_hh_tes_in!H17/SER_hh_fec_in!H17)</f>
        <v/>
      </c>
      <c r="I17" s="136" t="str">
        <f>IF(SER_hh_tes_in!I17=0,"",SER_hh_tes_in!I17/SER_hh_fec_in!I17)</f>
        <v/>
      </c>
      <c r="J17" s="136" t="str">
        <f>IF(SER_hh_tes_in!J17=0,"",SER_hh_tes_in!J17/SER_hh_fec_in!J17)</f>
        <v/>
      </c>
      <c r="K17" s="136" t="str">
        <f>IF(SER_hh_tes_in!K17=0,"",SER_hh_tes_in!K17/SER_hh_fec_in!K17)</f>
        <v/>
      </c>
      <c r="L17" s="136" t="str">
        <f>IF(SER_hh_tes_in!L17=0,"",SER_hh_tes_in!L17/SER_hh_fec_in!L17)</f>
        <v/>
      </c>
      <c r="M17" s="136" t="str">
        <f>IF(SER_hh_tes_in!M17=0,"",SER_hh_tes_in!M17/SER_hh_fec_in!M17)</f>
        <v/>
      </c>
      <c r="N17" s="136" t="str">
        <f>IF(SER_hh_tes_in!N17=0,"",SER_hh_tes_in!N17/SER_hh_fec_in!N17)</f>
        <v/>
      </c>
      <c r="O17" s="136" t="str">
        <f>IF(SER_hh_tes_in!O17=0,"",SER_hh_tes_in!O17/SER_hh_fec_in!O17)</f>
        <v/>
      </c>
      <c r="P17" s="136" t="str">
        <f>IF(SER_hh_tes_in!P17=0,"",SER_hh_tes_in!P17/SER_hh_fec_in!P17)</f>
        <v/>
      </c>
      <c r="Q17" s="136" t="str">
        <f>IF(SER_hh_tes_in!Q17=0,"",SER_hh_tes_in!Q17/SER_hh_fec_in!Q17)</f>
        <v/>
      </c>
      <c r="R17" s="136" t="str">
        <f>IF(SER_hh_tes_in!R17=0,"",SER_hh_tes_in!R17/SER_hh_fec_in!R17)</f>
        <v/>
      </c>
      <c r="S17" s="136" t="str">
        <f>IF(SER_hh_tes_in!S17=0,"",SER_hh_tes_in!S17/SER_hh_fec_in!S17)</f>
        <v/>
      </c>
      <c r="T17" s="136" t="str">
        <f>IF(SER_hh_tes_in!T17=0,"",SER_hh_tes_in!T17/SER_hh_fec_in!T17)</f>
        <v/>
      </c>
      <c r="U17" s="136" t="str">
        <f>IF(SER_hh_tes_in!U17=0,"",SER_hh_tes_in!U17/SER_hh_fec_in!U17)</f>
        <v/>
      </c>
      <c r="V17" s="136" t="str">
        <f>IF(SER_hh_tes_in!V17=0,"",SER_hh_tes_in!V17/SER_hh_fec_in!V17)</f>
        <v/>
      </c>
      <c r="W17" s="136" t="str">
        <f>IF(SER_hh_tes_in!W17=0,"",SER_hh_tes_in!W17/SER_hh_fec_in!W17)</f>
        <v/>
      </c>
      <c r="X17" s="136" t="str">
        <f>IF(SER_hh_tes_in!X17=0,"",SER_hh_tes_in!X17/SER_hh_fec_in!X17)</f>
        <v/>
      </c>
      <c r="Y17" s="136" t="str">
        <f>IF(SER_hh_tes_in!Y17=0,"",SER_hh_tes_in!Y17/SER_hh_fec_in!Y17)</f>
        <v/>
      </c>
      <c r="DA17" s="163" t="s">
        <v>676</v>
      </c>
    </row>
    <row r="18" spans="1:105" ht="12" customHeight="1" x14ac:dyDescent="0.25">
      <c r="A18" s="131" t="s">
        <v>72</v>
      </c>
      <c r="B18" s="136"/>
      <c r="C18" s="136">
        <f>IF(SER_hh_tes_in!C18=0,"",SER_hh_tes_in!C18/SER_hh_fec_in!C18)</f>
        <v>2.0970993097876396</v>
      </c>
      <c r="D18" s="136">
        <f>IF(SER_hh_tes_in!D18=0,"",SER_hh_tes_in!D18/SER_hh_fec_in!D18)</f>
        <v>2.1782305362675132</v>
      </c>
      <c r="E18" s="136">
        <f>IF(SER_hh_tes_in!E18=0,"",SER_hh_tes_in!E18/SER_hh_fec_in!E18)</f>
        <v>2.2605780758395877</v>
      </c>
      <c r="F18" s="136">
        <f>IF(SER_hh_tes_in!F18=0,"",SER_hh_tes_in!F18/SER_hh_fec_in!F18)</f>
        <v>2.3435869945255998</v>
      </c>
      <c r="G18" s="136">
        <f>IF(SER_hh_tes_in!G18=0,"",SER_hh_tes_in!G18/SER_hh_fec_in!G18)</f>
        <v>2.4277381899397081</v>
      </c>
      <c r="H18" s="136">
        <f>IF(SER_hh_tes_in!H18=0,"",SER_hh_tes_in!H18/SER_hh_fec_in!H18)</f>
        <v>2.5129560834365035</v>
      </c>
      <c r="I18" s="136">
        <f>IF(SER_hh_tes_in!I18=0,"",SER_hh_tes_in!I18/SER_hh_fec_in!I18)</f>
        <v>2.5993414802965087</v>
      </c>
      <c r="J18" s="136">
        <f>IF(SER_hh_tes_in!J18=0,"",SER_hh_tes_in!J18/SER_hh_fec_in!J18)</f>
        <v>2.6873461822082008</v>
      </c>
      <c r="K18" s="136">
        <f>IF(SER_hh_tes_in!K18=0,"",SER_hh_tes_in!K18/SER_hh_fec_in!K18)</f>
        <v>2.7773280537799923</v>
      </c>
      <c r="L18" s="136">
        <f>IF(SER_hh_tes_in!L18=0,"",SER_hh_tes_in!L18/SER_hh_fec_in!L18)</f>
        <v>2.8693345517105202</v>
      </c>
      <c r="M18" s="136">
        <f>IF(SER_hh_tes_in!M18=0,"",SER_hh_tes_in!M18/SER_hh_fec_in!M18)</f>
        <v>2.9747672165541408</v>
      </c>
      <c r="N18" s="136">
        <f>IF(SER_hh_tes_in!N18=0,"",SER_hh_tes_in!N18/SER_hh_fec_in!N18)</f>
        <v>3.0970106422554182</v>
      </c>
      <c r="O18" s="136">
        <f>IF(SER_hh_tes_in!O18=0,"",SER_hh_tes_in!O18/SER_hh_fec_in!O18)</f>
        <v>3.2358467586335613</v>
      </c>
      <c r="P18" s="136">
        <f>IF(SER_hh_tes_in!P18=0,"",SER_hh_tes_in!P18/SER_hh_fec_in!P18)</f>
        <v>3.3777640344023645</v>
      </c>
      <c r="Q18" s="136">
        <f>IF(SER_hh_tes_in!Q18=0,"",SER_hh_tes_in!Q18/SER_hh_fec_in!Q18)</f>
        <v>3.4866833676511955</v>
      </c>
      <c r="R18" s="136">
        <f>IF(SER_hh_tes_in!R18=0,"",SER_hh_tes_in!R18/SER_hh_fec_in!R18)</f>
        <v>3.5915457276282323</v>
      </c>
      <c r="S18" s="136">
        <f>IF(SER_hh_tes_in!S18=0,"",SER_hh_tes_in!S18/SER_hh_fec_in!S18)</f>
        <v>3.6461412880624429</v>
      </c>
      <c r="T18" s="136">
        <f>IF(SER_hh_tes_in!T18=0,"",SER_hh_tes_in!T18/SER_hh_fec_in!T18)</f>
        <v>3.6811572679344113</v>
      </c>
      <c r="U18" s="136">
        <f>IF(SER_hh_tes_in!U18=0,"",SER_hh_tes_in!U18/SER_hh_fec_in!U18)</f>
        <v>3.7059075141981159</v>
      </c>
      <c r="V18" s="136">
        <f>IF(SER_hh_tes_in!V18=0,"",SER_hh_tes_in!V18/SER_hh_fec_in!V18)</f>
        <v>3.729817653272367</v>
      </c>
      <c r="W18" s="136">
        <f>IF(SER_hh_tes_in!W18=0,"",SER_hh_tes_in!W18/SER_hh_fec_in!W18)</f>
        <v>3.7524228180630201</v>
      </c>
      <c r="X18" s="136">
        <f>IF(SER_hh_tes_in!X18=0,"",SER_hh_tes_in!X18/SER_hh_fec_in!X18)</f>
        <v>3.7710494232487486</v>
      </c>
      <c r="Y18" s="136">
        <f>IF(SER_hh_tes_in!Y18=0,"",SER_hh_tes_in!Y18/SER_hh_fec_in!Y18)</f>
        <v>3.7872543701407042</v>
      </c>
      <c r="DA18" s="163" t="s">
        <v>677</v>
      </c>
    </row>
    <row r="19" spans="1:105" ht="12.95" customHeight="1" x14ac:dyDescent="0.25">
      <c r="A19" s="129" t="s">
        <v>35</v>
      </c>
      <c r="B19" s="135"/>
      <c r="C19" s="135">
        <f>IF(SER_hh_tes_in!C19=0,"",SER_hh_tes_in!C19/SER_hh_fec_in!C19)</f>
        <v>0.61275358037087946</v>
      </c>
      <c r="D19" s="135">
        <f>IF(SER_hh_tes_in!D19=0,"",SER_hh_tes_in!D19/SER_hh_fec_in!D19)</f>
        <v>0.53164107591827081</v>
      </c>
      <c r="E19" s="135">
        <f>IF(SER_hh_tes_in!E19=0,"",SER_hh_tes_in!E19/SER_hh_fec_in!E19)</f>
        <v>0.60607693009190278</v>
      </c>
      <c r="F19" s="135">
        <f>IF(SER_hh_tes_in!F19=0,"",SER_hh_tes_in!F19/SER_hh_fec_in!F19)</f>
        <v>0.57491384227014208</v>
      </c>
      <c r="G19" s="135">
        <f>IF(SER_hh_tes_in!G19=0,"",SER_hh_tes_in!G19/SER_hh_fec_in!G19)</f>
        <v>0.6052810436223599</v>
      </c>
      <c r="H19" s="135">
        <f>IF(SER_hh_tes_in!H19=0,"",SER_hh_tes_in!H19/SER_hh_fec_in!H19)</f>
        <v>0.61815586169175973</v>
      </c>
      <c r="I19" s="135">
        <f>IF(SER_hh_tes_in!I19=0,"",SER_hh_tes_in!I19/SER_hh_fec_in!I19)</f>
        <v>0.67396018824489656</v>
      </c>
      <c r="J19" s="135">
        <f>IF(SER_hh_tes_in!J19=0,"",SER_hh_tes_in!J19/SER_hh_fec_in!J19)</f>
        <v>0.67737928409317982</v>
      </c>
      <c r="K19" s="135">
        <f>IF(SER_hh_tes_in!K19=0,"",SER_hh_tes_in!K19/SER_hh_fec_in!K19)</f>
        <v>0.66043242959107296</v>
      </c>
      <c r="L19" s="135">
        <f>IF(SER_hh_tes_in!L19=0,"",SER_hh_tes_in!L19/SER_hh_fec_in!L19)</f>
        <v>0.660365895285556</v>
      </c>
      <c r="M19" s="135">
        <f>IF(SER_hh_tes_in!M19=0,"",SER_hh_tes_in!M19/SER_hh_fec_in!M19)</f>
        <v>0.67622565728084094</v>
      </c>
      <c r="N19" s="135">
        <f>IF(SER_hh_tes_in!N19=0,"",SER_hh_tes_in!N19/SER_hh_fec_in!N19)</f>
        <v>0.68463643699401322</v>
      </c>
      <c r="O19" s="135">
        <f>IF(SER_hh_tes_in!O19=0,"",SER_hh_tes_in!O19/SER_hh_fec_in!O19)</f>
        <v>0.68199079534252394</v>
      </c>
      <c r="P19" s="135">
        <f>IF(SER_hh_tes_in!P19=0,"",SER_hh_tes_in!P19/SER_hh_fec_in!P19)</f>
        <v>0.70295443465143281</v>
      </c>
      <c r="Q19" s="135">
        <f>IF(SER_hh_tes_in!Q19=0,"",SER_hh_tes_in!Q19/SER_hh_fec_in!Q19)</f>
        <v>0.73241349588170801</v>
      </c>
      <c r="R19" s="135">
        <f>IF(SER_hh_tes_in!R19=0,"",SER_hh_tes_in!R19/SER_hh_fec_in!R19)</f>
        <v>0.75045866620812118</v>
      </c>
      <c r="S19" s="135">
        <f>IF(SER_hh_tes_in!S19=0,"",SER_hh_tes_in!S19/SER_hh_fec_in!S19)</f>
        <v>0.75862360080687252</v>
      </c>
      <c r="T19" s="135">
        <f>IF(SER_hh_tes_in!T19=0,"",SER_hh_tes_in!T19/SER_hh_fec_in!T19)</f>
        <v>0.77517184334924805</v>
      </c>
      <c r="U19" s="135">
        <f>IF(SER_hh_tes_in!U19=0,"",SER_hh_tes_in!U19/SER_hh_fec_in!U19)</f>
        <v>0.79702435152662821</v>
      </c>
      <c r="V19" s="135">
        <f>IF(SER_hh_tes_in!V19=0,"",SER_hh_tes_in!V19/SER_hh_fec_in!V19)</f>
        <v>0.81116624272909654</v>
      </c>
      <c r="W19" s="135">
        <f>IF(SER_hh_tes_in!W19=0,"",SER_hh_tes_in!W19/SER_hh_fec_in!W19)</f>
        <v>0.8263601652680449</v>
      </c>
      <c r="X19" s="135">
        <f>IF(SER_hh_tes_in!X19=0,"",SER_hh_tes_in!X19/SER_hh_fec_in!X19)</f>
        <v>0.86834257894111988</v>
      </c>
      <c r="Y19" s="135">
        <f>IF(SER_hh_tes_in!Y19=0,"",SER_hh_tes_in!Y19/SER_hh_fec_in!Y19)</f>
        <v>0.88328901526066395</v>
      </c>
      <c r="DA19" s="162" t="s">
        <v>678</v>
      </c>
    </row>
    <row r="20" spans="1:105" ht="12" customHeight="1" x14ac:dyDescent="0.25">
      <c r="A20" s="131" t="s">
        <v>29</v>
      </c>
      <c r="B20" s="136"/>
      <c r="C20" s="136" t="str">
        <f>IF(SER_hh_tes_in!C20=0,"",SER_hh_tes_in!C20/SER_hh_fec_in!C20)</f>
        <v/>
      </c>
      <c r="D20" s="136" t="str">
        <f>IF(SER_hh_tes_in!D20=0,"",SER_hh_tes_in!D20/SER_hh_fec_in!D20)</f>
        <v/>
      </c>
      <c r="E20" s="136" t="str">
        <f>IF(SER_hh_tes_in!E20=0,"",SER_hh_tes_in!E20/SER_hh_fec_in!E20)</f>
        <v/>
      </c>
      <c r="F20" s="136" t="str">
        <f>IF(SER_hh_tes_in!F20=0,"",SER_hh_tes_in!F20/SER_hh_fec_in!F20)</f>
        <v/>
      </c>
      <c r="G20" s="136" t="str">
        <f>IF(SER_hh_tes_in!G20=0,"",SER_hh_tes_in!G20/SER_hh_fec_in!G20)</f>
        <v/>
      </c>
      <c r="H20" s="136" t="str">
        <f>IF(SER_hh_tes_in!H20=0,"",SER_hh_tes_in!H20/SER_hh_fec_in!H20)</f>
        <v/>
      </c>
      <c r="I20" s="136" t="str">
        <f>IF(SER_hh_tes_in!I20=0,"",SER_hh_tes_in!I20/SER_hh_fec_in!I20)</f>
        <v/>
      </c>
      <c r="J20" s="136" t="str">
        <f>IF(SER_hh_tes_in!J20=0,"",SER_hh_tes_in!J20/SER_hh_fec_in!J20)</f>
        <v/>
      </c>
      <c r="K20" s="136" t="str">
        <f>IF(SER_hh_tes_in!K20=0,"",SER_hh_tes_in!K20/SER_hh_fec_in!K20)</f>
        <v/>
      </c>
      <c r="L20" s="136" t="str">
        <f>IF(SER_hh_tes_in!L20=0,"",SER_hh_tes_in!L20/SER_hh_fec_in!L20)</f>
        <v/>
      </c>
      <c r="M20" s="136" t="str">
        <f>IF(SER_hh_tes_in!M20=0,"",SER_hh_tes_in!M20/SER_hh_fec_in!M20)</f>
        <v/>
      </c>
      <c r="N20" s="136" t="str">
        <f>IF(SER_hh_tes_in!N20=0,"",SER_hh_tes_in!N20/SER_hh_fec_in!N20)</f>
        <v/>
      </c>
      <c r="O20" s="136" t="str">
        <f>IF(SER_hh_tes_in!O20=0,"",SER_hh_tes_in!O20/SER_hh_fec_in!O20)</f>
        <v/>
      </c>
      <c r="P20" s="136" t="str">
        <f>IF(SER_hh_tes_in!P20=0,"",SER_hh_tes_in!P20/SER_hh_fec_in!P20)</f>
        <v/>
      </c>
      <c r="Q20" s="136" t="str">
        <f>IF(SER_hh_tes_in!Q20=0,"",SER_hh_tes_in!Q20/SER_hh_fec_in!Q20)</f>
        <v/>
      </c>
      <c r="R20" s="136" t="str">
        <f>IF(SER_hh_tes_in!R20=0,"",SER_hh_tes_in!R20/SER_hh_fec_in!R20)</f>
        <v/>
      </c>
      <c r="S20" s="136" t="str">
        <f>IF(SER_hh_tes_in!S20=0,"",SER_hh_tes_in!S20/SER_hh_fec_in!S20)</f>
        <v/>
      </c>
      <c r="T20" s="136" t="str">
        <f>IF(SER_hh_tes_in!T20=0,"",SER_hh_tes_in!T20/SER_hh_fec_in!T20)</f>
        <v/>
      </c>
      <c r="U20" s="136" t="str">
        <f>IF(SER_hh_tes_in!U20=0,"",SER_hh_tes_in!U20/SER_hh_fec_in!U20)</f>
        <v/>
      </c>
      <c r="V20" s="136" t="str">
        <f>IF(SER_hh_tes_in!V20=0,"",SER_hh_tes_in!V20/SER_hh_fec_in!V20)</f>
        <v/>
      </c>
      <c r="W20" s="136" t="str">
        <f>IF(SER_hh_tes_in!W20=0,"",SER_hh_tes_in!W20/SER_hh_fec_in!W20)</f>
        <v/>
      </c>
      <c r="X20" s="136" t="str">
        <f>IF(SER_hh_tes_in!X20=0,"",SER_hh_tes_in!X20/SER_hh_fec_in!X20)</f>
        <v/>
      </c>
      <c r="Y20" s="136" t="str">
        <f>IF(SER_hh_tes_in!Y20=0,"",SER_hh_tes_in!Y20/SER_hh_fec_in!Y20)</f>
        <v/>
      </c>
      <c r="DA20" s="163" t="s">
        <v>679</v>
      </c>
    </row>
    <row r="21" spans="1:105" s="2" customFormat="1" ht="12" customHeight="1" x14ac:dyDescent="0.25">
      <c r="A21" s="131" t="s">
        <v>52</v>
      </c>
      <c r="B21" s="136"/>
      <c r="C21" s="136" t="str">
        <f>IF(SER_hh_tes_in!C21=0,"",SER_hh_tes_in!C21/SER_hh_fec_in!C21)</f>
        <v/>
      </c>
      <c r="D21" s="136" t="str">
        <f>IF(SER_hh_tes_in!D21=0,"",SER_hh_tes_in!D21/SER_hh_fec_in!D21)</f>
        <v/>
      </c>
      <c r="E21" s="136" t="str">
        <f>IF(SER_hh_tes_in!E21=0,"",SER_hh_tes_in!E21/SER_hh_fec_in!E21)</f>
        <v/>
      </c>
      <c r="F21" s="136" t="str">
        <f>IF(SER_hh_tes_in!F21=0,"",SER_hh_tes_in!F21/SER_hh_fec_in!F21)</f>
        <v/>
      </c>
      <c r="G21" s="136" t="str">
        <f>IF(SER_hh_tes_in!G21=0,"",SER_hh_tes_in!G21/SER_hh_fec_in!G21)</f>
        <v/>
      </c>
      <c r="H21" s="136" t="str">
        <f>IF(SER_hh_tes_in!H21=0,"",SER_hh_tes_in!H21/SER_hh_fec_in!H21)</f>
        <v/>
      </c>
      <c r="I21" s="136" t="str">
        <f>IF(SER_hh_tes_in!I21=0,"",SER_hh_tes_in!I21/SER_hh_fec_in!I21)</f>
        <v/>
      </c>
      <c r="J21" s="136" t="str">
        <f>IF(SER_hh_tes_in!J21=0,"",SER_hh_tes_in!J21/SER_hh_fec_in!J21)</f>
        <v/>
      </c>
      <c r="K21" s="136" t="str">
        <f>IF(SER_hh_tes_in!K21=0,"",SER_hh_tes_in!K21/SER_hh_fec_in!K21)</f>
        <v/>
      </c>
      <c r="L21" s="136" t="str">
        <f>IF(SER_hh_tes_in!L21=0,"",SER_hh_tes_in!L21/SER_hh_fec_in!L21)</f>
        <v/>
      </c>
      <c r="M21" s="136" t="str">
        <f>IF(SER_hh_tes_in!M21=0,"",SER_hh_tes_in!M21/SER_hh_fec_in!M21)</f>
        <v/>
      </c>
      <c r="N21" s="136" t="str">
        <f>IF(SER_hh_tes_in!N21=0,"",SER_hh_tes_in!N21/SER_hh_fec_in!N21)</f>
        <v/>
      </c>
      <c r="O21" s="136" t="str">
        <f>IF(SER_hh_tes_in!O21=0,"",SER_hh_tes_in!O21/SER_hh_fec_in!O21)</f>
        <v/>
      </c>
      <c r="P21" s="136" t="str">
        <f>IF(SER_hh_tes_in!P21=0,"",SER_hh_tes_in!P21/SER_hh_fec_in!P21)</f>
        <v/>
      </c>
      <c r="Q21" s="136" t="str">
        <f>IF(SER_hh_tes_in!Q21=0,"",SER_hh_tes_in!Q21/SER_hh_fec_in!Q21)</f>
        <v/>
      </c>
      <c r="R21" s="136" t="str">
        <f>IF(SER_hh_tes_in!R21=0,"",SER_hh_tes_in!R21/SER_hh_fec_in!R21)</f>
        <v/>
      </c>
      <c r="S21" s="136" t="str">
        <f>IF(SER_hh_tes_in!S21=0,"",SER_hh_tes_in!S21/SER_hh_fec_in!S21)</f>
        <v/>
      </c>
      <c r="T21" s="136" t="str">
        <f>IF(SER_hh_tes_in!T21=0,"",SER_hh_tes_in!T21/SER_hh_fec_in!T21)</f>
        <v/>
      </c>
      <c r="U21" s="136" t="str">
        <f>IF(SER_hh_tes_in!U21=0,"",SER_hh_tes_in!U21/SER_hh_fec_in!U21)</f>
        <v/>
      </c>
      <c r="V21" s="136" t="str">
        <f>IF(SER_hh_tes_in!V21=0,"",SER_hh_tes_in!V21/SER_hh_fec_in!V21)</f>
        <v/>
      </c>
      <c r="W21" s="136" t="str">
        <f>IF(SER_hh_tes_in!W21=0,"",SER_hh_tes_in!W21/SER_hh_fec_in!W21)</f>
        <v/>
      </c>
      <c r="X21" s="136" t="str">
        <f>IF(SER_hh_tes_in!X21=0,"",SER_hh_tes_in!X21/SER_hh_fec_in!X21)</f>
        <v/>
      </c>
      <c r="Y21" s="136" t="str">
        <f>IF(SER_hh_tes_in!Y21=0,"",SER_hh_tes_in!Y21/SER_hh_fec_in!Y21)</f>
        <v/>
      </c>
      <c r="DA21" s="163" t="s">
        <v>680</v>
      </c>
    </row>
    <row r="22" spans="1:105" ht="12" customHeight="1" x14ac:dyDescent="0.25">
      <c r="A22" s="131" t="s">
        <v>161</v>
      </c>
      <c r="B22" s="136"/>
      <c r="C22" s="136">
        <f>IF(SER_hh_tes_in!C22=0,"",SER_hh_tes_in!C22/SER_hh_fec_in!C22)</f>
        <v>0.50244005054864127</v>
      </c>
      <c r="D22" s="136">
        <f>IF(SER_hh_tes_in!D22=0,"",SER_hh_tes_in!D22/SER_hh_fec_in!D22)</f>
        <v>0.50489873647506922</v>
      </c>
      <c r="E22" s="136">
        <f>IF(SER_hh_tes_in!E22=0,"",SER_hh_tes_in!E22/SER_hh_fec_in!E22)</f>
        <v>0.50769919062757995</v>
      </c>
      <c r="F22" s="136">
        <f>IF(SER_hh_tes_in!F22=0,"",SER_hh_tes_in!F22/SER_hh_fec_in!F22)</f>
        <v>0.51054624953819294</v>
      </c>
      <c r="G22" s="136" t="str">
        <f>IF(SER_hh_tes_in!G22=0,"",SER_hh_tes_in!G22/SER_hh_fec_in!G22)</f>
        <v/>
      </c>
      <c r="H22" s="136" t="str">
        <f>IF(SER_hh_tes_in!H22=0,"",SER_hh_tes_in!H22/SER_hh_fec_in!H22)</f>
        <v/>
      </c>
      <c r="I22" s="136" t="str">
        <f>IF(SER_hh_tes_in!I22=0,"",SER_hh_tes_in!I22/SER_hh_fec_in!I22)</f>
        <v/>
      </c>
      <c r="J22" s="136" t="str">
        <f>IF(SER_hh_tes_in!J22=0,"",SER_hh_tes_in!J22/SER_hh_fec_in!J22)</f>
        <v/>
      </c>
      <c r="K22" s="136" t="str">
        <f>IF(SER_hh_tes_in!K22=0,"",SER_hh_tes_in!K22/SER_hh_fec_in!K22)</f>
        <v/>
      </c>
      <c r="L22" s="136">
        <f>IF(SER_hh_tes_in!L22=0,"",SER_hh_tes_in!L22/SER_hh_fec_in!L22)</f>
        <v>0.53678276192520691</v>
      </c>
      <c r="M22" s="136">
        <f>IF(SER_hh_tes_in!M22=0,"",SER_hh_tes_in!M22/SER_hh_fec_in!M22)</f>
        <v>0.54935987972973321</v>
      </c>
      <c r="N22" s="136">
        <f>IF(SER_hh_tes_in!N22=0,"",SER_hh_tes_in!N22/SER_hh_fec_in!N22)</f>
        <v>0.57009184565164284</v>
      </c>
      <c r="O22" s="136">
        <f>IF(SER_hh_tes_in!O22=0,"",SER_hh_tes_in!O22/SER_hh_fec_in!O22)</f>
        <v>0.60040075576452479</v>
      </c>
      <c r="P22" s="136">
        <f>IF(SER_hh_tes_in!P22=0,"",SER_hh_tes_in!P22/SER_hh_fec_in!P22)</f>
        <v>0.63715357892018487</v>
      </c>
      <c r="Q22" s="136">
        <f>IF(SER_hh_tes_in!Q22=0,"",SER_hh_tes_in!Q22/SER_hh_fec_in!Q22)</f>
        <v>0.6702444089013937</v>
      </c>
      <c r="R22" s="136">
        <f>IF(SER_hh_tes_in!R22=0,"",SER_hh_tes_in!R22/SER_hh_fec_in!R22)</f>
        <v>0.69171300918058931</v>
      </c>
      <c r="S22" s="136">
        <f>IF(SER_hh_tes_in!S22=0,"",SER_hh_tes_in!S22/SER_hh_fec_in!S22)</f>
        <v>0.71170232210703077</v>
      </c>
      <c r="T22" s="136">
        <f>IF(SER_hh_tes_in!T22=0,"",SER_hh_tes_in!T22/SER_hh_fec_in!T22)</f>
        <v>0.72962294738740108</v>
      </c>
      <c r="U22" s="136">
        <f>IF(SER_hh_tes_in!U22=0,"",SER_hh_tes_in!U22/SER_hh_fec_in!U22)</f>
        <v>0.74488548472844374</v>
      </c>
      <c r="V22" s="136">
        <f>IF(SER_hh_tes_in!V22=0,"",SER_hh_tes_in!V22/SER_hh_fec_in!V22)</f>
        <v>0.75690053383687794</v>
      </c>
      <c r="W22" s="136">
        <f>IF(SER_hh_tes_in!W22=0,"",SER_hh_tes_in!W22/SER_hh_fec_in!W22)</f>
        <v>0.76428561978890752</v>
      </c>
      <c r="X22" s="136">
        <f>IF(SER_hh_tes_in!X22=0,"",SER_hh_tes_in!X22/SER_hh_fec_in!X22)</f>
        <v>0.76761041762793425</v>
      </c>
      <c r="Y22" s="136">
        <f>IF(SER_hh_tes_in!Y22=0,"",SER_hh_tes_in!Y22/SER_hh_fec_in!Y22)</f>
        <v>0.76929401387736907</v>
      </c>
      <c r="DA22" s="163" t="s">
        <v>681</v>
      </c>
    </row>
    <row r="23" spans="1:105" ht="12" customHeight="1" x14ac:dyDescent="0.25">
      <c r="A23" s="131" t="s">
        <v>149</v>
      </c>
      <c r="B23" s="136"/>
      <c r="C23" s="136">
        <f>IF(SER_hh_tes_in!C23=0,"",SER_hh_tes_in!C23/SER_hh_fec_in!C23)</f>
        <v>0.54528111700068804</v>
      </c>
      <c r="D23" s="136">
        <f>IF(SER_hh_tes_in!D23=0,"",SER_hh_tes_in!D23/SER_hh_fec_in!D23)</f>
        <v>0.55165297543239211</v>
      </c>
      <c r="E23" s="136">
        <f>IF(SER_hh_tes_in!E23=0,"",SER_hh_tes_in!E23/SER_hh_fec_in!E23)</f>
        <v>0.55831344154381923</v>
      </c>
      <c r="F23" s="136">
        <f>IF(SER_hh_tes_in!F23=0,"",SER_hh_tes_in!F23/SER_hh_fec_in!F23)</f>
        <v>0.56502522118678755</v>
      </c>
      <c r="G23" s="136">
        <f>IF(SER_hh_tes_in!G23=0,"",SER_hh_tes_in!G23/SER_hh_fec_in!G23)</f>
        <v>0.57200072817220871</v>
      </c>
      <c r="H23" s="136">
        <f>IF(SER_hh_tes_in!H23=0,"",SER_hh_tes_in!H23/SER_hh_fec_in!H23)</f>
        <v>0.57921176136606534</v>
      </c>
      <c r="I23" s="136">
        <f>IF(SER_hh_tes_in!I23=0,"",SER_hh_tes_in!I23/SER_hh_fec_in!I23)</f>
        <v>0.58670840255286483</v>
      </c>
      <c r="J23" s="136">
        <f>IF(SER_hh_tes_in!J23=0,"",SER_hh_tes_in!J23/SER_hh_fec_in!J23)</f>
        <v>0.59470092664955088</v>
      </c>
      <c r="K23" s="136">
        <f>IF(SER_hh_tes_in!K23=0,"",SER_hh_tes_in!K23/SER_hh_fec_in!K23)</f>
        <v>0.60336516178282551</v>
      </c>
      <c r="L23" s="136">
        <f>IF(SER_hh_tes_in!L23=0,"",SER_hh_tes_in!L23/SER_hh_fec_in!L23)</f>
        <v>0.61274288416014655</v>
      </c>
      <c r="M23" s="136">
        <f>IF(SER_hh_tes_in!M23=0,"",SER_hh_tes_in!M23/SER_hh_fec_in!M23)</f>
        <v>0.62721104869460043</v>
      </c>
      <c r="N23" s="136">
        <f>IF(SER_hh_tes_in!N23=0,"",SER_hh_tes_in!N23/SER_hh_fec_in!N23)</f>
        <v>0.64812110463357131</v>
      </c>
      <c r="O23" s="136">
        <f>IF(SER_hh_tes_in!O23=0,"",SER_hh_tes_in!O23/SER_hh_fec_in!O23)</f>
        <v>0.67643763484310226</v>
      </c>
      <c r="P23" s="136">
        <f>IF(SER_hh_tes_in!P23=0,"",SER_hh_tes_in!P23/SER_hh_fec_in!P23)</f>
        <v>0.70936223577005819</v>
      </c>
      <c r="Q23" s="136">
        <f>IF(SER_hh_tes_in!Q23=0,"",SER_hh_tes_in!Q23/SER_hh_fec_in!Q23)</f>
        <v>0.7381885338352574</v>
      </c>
      <c r="R23" s="136">
        <f>IF(SER_hh_tes_in!R23=0,"",SER_hh_tes_in!R23/SER_hh_fec_in!R23)</f>
        <v>0.75580927699062961</v>
      </c>
      <c r="S23" s="136">
        <f>IF(SER_hh_tes_in!S23=0,"",SER_hh_tes_in!S23/SER_hh_fec_in!S23)</f>
        <v>0.77081533191841678</v>
      </c>
      <c r="T23" s="136">
        <f>IF(SER_hh_tes_in!T23=0,"",SER_hh_tes_in!T23/SER_hh_fec_in!T23)</f>
        <v>0.78344223887730091</v>
      </c>
      <c r="U23" s="136">
        <f>IF(SER_hh_tes_in!U23=0,"",SER_hh_tes_in!U23/SER_hh_fec_in!U23)</f>
        <v>0.793914296671134</v>
      </c>
      <c r="V23" s="136">
        <f>IF(SER_hh_tes_in!V23=0,"",SER_hh_tes_in!V23/SER_hh_fec_in!V23)</f>
        <v>0.80242823012961395</v>
      </c>
      <c r="W23" s="136">
        <f>IF(SER_hh_tes_in!W23=0,"",SER_hh_tes_in!W23/SER_hh_fec_in!W23)</f>
        <v>0.80806280076258186</v>
      </c>
      <c r="X23" s="136" t="str">
        <f>IF(SER_hh_tes_in!X23=0,"",SER_hh_tes_in!X23/SER_hh_fec_in!X23)</f>
        <v/>
      </c>
      <c r="Y23" s="136" t="str">
        <f>IF(SER_hh_tes_in!Y23=0,"",SER_hh_tes_in!Y23/SER_hh_fec_in!Y23)</f>
        <v/>
      </c>
      <c r="DA23" s="163" t="s">
        <v>682</v>
      </c>
    </row>
    <row r="24" spans="1:105" ht="12" customHeight="1" x14ac:dyDescent="0.25">
      <c r="A24" s="131" t="s">
        <v>128</v>
      </c>
      <c r="B24" s="136"/>
      <c r="C24" s="136">
        <f>IF(SER_hh_tes_in!C24=0,"",SER_hh_tes_in!C24/SER_hh_fec_in!C24)</f>
        <v>0.55369829281996252</v>
      </c>
      <c r="D24" s="136" t="str">
        <f>IF(SER_hh_tes_in!D24=0,"",SER_hh_tes_in!D24/SER_hh_fec_in!D24)</f>
        <v/>
      </c>
      <c r="E24" s="136">
        <f>IF(SER_hh_tes_in!E24=0,"",SER_hh_tes_in!E24/SER_hh_fec_in!E24)</f>
        <v>0.57687260773757099</v>
      </c>
      <c r="F24" s="136" t="str">
        <f>IF(SER_hh_tes_in!F24=0,"",SER_hh_tes_in!F24/SER_hh_fec_in!F24)</f>
        <v/>
      </c>
      <c r="G24" s="136" t="str">
        <f>IF(SER_hh_tes_in!G24=0,"",SER_hh_tes_in!G24/SER_hh_fec_in!G24)</f>
        <v/>
      </c>
      <c r="H24" s="136" t="str">
        <f>IF(SER_hh_tes_in!H24=0,"",SER_hh_tes_in!H24/SER_hh_fec_in!H24)</f>
        <v/>
      </c>
      <c r="I24" s="136" t="str">
        <f>IF(SER_hh_tes_in!I24=0,"",SER_hh_tes_in!I24/SER_hh_fec_in!I24)</f>
        <v/>
      </c>
      <c r="J24" s="136">
        <f>IF(SER_hh_tes_in!J24=0,"",SER_hh_tes_in!J24/SER_hh_fec_in!J24)</f>
        <v>0.63626830687797109</v>
      </c>
      <c r="K24" s="136">
        <f>IF(SER_hh_tes_in!K24=0,"",SER_hh_tes_in!K24/SER_hh_fec_in!K24)</f>
        <v>0.64820514271177154</v>
      </c>
      <c r="L24" s="136">
        <f>IF(SER_hh_tes_in!L24=0,"",SER_hh_tes_in!L24/SER_hh_fec_in!L24)</f>
        <v>0.66006126836718071</v>
      </c>
      <c r="M24" s="136">
        <f>IF(SER_hh_tes_in!M24=0,"",SER_hh_tes_in!M24/SER_hh_fec_in!M24)</f>
        <v>0.67095209501145159</v>
      </c>
      <c r="N24" s="136">
        <f>IF(SER_hh_tes_in!N24=0,"",SER_hh_tes_in!N24/SER_hh_fec_in!N24)</f>
        <v>0.68039359262379739</v>
      </c>
      <c r="O24" s="136">
        <f>IF(SER_hh_tes_in!O24=0,"",SER_hh_tes_in!O24/SER_hh_fec_in!O24)</f>
        <v>0.68810620740776496</v>
      </c>
      <c r="P24" s="136">
        <f>IF(SER_hh_tes_in!P24=0,"",SER_hh_tes_in!P24/SER_hh_fec_in!P24)</f>
        <v>0.69475808398625516</v>
      </c>
      <c r="Q24" s="136">
        <f>IF(SER_hh_tes_in!Q24=0,"",SER_hh_tes_in!Q24/SER_hh_fec_in!Q24)</f>
        <v>0.70269501640823728</v>
      </c>
      <c r="R24" s="136" t="str">
        <f>IF(SER_hh_tes_in!R24=0,"",SER_hh_tes_in!R24/SER_hh_fec_in!R24)</f>
        <v/>
      </c>
      <c r="S24" s="136" t="str">
        <f>IF(SER_hh_tes_in!S24=0,"",SER_hh_tes_in!S24/SER_hh_fec_in!S24)</f>
        <v/>
      </c>
      <c r="T24" s="136" t="str">
        <f>IF(SER_hh_tes_in!T24=0,"",SER_hh_tes_in!T24/SER_hh_fec_in!T24)</f>
        <v/>
      </c>
      <c r="U24" s="136" t="str">
        <f>IF(SER_hh_tes_in!U24=0,"",SER_hh_tes_in!U24/SER_hh_fec_in!U24)</f>
        <v/>
      </c>
      <c r="V24" s="136">
        <f>IF(SER_hh_tes_in!V24=0,"",SER_hh_tes_in!V24/SER_hh_fec_in!V24)</f>
        <v>0.76438569911380927</v>
      </c>
      <c r="W24" s="136" t="str">
        <f>IF(SER_hh_tes_in!W24=0,"",SER_hh_tes_in!W24/SER_hh_fec_in!W24)</f>
        <v/>
      </c>
      <c r="X24" s="136" t="str">
        <f>IF(SER_hh_tes_in!X24=0,"",SER_hh_tes_in!X24/SER_hh_fec_in!X24)</f>
        <v/>
      </c>
      <c r="Y24" s="136">
        <f>IF(SER_hh_tes_in!Y24=0,"",SER_hh_tes_in!Y24/SER_hh_fec_in!Y24)</f>
        <v>0.78722164787482851</v>
      </c>
      <c r="DA24" s="163" t="s">
        <v>683</v>
      </c>
    </row>
    <row r="25" spans="1:105" ht="12" customHeight="1" x14ac:dyDescent="0.25">
      <c r="A25" s="131" t="s">
        <v>162</v>
      </c>
      <c r="B25" s="136"/>
      <c r="C25" s="136" t="str">
        <f>IF(SER_hh_tes_in!C25=0,"",SER_hh_tes_in!C25/SER_hh_fec_in!C25)</f>
        <v/>
      </c>
      <c r="D25" s="136" t="str">
        <f>IF(SER_hh_tes_in!D25=0,"",SER_hh_tes_in!D25/SER_hh_fec_in!D25)</f>
        <v/>
      </c>
      <c r="E25" s="136" t="str">
        <f>IF(SER_hh_tes_in!E25=0,"",SER_hh_tes_in!E25/SER_hh_fec_in!E25)</f>
        <v/>
      </c>
      <c r="F25" s="136" t="str">
        <f>IF(SER_hh_tes_in!F25=0,"",SER_hh_tes_in!F25/SER_hh_fec_in!F25)</f>
        <v/>
      </c>
      <c r="G25" s="136">
        <f>IF(SER_hh_tes_in!G25=0,"",SER_hh_tes_in!G25/SER_hh_fec_in!G25)</f>
        <v>0.77371968665040591</v>
      </c>
      <c r="H25" s="136">
        <f>IF(SER_hh_tes_in!H25=0,"",SER_hh_tes_in!H25/SER_hh_fec_in!H25)</f>
        <v>0.77672681853912262</v>
      </c>
      <c r="I25" s="136">
        <f>IF(SER_hh_tes_in!I25=0,"",SER_hh_tes_in!I25/SER_hh_fec_in!I25)</f>
        <v>0.77981064783717735</v>
      </c>
      <c r="J25" s="136">
        <f>IF(SER_hh_tes_in!J25=0,"",SER_hh_tes_in!J25/SER_hh_fec_in!J25)</f>
        <v>0.78303082808516666</v>
      </c>
      <c r="K25" s="136">
        <f>IF(SER_hh_tes_in!K25=0,"",SER_hh_tes_in!K25/SER_hh_fec_in!K25)</f>
        <v>0.78643808048334451</v>
      </c>
      <c r="L25" s="136">
        <f>IF(SER_hh_tes_in!L25=0,"",SER_hh_tes_in!L25/SER_hh_fec_in!L25)</f>
        <v>0.79004597503224228</v>
      </c>
      <c r="M25" s="136">
        <f>IF(SER_hh_tes_in!M25=0,"",SER_hh_tes_in!M25/SER_hh_fec_in!M25)</f>
        <v>0.79504155544830424</v>
      </c>
      <c r="N25" s="136">
        <f>IF(SER_hh_tes_in!N25=0,"",SER_hh_tes_in!N25/SER_hh_fec_in!N25)</f>
        <v>0.80180013517503301</v>
      </c>
      <c r="O25" s="136">
        <f>IF(SER_hh_tes_in!O25=0,"",SER_hh_tes_in!O25/SER_hh_fec_in!O25)</f>
        <v>0.81065072205162958</v>
      </c>
      <c r="P25" s="136">
        <f>IF(SER_hh_tes_in!P25=0,"",SER_hh_tes_in!P25/SER_hh_fec_in!P25)</f>
        <v>0.82096735454209369</v>
      </c>
      <c r="Q25" s="136">
        <f>IF(SER_hh_tes_in!Q25=0,"",SER_hh_tes_in!Q25/SER_hh_fec_in!Q25)</f>
        <v>0.83070086059093662</v>
      </c>
      <c r="R25" s="136">
        <f>IF(SER_hh_tes_in!R25=0,"",SER_hh_tes_in!R25/SER_hh_fec_in!R25)</f>
        <v>0.83815932141195748</v>
      </c>
      <c r="S25" s="136" t="str">
        <f>IF(SER_hh_tes_in!S25=0,"",SER_hh_tes_in!S25/SER_hh_fec_in!S25)</f>
        <v/>
      </c>
      <c r="T25" s="136">
        <f>IF(SER_hh_tes_in!T25=0,"",SER_hh_tes_in!T25/SER_hh_fec_in!T25)</f>
        <v>0.85241988689065307</v>
      </c>
      <c r="U25" s="136">
        <f>IF(SER_hh_tes_in!U25=0,"",SER_hh_tes_in!U25/SER_hh_fec_in!U25)</f>
        <v>0.85912503078416835</v>
      </c>
      <c r="V25" s="136">
        <f>IF(SER_hh_tes_in!V25=0,"",SER_hh_tes_in!V25/SER_hh_fec_in!V25)</f>
        <v>0.86548210827102823</v>
      </c>
      <c r="W25" s="136">
        <f>IF(SER_hh_tes_in!W25=0,"",SER_hh_tes_in!W25/SER_hh_fec_in!W25)</f>
        <v>0.87133820193235367</v>
      </c>
      <c r="X25" s="136">
        <f>IF(SER_hh_tes_in!X25=0,"",SER_hh_tes_in!X25/SER_hh_fec_in!X25)</f>
        <v>0.87597612096712385</v>
      </c>
      <c r="Y25" s="136">
        <f>IF(SER_hh_tes_in!Y25=0,"",SER_hh_tes_in!Y25/SER_hh_fec_in!Y25)</f>
        <v>0.88043290829532839</v>
      </c>
      <c r="DA25" s="163" t="s">
        <v>684</v>
      </c>
    </row>
    <row r="26" spans="1:105" ht="12" customHeight="1" x14ac:dyDescent="0.25">
      <c r="A26" s="131" t="s">
        <v>24</v>
      </c>
      <c r="B26" s="137"/>
      <c r="C26" s="137">
        <f>IF(SER_hh_tes_in!C26=0,"",SER_hh_tes_in!C26/SER_hh_fec_in!C26)</f>
        <v>0.63303296508053863</v>
      </c>
      <c r="D26" s="137">
        <f>IF(SER_hh_tes_in!D26=0,"",SER_hh_tes_in!D26/SER_hh_fec_in!D26)</f>
        <v>0.63546833912692513</v>
      </c>
      <c r="E26" s="137">
        <f>IF(SER_hh_tes_in!E26=0,"",SER_hh_tes_in!E26/SER_hh_fec_in!E26)</f>
        <v>0.63813447054164296</v>
      </c>
      <c r="F26" s="137">
        <f>IF(SER_hh_tes_in!F26=0,"",SER_hh_tes_in!F26/SER_hh_fec_in!F26)</f>
        <v>0.64083277010654027</v>
      </c>
      <c r="G26" s="137">
        <f>IF(SER_hh_tes_in!G26=0,"",SER_hh_tes_in!G26/SER_hh_fec_in!G26)</f>
        <v>0.64374538423394512</v>
      </c>
      <c r="H26" s="137">
        <f>IF(SER_hh_tes_in!H26=0,"",SER_hh_tes_in!H26/SER_hh_fec_in!H26)</f>
        <v>0.64685175250291138</v>
      </c>
      <c r="I26" s="137">
        <f>IF(SER_hh_tes_in!I26=0,"",SER_hh_tes_in!I26/SER_hh_fec_in!I26)</f>
        <v>0.65019911419810394</v>
      </c>
      <c r="J26" s="137">
        <f>IF(SER_hh_tes_in!J26=0,"",SER_hh_tes_in!J26/SER_hh_fec_in!J26)</f>
        <v>0.65397688453857294</v>
      </c>
      <c r="K26" s="137" t="str">
        <f>IF(SER_hh_tes_in!K26=0,"",SER_hh_tes_in!K26/SER_hh_fec_in!K26)</f>
        <v/>
      </c>
      <c r="L26" s="137" t="str">
        <f>IF(SER_hh_tes_in!L26=0,"",SER_hh_tes_in!L26/SER_hh_fec_in!L26)</f>
        <v/>
      </c>
      <c r="M26" s="137">
        <f>IF(SER_hh_tes_in!M26=0,"",SER_hh_tes_in!M26/SER_hh_fec_in!M26)</f>
        <v>0.67294730547269987</v>
      </c>
      <c r="N26" s="137">
        <f>IF(SER_hh_tes_in!N26=0,"",SER_hh_tes_in!N26/SER_hh_fec_in!N26)</f>
        <v>0.68871768782648024</v>
      </c>
      <c r="O26" s="137">
        <f>IF(SER_hh_tes_in!O26=0,"",SER_hh_tes_in!O26/SER_hh_fec_in!O26)</f>
        <v>0.71276547090505993</v>
      </c>
      <c r="P26" s="137">
        <f>IF(SER_hh_tes_in!P26=0,"",SER_hh_tes_in!P26/SER_hh_fec_in!P26)</f>
        <v>0.74395054246020664</v>
      </c>
      <c r="Q26" s="137">
        <f>IF(SER_hh_tes_in!Q26=0,"",SER_hh_tes_in!Q26/SER_hh_fec_in!Q26)</f>
        <v>0.77403750159153795</v>
      </c>
      <c r="R26" s="137">
        <f>IF(SER_hh_tes_in!R26=0,"",SER_hh_tes_in!R26/SER_hh_fec_in!R26)</f>
        <v>0.79439853090792345</v>
      </c>
      <c r="S26" s="137">
        <f>IF(SER_hh_tes_in!S26=0,"",SER_hh_tes_in!S26/SER_hh_fec_in!S26)</f>
        <v>0.81412485871238949</v>
      </c>
      <c r="T26" s="137">
        <f>IF(SER_hh_tes_in!T26=0,"",SER_hh_tes_in!T26/SER_hh_fec_in!T26)</f>
        <v>0.83369809966143815</v>
      </c>
      <c r="U26" s="137">
        <f>IF(SER_hh_tes_in!U26=0,"",SER_hh_tes_in!U26/SER_hh_fec_in!U26)</f>
        <v>0.85331501813517618</v>
      </c>
      <c r="V26" s="137">
        <f>IF(SER_hh_tes_in!V26=0,"",SER_hh_tes_in!V26/SER_hh_fec_in!V26)</f>
        <v>0.87258636652719401</v>
      </c>
      <c r="W26" s="137">
        <f>IF(SER_hh_tes_in!W26=0,"",SER_hh_tes_in!W26/SER_hh_fec_in!W26)</f>
        <v>0.8901875008518374</v>
      </c>
      <c r="X26" s="137">
        <f>IF(SER_hh_tes_in!X26=0,"",SER_hh_tes_in!X26/SER_hh_fec_in!X26)</f>
        <v>0.9037627084258486</v>
      </c>
      <c r="Y26" s="137">
        <f>IF(SER_hh_tes_in!Y26=0,"",SER_hh_tes_in!Y26/SER_hh_fec_in!Y26)</f>
        <v>0.91642755198956916</v>
      </c>
      <c r="DA26" s="164" t="s">
        <v>685</v>
      </c>
    </row>
    <row r="27" spans="1:105" ht="12" customHeight="1" x14ac:dyDescent="0.25">
      <c r="A27" s="144" t="s">
        <v>26</v>
      </c>
      <c r="B27" s="148"/>
      <c r="C27" s="148" t="str">
        <f>IF(SER_hh_tes_in!C27=0,"",SER_hh_tes_in!C27/SER_hh_fec_in!C27)</f>
        <v/>
      </c>
      <c r="D27" s="148" t="str">
        <f>IF(SER_hh_tes_in!D27=0,"",SER_hh_tes_in!D27/SER_hh_fec_in!D27)</f>
        <v/>
      </c>
      <c r="E27" s="148" t="str">
        <f>IF(SER_hh_tes_in!E27=0,"",SER_hh_tes_in!E27/SER_hh_fec_in!E27)</f>
        <v/>
      </c>
      <c r="F27" s="148" t="str">
        <f>IF(SER_hh_tes_in!F27=0,"",SER_hh_tes_in!F27/SER_hh_fec_in!F27)</f>
        <v/>
      </c>
      <c r="G27" s="148" t="str">
        <f>IF(SER_hh_tes_in!G27=0,"",SER_hh_tes_in!G27/SER_hh_fec_in!G27)</f>
        <v/>
      </c>
      <c r="H27" s="148" t="str">
        <f>IF(SER_hh_tes_in!H27=0,"",SER_hh_tes_in!H27/SER_hh_fec_in!H27)</f>
        <v/>
      </c>
      <c r="I27" s="148">
        <f>IF(SER_hh_tes_in!I27=0,"",SER_hh_tes_in!I27/SER_hh_fec_in!I27)</f>
        <v>1</v>
      </c>
      <c r="J27" s="148" t="str">
        <f>IF(SER_hh_tes_in!J27=0,"",SER_hh_tes_in!J27/SER_hh_fec_in!J27)</f>
        <v/>
      </c>
      <c r="K27" s="148" t="str">
        <f>IF(SER_hh_tes_in!K27=0,"",SER_hh_tes_in!K27/SER_hh_fec_in!K27)</f>
        <v/>
      </c>
      <c r="L27" s="148">
        <f>IF(SER_hh_tes_in!L27=0,"",SER_hh_tes_in!L27/SER_hh_fec_in!L27)</f>
        <v>1</v>
      </c>
      <c r="M27" s="148" t="str">
        <f>IF(SER_hh_tes_in!M27=0,"",SER_hh_tes_in!M27/SER_hh_fec_in!M27)</f>
        <v/>
      </c>
      <c r="N27" s="148">
        <f>IF(SER_hh_tes_in!N27=0,"",SER_hh_tes_in!N27/SER_hh_fec_in!N27)</f>
        <v>1</v>
      </c>
      <c r="O27" s="148">
        <f>IF(SER_hh_tes_in!O27=0,"",SER_hh_tes_in!O27/SER_hh_fec_in!O27)</f>
        <v>1</v>
      </c>
      <c r="P27" s="148" t="str">
        <f>IF(SER_hh_tes_in!P27=0,"",SER_hh_tes_in!P27/SER_hh_fec_in!P27)</f>
        <v/>
      </c>
      <c r="Q27" s="148" t="str">
        <f>IF(SER_hh_tes_in!Q27=0,"",SER_hh_tes_in!Q27/SER_hh_fec_in!Q27)</f>
        <v/>
      </c>
      <c r="R27" s="148">
        <f>IF(SER_hh_tes_in!R27=0,"",SER_hh_tes_in!R27/SER_hh_fec_in!R27)</f>
        <v>1</v>
      </c>
      <c r="S27" s="148">
        <f>IF(SER_hh_tes_in!S27=0,"",SER_hh_tes_in!S27/SER_hh_fec_in!S27)</f>
        <v>1</v>
      </c>
      <c r="T27" s="148">
        <f>IF(SER_hh_tes_in!T27=0,"",SER_hh_tes_in!T27/SER_hh_fec_in!T27)</f>
        <v>1</v>
      </c>
      <c r="U27" s="148">
        <f>IF(SER_hh_tes_in!U27=0,"",SER_hh_tes_in!U27/SER_hh_fec_in!U27)</f>
        <v>1</v>
      </c>
      <c r="V27" s="148">
        <f>IF(SER_hh_tes_in!V27=0,"",SER_hh_tes_in!V27/SER_hh_fec_in!V27)</f>
        <v>1</v>
      </c>
      <c r="W27" s="148">
        <f>IF(SER_hh_tes_in!W27=0,"",SER_hh_tes_in!W27/SER_hh_fec_in!W27)</f>
        <v>1</v>
      </c>
      <c r="X27" s="148" t="str">
        <f>IF(SER_hh_tes_in!X27=0,"",SER_hh_tes_in!X27/SER_hh_fec_in!X27)</f>
        <v/>
      </c>
      <c r="Y27" s="148">
        <f>IF(SER_hh_tes_in!Y27=0,"",SER_hh_tes_in!Y27/SER_hh_fec_in!Y27)</f>
        <v>1</v>
      </c>
      <c r="DA27" s="166" t="s">
        <v>686</v>
      </c>
    </row>
    <row r="28" spans="1:105" ht="12" hidden="1" customHeight="1" x14ac:dyDescent="0.25">
      <c r="A28" s="78" t="s">
        <v>26</v>
      </c>
      <c r="B28" s="149"/>
      <c r="C28" s="149"/>
      <c r="D28" s="149"/>
      <c r="E28" s="149"/>
      <c r="F28" s="149"/>
      <c r="G28" s="149"/>
      <c r="H28" s="149"/>
      <c r="I28" s="149"/>
      <c r="J28" s="149"/>
      <c r="K28" s="149"/>
      <c r="L28" s="149"/>
      <c r="M28" s="149"/>
      <c r="N28" s="149"/>
      <c r="O28" s="149"/>
      <c r="P28" s="149"/>
      <c r="Q28" s="149"/>
      <c r="R28" s="149"/>
      <c r="S28" s="149"/>
      <c r="T28" s="149"/>
      <c r="U28" s="149"/>
      <c r="V28" s="149"/>
      <c r="W28" s="149"/>
      <c r="X28" s="149"/>
      <c r="Y28" s="149"/>
      <c r="DA28" s="167"/>
    </row>
    <row r="29" spans="1:105" ht="12.95" customHeight="1" x14ac:dyDescent="0.25">
      <c r="A29" s="129" t="s">
        <v>34</v>
      </c>
      <c r="B29" s="135"/>
      <c r="C29" s="135">
        <f>IF(SER_hh_tes_in!C29=0,"",SER_hh_tes_in!C29/SER_hh_fec_in!C29)</f>
        <v>0.67127998784143539</v>
      </c>
      <c r="D29" s="135">
        <f>IF(SER_hh_tes_in!D29=0,"",SER_hh_tes_in!D29/SER_hh_fec_in!D29)</f>
        <v>0.60828374986319966</v>
      </c>
      <c r="E29" s="135">
        <f>IF(SER_hh_tes_in!E29=0,"",SER_hh_tes_in!E29/SER_hh_fec_in!E29)</f>
        <v>0.60820757645121881</v>
      </c>
      <c r="F29" s="135">
        <f>IF(SER_hh_tes_in!F29=0,"",SER_hh_tes_in!F29/SER_hh_fec_in!F29)</f>
        <v>0.60832731036721954</v>
      </c>
      <c r="G29" s="135">
        <f>IF(SER_hh_tes_in!G29=0,"",SER_hh_tes_in!G29/SER_hh_fec_in!G29)</f>
        <v>0.61010532330927525</v>
      </c>
      <c r="H29" s="135">
        <f>IF(SER_hh_tes_in!H29=0,"",SER_hh_tes_in!H29/SER_hh_fec_in!H29)</f>
        <v>0.69703216568280768</v>
      </c>
      <c r="I29" s="135">
        <f>IF(SER_hh_tes_in!I29=0,"",SER_hh_tes_in!I29/SER_hh_fec_in!I29)</f>
        <v>0.7327627967599073</v>
      </c>
      <c r="J29" s="135">
        <f>IF(SER_hh_tes_in!J29=0,"",SER_hh_tes_in!J29/SER_hh_fec_in!J29)</f>
        <v>0.80383218095943654</v>
      </c>
      <c r="K29" s="135">
        <f>IF(SER_hh_tes_in!K29=0,"",SER_hh_tes_in!K29/SER_hh_fec_in!K29)</f>
        <v>0.79613881632024075</v>
      </c>
      <c r="L29" s="135">
        <f>IF(SER_hh_tes_in!L29=0,"",SER_hh_tes_in!L29/SER_hh_fec_in!L29)</f>
        <v>0.76736295519342756</v>
      </c>
      <c r="M29" s="135">
        <f>IF(SER_hh_tes_in!M29=0,"",SER_hh_tes_in!M29/SER_hh_fec_in!M29)</f>
        <v>0.75002572035124593</v>
      </c>
      <c r="N29" s="135">
        <f>IF(SER_hh_tes_in!N29=0,"",SER_hh_tes_in!N29/SER_hh_fec_in!N29)</f>
        <v>0.71933848556457913</v>
      </c>
      <c r="O29" s="135">
        <f>IF(SER_hh_tes_in!O29=0,"",SER_hh_tes_in!O29/SER_hh_fec_in!O29)</f>
        <v>0.71159398951020014</v>
      </c>
      <c r="P29" s="135">
        <f>IF(SER_hh_tes_in!P29=0,"",SER_hh_tes_in!P29/SER_hh_fec_in!P29)</f>
        <v>0.68845956256182939</v>
      </c>
      <c r="Q29" s="135">
        <f>IF(SER_hh_tes_in!Q29=0,"",SER_hh_tes_in!Q29/SER_hh_fec_in!Q29)</f>
        <v>0.68269000652728418</v>
      </c>
      <c r="R29" s="135">
        <f>IF(SER_hh_tes_in!R29=0,"",SER_hh_tes_in!R29/SER_hh_fec_in!R29)</f>
        <v>0.70118366028991785</v>
      </c>
      <c r="S29" s="135">
        <f>IF(SER_hh_tes_in!S29=0,"",SER_hh_tes_in!S29/SER_hh_fec_in!S29)</f>
        <v>0.73986756681064569</v>
      </c>
      <c r="T29" s="135">
        <f>IF(SER_hh_tes_in!T29=0,"",SER_hh_tes_in!T29/SER_hh_fec_in!T29)</f>
        <v>0.80055616703487109</v>
      </c>
      <c r="U29" s="135">
        <f>IF(SER_hh_tes_in!U29=0,"",SER_hh_tes_in!U29/SER_hh_fec_in!U29)</f>
        <v>0.82437785489688642</v>
      </c>
      <c r="V29" s="135">
        <f>IF(SER_hh_tes_in!V29=0,"",SER_hh_tes_in!V29/SER_hh_fec_in!V29)</f>
        <v>0.83607998340968548</v>
      </c>
      <c r="W29" s="135">
        <f>IF(SER_hh_tes_in!W29=0,"",SER_hh_tes_in!W29/SER_hh_fec_in!W29)</f>
        <v>0.85257231228090125</v>
      </c>
      <c r="X29" s="135">
        <f>IF(SER_hh_tes_in!X29=0,"",SER_hh_tes_in!X29/SER_hh_fec_in!X29)</f>
        <v>0.85302438437805439</v>
      </c>
      <c r="Y29" s="135">
        <f>IF(SER_hh_tes_in!Y29=0,"",SER_hh_tes_in!Y29/SER_hh_fec_in!Y29)</f>
        <v>0.82161187265043589</v>
      </c>
      <c r="DA29" s="162" t="s">
        <v>687</v>
      </c>
    </row>
    <row r="30" spans="1:105" s="2" customFormat="1" ht="12" customHeight="1" x14ac:dyDescent="0.25">
      <c r="A30" s="131" t="s">
        <v>52</v>
      </c>
      <c r="B30" s="136"/>
      <c r="C30" s="136">
        <f>IF(SER_hh_tes_in!C30=0,"",SER_hh_tes_in!C30/SER_hh_fec_in!C30)</f>
        <v>0.60225838056684222</v>
      </c>
      <c r="D30" s="136">
        <f>IF(SER_hh_tes_in!D30=0,"",SER_hh_tes_in!D30/SER_hh_fec_in!D30)</f>
        <v>0.60263625122396924</v>
      </c>
      <c r="E30" s="136">
        <f>IF(SER_hh_tes_in!E30=0,"",SER_hh_tes_in!E30/SER_hh_fec_in!E30)</f>
        <v>0.60301415591915664</v>
      </c>
      <c r="F30" s="136">
        <f>IF(SER_hh_tes_in!F30=0,"",SER_hh_tes_in!F30/SER_hh_fec_in!F30)</f>
        <v>0.6033920652558975</v>
      </c>
      <c r="G30" s="136">
        <f>IF(SER_hh_tes_in!G30=0,"",SER_hh_tes_in!G30/SER_hh_fec_in!G30)</f>
        <v>0.60377000593968966</v>
      </c>
      <c r="H30" s="136">
        <f>IF(SER_hh_tes_in!H30=0,"",SER_hh_tes_in!H30/SER_hh_fec_in!H30)</f>
        <v>0.60414797470212045</v>
      </c>
      <c r="I30" s="136">
        <f>IF(SER_hh_tes_in!I30=0,"",SER_hh_tes_in!I30/SER_hh_fec_in!I30)</f>
        <v>0.60452597812342479</v>
      </c>
      <c r="J30" s="136" t="str">
        <f>IF(SER_hh_tes_in!J30=0,"",SER_hh_tes_in!J30/SER_hh_fec_in!J30)</f>
        <v/>
      </c>
      <c r="K30" s="136" t="str">
        <f>IF(SER_hh_tes_in!K30=0,"",SER_hh_tes_in!K30/SER_hh_fec_in!K30)</f>
        <v/>
      </c>
      <c r="L30" s="136" t="str">
        <f>IF(SER_hh_tes_in!L30=0,"",SER_hh_tes_in!L30/SER_hh_fec_in!L30)</f>
        <v/>
      </c>
      <c r="M30" s="136" t="str">
        <f>IF(SER_hh_tes_in!M30=0,"",SER_hh_tes_in!M30/SER_hh_fec_in!M30)</f>
        <v/>
      </c>
      <c r="N30" s="136">
        <f>IF(SER_hh_tes_in!N30=0,"",SER_hh_tes_in!N30/SER_hh_fec_in!N30)</f>
        <v>0.60610824513832751</v>
      </c>
      <c r="O30" s="136">
        <f>IF(SER_hh_tes_in!O30=0,"",SER_hh_tes_in!O30/SER_hh_fec_in!O30)</f>
        <v>0.60620420780404094</v>
      </c>
      <c r="P30" s="136">
        <f>IF(SER_hh_tes_in!P30=0,"",SER_hh_tes_in!P30/SER_hh_fec_in!P30)</f>
        <v>0.60647197575890177</v>
      </c>
      <c r="Q30" s="136">
        <f>IF(SER_hh_tes_in!Q30=0,"",SER_hh_tes_in!Q30/SER_hh_fec_in!Q30)</f>
        <v>0.60756185388698358</v>
      </c>
      <c r="R30" s="136">
        <f>IF(SER_hh_tes_in!R30=0,"",SER_hh_tes_in!R30/SER_hh_fec_in!R30)</f>
        <v>0.61042469234170316</v>
      </c>
      <c r="S30" s="136">
        <f>IF(SER_hh_tes_in!S30=0,"",SER_hh_tes_in!S30/SER_hh_fec_in!S30)</f>
        <v>0.61446305311721838</v>
      </c>
      <c r="T30" s="136">
        <f>IF(SER_hh_tes_in!T30=0,"",SER_hh_tes_in!T30/SER_hh_fec_in!T30)</f>
        <v>0.61889392669606214</v>
      </c>
      <c r="U30" s="136">
        <f>IF(SER_hh_tes_in!U30=0,"",SER_hh_tes_in!U30/SER_hh_fec_in!U30)</f>
        <v>0.62293430356077839</v>
      </c>
      <c r="V30" s="136">
        <f>IF(SER_hh_tes_in!V30=0,"",SER_hh_tes_in!V30/SER_hh_fec_in!V30)</f>
        <v>0.62580117419390568</v>
      </c>
      <c r="W30" s="136">
        <f>IF(SER_hh_tes_in!W30=0,"",SER_hh_tes_in!W30/SER_hh_fec_in!W30)</f>
        <v>0.62717901398667941</v>
      </c>
      <c r="X30" s="136">
        <f>IF(SER_hh_tes_in!X30=0,"",SER_hh_tes_in!X30/SER_hh_fec_in!X30)</f>
        <v>0.62756287876610017</v>
      </c>
      <c r="Y30" s="136">
        <f>IF(SER_hh_tes_in!Y30=0,"",SER_hh_tes_in!Y30/SER_hh_fec_in!Y30)</f>
        <v>0.62760126524404225</v>
      </c>
      <c r="DA30" s="163" t="s">
        <v>688</v>
      </c>
    </row>
    <row r="31" spans="1:105" ht="12" customHeight="1" x14ac:dyDescent="0.25">
      <c r="A31" s="131" t="s">
        <v>149</v>
      </c>
      <c r="B31" s="136"/>
      <c r="C31" s="136">
        <f>IF(SER_hh_tes_in!C31=0,"",SER_hh_tes_in!C31/SER_hh_fec_in!C31)</f>
        <v>0.60979780342157675</v>
      </c>
      <c r="D31" s="136">
        <f>IF(SER_hh_tes_in!D31=0,"",SER_hh_tes_in!D31/SER_hh_fec_in!D31)</f>
        <v>0.61027165616277901</v>
      </c>
      <c r="E31" s="136">
        <f>IF(SER_hh_tes_in!E31=0,"",SER_hh_tes_in!E31/SER_hh_fec_in!E31)</f>
        <v>0.61074555158797339</v>
      </c>
      <c r="F31" s="136">
        <f>IF(SER_hh_tes_in!F31=0,"",SER_hh_tes_in!F31/SER_hh_fec_in!F31)</f>
        <v>0.61121945283371193</v>
      </c>
      <c r="G31" s="136">
        <f>IF(SER_hh_tes_in!G31=0,"",SER_hh_tes_in!G31/SER_hh_fec_in!G31)</f>
        <v>0.61169339338889661</v>
      </c>
      <c r="H31" s="136">
        <f>IF(SER_hh_tes_in!H31=0,"",SER_hh_tes_in!H31/SER_hh_fec_in!H31)</f>
        <v>0.61216736915491199</v>
      </c>
      <c r="I31" s="136">
        <f>IF(SER_hh_tes_in!I31=0,"",SER_hh_tes_in!I31/SER_hh_fec_in!I31)</f>
        <v>0.61264138838342452</v>
      </c>
      <c r="J31" s="136">
        <f>IF(SER_hh_tes_in!J31=0,"",SER_hh_tes_in!J31/SER_hh_fec_in!J31)</f>
        <v>0.61311548487859879</v>
      </c>
      <c r="K31" s="136">
        <f>IF(SER_hh_tes_in!K31=0,"",SER_hh_tes_in!K31/SER_hh_fec_in!K31)</f>
        <v>0.6135896873828659</v>
      </c>
      <c r="L31" s="136">
        <f>IF(SER_hh_tes_in!L31=0,"",SER_hh_tes_in!L31/SER_hh_fec_in!L31)</f>
        <v>0.61406400358600444</v>
      </c>
      <c r="M31" s="136">
        <f>IF(SER_hh_tes_in!M31=0,"",SER_hh_tes_in!M31/SER_hh_fec_in!M31)</f>
        <v>0.61442421967128202</v>
      </c>
      <c r="N31" s="136">
        <f>IF(SER_hh_tes_in!N31=0,"",SER_hh_tes_in!N31/SER_hh_fec_in!N31)</f>
        <v>0.61462556351897457</v>
      </c>
      <c r="O31" s="136">
        <f>IF(SER_hh_tes_in!O31=0,"",SER_hh_tes_in!O31/SER_hh_fec_in!O31)</f>
        <v>0.61474590144769092</v>
      </c>
      <c r="P31" s="136">
        <f>IF(SER_hh_tes_in!P31=0,"",SER_hh_tes_in!P31/SER_hh_fec_in!P31)</f>
        <v>0.6150816845444298</v>
      </c>
      <c r="Q31" s="136">
        <f>IF(SER_hh_tes_in!Q31=0,"",SER_hh_tes_in!Q31/SER_hh_fec_in!Q31)</f>
        <v>0.61644840018859859</v>
      </c>
      <c r="R31" s="136">
        <f>IF(SER_hh_tes_in!R31=0,"",SER_hh_tes_in!R31/SER_hh_fec_in!R31)</f>
        <v>0.62003842186348024</v>
      </c>
      <c r="S31" s="136">
        <f>IF(SER_hh_tes_in!S31=0,"",SER_hh_tes_in!S31/SER_hh_fec_in!S31)</f>
        <v>0.6251025576659005</v>
      </c>
      <c r="T31" s="136">
        <f>IF(SER_hh_tes_in!T31=0,"",SER_hh_tes_in!T31/SER_hh_fec_in!T31)</f>
        <v>0.63065890757467213</v>
      </c>
      <c r="U31" s="136">
        <f>IF(SER_hh_tes_in!U31=0,"",SER_hh_tes_in!U31/SER_hh_fec_in!U31)</f>
        <v>0.63572557156862153</v>
      </c>
      <c r="V31" s="136">
        <f>IF(SER_hh_tes_in!V31=0,"",SER_hh_tes_in!V31/SER_hh_fec_in!V31)</f>
        <v>0.6393206496265682</v>
      </c>
      <c r="W31" s="136">
        <f>IF(SER_hh_tes_in!W31=0,"",SER_hh_tes_in!W31/SER_hh_fec_in!W31)</f>
        <v>0.64104847143656862</v>
      </c>
      <c r="X31" s="136">
        <f>IF(SER_hh_tes_in!X31=0,"",SER_hh_tes_in!X31/SER_hh_fec_in!X31)</f>
        <v>0.64144423647061255</v>
      </c>
      <c r="Y31" s="136">
        <f>IF(SER_hh_tes_in!Y31=0,"",SER_hh_tes_in!Y31/SER_hh_fec_in!Y31)</f>
        <v>0.64148381297401702</v>
      </c>
      <c r="DA31" s="163" t="s">
        <v>689</v>
      </c>
    </row>
    <row r="32" spans="1:105" ht="12" customHeight="1" x14ac:dyDescent="0.25">
      <c r="A32" s="131" t="s">
        <v>128</v>
      </c>
      <c r="B32" s="136"/>
      <c r="C32" s="136" t="str">
        <f>IF(SER_hh_tes_in!C32=0,"",SER_hh_tes_in!C32/SER_hh_fec_in!C32)</f>
        <v/>
      </c>
      <c r="D32" s="136" t="str">
        <f>IF(SER_hh_tes_in!D32=0,"",SER_hh_tes_in!D32/SER_hh_fec_in!D32)</f>
        <v/>
      </c>
      <c r="E32" s="136" t="str">
        <f>IF(SER_hh_tes_in!E32=0,"",SER_hh_tes_in!E32/SER_hh_fec_in!E32)</f>
        <v/>
      </c>
      <c r="F32" s="136" t="str">
        <f>IF(SER_hh_tes_in!F32=0,"",SER_hh_tes_in!F32/SER_hh_fec_in!F32)</f>
        <v/>
      </c>
      <c r="G32" s="136" t="str">
        <f>IF(SER_hh_tes_in!G32=0,"",SER_hh_tes_in!G32/SER_hh_fec_in!G32)</f>
        <v/>
      </c>
      <c r="H32" s="136" t="str">
        <f>IF(SER_hh_tes_in!H32=0,"",SER_hh_tes_in!H32/SER_hh_fec_in!H32)</f>
        <v/>
      </c>
      <c r="I32" s="136" t="str">
        <f>IF(SER_hh_tes_in!I32=0,"",SER_hh_tes_in!I32/SER_hh_fec_in!I32)</f>
        <v/>
      </c>
      <c r="J32" s="136" t="str">
        <f>IF(SER_hh_tes_in!J32=0,"",SER_hh_tes_in!J32/SER_hh_fec_in!J32)</f>
        <v/>
      </c>
      <c r="K32" s="136" t="str">
        <f>IF(SER_hh_tes_in!K32=0,"",SER_hh_tes_in!K32/SER_hh_fec_in!K32)</f>
        <v/>
      </c>
      <c r="L32" s="136" t="str">
        <f>IF(SER_hh_tes_in!L32=0,"",SER_hh_tes_in!L32/SER_hh_fec_in!L32)</f>
        <v/>
      </c>
      <c r="M32" s="136" t="str">
        <f>IF(SER_hh_tes_in!M32=0,"",SER_hh_tes_in!M32/SER_hh_fec_in!M32)</f>
        <v/>
      </c>
      <c r="N32" s="136" t="str">
        <f>IF(SER_hh_tes_in!N32=0,"",SER_hh_tes_in!N32/SER_hh_fec_in!N32)</f>
        <v/>
      </c>
      <c r="O32" s="136" t="str">
        <f>IF(SER_hh_tes_in!O32=0,"",SER_hh_tes_in!O32/SER_hh_fec_in!O32)</f>
        <v/>
      </c>
      <c r="P32" s="136" t="str">
        <f>IF(SER_hh_tes_in!P32=0,"",SER_hh_tes_in!P32/SER_hh_fec_in!P32)</f>
        <v/>
      </c>
      <c r="Q32" s="136" t="str">
        <f>IF(SER_hh_tes_in!Q32=0,"",SER_hh_tes_in!Q32/SER_hh_fec_in!Q32)</f>
        <v/>
      </c>
      <c r="R32" s="136" t="str">
        <f>IF(SER_hh_tes_in!R32=0,"",SER_hh_tes_in!R32/SER_hh_fec_in!R32)</f>
        <v/>
      </c>
      <c r="S32" s="136" t="str">
        <f>IF(SER_hh_tes_in!S32=0,"",SER_hh_tes_in!S32/SER_hh_fec_in!S32)</f>
        <v/>
      </c>
      <c r="T32" s="136" t="str">
        <f>IF(SER_hh_tes_in!T32=0,"",SER_hh_tes_in!T32/SER_hh_fec_in!T32)</f>
        <v/>
      </c>
      <c r="U32" s="136" t="str">
        <f>IF(SER_hh_tes_in!U32=0,"",SER_hh_tes_in!U32/SER_hh_fec_in!U32)</f>
        <v/>
      </c>
      <c r="V32" s="136" t="str">
        <f>IF(SER_hh_tes_in!V32=0,"",SER_hh_tes_in!V32/SER_hh_fec_in!V32)</f>
        <v/>
      </c>
      <c r="W32" s="136" t="str">
        <f>IF(SER_hh_tes_in!W32=0,"",SER_hh_tes_in!W32/SER_hh_fec_in!W32)</f>
        <v/>
      </c>
      <c r="X32" s="136" t="str">
        <f>IF(SER_hh_tes_in!X32=0,"",SER_hh_tes_in!X32/SER_hh_fec_in!X32)</f>
        <v/>
      </c>
      <c r="Y32" s="136" t="str">
        <f>IF(SER_hh_tes_in!Y32=0,"",SER_hh_tes_in!Y32/SER_hh_fec_in!Y32)</f>
        <v/>
      </c>
      <c r="DA32" s="163" t="s">
        <v>690</v>
      </c>
    </row>
    <row r="33" spans="1:105" ht="12" customHeight="1" x14ac:dyDescent="0.25">
      <c r="A33" s="62" t="s">
        <v>24</v>
      </c>
      <c r="B33" s="149"/>
      <c r="C33" s="149">
        <f>IF(SER_hh_tes_in!C33=0,"",SER_hh_tes_in!C33/SER_hh_fec_in!C33)</f>
        <v>0.80200463558595037</v>
      </c>
      <c r="D33" s="149" t="str">
        <f>IF(SER_hh_tes_in!D33=0,"",SER_hh_tes_in!D33/SER_hh_fec_in!D33)</f>
        <v/>
      </c>
      <c r="E33" s="149" t="str">
        <f>IF(SER_hh_tes_in!E33=0,"",SER_hh_tes_in!E33/SER_hh_fec_in!E33)</f>
        <v/>
      </c>
      <c r="F33" s="149" t="str">
        <f>IF(SER_hh_tes_in!F33=0,"",SER_hh_tes_in!F33/SER_hh_fec_in!F33)</f>
        <v/>
      </c>
      <c r="G33" s="149" t="str">
        <f>IF(SER_hh_tes_in!G33=0,"",SER_hh_tes_in!G33/SER_hh_fec_in!G33)</f>
        <v/>
      </c>
      <c r="H33" s="149">
        <f>IF(SER_hh_tes_in!H33=0,"",SER_hh_tes_in!H33/SER_hh_fec_in!H33)</f>
        <v>0.80932855429592632</v>
      </c>
      <c r="I33" s="149">
        <f>IF(SER_hh_tes_in!I33=0,"",SER_hh_tes_in!I33/SER_hh_fec_in!I33)</f>
        <v>0.81095424709830732</v>
      </c>
      <c r="J33" s="149">
        <f>IF(SER_hh_tes_in!J33=0,"",SER_hh_tes_in!J33/SER_hh_fec_in!J33)</f>
        <v>0.81269714097172319</v>
      </c>
      <c r="K33" s="149">
        <f>IF(SER_hh_tes_in!K33=0,"",SER_hh_tes_in!K33/SER_hh_fec_in!K33)</f>
        <v>0.8146008335515178</v>
      </c>
      <c r="L33" s="149">
        <f>IF(SER_hh_tes_in!L33=0,"",SER_hh_tes_in!L33/SER_hh_fec_in!L33)</f>
        <v>0.81667698899255747</v>
      </c>
      <c r="M33" s="149">
        <f>IF(SER_hh_tes_in!M33=0,"",SER_hh_tes_in!M33/SER_hh_fec_in!M33)</f>
        <v>0.81964543248926802</v>
      </c>
      <c r="N33" s="149">
        <f>IF(SER_hh_tes_in!N33=0,"",SER_hh_tes_in!N33/SER_hh_fec_in!N33)</f>
        <v>0.82371109143297616</v>
      </c>
      <c r="O33" s="149">
        <f>IF(SER_hh_tes_in!O33=0,"",SER_hh_tes_in!O33/SER_hh_fec_in!O33)</f>
        <v>0.82935991766410244</v>
      </c>
      <c r="P33" s="149">
        <f>IF(SER_hh_tes_in!P33=0,"",SER_hh_tes_in!P33/SER_hh_fec_in!P33)</f>
        <v>0.83683025561766977</v>
      </c>
      <c r="Q33" s="149">
        <f>IF(SER_hh_tes_in!Q33=0,"",SER_hh_tes_in!Q33/SER_hh_fec_in!Q33)</f>
        <v>0.84649694579276613</v>
      </c>
      <c r="R33" s="149">
        <f>IF(SER_hh_tes_in!R33=0,"",SER_hh_tes_in!R33/SER_hh_fec_in!R33)</f>
        <v>0.85965099997320793</v>
      </c>
      <c r="S33" s="149">
        <f>IF(SER_hh_tes_in!S33=0,"",SER_hh_tes_in!S33/SER_hh_fec_in!S33)</f>
        <v>0.87611101577009554</v>
      </c>
      <c r="T33" s="149">
        <f>IF(SER_hh_tes_in!T33=0,"",SER_hh_tes_in!T33/SER_hh_fec_in!T33)</f>
        <v>0.8938311266617367</v>
      </c>
      <c r="U33" s="149">
        <f>IF(SER_hh_tes_in!U33=0,"",SER_hh_tes_in!U33/SER_hh_fec_in!U33)</f>
        <v>0.91076546612648779</v>
      </c>
      <c r="V33" s="149">
        <f>IF(SER_hh_tes_in!V33=0,"",SER_hh_tes_in!V33/SER_hh_fec_in!V33)</f>
        <v>0.9248681676426822</v>
      </c>
      <c r="W33" s="149">
        <f>IF(SER_hh_tes_in!W33=0,"",SER_hh_tes_in!W33/SER_hh_fec_in!W33)</f>
        <v>0.93542840381621484</v>
      </c>
      <c r="X33" s="149">
        <f>IF(SER_hh_tes_in!X33=0,"",SER_hh_tes_in!X33/SER_hh_fec_in!X33)</f>
        <v>0.93970256857963042</v>
      </c>
      <c r="Y33" s="149">
        <f>IF(SER_hh_tes_in!Y33=0,"",SER_hh_tes_in!Y33/SER_hh_fec_in!Y33)</f>
        <v>0.94349288004479415</v>
      </c>
      <c r="DA33" s="167" t="s">
        <v>691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1">
    <tabColor theme="6" tint="0.79998168889431442"/>
    <pageSetUpPr fitToPage="1"/>
  </sheetPr>
  <dimension ref="A1:DA33"/>
  <sheetViews>
    <sheetView showGridLines="0" zoomScaleNormal="100" workbookViewId="0">
      <pane xSplit="1" ySplit="1" topLeftCell="G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40.7109375" style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25.5" customHeight="1" x14ac:dyDescent="0.25">
      <c r="A1" s="28" t="s">
        <v>692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X1" s="27">
        <v>2022</v>
      </c>
      <c r="Y1" s="27">
        <v>2023</v>
      </c>
      <c r="DA1" s="87" t="s">
        <v>150</v>
      </c>
    </row>
    <row r="2" spans="1:105" s="2" customFormat="1" ht="12" customHeight="1" x14ac:dyDescent="0.25">
      <c r="DA2" s="7"/>
    </row>
    <row r="3" spans="1:105" ht="12.95" customHeight="1" x14ac:dyDescent="0.25">
      <c r="A3" s="123" t="s">
        <v>84</v>
      </c>
      <c r="B3" s="125"/>
      <c r="C3" s="125">
        <f t="shared" ref="C3:Q3" si="0">SUM(C4,C16,C19,C29)</f>
        <v>139.37055656389853</v>
      </c>
      <c r="D3" s="125">
        <f t="shared" si="0"/>
        <v>72.950803491195686</v>
      </c>
      <c r="E3" s="125">
        <f t="shared" si="0"/>
        <v>210.16133976619594</v>
      </c>
      <c r="F3" s="125">
        <f t="shared" si="0"/>
        <v>264.06936705158148</v>
      </c>
      <c r="G3" s="125">
        <f t="shared" si="0"/>
        <v>218.64817088911346</v>
      </c>
      <c r="H3" s="125">
        <f t="shared" si="0"/>
        <v>350.21074936650695</v>
      </c>
      <c r="I3" s="125">
        <f t="shared" si="0"/>
        <v>34.823618995636728</v>
      </c>
      <c r="J3" s="125">
        <f t="shared" si="0"/>
        <v>30.54965237699783</v>
      </c>
      <c r="K3" s="125">
        <f t="shared" si="0"/>
        <v>33.138255860795944</v>
      </c>
      <c r="L3" s="125">
        <f t="shared" si="0"/>
        <v>59.610360508732334</v>
      </c>
      <c r="M3" s="125">
        <f t="shared" si="0"/>
        <v>84.50075093968654</v>
      </c>
      <c r="N3" s="125">
        <f t="shared" si="0"/>
        <v>51.529487392908287</v>
      </c>
      <c r="O3" s="125">
        <f t="shared" si="0"/>
        <v>100.03873607824286</v>
      </c>
      <c r="P3" s="125">
        <f t="shared" si="0"/>
        <v>101.13409676964143</v>
      </c>
      <c r="Q3" s="125">
        <f t="shared" si="0"/>
        <v>118.53368204184048</v>
      </c>
      <c r="R3" s="125">
        <f t="shared" ref="R3:W3" si="1">SUM(R4,R16,R19,R29)</f>
        <v>95.549037180532068</v>
      </c>
      <c r="S3" s="125">
        <f t="shared" si="1"/>
        <v>117.97805160145506</v>
      </c>
      <c r="T3" s="125">
        <f t="shared" si="1"/>
        <v>80.432755014994527</v>
      </c>
      <c r="U3" s="125">
        <f t="shared" si="1"/>
        <v>61.157102966498002</v>
      </c>
      <c r="V3" s="125">
        <f t="shared" si="1"/>
        <v>43.260798622434372</v>
      </c>
      <c r="W3" s="125">
        <f t="shared" si="1"/>
        <v>41.984179361749312</v>
      </c>
      <c r="X3" s="125">
        <f t="shared" ref="X3:Y3" si="2">SUM(X4,X16,X19,X29)</f>
        <v>26.64679705131114</v>
      </c>
      <c r="Y3" s="125">
        <f t="shared" si="2"/>
        <v>10.901936249460816</v>
      </c>
      <c r="DA3" s="154" t="s">
        <v>693</v>
      </c>
    </row>
    <row r="4" spans="1:105" ht="12.95" customHeight="1" x14ac:dyDescent="0.25">
      <c r="A4" s="129" t="s">
        <v>32</v>
      </c>
      <c r="B4" s="130"/>
      <c r="C4" s="130">
        <f t="shared" ref="C4:Q4" si="3">SUM(C5:C15)</f>
        <v>113.07536324195695</v>
      </c>
      <c r="D4" s="130">
        <f t="shared" si="3"/>
        <v>56.654604599915032</v>
      </c>
      <c r="E4" s="130">
        <f t="shared" si="3"/>
        <v>170.31088487599612</v>
      </c>
      <c r="F4" s="130">
        <f t="shared" si="3"/>
        <v>194.32143106106957</v>
      </c>
      <c r="G4" s="130">
        <f t="shared" si="3"/>
        <v>155.41770058216051</v>
      </c>
      <c r="H4" s="130">
        <f t="shared" si="3"/>
        <v>316.27837287194058</v>
      </c>
      <c r="I4" s="130">
        <f t="shared" si="3"/>
        <v>30.690570580002809</v>
      </c>
      <c r="J4" s="130">
        <f t="shared" si="3"/>
        <v>25.057340663561014</v>
      </c>
      <c r="K4" s="130">
        <f t="shared" si="3"/>
        <v>23.930767114553888</v>
      </c>
      <c r="L4" s="130">
        <f t="shared" si="3"/>
        <v>40.577965425377201</v>
      </c>
      <c r="M4" s="130">
        <f t="shared" si="3"/>
        <v>67.413679973825879</v>
      </c>
      <c r="N4" s="130">
        <f t="shared" si="3"/>
        <v>35.297043663155371</v>
      </c>
      <c r="O4" s="130">
        <f t="shared" si="3"/>
        <v>61.520986797203228</v>
      </c>
      <c r="P4" s="130">
        <f t="shared" si="3"/>
        <v>56.589122655220081</v>
      </c>
      <c r="Q4" s="130">
        <f t="shared" si="3"/>
        <v>58.63751032279189</v>
      </c>
      <c r="R4" s="130">
        <f t="shared" ref="R4:W4" si="4">SUM(R5:R15)</f>
        <v>49.956755432698913</v>
      </c>
      <c r="S4" s="130">
        <f t="shared" si="4"/>
        <v>70.777280791405957</v>
      </c>
      <c r="T4" s="130">
        <f t="shared" si="4"/>
        <v>54.134593818009506</v>
      </c>
      <c r="U4" s="130">
        <f t="shared" si="4"/>
        <v>41.948845511498497</v>
      </c>
      <c r="V4" s="130">
        <f t="shared" si="4"/>
        <v>28.430487765409158</v>
      </c>
      <c r="W4" s="130">
        <f t="shared" si="4"/>
        <v>27.930613478791642</v>
      </c>
      <c r="X4" s="130">
        <f t="shared" ref="X4:Y4" si="5">SUM(X5:X15)</f>
        <v>17.902464005353096</v>
      </c>
      <c r="Y4" s="130">
        <f t="shared" si="5"/>
        <v>0.70903649872910746</v>
      </c>
      <c r="DA4" s="155" t="s">
        <v>694</v>
      </c>
    </row>
    <row r="5" spans="1:105" ht="12" customHeight="1" x14ac:dyDescent="0.25">
      <c r="A5" s="131" t="s">
        <v>29</v>
      </c>
      <c r="B5" s="132"/>
      <c r="C5" s="132">
        <v>0.38211611561336511</v>
      </c>
      <c r="D5" s="132">
        <v>6.3774309917999136E-2</v>
      </c>
      <c r="E5" s="132">
        <v>0</v>
      </c>
      <c r="F5" s="132">
        <v>0</v>
      </c>
      <c r="G5" s="132">
        <v>0</v>
      </c>
      <c r="H5" s="132">
        <v>8.1678439213019663E-2</v>
      </c>
      <c r="I5" s="132">
        <v>0</v>
      </c>
      <c r="J5" s="132">
        <v>0</v>
      </c>
      <c r="K5" s="132">
        <v>0</v>
      </c>
      <c r="L5" s="132">
        <v>0.11210023849829105</v>
      </c>
      <c r="M5" s="132">
        <v>0.19552571441558891</v>
      </c>
      <c r="N5" s="132">
        <v>5.2611346724359277E-2</v>
      </c>
      <c r="O5" s="132">
        <v>0.45887061623120462</v>
      </c>
      <c r="P5" s="132">
        <v>4.6011214975246899E-2</v>
      </c>
      <c r="Q5" s="132">
        <v>2.6568332680776852E-2</v>
      </c>
      <c r="R5" s="132">
        <v>0.11750776645089452</v>
      </c>
      <c r="S5" s="132">
        <v>0</v>
      </c>
      <c r="T5" s="132">
        <v>0.60343167619745541</v>
      </c>
      <c r="U5" s="132">
        <v>0</v>
      </c>
      <c r="V5" s="132">
        <v>0</v>
      </c>
      <c r="W5" s="132">
        <v>0</v>
      </c>
      <c r="X5" s="132">
        <v>0</v>
      </c>
      <c r="Y5" s="132">
        <v>0</v>
      </c>
      <c r="DA5" s="156" t="s">
        <v>695</v>
      </c>
    </row>
    <row r="6" spans="1:105" ht="12" customHeight="1" x14ac:dyDescent="0.25">
      <c r="A6" s="131" t="s">
        <v>52</v>
      </c>
      <c r="B6" s="132"/>
      <c r="C6" s="132">
        <v>0</v>
      </c>
      <c r="D6" s="132">
        <v>0</v>
      </c>
      <c r="E6" s="132">
        <v>0</v>
      </c>
      <c r="F6" s="132">
        <v>0</v>
      </c>
      <c r="G6" s="132">
        <v>0</v>
      </c>
      <c r="H6" s="132">
        <v>0</v>
      </c>
      <c r="I6" s="132">
        <v>0</v>
      </c>
      <c r="J6" s="132">
        <v>0</v>
      </c>
      <c r="K6" s="132">
        <v>0</v>
      </c>
      <c r="L6" s="132">
        <v>0</v>
      </c>
      <c r="M6" s="132">
        <v>0</v>
      </c>
      <c r="N6" s="132">
        <v>0</v>
      </c>
      <c r="O6" s="132">
        <v>0</v>
      </c>
      <c r="P6" s="132">
        <v>0</v>
      </c>
      <c r="Q6" s="132">
        <v>0</v>
      </c>
      <c r="R6" s="132">
        <v>0</v>
      </c>
      <c r="S6" s="132">
        <v>0</v>
      </c>
      <c r="T6" s="132">
        <v>0</v>
      </c>
      <c r="U6" s="132">
        <v>0</v>
      </c>
      <c r="V6" s="132">
        <v>0</v>
      </c>
      <c r="W6" s="132">
        <v>0</v>
      </c>
      <c r="X6" s="132">
        <v>0</v>
      </c>
      <c r="Y6" s="132">
        <v>0</v>
      </c>
      <c r="DA6" s="156" t="s">
        <v>696</v>
      </c>
    </row>
    <row r="7" spans="1:105" ht="12" customHeight="1" x14ac:dyDescent="0.25">
      <c r="A7" s="131" t="s">
        <v>161</v>
      </c>
      <c r="B7" s="132"/>
      <c r="C7" s="132">
        <v>67.539243941205839</v>
      </c>
      <c r="D7" s="132">
        <v>53.214807497725928</v>
      </c>
      <c r="E7" s="132">
        <v>27.051051495119143</v>
      </c>
      <c r="F7" s="132">
        <v>59.431251098466404</v>
      </c>
      <c r="G7" s="132">
        <v>0</v>
      </c>
      <c r="H7" s="132">
        <v>0</v>
      </c>
      <c r="I7" s="132">
        <v>0</v>
      </c>
      <c r="J7" s="132">
        <v>0</v>
      </c>
      <c r="K7" s="132">
        <v>0</v>
      </c>
      <c r="L7" s="132">
        <v>5.2439068706048912</v>
      </c>
      <c r="M7" s="132">
        <v>46.540589813922161</v>
      </c>
      <c r="N7" s="132">
        <v>11.366778933082657</v>
      </c>
      <c r="O7" s="132">
        <v>3.2089810039767626</v>
      </c>
      <c r="P7" s="132">
        <v>6.1254195146717061</v>
      </c>
      <c r="Q7" s="132">
        <v>24.253311138508632</v>
      </c>
      <c r="R7" s="132">
        <v>26.49214664871505</v>
      </c>
      <c r="S7" s="132">
        <v>39.626495430103638</v>
      </c>
      <c r="T7" s="132">
        <v>26.786650658872535</v>
      </c>
      <c r="U7" s="132">
        <v>18.685589691475535</v>
      </c>
      <c r="V7" s="132">
        <v>13.162526181760505</v>
      </c>
      <c r="W7" s="132">
        <v>19.086089416709861</v>
      </c>
      <c r="X7" s="132">
        <v>6.825331975404926</v>
      </c>
      <c r="Y7" s="132">
        <v>0.70903649872910746</v>
      </c>
      <c r="DA7" s="156" t="s">
        <v>697</v>
      </c>
    </row>
    <row r="8" spans="1:105" ht="12" customHeight="1" x14ac:dyDescent="0.25">
      <c r="A8" s="131" t="s">
        <v>73</v>
      </c>
      <c r="B8" s="132"/>
      <c r="C8" s="132">
        <v>0</v>
      </c>
      <c r="D8" s="132">
        <v>0</v>
      </c>
      <c r="E8" s="132">
        <v>0</v>
      </c>
      <c r="F8" s="132">
        <v>0</v>
      </c>
      <c r="G8" s="132">
        <v>0</v>
      </c>
      <c r="H8" s="132">
        <v>0</v>
      </c>
      <c r="I8" s="132">
        <v>0</v>
      </c>
      <c r="J8" s="132">
        <v>0</v>
      </c>
      <c r="K8" s="132">
        <v>0</v>
      </c>
      <c r="L8" s="132">
        <v>0</v>
      </c>
      <c r="M8" s="132">
        <v>0</v>
      </c>
      <c r="N8" s="132">
        <v>0</v>
      </c>
      <c r="O8" s="132">
        <v>0</v>
      </c>
      <c r="P8" s="132">
        <v>0</v>
      </c>
      <c r="Q8" s="132">
        <v>0</v>
      </c>
      <c r="R8" s="132">
        <v>0</v>
      </c>
      <c r="S8" s="132">
        <v>0</v>
      </c>
      <c r="T8" s="132">
        <v>0</v>
      </c>
      <c r="U8" s="132">
        <v>0</v>
      </c>
      <c r="V8" s="132">
        <v>0</v>
      </c>
      <c r="W8" s="132">
        <v>0</v>
      </c>
      <c r="X8" s="132">
        <v>0</v>
      </c>
      <c r="Y8" s="132">
        <v>0</v>
      </c>
      <c r="DA8" s="156" t="s">
        <v>698</v>
      </c>
    </row>
    <row r="9" spans="1:105" ht="12" customHeight="1" x14ac:dyDescent="0.25">
      <c r="A9" s="131" t="s">
        <v>78</v>
      </c>
      <c r="B9" s="132"/>
      <c r="C9" s="132">
        <v>45.154003185137732</v>
      </c>
      <c r="D9" s="132">
        <v>3.3760227922711077</v>
      </c>
      <c r="E9" s="132">
        <v>143.25983338087698</v>
      </c>
      <c r="F9" s="132">
        <v>134.89017996260318</v>
      </c>
      <c r="G9" s="132">
        <v>155.41770058216051</v>
      </c>
      <c r="H9" s="132">
        <v>316.19669443272755</v>
      </c>
      <c r="I9" s="132">
        <v>30.690570580002809</v>
      </c>
      <c r="J9" s="132">
        <v>25.057340663561014</v>
      </c>
      <c r="K9" s="132">
        <v>23.930767114553888</v>
      </c>
      <c r="L9" s="132">
        <v>35.221958316274019</v>
      </c>
      <c r="M9" s="132">
        <v>20.677564445488134</v>
      </c>
      <c r="N9" s="132">
        <v>23.877653383348353</v>
      </c>
      <c r="O9" s="132">
        <v>57.850769835584465</v>
      </c>
      <c r="P9" s="132">
        <v>48.092091939663881</v>
      </c>
      <c r="Q9" s="132">
        <v>30.968351497310231</v>
      </c>
      <c r="R9" s="132">
        <v>21.508972776333092</v>
      </c>
      <c r="S9" s="132">
        <v>30.51959835596082</v>
      </c>
      <c r="T9" s="132">
        <v>26.722060422088706</v>
      </c>
      <c r="U9" s="132">
        <v>23.263255820022962</v>
      </c>
      <c r="V9" s="132">
        <v>15.267961583648653</v>
      </c>
      <c r="W9" s="132">
        <v>8.8445240620817813</v>
      </c>
      <c r="X9" s="132">
        <v>11.077132029948171</v>
      </c>
      <c r="Y9" s="132">
        <v>0</v>
      </c>
      <c r="DA9" s="156" t="s">
        <v>699</v>
      </c>
    </row>
    <row r="10" spans="1:105" ht="12" customHeight="1" x14ac:dyDescent="0.25">
      <c r="A10" s="131" t="s">
        <v>128</v>
      </c>
      <c r="B10" s="132"/>
      <c r="C10" s="132">
        <v>0</v>
      </c>
      <c r="D10" s="132">
        <v>0</v>
      </c>
      <c r="E10" s="132">
        <v>0</v>
      </c>
      <c r="F10" s="132">
        <v>0</v>
      </c>
      <c r="G10" s="132">
        <v>0</v>
      </c>
      <c r="H10" s="132">
        <v>0</v>
      </c>
      <c r="I10" s="132">
        <v>0</v>
      </c>
      <c r="J10" s="132">
        <v>0</v>
      </c>
      <c r="K10" s="132">
        <v>0</v>
      </c>
      <c r="L10" s="132">
        <v>0</v>
      </c>
      <c r="M10" s="132">
        <v>0</v>
      </c>
      <c r="N10" s="132">
        <v>0</v>
      </c>
      <c r="O10" s="132">
        <v>2.3653414107937128E-3</v>
      </c>
      <c r="P10" s="132">
        <v>2.3255999859092515</v>
      </c>
      <c r="Q10" s="132">
        <v>3.3892793542922521</v>
      </c>
      <c r="R10" s="132">
        <v>1.8381282411998785</v>
      </c>
      <c r="S10" s="132">
        <v>0.63118700534149785</v>
      </c>
      <c r="T10" s="132">
        <v>2.2451060850812526E-2</v>
      </c>
      <c r="U10" s="132">
        <v>0</v>
      </c>
      <c r="V10" s="132">
        <v>0</v>
      </c>
      <c r="W10" s="132">
        <v>0</v>
      </c>
      <c r="X10" s="132">
        <v>0</v>
      </c>
      <c r="Y10" s="132">
        <v>0</v>
      </c>
      <c r="DA10" s="156" t="s">
        <v>700</v>
      </c>
    </row>
    <row r="11" spans="1:105" ht="12" customHeight="1" x14ac:dyDescent="0.25">
      <c r="A11" s="131" t="s">
        <v>25</v>
      </c>
      <c r="B11" s="132"/>
      <c r="C11" s="132">
        <v>0</v>
      </c>
      <c r="D11" s="132">
        <v>0</v>
      </c>
      <c r="E11" s="132">
        <v>0</v>
      </c>
      <c r="F11" s="132">
        <v>0</v>
      </c>
      <c r="G11" s="132">
        <v>0</v>
      </c>
      <c r="H11" s="132">
        <v>0</v>
      </c>
      <c r="I11" s="132">
        <v>0</v>
      </c>
      <c r="J11" s="132">
        <v>0</v>
      </c>
      <c r="K11" s="132">
        <v>0</v>
      </c>
      <c r="L11" s="132">
        <v>0</v>
      </c>
      <c r="M11" s="132">
        <v>0</v>
      </c>
      <c r="N11" s="132">
        <v>0</v>
      </c>
      <c r="O11" s="132">
        <v>0</v>
      </c>
      <c r="P11" s="132">
        <v>0</v>
      </c>
      <c r="Q11" s="132">
        <v>0</v>
      </c>
      <c r="R11" s="132">
        <v>0</v>
      </c>
      <c r="S11" s="132">
        <v>0</v>
      </c>
      <c r="T11" s="132">
        <v>0</v>
      </c>
      <c r="U11" s="132">
        <v>0</v>
      </c>
      <c r="V11" s="132">
        <v>0</v>
      </c>
      <c r="W11" s="132">
        <v>0</v>
      </c>
      <c r="X11" s="132">
        <v>0</v>
      </c>
      <c r="Y11" s="132">
        <v>0</v>
      </c>
      <c r="DA11" s="156" t="s">
        <v>701</v>
      </c>
    </row>
    <row r="12" spans="1:105" ht="12" customHeight="1" x14ac:dyDescent="0.25">
      <c r="A12" s="131" t="s">
        <v>162</v>
      </c>
      <c r="B12" s="132"/>
      <c r="C12" s="132">
        <v>0</v>
      </c>
      <c r="D12" s="132">
        <v>0</v>
      </c>
      <c r="E12" s="132">
        <v>0</v>
      </c>
      <c r="F12" s="132">
        <v>0</v>
      </c>
      <c r="G12" s="132">
        <v>0</v>
      </c>
      <c r="H12" s="132">
        <v>0</v>
      </c>
      <c r="I12" s="132">
        <v>0</v>
      </c>
      <c r="J12" s="132">
        <v>0</v>
      </c>
      <c r="K12" s="132">
        <v>0</v>
      </c>
      <c r="L12" s="132">
        <v>0</v>
      </c>
      <c r="M12" s="132">
        <v>0</v>
      </c>
      <c r="N12" s="132">
        <v>0</v>
      </c>
      <c r="O12" s="132">
        <v>0</v>
      </c>
      <c r="P12" s="132">
        <v>0</v>
      </c>
      <c r="Q12" s="132">
        <v>0</v>
      </c>
      <c r="R12" s="132">
        <v>0</v>
      </c>
      <c r="S12" s="132">
        <v>0</v>
      </c>
      <c r="T12" s="132">
        <v>0</v>
      </c>
      <c r="U12" s="132">
        <v>0</v>
      </c>
      <c r="V12" s="132">
        <v>0</v>
      </c>
      <c r="W12" s="132">
        <v>0</v>
      </c>
      <c r="X12" s="132">
        <v>0</v>
      </c>
      <c r="Y12" s="132">
        <v>0</v>
      </c>
      <c r="DA12" s="156" t="s">
        <v>702</v>
      </c>
    </row>
    <row r="13" spans="1:105" ht="12" customHeight="1" x14ac:dyDescent="0.25">
      <c r="A13" s="131" t="s">
        <v>77</v>
      </c>
      <c r="B13" s="132"/>
      <c r="C13" s="132">
        <v>0</v>
      </c>
      <c r="D13" s="132">
        <v>0</v>
      </c>
      <c r="E13" s="132">
        <v>0</v>
      </c>
      <c r="F13" s="132">
        <v>0</v>
      </c>
      <c r="G13" s="132">
        <v>0</v>
      </c>
      <c r="H13" s="132">
        <v>0</v>
      </c>
      <c r="I13" s="132">
        <v>0</v>
      </c>
      <c r="J13" s="132">
        <v>0</v>
      </c>
      <c r="K13" s="132">
        <v>0</v>
      </c>
      <c r="L13" s="132">
        <v>0</v>
      </c>
      <c r="M13" s="132">
        <v>0</v>
      </c>
      <c r="N13" s="132">
        <v>0</v>
      </c>
      <c r="O13" s="132">
        <v>0</v>
      </c>
      <c r="P13" s="132">
        <v>0</v>
      </c>
      <c r="Q13" s="132">
        <v>0</v>
      </c>
      <c r="R13" s="132">
        <v>0</v>
      </c>
      <c r="S13" s="132">
        <v>0</v>
      </c>
      <c r="T13" s="132">
        <v>0</v>
      </c>
      <c r="U13" s="132">
        <v>0</v>
      </c>
      <c r="V13" s="132">
        <v>0</v>
      </c>
      <c r="W13" s="132">
        <v>0</v>
      </c>
      <c r="X13" s="132">
        <v>0</v>
      </c>
      <c r="Y13" s="132">
        <v>0</v>
      </c>
      <c r="DA13" s="156" t="s">
        <v>703</v>
      </c>
    </row>
    <row r="14" spans="1:105" ht="12" customHeight="1" x14ac:dyDescent="0.25">
      <c r="A14" s="60" t="s">
        <v>76</v>
      </c>
      <c r="B14" s="65"/>
      <c r="C14" s="65">
        <v>0</v>
      </c>
      <c r="D14" s="65">
        <v>0</v>
      </c>
      <c r="E14" s="65">
        <v>0</v>
      </c>
      <c r="F14" s="65">
        <v>0</v>
      </c>
      <c r="G14" s="65">
        <v>0</v>
      </c>
      <c r="H14" s="65">
        <v>0</v>
      </c>
      <c r="I14" s="65">
        <v>0</v>
      </c>
      <c r="J14" s="65">
        <v>0</v>
      </c>
      <c r="K14" s="65">
        <v>0</v>
      </c>
      <c r="L14" s="65">
        <v>0</v>
      </c>
      <c r="M14" s="65">
        <v>0</v>
      </c>
      <c r="N14" s="65">
        <v>0</v>
      </c>
      <c r="O14" s="65">
        <v>0</v>
      </c>
      <c r="P14" s="65">
        <v>0</v>
      </c>
      <c r="Q14" s="65">
        <v>0</v>
      </c>
      <c r="R14" s="65">
        <v>0</v>
      </c>
      <c r="S14" s="65">
        <v>0</v>
      </c>
      <c r="T14" s="65">
        <v>0</v>
      </c>
      <c r="U14" s="65">
        <v>0</v>
      </c>
      <c r="V14" s="65">
        <v>0</v>
      </c>
      <c r="W14" s="65">
        <v>0</v>
      </c>
      <c r="X14" s="65">
        <v>0</v>
      </c>
      <c r="Y14" s="65">
        <v>0</v>
      </c>
      <c r="DA14" s="109" t="s">
        <v>704</v>
      </c>
    </row>
    <row r="15" spans="1:105" ht="12" customHeight="1" x14ac:dyDescent="0.25">
      <c r="A15" s="133" t="s">
        <v>80</v>
      </c>
      <c r="B15" s="134"/>
      <c r="C15" s="134">
        <v>0</v>
      </c>
      <c r="D15" s="134">
        <v>0</v>
      </c>
      <c r="E15" s="134">
        <v>0</v>
      </c>
      <c r="F15" s="134">
        <v>0</v>
      </c>
      <c r="G15" s="134">
        <v>0</v>
      </c>
      <c r="H15" s="134">
        <v>0</v>
      </c>
      <c r="I15" s="134">
        <v>0</v>
      </c>
      <c r="J15" s="134">
        <v>0</v>
      </c>
      <c r="K15" s="134">
        <v>0</v>
      </c>
      <c r="L15" s="134">
        <v>0</v>
      </c>
      <c r="M15" s="134">
        <v>0</v>
      </c>
      <c r="N15" s="134">
        <v>0</v>
      </c>
      <c r="O15" s="134">
        <v>0</v>
      </c>
      <c r="P15" s="134">
        <v>0</v>
      </c>
      <c r="Q15" s="134">
        <v>0</v>
      </c>
      <c r="R15" s="134">
        <v>0</v>
      </c>
      <c r="S15" s="134">
        <v>0</v>
      </c>
      <c r="T15" s="134">
        <v>0</v>
      </c>
      <c r="U15" s="134">
        <v>0</v>
      </c>
      <c r="V15" s="134">
        <v>0</v>
      </c>
      <c r="W15" s="134">
        <v>0</v>
      </c>
      <c r="X15" s="134">
        <v>0</v>
      </c>
      <c r="Y15" s="134">
        <v>0</v>
      </c>
      <c r="DA15" s="157" t="s">
        <v>705</v>
      </c>
    </row>
    <row r="16" spans="1:105" ht="12.95" customHeight="1" x14ac:dyDescent="0.25">
      <c r="A16" s="129" t="s">
        <v>74</v>
      </c>
      <c r="B16" s="130"/>
      <c r="C16" s="130">
        <f t="shared" ref="C16:Q16" si="6">SUM(C17:C18)</f>
        <v>0</v>
      </c>
      <c r="D16" s="130">
        <f t="shared" si="6"/>
        <v>0</v>
      </c>
      <c r="E16" s="130">
        <f t="shared" si="6"/>
        <v>0</v>
      </c>
      <c r="F16" s="130">
        <f t="shared" si="6"/>
        <v>0</v>
      </c>
      <c r="G16" s="130">
        <f t="shared" si="6"/>
        <v>0</v>
      </c>
      <c r="H16" s="130">
        <f t="shared" si="6"/>
        <v>0</v>
      </c>
      <c r="I16" s="130">
        <f t="shared" si="6"/>
        <v>0</v>
      </c>
      <c r="J16" s="130">
        <f t="shared" si="6"/>
        <v>0</v>
      </c>
      <c r="K16" s="130">
        <f t="shared" si="6"/>
        <v>0</v>
      </c>
      <c r="L16" s="130">
        <f t="shared" si="6"/>
        <v>0</v>
      </c>
      <c r="M16" s="130">
        <f t="shared" si="6"/>
        <v>0</v>
      </c>
      <c r="N16" s="130">
        <f t="shared" si="6"/>
        <v>0</v>
      </c>
      <c r="O16" s="130">
        <f t="shared" si="6"/>
        <v>0</v>
      </c>
      <c r="P16" s="130">
        <f t="shared" si="6"/>
        <v>0</v>
      </c>
      <c r="Q16" s="130">
        <f t="shared" si="6"/>
        <v>0</v>
      </c>
      <c r="R16" s="130">
        <f t="shared" ref="R16:W16" si="7">SUM(R17:R18)</f>
        <v>0</v>
      </c>
      <c r="S16" s="130">
        <f t="shared" si="7"/>
        <v>0</v>
      </c>
      <c r="T16" s="130">
        <f t="shared" si="7"/>
        <v>0</v>
      </c>
      <c r="U16" s="130">
        <f t="shared" si="7"/>
        <v>0</v>
      </c>
      <c r="V16" s="130">
        <f t="shared" si="7"/>
        <v>0</v>
      </c>
      <c r="W16" s="130">
        <f t="shared" si="7"/>
        <v>0</v>
      </c>
      <c r="X16" s="130">
        <f t="shared" ref="X16:Y16" si="8">SUM(X17:X18)</f>
        <v>0</v>
      </c>
      <c r="Y16" s="130">
        <f t="shared" si="8"/>
        <v>0</v>
      </c>
      <c r="DA16" s="155" t="s">
        <v>706</v>
      </c>
    </row>
    <row r="17" spans="1:105" ht="12.95" customHeight="1" x14ac:dyDescent="0.25">
      <c r="A17" s="131" t="s">
        <v>73</v>
      </c>
      <c r="B17" s="132"/>
      <c r="C17" s="132">
        <v>0</v>
      </c>
      <c r="D17" s="132">
        <v>0</v>
      </c>
      <c r="E17" s="132">
        <v>0</v>
      </c>
      <c r="F17" s="132">
        <v>0</v>
      </c>
      <c r="G17" s="132">
        <v>0</v>
      </c>
      <c r="H17" s="132">
        <v>0</v>
      </c>
      <c r="I17" s="132">
        <v>0</v>
      </c>
      <c r="J17" s="132">
        <v>0</v>
      </c>
      <c r="K17" s="132">
        <v>0</v>
      </c>
      <c r="L17" s="132">
        <v>0</v>
      </c>
      <c r="M17" s="132">
        <v>0</v>
      </c>
      <c r="N17" s="132">
        <v>0</v>
      </c>
      <c r="O17" s="132">
        <v>0</v>
      </c>
      <c r="P17" s="132">
        <v>0</v>
      </c>
      <c r="Q17" s="132">
        <v>0</v>
      </c>
      <c r="R17" s="132">
        <v>0</v>
      </c>
      <c r="S17" s="132">
        <v>0</v>
      </c>
      <c r="T17" s="132">
        <v>0</v>
      </c>
      <c r="U17" s="132">
        <v>0</v>
      </c>
      <c r="V17" s="132">
        <v>0</v>
      </c>
      <c r="W17" s="132">
        <v>0</v>
      </c>
      <c r="X17" s="132">
        <v>0</v>
      </c>
      <c r="Y17" s="132">
        <v>0</v>
      </c>
      <c r="DA17" s="156" t="s">
        <v>707</v>
      </c>
    </row>
    <row r="18" spans="1:105" ht="12" customHeight="1" x14ac:dyDescent="0.25">
      <c r="A18" s="131" t="s">
        <v>72</v>
      </c>
      <c r="B18" s="132"/>
      <c r="C18" s="132">
        <v>0</v>
      </c>
      <c r="D18" s="132">
        <v>0</v>
      </c>
      <c r="E18" s="132">
        <v>0</v>
      </c>
      <c r="F18" s="132">
        <v>0</v>
      </c>
      <c r="G18" s="132">
        <v>0</v>
      </c>
      <c r="H18" s="132">
        <v>0</v>
      </c>
      <c r="I18" s="132">
        <v>0</v>
      </c>
      <c r="J18" s="132">
        <v>0</v>
      </c>
      <c r="K18" s="132">
        <v>0</v>
      </c>
      <c r="L18" s="132">
        <v>0</v>
      </c>
      <c r="M18" s="132">
        <v>0</v>
      </c>
      <c r="N18" s="132">
        <v>0</v>
      </c>
      <c r="O18" s="132">
        <v>0</v>
      </c>
      <c r="P18" s="132">
        <v>0</v>
      </c>
      <c r="Q18" s="132">
        <v>0</v>
      </c>
      <c r="R18" s="132">
        <v>0</v>
      </c>
      <c r="S18" s="132">
        <v>0</v>
      </c>
      <c r="T18" s="132">
        <v>0</v>
      </c>
      <c r="U18" s="132">
        <v>0</v>
      </c>
      <c r="V18" s="132">
        <v>0</v>
      </c>
      <c r="W18" s="132">
        <v>0</v>
      </c>
      <c r="X18" s="132">
        <v>0</v>
      </c>
      <c r="Y18" s="132">
        <v>0</v>
      </c>
      <c r="DA18" s="156" t="s">
        <v>708</v>
      </c>
    </row>
    <row r="19" spans="1:105" ht="12.95" customHeight="1" x14ac:dyDescent="0.25">
      <c r="A19" s="129" t="s">
        <v>35</v>
      </c>
      <c r="B19" s="130"/>
      <c r="C19" s="130">
        <f t="shared" ref="C19:Q19" si="9">SUM(C20:C27)</f>
        <v>5.9322496008248109</v>
      </c>
      <c r="D19" s="130">
        <f t="shared" si="9"/>
        <v>7.9237829917134412</v>
      </c>
      <c r="E19" s="130">
        <f t="shared" si="9"/>
        <v>9.211579838808106</v>
      </c>
      <c r="F19" s="130">
        <f t="shared" si="9"/>
        <v>26.366102725456216</v>
      </c>
      <c r="G19" s="130">
        <f t="shared" si="9"/>
        <v>18.550758457157993</v>
      </c>
      <c r="H19" s="130">
        <f t="shared" si="9"/>
        <v>15.350419952843612</v>
      </c>
      <c r="I19" s="130">
        <f t="shared" si="9"/>
        <v>0.12870767872014674</v>
      </c>
      <c r="J19" s="130">
        <f t="shared" si="9"/>
        <v>4.572390867617476</v>
      </c>
      <c r="K19" s="130">
        <f t="shared" si="9"/>
        <v>7.8242017628879577</v>
      </c>
      <c r="L19" s="130">
        <f t="shared" si="9"/>
        <v>12.924914544672198</v>
      </c>
      <c r="M19" s="130">
        <f t="shared" si="9"/>
        <v>7.9697612268677993</v>
      </c>
      <c r="N19" s="130">
        <f t="shared" si="9"/>
        <v>6.2139304361965984</v>
      </c>
      <c r="O19" s="130">
        <f t="shared" si="9"/>
        <v>18.013604935571028</v>
      </c>
      <c r="P19" s="130">
        <f t="shared" si="9"/>
        <v>19.960365431001936</v>
      </c>
      <c r="Q19" s="130">
        <f t="shared" si="9"/>
        <v>25.700026762174687</v>
      </c>
      <c r="R19" s="130">
        <f t="shared" ref="R19:W19" si="10">SUM(R20:R27)</f>
        <v>20.798841239534127</v>
      </c>
      <c r="S19" s="130">
        <f t="shared" si="10"/>
        <v>26.115171900317669</v>
      </c>
      <c r="T19" s="130">
        <f t="shared" si="10"/>
        <v>16.989878679033747</v>
      </c>
      <c r="U19" s="130">
        <f t="shared" si="10"/>
        <v>12.120499835113737</v>
      </c>
      <c r="V19" s="130">
        <f t="shared" si="10"/>
        <v>9.2363833218032134</v>
      </c>
      <c r="W19" s="130">
        <f t="shared" si="10"/>
        <v>9.1726509436424184</v>
      </c>
      <c r="X19" s="130">
        <f t="shared" ref="X19:Y19" si="11">SUM(X20:X27)</f>
        <v>3.6288311327671621</v>
      </c>
      <c r="Y19" s="130">
        <f t="shared" si="11"/>
        <v>2.7793101111356959</v>
      </c>
      <c r="DA19" s="155" t="s">
        <v>709</v>
      </c>
    </row>
    <row r="20" spans="1:105" ht="12" customHeight="1" x14ac:dyDescent="0.25">
      <c r="A20" s="131" t="s">
        <v>29</v>
      </c>
      <c r="B20" s="132"/>
      <c r="C20" s="132">
        <v>0</v>
      </c>
      <c r="D20" s="132">
        <v>0</v>
      </c>
      <c r="E20" s="132">
        <v>0</v>
      </c>
      <c r="F20" s="132">
        <v>0</v>
      </c>
      <c r="G20" s="132">
        <v>0</v>
      </c>
      <c r="H20" s="132">
        <v>0</v>
      </c>
      <c r="I20" s="132">
        <v>0</v>
      </c>
      <c r="J20" s="132">
        <v>0</v>
      </c>
      <c r="K20" s="132">
        <v>0</v>
      </c>
      <c r="L20" s="132">
        <v>0</v>
      </c>
      <c r="M20" s="132">
        <v>0</v>
      </c>
      <c r="N20" s="132">
        <v>0</v>
      </c>
      <c r="O20" s="132">
        <v>0</v>
      </c>
      <c r="P20" s="132">
        <v>0</v>
      </c>
      <c r="Q20" s="132">
        <v>0</v>
      </c>
      <c r="R20" s="132">
        <v>0</v>
      </c>
      <c r="S20" s="132">
        <v>0</v>
      </c>
      <c r="T20" s="132">
        <v>0</v>
      </c>
      <c r="U20" s="132">
        <v>0</v>
      </c>
      <c r="V20" s="132">
        <v>0</v>
      </c>
      <c r="W20" s="132">
        <v>0</v>
      </c>
      <c r="X20" s="132">
        <v>0</v>
      </c>
      <c r="Y20" s="132">
        <v>0</v>
      </c>
      <c r="DA20" s="156" t="s">
        <v>710</v>
      </c>
    </row>
    <row r="21" spans="1:105" s="2" customFormat="1" ht="12" customHeight="1" x14ac:dyDescent="0.25">
      <c r="A21" s="131" t="s">
        <v>52</v>
      </c>
      <c r="B21" s="132"/>
      <c r="C21" s="132">
        <v>0</v>
      </c>
      <c r="D21" s="132">
        <v>0</v>
      </c>
      <c r="E21" s="132">
        <v>0</v>
      </c>
      <c r="F21" s="132">
        <v>0</v>
      </c>
      <c r="G21" s="132">
        <v>0</v>
      </c>
      <c r="H21" s="132">
        <v>0</v>
      </c>
      <c r="I21" s="132">
        <v>0</v>
      </c>
      <c r="J21" s="132">
        <v>0</v>
      </c>
      <c r="K21" s="132">
        <v>0</v>
      </c>
      <c r="L21" s="132">
        <v>0</v>
      </c>
      <c r="M21" s="132">
        <v>0</v>
      </c>
      <c r="N21" s="132">
        <v>0</v>
      </c>
      <c r="O21" s="132">
        <v>0</v>
      </c>
      <c r="P21" s="132">
        <v>0</v>
      </c>
      <c r="Q21" s="132">
        <v>0</v>
      </c>
      <c r="R21" s="132">
        <v>0</v>
      </c>
      <c r="S21" s="132">
        <v>0</v>
      </c>
      <c r="T21" s="132">
        <v>0</v>
      </c>
      <c r="U21" s="132">
        <v>0</v>
      </c>
      <c r="V21" s="132">
        <v>0</v>
      </c>
      <c r="W21" s="132">
        <v>0</v>
      </c>
      <c r="X21" s="132">
        <v>0</v>
      </c>
      <c r="Y21" s="132">
        <v>0</v>
      </c>
      <c r="DA21" s="156" t="s">
        <v>711</v>
      </c>
    </row>
    <row r="22" spans="1:105" ht="12" customHeight="1" x14ac:dyDescent="0.25">
      <c r="A22" s="131" t="s">
        <v>161</v>
      </c>
      <c r="B22" s="132"/>
      <c r="C22" s="132">
        <v>2.2914465703190312</v>
      </c>
      <c r="D22" s="132">
        <v>4.3097782652249483</v>
      </c>
      <c r="E22" s="132">
        <v>1.1165599195614615</v>
      </c>
      <c r="F22" s="132">
        <v>0.68561173790307806</v>
      </c>
      <c r="G22" s="132">
        <v>0</v>
      </c>
      <c r="H22" s="132">
        <v>0</v>
      </c>
      <c r="I22" s="132">
        <v>0</v>
      </c>
      <c r="J22" s="132">
        <v>0</v>
      </c>
      <c r="K22" s="132">
        <v>0</v>
      </c>
      <c r="L22" s="132">
        <v>3.1293103325035148</v>
      </c>
      <c r="M22" s="132">
        <v>4.517084847394143</v>
      </c>
      <c r="N22" s="132">
        <v>5.282601305243535</v>
      </c>
      <c r="O22" s="132">
        <v>9.1921670355414662</v>
      </c>
      <c r="P22" s="132">
        <v>5.2691536015326568</v>
      </c>
      <c r="Q22" s="132">
        <v>6.1188850899250564</v>
      </c>
      <c r="R22" s="132">
        <v>5.2783203152996023</v>
      </c>
      <c r="S22" s="132">
        <v>9.7711163800452692</v>
      </c>
      <c r="T22" s="132">
        <v>6.953881364652319</v>
      </c>
      <c r="U22" s="132">
        <v>4.6918472326910168</v>
      </c>
      <c r="V22" s="132">
        <v>4.5311477785033372</v>
      </c>
      <c r="W22" s="132">
        <v>7.7128827357740732</v>
      </c>
      <c r="X22" s="132">
        <v>3.6288311327671621</v>
      </c>
      <c r="Y22" s="132">
        <v>2.775683573429649</v>
      </c>
      <c r="DA22" s="156" t="s">
        <v>712</v>
      </c>
    </row>
    <row r="23" spans="1:105" ht="12" customHeight="1" x14ac:dyDescent="0.25">
      <c r="A23" s="131" t="s">
        <v>149</v>
      </c>
      <c r="B23" s="132"/>
      <c r="C23" s="132">
        <v>3.6408030305057801</v>
      </c>
      <c r="D23" s="132">
        <v>3.6140047264884934</v>
      </c>
      <c r="E23" s="132">
        <v>8.0940349301766403</v>
      </c>
      <c r="F23" s="132">
        <v>25.680490987553139</v>
      </c>
      <c r="G23" s="132">
        <v>18.550758457157993</v>
      </c>
      <c r="H23" s="132">
        <v>15.350419952843612</v>
      </c>
      <c r="I23" s="132">
        <v>0.12870767872014674</v>
      </c>
      <c r="J23" s="132">
        <v>4.572390867617476</v>
      </c>
      <c r="K23" s="132">
        <v>7.8242017628879577</v>
      </c>
      <c r="L23" s="132">
        <v>9.7956042121686835</v>
      </c>
      <c r="M23" s="132">
        <v>3.4526763794736568</v>
      </c>
      <c r="N23" s="132">
        <v>0.93132913095306369</v>
      </c>
      <c r="O23" s="132">
        <v>8.8190422754350966</v>
      </c>
      <c r="P23" s="132">
        <v>14.617124497431176</v>
      </c>
      <c r="Q23" s="132">
        <v>19.580847408262926</v>
      </c>
      <c r="R23" s="132">
        <v>15.520520924234525</v>
      </c>
      <c r="S23" s="132">
        <v>16.344055520272398</v>
      </c>
      <c r="T23" s="132">
        <v>10.035997314381428</v>
      </c>
      <c r="U23" s="132">
        <v>7.4286526024227193</v>
      </c>
      <c r="V23" s="132">
        <v>4.7052204349672788</v>
      </c>
      <c r="W23" s="132">
        <v>1.4597682078683456</v>
      </c>
      <c r="X23" s="132">
        <v>0</v>
      </c>
      <c r="Y23" s="132">
        <v>0</v>
      </c>
      <c r="DA23" s="156" t="s">
        <v>713</v>
      </c>
    </row>
    <row r="24" spans="1:105" ht="12" customHeight="1" x14ac:dyDescent="0.25">
      <c r="A24" s="131" t="s">
        <v>128</v>
      </c>
      <c r="B24" s="132"/>
      <c r="C24" s="132">
        <v>0</v>
      </c>
      <c r="D24" s="132">
        <v>0</v>
      </c>
      <c r="E24" s="132">
        <v>9.8498907000333312E-4</v>
      </c>
      <c r="F24" s="132">
        <v>0</v>
      </c>
      <c r="G24" s="132">
        <v>0</v>
      </c>
      <c r="H24" s="132">
        <v>0</v>
      </c>
      <c r="I24" s="132">
        <v>0</v>
      </c>
      <c r="J24" s="132">
        <v>0</v>
      </c>
      <c r="K24" s="132">
        <v>0</v>
      </c>
      <c r="L24" s="132">
        <v>0</v>
      </c>
      <c r="M24" s="132">
        <v>0</v>
      </c>
      <c r="N24" s="132">
        <v>0</v>
      </c>
      <c r="O24" s="132">
        <v>2.3956245944668111E-3</v>
      </c>
      <c r="P24" s="132">
        <v>7.4087332038104914E-2</v>
      </c>
      <c r="Q24" s="132">
        <v>2.9426398670259762E-4</v>
      </c>
      <c r="R24" s="132">
        <v>0</v>
      </c>
      <c r="S24" s="132">
        <v>0</v>
      </c>
      <c r="T24" s="132">
        <v>0</v>
      </c>
      <c r="U24" s="132">
        <v>0</v>
      </c>
      <c r="V24" s="132">
        <v>1.5108332597086945E-5</v>
      </c>
      <c r="W24" s="132">
        <v>0</v>
      </c>
      <c r="X24" s="132">
        <v>0</v>
      </c>
      <c r="Y24" s="132">
        <v>3.6265377060467575E-3</v>
      </c>
      <c r="DA24" s="156" t="s">
        <v>714</v>
      </c>
    </row>
    <row r="25" spans="1:105" ht="12" customHeight="1" x14ac:dyDescent="0.25">
      <c r="A25" s="131" t="s">
        <v>162</v>
      </c>
      <c r="B25" s="132"/>
      <c r="C25" s="132">
        <v>0</v>
      </c>
      <c r="D25" s="132">
        <v>0</v>
      </c>
      <c r="E25" s="132">
        <v>0</v>
      </c>
      <c r="F25" s="132">
        <v>0</v>
      </c>
      <c r="G25" s="132">
        <v>0</v>
      </c>
      <c r="H25" s="132">
        <v>0</v>
      </c>
      <c r="I25" s="132">
        <v>0</v>
      </c>
      <c r="J25" s="132">
        <v>0</v>
      </c>
      <c r="K25" s="132">
        <v>0</v>
      </c>
      <c r="L25" s="132">
        <v>0</v>
      </c>
      <c r="M25" s="132">
        <v>0</v>
      </c>
      <c r="N25" s="132">
        <v>0</v>
      </c>
      <c r="O25" s="132">
        <v>0</v>
      </c>
      <c r="P25" s="132">
        <v>0</v>
      </c>
      <c r="Q25" s="132">
        <v>0</v>
      </c>
      <c r="R25" s="132">
        <v>0</v>
      </c>
      <c r="S25" s="132">
        <v>0</v>
      </c>
      <c r="T25" s="132">
        <v>0</v>
      </c>
      <c r="U25" s="132">
        <v>0</v>
      </c>
      <c r="V25" s="132">
        <v>0</v>
      </c>
      <c r="W25" s="132">
        <v>0</v>
      </c>
      <c r="X25" s="132">
        <v>0</v>
      </c>
      <c r="Y25" s="132">
        <v>0</v>
      </c>
      <c r="DA25" s="156" t="s">
        <v>715</v>
      </c>
    </row>
    <row r="26" spans="1:105" ht="12" customHeight="1" x14ac:dyDescent="0.25">
      <c r="A26" s="131" t="s">
        <v>24</v>
      </c>
      <c r="B26" s="65"/>
      <c r="C26" s="65">
        <v>0</v>
      </c>
      <c r="D26" s="65">
        <v>0</v>
      </c>
      <c r="E26" s="65">
        <v>0</v>
      </c>
      <c r="F26" s="65">
        <v>0</v>
      </c>
      <c r="G26" s="65">
        <v>0</v>
      </c>
      <c r="H26" s="65">
        <v>0</v>
      </c>
      <c r="I26" s="65">
        <v>0</v>
      </c>
      <c r="J26" s="65">
        <v>0</v>
      </c>
      <c r="K26" s="65">
        <v>0</v>
      </c>
      <c r="L26" s="65">
        <v>0</v>
      </c>
      <c r="M26" s="65">
        <v>0</v>
      </c>
      <c r="N26" s="65">
        <v>0</v>
      </c>
      <c r="O26" s="65">
        <v>0</v>
      </c>
      <c r="P26" s="65">
        <v>0</v>
      </c>
      <c r="Q26" s="65">
        <v>0</v>
      </c>
      <c r="R26" s="65">
        <v>0</v>
      </c>
      <c r="S26" s="65">
        <v>0</v>
      </c>
      <c r="T26" s="65">
        <v>0</v>
      </c>
      <c r="U26" s="65">
        <v>0</v>
      </c>
      <c r="V26" s="65">
        <v>0</v>
      </c>
      <c r="W26" s="65">
        <v>0</v>
      </c>
      <c r="X26" s="65">
        <v>0</v>
      </c>
      <c r="Y26" s="65">
        <v>0</v>
      </c>
      <c r="DA26" s="109" t="s">
        <v>716</v>
      </c>
    </row>
    <row r="27" spans="1:105" ht="12" customHeight="1" x14ac:dyDescent="0.25">
      <c r="A27" s="144" t="s">
        <v>26</v>
      </c>
      <c r="B27" s="147"/>
      <c r="C27" s="147">
        <v>0</v>
      </c>
      <c r="D27" s="147">
        <v>0</v>
      </c>
      <c r="E27" s="147">
        <v>0</v>
      </c>
      <c r="F27" s="147">
        <v>0</v>
      </c>
      <c r="G27" s="147">
        <v>0</v>
      </c>
      <c r="H27" s="147">
        <v>0</v>
      </c>
      <c r="I27" s="147">
        <v>0</v>
      </c>
      <c r="J27" s="147">
        <v>0</v>
      </c>
      <c r="K27" s="147">
        <v>0</v>
      </c>
      <c r="L27" s="147">
        <v>0</v>
      </c>
      <c r="M27" s="147">
        <v>0</v>
      </c>
      <c r="N27" s="147">
        <v>0</v>
      </c>
      <c r="O27" s="147">
        <v>0</v>
      </c>
      <c r="P27" s="147">
        <v>0</v>
      </c>
      <c r="Q27" s="147">
        <v>0</v>
      </c>
      <c r="R27" s="147">
        <v>0</v>
      </c>
      <c r="S27" s="147">
        <v>0</v>
      </c>
      <c r="T27" s="147">
        <v>0</v>
      </c>
      <c r="U27" s="147">
        <v>0</v>
      </c>
      <c r="V27" s="147">
        <v>0</v>
      </c>
      <c r="W27" s="147">
        <v>0</v>
      </c>
      <c r="X27" s="147">
        <v>0</v>
      </c>
      <c r="Y27" s="147">
        <v>0</v>
      </c>
      <c r="DA27" s="160" t="s">
        <v>717</v>
      </c>
    </row>
    <row r="28" spans="1:105" ht="12" hidden="1" customHeight="1" x14ac:dyDescent="0.25">
      <c r="A28" s="78" t="s">
        <v>26</v>
      </c>
      <c r="B28" s="68"/>
      <c r="C28" s="68"/>
      <c r="D28" s="68"/>
      <c r="E28" s="68"/>
      <c r="F28" s="68"/>
      <c r="G28" s="68"/>
      <c r="H28" s="68"/>
      <c r="I28" s="68"/>
      <c r="J28" s="68"/>
      <c r="K28" s="68"/>
      <c r="L28" s="68"/>
      <c r="M28" s="68"/>
      <c r="N28" s="68"/>
      <c r="O28" s="68"/>
      <c r="P28" s="68"/>
      <c r="Q28" s="68"/>
      <c r="R28" s="68"/>
      <c r="S28" s="68"/>
      <c r="T28" s="68"/>
      <c r="U28" s="68"/>
      <c r="V28" s="68"/>
      <c r="W28" s="68"/>
      <c r="X28" s="68"/>
      <c r="Y28" s="68"/>
      <c r="DA28" s="111"/>
    </row>
    <row r="29" spans="1:105" ht="12.95" customHeight="1" x14ac:dyDescent="0.25">
      <c r="A29" s="129" t="s">
        <v>34</v>
      </c>
      <c r="B29" s="130"/>
      <c r="C29" s="130">
        <f t="shared" ref="C29:Q29" si="12">SUM(C30:C33)</f>
        <v>20.362943721116782</v>
      </c>
      <c r="D29" s="130">
        <f t="shared" si="12"/>
        <v>8.372415899567212</v>
      </c>
      <c r="E29" s="130">
        <f t="shared" si="12"/>
        <v>30.638875051391693</v>
      </c>
      <c r="F29" s="130">
        <f t="shared" si="12"/>
        <v>43.381833265055668</v>
      </c>
      <c r="G29" s="130">
        <f t="shared" si="12"/>
        <v>44.679711849794963</v>
      </c>
      <c r="H29" s="130">
        <f t="shared" si="12"/>
        <v>18.581956541722764</v>
      </c>
      <c r="I29" s="130">
        <f t="shared" si="12"/>
        <v>4.0043407369137718</v>
      </c>
      <c r="J29" s="130">
        <f t="shared" si="12"/>
        <v>0.91992084581933953</v>
      </c>
      <c r="K29" s="130">
        <f t="shared" si="12"/>
        <v>1.3832869833540986</v>
      </c>
      <c r="L29" s="130">
        <f t="shared" si="12"/>
        <v>6.1074805386829345</v>
      </c>
      <c r="M29" s="130">
        <f t="shared" si="12"/>
        <v>9.1173097389928568</v>
      </c>
      <c r="N29" s="130">
        <f t="shared" si="12"/>
        <v>10.018513293556319</v>
      </c>
      <c r="O29" s="130">
        <f t="shared" si="12"/>
        <v>20.50414434546861</v>
      </c>
      <c r="P29" s="130">
        <f t="shared" si="12"/>
        <v>24.584608683419422</v>
      </c>
      <c r="Q29" s="130">
        <f t="shared" si="12"/>
        <v>34.196144956873887</v>
      </c>
      <c r="R29" s="130">
        <f t="shared" ref="R29:W29" si="13">SUM(R30:R33)</f>
        <v>24.793440508299025</v>
      </c>
      <c r="S29" s="130">
        <f t="shared" si="13"/>
        <v>21.085598909731424</v>
      </c>
      <c r="T29" s="130">
        <f t="shared" si="13"/>
        <v>9.3082825179512643</v>
      </c>
      <c r="U29" s="130">
        <f t="shared" si="13"/>
        <v>7.0877576198857675</v>
      </c>
      <c r="V29" s="130">
        <f t="shared" si="13"/>
        <v>5.5939275352220017</v>
      </c>
      <c r="W29" s="130">
        <f t="shared" si="13"/>
        <v>4.8809149393152511</v>
      </c>
      <c r="X29" s="130">
        <f t="shared" ref="X29:Y29" si="14">SUM(X30:X33)</f>
        <v>5.1155019131908812</v>
      </c>
      <c r="Y29" s="130">
        <f t="shared" si="14"/>
        <v>7.4135896395960117</v>
      </c>
      <c r="DA29" s="155" t="s">
        <v>718</v>
      </c>
    </row>
    <row r="30" spans="1:105" s="2" customFormat="1" ht="12" customHeight="1" x14ac:dyDescent="0.25">
      <c r="A30" s="131" t="s">
        <v>52</v>
      </c>
      <c r="B30" s="132"/>
      <c r="C30" s="132">
        <v>5.7016016577934829</v>
      </c>
      <c r="D30" s="132">
        <v>2.3746350204195816</v>
      </c>
      <c r="E30" s="132">
        <v>10.867622662037236</v>
      </c>
      <c r="F30" s="132">
        <v>17.234647514281029</v>
      </c>
      <c r="G30" s="132">
        <v>9.8267070922533097</v>
      </c>
      <c r="H30" s="132">
        <v>0.91542387913043222</v>
      </c>
      <c r="I30" s="132">
        <v>1.3903117951461432</v>
      </c>
      <c r="J30" s="132">
        <v>0</v>
      </c>
      <c r="K30" s="132">
        <v>0</v>
      </c>
      <c r="L30" s="132">
        <v>0</v>
      </c>
      <c r="M30" s="132">
        <v>0</v>
      </c>
      <c r="N30" s="132">
        <v>1.075621809408938</v>
      </c>
      <c r="O30" s="132">
        <v>4.0758115771201506</v>
      </c>
      <c r="P30" s="132">
        <v>6.8895670891988514</v>
      </c>
      <c r="Q30" s="132">
        <v>9.1583931426010512</v>
      </c>
      <c r="R30" s="132">
        <v>5.853104146583747</v>
      </c>
      <c r="S30" s="132">
        <v>1.7770337433540366</v>
      </c>
      <c r="T30" s="132">
        <v>0.5971016502149884</v>
      </c>
      <c r="U30" s="132">
        <v>0.43904984878595316</v>
      </c>
      <c r="V30" s="132">
        <v>0.24324312663902958</v>
      </c>
      <c r="W30" s="132">
        <v>5.816394607953175E-2</v>
      </c>
      <c r="X30" s="132">
        <v>0.19440316149287834</v>
      </c>
      <c r="Y30" s="132">
        <v>0.61455986265222229</v>
      </c>
      <c r="DA30" s="156" t="s">
        <v>719</v>
      </c>
    </row>
    <row r="31" spans="1:105" ht="12" customHeight="1" x14ac:dyDescent="0.25">
      <c r="A31" s="131" t="s">
        <v>149</v>
      </c>
      <c r="B31" s="132"/>
      <c r="C31" s="132">
        <v>14.6613420633233</v>
      </c>
      <c r="D31" s="132">
        <v>5.9977808791476308</v>
      </c>
      <c r="E31" s="132">
        <v>19.771252389354455</v>
      </c>
      <c r="F31" s="132">
        <v>26.147185750774639</v>
      </c>
      <c r="G31" s="132">
        <v>34.853004757541655</v>
      </c>
      <c r="H31" s="132">
        <v>17.666532662592331</v>
      </c>
      <c r="I31" s="132">
        <v>2.614028941767629</v>
      </c>
      <c r="J31" s="132">
        <v>0.91992084581933953</v>
      </c>
      <c r="K31" s="132">
        <v>1.3832869833540986</v>
      </c>
      <c r="L31" s="132">
        <v>6.1074805386829345</v>
      </c>
      <c r="M31" s="132">
        <v>9.1173097389928568</v>
      </c>
      <c r="N31" s="132">
        <v>8.9428914841473812</v>
      </c>
      <c r="O31" s="132">
        <v>16.428332768348458</v>
      </c>
      <c r="P31" s="132">
        <v>17.695041594220569</v>
      </c>
      <c r="Q31" s="132">
        <v>25.037751814272834</v>
      </c>
      <c r="R31" s="132">
        <v>18.940336361715278</v>
      </c>
      <c r="S31" s="132">
        <v>19.308565166377388</v>
      </c>
      <c r="T31" s="132">
        <v>8.7111808677362763</v>
      </c>
      <c r="U31" s="132">
        <v>6.6487077710998141</v>
      </c>
      <c r="V31" s="132">
        <v>5.3506844085829721</v>
      </c>
      <c r="W31" s="132">
        <v>4.8227509932357195</v>
      </c>
      <c r="X31" s="132">
        <v>4.9210987516980031</v>
      </c>
      <c r="Y31" s="132">
        <v>6.7990297769437893</v>
      </c>
      <c r="DA31" s="156" t="s">
        <v>720</v>
      </c>
    </row>
    <row r="32" spans="1:105" ht="12" customHeight="1" x14ac:dyDescent="0.25">
      <c r="A32" s="131" t="s">
        <v>128</v>
      </c>
      <c r="B32" s="132"/>
      <c r="C32" s="132">
        <v>0</v>
      </c>
      <c r="D32" s="132">
        <v>0</v>
      </c>
      <c r="E32" s="132">
        <v>0</v>
      </c>
      <c r="F32" s="132">
        <v>0</v>
      </c>
      <c r="G32" s="132">
        <v>0</v>
      </c>
      <c r="H32" s="132">
        <v>0</v>
      </c>
      <c r="I32" s="132">
        <v>0</v>
      </c>
      <c r="J32" s="132">
        <v>0</v>
      </c>
      <c r="K32" s="132">
        <v>0</v>
      </c>
      <c r="L32" s="132">
        <v>0</v>
      </c>
      <c r="M32" s="132">
        <v>0</v>
      </c>
      <c r="N32" s="132">
        <v>0</v>
      </c>
      <c r="O32" s="132">
        <v>0</v>
      </c>
      <c r="P32" s="132">
        <v>0</v>
      </c>
      <c r="Q32" s="132">
        <v>0</v>
      </c>
      <c r="R32" s="132">
        <v>0</v>
      </c>
      <c r="S32" s="132">
        <v>0</v>
      </c>
      <c r="T32" s="132">
        <v>0</v>
      </c>
      <c r="U32" s="132">
        <v>0</v>
      </c>
      <c r="V32" s="132">
        <v>0</v>
      </c>
      <c r="W32" s="132">
        <v>0</v>
      </c>
      <c r="X32" s="132">
        <v>0</v>
      </c>
      <c r="Y32" s="132">
        <v>0</v>
      </c>
      <c r="DA32" s="156" t="s">
        <v>721</v>
      </c>
    </row>
    <row r="33" spans="1:105" ht="12" customHeight="1" x14ac:dyDescent="0.25">
      <c r="A33" s="62" t="s">
        <v>24</v>
      </c>
      <c r="B33" s="68"/>
      <c r="C33" s="68">
        <v>0</v>
      </c>
      <c r="D33" s="68">
        <v>0</v>
      </c>
      <c r="E33" s="68">
        <v>0</v>
      </c>
      <c r="F33" s="68">
        <v>0</v>
      </c>
      <c r="G33" s="68">
        <v>0</v>
      </c>
      <c r="H33" s="68">
        <v>0</v>
      </c>
      <c r="I33" s="68">
        <v>0</v>
      </c>
      <c r="J33" s="68">
        <v>0</v>
      </c>
      <c r="K33" s="68">
        <v>0</v>
      </c>
      <c r="L33" s="68">
        <v>0</v>
      </c>
      <c r="M33" s="68">
        <v>0</v>
      </c>
      <c r="N33" s="68">
        <v>0</v>
      </c>
      <c r="O33" s="68">
        <v>0</v>
      </c>
      <c r="P33" s="68">
        <v>0</v>
      </c>
      <c r="Q33" s="68">
        <v>0</v>
      </c>
      <c r="R33" s="68">
        <v>0</v>
      </c>
      <c r="S33" s="68">
        <v>0</v>
      </c>
      <c r="T33" s="68">
        <v>0</v>
      </c>
      <c r="U33" s="68">
        <v>0</v>
      </c>
      <c r="V33" s="68">
        <v>0</v>
      </c>
      <c r="W33" s="68">
        <v>0</v>
      </c>
      <c r="X33" s="68">
        <v>0</v>
      </c>
      <c r="Y33" s="68">
        <v>0</v>
      </c>
      <c r="DA33" s="111" t="s">
        <v>722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5">
    <tabColor theme="6" tint="0.79998168889431442"/>
    <pageSetUpPr fitToPage="1"/>
  </sheetPr>
  <dimension ref="A1:DA33"/>
  <sheetViews>
    <sheetView showGridLines="0" zoomScaleNormal="100" workbookViewId="0">
      <pane xSplit="1" ySplit="1" topLeftCell="G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40.7109375" style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25.5" customHeight="1" x14ac:dyDescent="0.25">
      <c r="A1" s="28" t="s">
        <v>723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X1" s="27">
        <v>2022</v>
      </c>
      <c r="Y1" s="27">
        <v>2023</v>
      </c>
      <c r="DA1" s="87" t="s">
        <v>150</v>
      </c>
    </row>
    <row r="2" spans="1:105" s="2" customFormat="1" ht="12" customHeight="1" x14ac:dyDescent="0.25">
      <c r="DA2" s="7"/>
    </row>
    <row r="3" spans="1:105" ht="12.95" customHeight="1" x14ac:dyDescent="0.25">
      <c r="A3" s="123" t="s">
        <v>87</v>
      </c>
      <c r="B3" s="125"/>
      <c r="C3" s="125">
        <f>IF(SER_hh_fec_in!C3=0,0,11630*1000*SER_hh_fec_in!C3/SER_hh_num_in!C3)</f>
        <v>427880.55348280084</v>
      </c>
      <c r="D3" s="125">
        <f>IF(SER_hh_fec_in!D3=0,0,11630*1000*SER_hh_fec_in!D3/SER_hh_num_in!D3)</f>
        <v>263183.97968630778</v>
      </c>
      <c r="E3" s="125">
        <f>IF(SER_hh_fec_in!E3=0,0,11630*1000*SER_hh_fec_in!E3/SER_hh_num_in!E3)</f>
        <v>383351.15138070902</v>
      </c>
      <c r="F3" s="125">
        <f>IF(SER_hh_fec_in!F3=0,0,11630*1000*SER_hh_fec_in!F3/SER_hh_num_in!F3)</f>
        <v>440742.68484157324</v>
      </c>
      <c r="G3" s="125">
        <f>IF(SER_hh_fec_in!G3=0,0,11630*1000*SER_hh_fec_in!G3/SER_hh_num_in!G3)</f>
        <v>410842.07715273544</v>
      </c>
      <c r="H3" s="125">
        <f>IF(SER_hh_fec_in!H3=0,0,11630*1000*SER_hh_fec_in!H3/SER_hh_num_in!H3)</f>
        <v>648353.07188248378</v>
      </c>
      <c r="I3" s="125">
        <f>IF(SER_hh_fec_in!I3=0,0,11630*1000*SER_hh_fec_in!I3/SER_hh_num_in!I3)</f>
        <v>384214.27660128253</v>
      </c>
      <c r="J3" s="125">
        <f>IF(SER_hh_fec_in!J3=0,0,11630*1000*SER_hh_fec_in!J3/SER_hh_num_in!J3)</f>
        <v>324516.82073016866</v>
      </c>
      <c r="K3" s="125">
        <f>IF(SER_hh_fec_in!K3=0,0,11630*1000*SER_hh_fec_in!K3/SER_hh_num_in!K3)</f>
        <v>296402.705453059</v>
      </c>
      <c r="L3" s="125">
        <f>IF(SER_hh_fec_in!L3=0,0,11630*1000*SER_hh_fec_in!L3/SER_hh_num_in!L3)</f>
        <v>301997.87072731828</v>
      </c>
      <c r="M3" s="125">
        <f>IF(SER_hh_fec_in!M3=0,0,11630*1000*SER_hh_fec_in!M3/SER_hh_num_in!M3)</f>
        <v>290825.15811069857</v>
      </c>
      <c r="N3" s="125">
        <f>IF(SER_hh_fec_in!N3=0,0,11630*1000*SER_hh_fec_in!N3/SER_hh_num_in!N3)</f>
        <v>265771.78224566305</v>
      </c>
      <c r="O3" s="125">
        <f>IF(SER_hh_fec_in!O3=0,0,11630*1000*SER_hh_fec_in!O3/SER_hh_num_in!O3)</f>
        <v>245617.32259189984</v>
      </c>
      <c r="P3" s="125">
        <f>IF(SER_hh_fec_in!P3=0,0,11630*1000*SER_hh_fec_in!P3/SER_hh_num_in!P3)</f>
        <v>227127.67582115758</v>
      </c>
      <c r="Q3" s="125">
        <f>IF(SER_hh_fec_in!Q3=0,0,11630*1000*SER_hh_fec_in!Q3/SER_hh_num_in!Q3)</f>
        <v>228862.45266898978</v>
      </c>
      <c r="R3" s="125">
        <f>IF(SER_hh_fec_in!R3=0,0,11630*1000*SER_hh_fec_in!R3/SER_hh_num_in!R3)</f>
        <v>215215.88692668444</v>
      </c>
      <c r="S3" s="125">
        <f>IF(SER_hh_fec_in!S3=0,0,11630*1000*SER_hh_fec_in!S3/SER_hh_num_in!S3)</f>
        <v>207848.65521231017</v>
      </c>
      <c r="T3" s="125">
        <f>IF(SER_hh_fec_in!T3=0,0,11630*1000*SER_hh_fec_in!T3/SER_hh_num_in!T3)</f>
        <v>192998.90408702288</v>
      </c>
      <c r="U3" s="125">
        <f>IF(SER_hh_fec_in!U3=0,0,11630*1000*SER_hh_fec_in!U3/SER_hh_num_in!U3)</f>
        <v>179665.99939828561</v>
      </c>
      <c r="V3" s="125">
        <f>IF(SER_hh_fec_in!V3=0,0,11630*1000*SER_hh_fec_in!V3/SER_hh_num_in!V3)</f>
        <v>154129.71926527281</v>
      </c>
      <c r="W3" s="125">
        <f>IF(SER_hh_fec_in!W3=0,0,11630*1000*SER_hh_fec_in!W3/SER_hh_num_in!W3)</f>
        <v>160634.78484800502</v>
      </c>
      <c r="X3" s="125">
        <f>IF(SER_hh_fec_in!X3=0,0,11630*1000*SER_hh_fec_in!X3/SER_hh_num_in!X3)</f>
        <v>145815.0358341707</v>
      </c>
      <c r="Y3" s="125">
        <f>IF(SER_hh_fec_in!Y3=0,0,11630*1000*SER_hh_fec_in!Y3/SER_hh_num_in!Y3)</f>
        <v>125307.791112523</v>
      </c>
      <c r="DA3" s="154" t="s">
        <v>724</v>
      </c>
    </row>
    <row r="4" spans="1:105" ht="12.95" customHeight="1" x14ac:dyDescent="0.25">
      <c r="A4" s="129" t="s">
        <v>32</v>
      </c>
      <c r="B4" s="130"/>
      <c r="C4" s="130">
        <f>IF(SER_hh_fec_in!C4=0,0,11630*1000*SER_hh_fec_in!C4/SER_hh_num_in!C4)</f>
        <v>329550.1457261414</v>
      </c>
      <c r="D4" s="130">
        <f>IF(SER_hh_fec_in!D4=0,0,11630*1000*SER_hh_fec_in!D4/SER_hh_num_in!D4)</f>
        <v>211531.18400719503</v>
      </c>
      <c r="E4" s="130">
        <f>IF(SER_hh_fec_in!E4=0,0,11630*1000*SER_hh_fec_in!E4/SER_hh_num_in!E4)</f>
        <v>288460.1857563082</v>
      </c>
      <c r="F4" s="130">
        <f>IF(SER_hh_fec_in!F4=0,0,11630*1000*SER_hh_fec_in!F4/SER_hh_num_in!F4)</f>
        <v>314239.5944045111</v>
      </c>
      <c r="G4" s="130">
        <f>IF(SER_hh_fec_in!G4=0,0,11630*1000*SER_hh_fec_in!G4/SER_hh_num_in!G4)</f>
        <v>304050.88305458042</v>
      </c>
      <c r="H4" s="130">
        <f>IF(SER_hh_fec_in!H4=0,0,11630*1000*SER_hh_fec_in!H4/SER_hh_num_in!H4)</f>
        <v>544145.39861997112</v>
      </c>
      <c r="I4" s="130">
        <f>IF(SER_hh_fec_in!I4=0,0,11630*1000*SER_hh_fec_in!I4/SER_hh_num_in!I4)</f>
        <v>300173.51667228411</v>
      </c>
      <c r="J4" s="130">
        <f>IF(SER_hh_fec_in!J4=0,0,11630*1000*SER_hh_fec_in!J4/SER_hh_num_in!J4)</f>
        <v>217223.33852425075</v>
      </c>
      <c r="K4" s="130">
        <f>IF(SER_hh_fec_in!K4=0,0,11630*1000*SER_hh_fec_in!K4/SER_hh_num_in!K4)</f>
        <v>188968.38165268616</v>
      </c>
      <c r="L4" s="130">
        <f>IF(SER_hh_fec_in!L4=0,0,11630*1000*SER_hh_fec_in!L4/SER_hh_num_in!L4)</f>
        <v>201971.18497716475</v>
      </c>
      <c r="M4" s="130">
        <f>IF(SER_hh_fec_in!M4=0,0,11630*1000*SER_hh_fec_in!M4/SER_hh_num_in!M4)</f>
        <v>188868.00326944664</v>
      </c>
      <c r="N4" s="130">
        <f>IF(SER_hh_fec_in!N4=0,0,11630*1000*SER_hh_fec_in!N4/SER_hh_num_in!N4)</f>
        <v>156090.84025302835</v>
      </c>
      <c r="O4" s="130">
        <f>IF(SER_hh_fec_in!O4=0,0,11630*1000*SER_hh_fec_in!O4/SER_hh_num_in!O4)</f>
        <v>138626.33274856766</v>
      </c>
      <c r="P4" s="130">
        <f>IF(SER_hh_fec_in!P4=0,0,11630*1000*SER_hh_fec_in!P4/SER_hh_num_in!P4)</f>
        <v>118676.48124197574</v>
      </c>
      <c r="Q4" s="130">
        <f>IF(SER_hh_fec_in!Q4=0,0,11630*1000*SER_hh_fec_in!Q4/SER_hh_num_in!Q4)</f>
        <v>119448.37625107035</v>
      </c>
      <c r="R4" s="130">
        <f>IF(SER_hh_fec_in!R4=0,0,11630*1000*SER_hh_fec_in!R4/SER_hh_num_in!R4)</f>
        <v>112395.30879417053</v>
      </c>
      <c r="S4" s="130">
        <f>IF(SER_hh_fec_in!S4=0,0,11630*1000*SER_hh_fec_in!S4/SER_hh_num_in!S4)</f>
        <v>108192.61234264664</v>
      </c>
      <c r="T4" s="130">
        <f>IF(SER_hh_fec_in!T4=0,0,11630*1000*SER_hh_fec_in!T4/SER_hh_num_in!T4)</f>
        <v>98880.869958186886</v>
      </c>
      <c r="U4" s="130">
        <f>IF(SER_hh_fec_in!U4=0,0,11630*1000*SER_hh_fec_in!U4/SER_hh_num_in!U4)</f>
        <v>88121.251629614155</v>
      </c>
      <c r="V4" s="130">
        <f>IF(SER_hh_fec_in!V4=0,0,11630*1000*SER_hh_fec_in!V4/SER_hh_num_in!V4)</f>
        <v>71676.670747956712</v>
      </c>
      <c r="W4" s="130">
        <f>IF(SER_hh_fec_in!W4=0,0,11630*1000*SER_hh_fec_in!W4/SER_hh_num_in!W4)</f>
        <v>71427.241155453958</v>
      </c>
      <c r="X4" s="130">
        <f>IF(SER_hh_fec_in!X4=0,0,11630*1000*SER_hh_fec_in!X4/SER_hh_num_in!X4)</f>
        <v>56201.122207257547</v>
      </c>
      <c r="Y4" s="130">
        <f>IF(SER_hh_fec_in!Y4=0,0,11630*1000*SER_hh_fec_in!Y4/SER_hh_num_in!Y4)</f>
        <v>29353.206395533241</v>
      </c>
      <c r="DA4" s="155" t="s">
        <v>725</v>
      </c>
    </row>
    <row r="5" spans="1:105" ht="12" customHeight="1" x14ac:dyDescent="0.25">
      <c r="A5" s="131" t="s">
        <v>29</v>
      </c>
      <c r="B5" s="132"/>
      <c r="C5" s="132">
        <f>IF(SER_hh_fec_in!C5=0,0,11630*1000*SER_hh_fec_in!C5/SER_hh_num_in!C5)</f>
        <v>365850.47417130438</v>
      </c>
      <c r="D5" s="132">
        <f>IF(SER_hh_fec_in!D5=0,0,11630*1000*SER_hh_fec_in!D5/SER_hh_num_in!D5)</f>
        <v>229215.52267318324</v>
      </c>
      <c r="E5" s="132">
        <f>IF(SER_hh_fec_in!E5=0,0,11630*1000*SER_hh_fec_in!E5/SER_hh_num_in!E5)</f>
        <v>0</v>
      </c>
      <c r="F5" s="132">
        <f>IF(SER_hh_fec_in!F5=0,0,11630*1000*SER_hh_fec_in!F5/SER_hh_num_in!F5)</f>
        <v>0</v>
      </c>
      <c r="G5" s="132">
        <f>IF(SER_hh_fec_in!G5=0,0,11630*1000*SER_hh_fec_in!G5/SER_hh_num_in!G5)</f>
        <v>0</v>
      </c>
      <c r="H5" s="132">
        <f>IF(SER_hh_fec_in!H5=0,0,11630*1000*SER_hh_fec_in!H5/SER_hh_num_in!H5)</f>
        <v>612818.19157582091</v>
      </c>
      <c r="I5" s="132">
        <f>IF(SER_hh_fec_in!I5=0,0,11630*1000*SER_hh_fec_in!I5/SER_hh_num_in!I5)</f>
        <v>0</v>
      </c>
      <c r="J5" s="132">
        <f>IF(SER_hh_fec_in!J5=0,0,11630*1000*SER_hh_fec_in!J5/SER_hh_num_in!J5)</f>
        <v>0</v>
      </c>
      <c r="K5" s="132">
        <f>IF(SER_hh_fec_in!K5=0,0,11630*1000*SER_hh_fec_in!K5/SER_hh_num_in!K5)</f>
        <v>0</v>
      </c>
      <c r="L5" s="132">
        <f>IF(SER_hh_fec_in!L5=0,0,11630*1000*SER_hh_fec_in!L5/SER_hh_num_in!L5)</f>
        <v>211088.43532608624</v>
      </c>
      <c r="M5" s="132">
        <f>IF(SER_hh_fec_in!M5=0,0,11630*1000*SER_hh_fec_in!M5/SER_hh_num_in!M5)</f>
        <v>223761.83447278012</v>
      </c>
      <c r="N5" s="132">
        <f>IF(SER_hh_fec_in!N5=0,0,11630*1000*SER_hh_fec_in!N5/SER_hh_num_in!N5)</f>
        <v>117128.43779841762</v>
      </c>
      <c r="O5" s="132">
        <f>IF(SER_hh_fec_in!O5=0,0,11630*1000*SER_hh_fec_in!O5/SER_hh_num_in!O5)</f>
        <v>172089.97464783129</v>
      </c>
      <c r="P5" s="132">
        <f>IF(SER_hh_fec_in!P5=0,0,11630*1000*SER_hh_fec_in!P5/SER_hh_num_in!P5)</f>
        <v>103097.00945126562</v>
      </c>
      <c r="Q5" s="132">
        <f>IF(SER_hh_fec_in!Q5=0,0,11630*1000*SER_hh_fec_in!Q5/SER_hh_num_in!Q5)</f>
        <v>102886.78932680948</v>
      </c>
      <c r="R5" s="132">
        <f>IF(SER_hh_fec_in!R5=0,0,11630*1000*SER_hh_fec_in!R5/SER_hh_num_in!R5)</f>
        <v>172831.13990904522</v>
      </c>
      <c r="S5" s="132">
        <f>IF(SER_hh_fec_in!S5=0,0,11630*1000*SER_hh_fec_in!S5/SER_hh_num_in!S5)</f>
        <v>0</v>
      </c>
      <c r="T5" s="132">
        <f>IF(SER_hh_fec_in!T5=0,0,11630*1000*SER_hh_fec_in!T5/SER_hh_num_in!T5)</f>
        <v>152223.66307108433</v>
      </c>
      <c r="U5" s="132">
        <f>IF(SER_hh_fec_in!U5=0,0,11630*1000*SER_hh_fec_in!U5/SER_hh_num_in!U5)</f>
        <v>0</v>
      </c>
      <c r="V5" s="132">
        <f>IF(SER_hh_fec_in!V5=0,0,11630*1000*SER_hh_fec_in!V5/SER_hh_num_in!V5)</f>
        <v>0</v>
      </c>
      <c r="W5" s="132">
        <f>IF(SER_hh_fec_in!W5=0,0,11630*1000*SER_hh_fec_in!W5/SER_hh_num_in!W5)</f>
        <v>0</v>
      </c>
      <c r="X5" s="132">
        <f>IF(SER_hh_fec_in!X5=0,0,11630*1000*SER_hh_fec_in!X5/SER_hh_num_in!X5)</f>
        <v>0</v>
      </c>
      <c r="Y5" s="132">
        <f>IF(SER_hh_fec_in!Y5=0,0,11630*1000*SER_hh_fec_in!Y5/SER_hh_num_in!Y5)</f>
        <v>0</v>
      </c>
      <c r="DA5" s="156" t="s">
        <v>726</v>
      </c>
    </row>
    <row r="6" spans="1:105" ht="12" customHeight="1" x14ac:dyDescent="0.25">
      <c r="A6" s="131" t="s">
        <v>52</v>
      </c>
      <c r="B6" s="132"/>
      <c r="C6" s="132">
        <f>IF(SER_hh_fec_in!C6=0,0,11630*1000*SER_hh_fec_in!C6/SER_hh_num_in!C6)</f>
        <v>0</v>
      </c>
      <c r="D6" s="132">
        <f>IF(SER_hh_fec_in!D6=0,0,11630*1000*SER_hh_fec_in!D6/SER_hh_num_in!D6)</f>
        <v>0</v>
      </c>
      <c r="E6" s="132">
        <f>IF(SER_hh_fec_in!E6=0,0,11630*1000*SER_hh_fec_in!E6/SER_hh_num_in!E6)</f>
        <v>0</v>
      </c>
      <c r="F6" s="132">
        <f>IF(SER_hh_fec_in!F6=0,0,11630*1000*SER_hh_fec_in!F6/SER_hh_num_in!F6)</f>
        <v>0</v>
      </c>
      <c r="G6" s="132">
        <f>IF(SER_hh_fec_in!G6=0,0,11630*1000*SER_hh_fec_in!G6/SER_hh_num_in!G6)</f>
        <v>0</v>
      </c>
      <c r="H6" s="132">
        <f>IF(SER_hh_fec_in!H6=0,0,11630*1000*SER_hh_fec_in!H6/SER_hh_num_in!H6)</f>
        <v>0</v>
      </c>
      <c r="I6" s="132">
        <f>IF(SER_hh_fec_in!I6=0,0,11630*1000*SER_hh_fec_in!I6/SER_hh_num_in!I6)</f>
        <v>0</v>
      </c>
      <c r="J6" s="132">
        <f>IF(SER_hh_fec_in!J6=0,0,11630*1000*SER_hh_fec_in!J6/SER_hh_num_in!J6)</f>
        <v>0</v>
      </c>
      <c r="K6" s="132">
        <f>IF(SER_hh_fec_in!K6=0,0,11630*1000*SER_hh_fec_in!K6/SER_hh_num_in!K6)</f>
        <v>0</v>
      </c>
      <c r="L6" s="132">
        <f>IF(SER_hh_fec_in!L6=0,0,11630*1000*SER_hh_fec_in!L6/SER_hh_num_in!L6)</f>
        <v>0</v>
      </c>
      <c r="M6" s="132">
        <f>IF(SER_hh_fec_in!M6=0,0,11630*1000*SER_hh_fec_in!M6/SER_hh_num_in!M6)</f>
        <v>0</v>
      </c>
      <c r="N6" s="132">
        <f>IF(SER_hh_fec_in!N6=0,0,11630*1000*SER_hh_fec_in!N6/SER_hh_num_in!N6)</f>
        <v>0</v>
      </c>
      <c r="O6" s="132">
        <f>IF(SER_hh_fec_in!O6=0,0,11630*1000*SER_hh_fec_in!O6/SER_hh_num_in!O6)</f>
        <v>0</v>
      </c>
      <c r="P6" s="132">
        <f>IF(SER_hh_fec_in!P6=0,0,11630*1000*SER_hh_fec_in!P6/SER_hh_num_in!P6)</f>
        <v>0</v>
      </c>
      <c r="Q6" s="132">
        <f>IF(SER_hh_fec_in!Q6=0,0,11630*1000*SER_hh_fec_in!Q6/SER_hh_num_in!Q6)</f>
        <v>0</v>
      </c>
      <c r="R6" s="132">
        <f>IF(SER_hh_fec_in!R6=0,0,11630*1000*SER_hh_fec_in!R6/SER_hh_num_in!R6)</f>
        <v>0</v>
      </c>
      <c r="S6" s="132">
        <f>IF(SER_hh_fec_in!S6=0,0,11630*1000*SER_hh_fec_in!S6/SER_hh_num_in!S6)</f>
        <v>0</v>
      </c>
      <c r="T6" s="132">
        <f>IF(SER_hh_fec_in!T6=0,0,11630*1000*SER_hh_fec_in!T6/SER_hh_num_in!T6)</f>
        <v>0</v>
      </c>
      <c r="U6" s="132">
        <f>IF(SER_hh_fec_in!U6=0,0,11630*1000*SER_hh_fec_in!U6/SER_hh_num_in!U6)</f>
        <v>0</v>
      </c>
      <c r="V6" s="132">
        <f>IF(SER_hh_fec_in!V6=0,0,11630*1000*SER_hh_fec_in!V6/SER_hh_num_in!V6)</f>
        <v>0</v>
      </c>
      <c r="W6" s="132">
        <f>IF(SER_hh_fec_in!W6=0,0,11630*1000*SER_hh_fec_in!W6/SER_hh_num_in!W6)</f>
        <v>0</v>
      </c>
      <c r="X6" s="132">
        <f>IF(SER_hh_fec_in!X6=0,0,11630*1000*SER_hh_fec_in!X6/SER_hh_num_in!X6)</f>
        <v>0</v>
      </c>
      <c r="Y6" s="132">
        <f>IF(SER_hh_fec_in!Y6=0,0,11630*1000*SER_hh_fec_in!Y6/SER_hh_num_in!Y6)</f>
        <v>0</v>
      </c>
      <c r="DA6" s="156" t="s">
        <v>727</v>
      </c>
    </row>
    <row r="7" spans="1:105" ht="12" customHeight="1" x14ac:dyDescent="0.25">
      <c r="A7" s="131" t="s">
        <v>161</v>
      </c>
      <c r="B7" s="132"/>
      <c r="C7" s="132">
        <f>IF(SER_hh_fec_in!C7=0,0,11630*1000*SER_hh_fec_in!C7/SER_hh_num_in!C7)</f>
        <v>240607.19213202066</v>
      </c>
      <c r="D7" s="132">
        <f>IF(SER_hh_fec_in!D7=0,0,11630*1000*SER_hh_fec_in!D7/SER_hh_num_in!D7)</f>
        <v>250568.77215057571</v>
      </c>
      <c r="E7" s="132">
        <f>IF(SER_hh_fec_in!E7=0,0,11630*1000*SER_hh_fec_in!E7/SER_hh_num_in!E7)</f>
        <v>219418.54365416785</v>
      </c>
      <c r="F7" s="132">
        <f>IF(SER_hh_fec_in!F7=0,0,11630*1000*SER_hh_fec_in!F7/SER_hh_num_in!F7)</f>
        <v>367885.31760017877</v>
      </c>
      <c r="G7" s="132">
        <f>IF(SER_hh_fec_in!G7=0,0,11630*1000*SER_hh_fec_in!G7/SER_hh_num_in!G7)</f>
        <v>0</v>
      </c>
      <c r="H7" s="132">
        <f>IF(SER_hh_fec_in!H7=0,0,11630*1000*SER_hh_fec_in!H7/SER_hh_num_in!H7)</f>
        <v>0</v>
      </c>
      <c r="I7" s="132">
        <f>IF(SER_hh_fec_in!I7=0,0,11630*1000*SER_hh_fec_in!I7/SER_hh_num_in!I7)</f>
        <v>0</v>
      </c>
      <c r="J7" s="132">
        <f>IF(SER_hh_fec_in!J7=0,0,11630*1000*SER_hh_fec_in!J7/SER_hh_num_in!J7)</f>
        <v>0</v>
      </c>
      <c r="K7" s="132">
        <f>IF(SER_hh_fec_in!K7=0,0,11630*1000*SER_hh_fec_in!K7/SER_hh_num_in!K7)</f>
        <v>0</v>
      </c>
      <c r="L7" s="132">
        <f>IF(SER_hh_fec_in!L7=0,0,11630*1000*SER_hh_fec_in!L7/SER_hh_num_in!L7)</f>
        <v>155558.22008597889</v>
      </c>
      <c r="M7" s="132">
        <f>IF(SER_hh_fec_in!M7=0,0,11630*1000*SER_hh_fec_in!M7/SER_hh_num_in!M7)</f>
        <v>259782.37726932167</v>
      </c>
      <c r="N7" s="132">
        <f>IF(SER_hh_fec_in!N7=0,0,11630*1000*SER_hh_fec_in!N7/SER_hh_num_in!N7)</f>
        <v>192383.82930110232</v>
      </c>
      <c r="O7" s="132">
        <f>IF(SER_hh_fec_in!O7=0,0,11630*1000*SER_hh_fec_in!O7/SER_hh_num_in!O7)</f>
        <v>134032.40686208062</v>
      </c>
      <c r="P7" s="132">
        <f>IF(SER_hh_fec_in!P7=0,0,11630*1000*SER_hh_fec_in!P7/SER_hh_num_in!P7)</f>
        <v>112237.39366624571</v>
      </c>
      <c r="Q7" s="132">
        <f>IF(SER_hh_fec_in!Q7=0,0,11630*1000*SER_hh_fec_in!Q7/SER_hh_num_in!Q7)</f>
        <v>105649.68169846923</v>
      </c>
      <c r="R7" s="132">
        <f>IF(SER_hh_fec_in!R7=0,0,11630*1000*SER_hh_fec_in!R7/SER_hh_num_in!R7)</f>
        <v>96759.225892267466</v>
      </c>
      <c r="S7" s="132">
        <f>IF(SER_hh_fec_in!S7=0,0,11630*1000*SER_hh_fec_in!S7/SER_hh_num_in!S7)</f>
        <v>111971.01747720684</v>
      </c>
      <c r="T7" s="132">
        <f>IF(SER_hh_fec_in!T7=0,0,11630*1000*SER_hh_fec_in!T7/SER_hh_num_in!T7)</f>
        <v>106277.41089010196</v>
      </c>
      <c r="U7" s="132">
        <f>IF(SER_hh_fec_in!U7=0,0,11630*1000*SER_hh_fec_in!U7/SER_hh_num_in!U7)</f>
        <v>91503.861146402822</v>
      </c>
      <c r="V7" s="132">
        <f>IF(SER_hh_fec_in!V7=0,0,11630*1000*SER_hh_fec_in!V7/SER_hh_num_in!V7)</f>
        <v>70211.595316220017</v>
      </c>
      <c r="W7" s="132">
        <f>IF(SER_hh_fec_in!W7=0,0,11630*1000*SER_hh_fec_in!W7/SER_hh_num_in!W7)</f>
        <v>82922.334121365086</v>
      </c>
      <c r="X7" s="132">
        <f>IF(SER_hh_fec_in!X7=0,0,11630*1000*SER_hh_fec_in!X7/SER_hh_num_in!X7)</f>
        <v>68403.426371037756</v>
      </c>
      <c r="Y7" s="132">
        <f>IF(SER_hh_fec_in!Y7=0,0,11630*1000*SER_hh_fec_in!Y7/SER_hh_num_in!Y7)</f>
        <v>71880.718168415842</v>
      </c>
      <c r="DA7" s="156" t="s">
        <v>728</v>
      </c>
    </row>
    <row r="8" spans="1:105" ht="12" customHeight="1" x14ac:dyDescent="0.25">
      <c r="A8" s="131" t="s">
        <v>73</v>
      </c>
      <c r="B8" s="132"/>
      <c r="C8" s="132">
        <f>IF(SER_hh_fec_in!C8=0,0,11630*1000*SER_hh_fec_in!C8/SER_hh_num_in!C8)</f>
        <v>0</v>
      </c>
      <c r="D8" s="132">
        <f>IF(SER_hh_fec_in!D8=0,0,11630*1000*SER_hh_fec_in!D8/SER_hh_num_in!D8)</f>
        <v>0</v>
      </c>
      <c r="E8" s="132">
        <f>IF(SER_hh_fec_in!E8=0,0,11630*1000*SER_hh_fec_in!E8/SER_hh_num_in!E8)</f>
        <v>0</v>
      </c>
      <c r="F8" s="132">
        <f>IF(SER_hh_fec_in!F8=0,0,11630*1000*SER_hh_fec_in!F8/SER_hh_num_in!F8)</f>
        <v>0</v>
      </c>
      <c r="G8" s="132">
        <f>IF(SER_hh_fec_in!G8=0,0,11630*1000*SER_hh_fec_in!G8/SER_hh_num_in!G8)</f>
        <v>0</v>
      </c>
      <c r="H8" s="132">
        <f>IF(SER_hh_fec_in!H8=0,0,11630*1000*SER_hh_fec_in!H8/SER_hh_num_in!H8)</f>
        <v>0</v>
      </c>
      <c r="I8" s="132">
        <f>IF(SER_hh_fec_in!I8=0,0,11630*1000*SER_hh_fec_in!I8/SER_hh_num_in!I8)</f>
        <v>0</v>
      </c>
      <c r="J8" s="132">
        <f>IF(SER_hh_fec_in!J8=0,0,11630*1000*SER_hh_fec_in!J8/SER_hh_num_in!J8)</f>
        <v>0</v>
      </c>
      <c r="K8" s="132">
        <f>IF(SER_hh_fec_in!K8=0,0,11630*1000*SER_hh_fec_in!K8/SER_hh_num_in!K8)</f>
        <v>0</v>
      </c>
      <c r="L8" s="132">
        <f>IF(SER_hh_fec_in!L8=0,0,11630*1000*SER_hh_fec_in!L8/SER_hh_num_in!L8)</f>
        <v>0</v>
      </c>
      <c r="M8" s="132">
        <f>IF(SER_hh_fec_in!M8=0,0,11630*1000*SER_hh_fec_in!M8/SER_hh_num_in!M8)</f>
        <v>0</v>
      </c>
      <c r="N8" s="132">
        <f>IF(SER_hh_fec_in!N8=0,0,11630*1000*SER_hh_fec_in!N8/SER_hh_num_in!N8)</f>
        <v>0</v>
      </c>
      <c r="O8" s="132">
        <f>IF(SER_hh_fec_in!O8=0,0,11630*1000*SER_hh_fec_in!O8/SER_hh_num_in!O8)</f>
        <v>0</v>
      </c>
      <c r="P8" s="132">
        <f>IF(SER_hh_fec_in!P8=0,0,11630*1000*SER_hh_fec_in!P8/SER_hh_num_in!P8)</f>
        <v>0</v>
      </c>
      <c r="Q8" s="132">
        <f>IF(SER_hh_fec_in!Q8=0,0,11630*1000*SER_hh_fec_in!Q8/SER_hh_num_in!Q8)</f>
        <v>0</v>
      </c>
      <c r="R8" s="132">
        <f>IF(SER_hh_fec_in!R8=0,0,11630*1000*SER_hh_fec_in!R8/SER_hh_num_in!R8)</f>
        <v>0</v>
      </c>
      <c r="S8" s="132">
        <f>IF(SER_hh_fec_in!S8=0,0,11630*1000*SER_hh_fec_in!S8/SER_hh_num_in!S8)</f>
        <v>0</v>
      </c>
      <c r="T8" s="132">
        <f>IF(SER_hh_fec_in!T8=0,0,11630*1000*SER_hh_fec_in!T8/SER_hh_num_in!T8)</f>
        <v>0</v>
      </c>
      <c r="U8" s="132">
        <f>IF(SER_hh_fec_in!U8=0,0,11630*1000*SER_hh_fec_in!U8/SER_hh_num_in!U8)</f>
        <v>0</v>
      </c>
      <c r="V8" s="132">
        <f>IF(SER_hh_fec_in!V8=0,0,11630*1000*SER_hh_fec_in!V8/SER_hh_num_in!V8)</f>
        <v>0</v>
      </c>
      <c r="W8" s="132">
        <f>IF(SER_hh_fec_in!W8=0,0,11630*1000*SER_hh_fec_in!W8/SER_hh_num_in!W8)</f>
        <v>0</v>
      </c>
      <c r="X8" s="132">
        <f>IF(SER_hh_fec_in!X8=0,0,11630*1000*SER_hh_fec_in!X8/SER_hh_num_in!X8)</f>
        <v>0</v>
      </c>
      <c r="Y8" s="132">
        <f>IF(SER_hh_fec_in!Y8=0,0,11630*1000*SER_hh_fec_in!Y8/SER_hh_num_in!Y8)</f>
        <v>0</v>
      </c>
      <c r="DA8" s="156" t="s">
        <v>729</v>
      </c>
    </row>
    <row r="9" spans="1:105" ht="12" customHeight="1" x14ac:dyDescent="0.25">
      <c r="A9" s="131" t="s">
        <v>78</v>
      </c>
      <c r="B9" s="132"/>
      <c r="C9" s="132">
        <f>IF(SER_hh_fec_in!C9=0,0,11630*1000*SER_hh_fec_in!C9/SER_hh_num_in!C9)</f>
        <v>613170.39600946952</v>
      </c>
      <c r="D9" s="132">
        <f>IF(SER_hh_fec_in!D9=0,0,11630*1000*SER_hh_fec_in!D9/SER_hh_num_in!D9)</f>
        <v>55187.979048185844</v>
      </c>
      <c r="E9" s="132">
        <f>IF(SER_hh_fec_in!E9=0,0,11630*1000*SER_hh_fec_in!E9/SER_hh_num_in!E9)</f>
        <v>299002.39726361353</v>
      </c>
      <c r="F9" s="132">
        <f>IF(SER_hh_fec_in!F9=0,0,11630*1000*SER_hh_fec_in!F9/SER_hh_num_in!F9)</f>
        <v>295889.14509758365</v>
      </c>
      <c r="G9" s="132">
        <f>IF(SER_hh_fec_in!G9=0,0,11630*1000*SER_hh_fec_in!G9/SER_hh_num_in!G9)</f>
        <v>294320.76645765331</v>
      </c>
      <c r="H9" s="132">
        <f>IF(SER_hh_fec_in!H9=0,0,11630*1000*SER_hh_fec_in!H9/SER_hh_num_in!H9)</f>
        <v>544749.92449066369</v>
      </c>
      <c r="I9" s="132">
        <f>IF(SER_hh_fec_in!I9=0,0,11630*1000*SER_hh_fec_in!I9/SER_hh_num_in!I9)</f>
        <v>348056.57147375611</v>
      </c>
      <c r="J9" s="132">
        <f>IF(SER_hh_fec_in!J9=0,0,11630*1000*SER_hh_fec_in!J9/SER_hh_num_in!J9)</f>
        <v>231362.82352180072</v>
      </c>
      <c r="K9" s="132">
        <f>IF(SER_hh_fec_in!K9=0,0,11630*1000*SER_hh_fec_in!K9/SER_hh_num_in!K9)</f>
        <v>251932.81885799396</v>
      </c>
      <c r="L9" s="132">
        <f>IF(SER_hh_fec_in!L9=0,0,11630*1000*SER_hh_fec_in!L9/SER_hh_num_in!L9)</f>
        <v>243205.33311683909</v>
      </c>
      <c r="M9" s="132">
        <f>IF(SER_hh_fec_in!M9=0,0,11630*1000*SER_hh_fec_in!M9/SER_hh_num_in!M9)</f>
        <v>175786.364745717</v>
      </c>
      <c r="N9" s="132">
        <f>IF(SER_hh_fec_in!N9=0,0,11630*1000*SER_hh_fec_in!N9/SER_hh_num_in!N9)</f>
        <v>165279.69328801488</v>
      </c>
      <c r="O9" s="132">
        <f>IF(SER_hh_fec_in!O9=0,0,11630*1000*SER_hh_fec_in!O9/SER_hh_num_in!O9)</f>
        <v>146165.03281551396</v>
      </c>
      <c r="P9" s="132">
        <f>IF(SER_hh_fec_in!P9=0,0,11630*1000*SER_hh_fec_in!P9/SER_hh_num_in!P9)</f>
        <v>124128.20930491801</v>
      </c>
      <c r="Q9" s="132">
        <f>IF(SER_hh_fec_in!Q9=0,0,11630*1000*SER_hh_fec_in!Q9/SER_hh_num_in!Q9)</f>
        <v>102700.90505416962</v>
      </c>
      <c r="R9" s="132">
        <f>IF(SER_hh_fec_in!R9=0,0,11630*1000*SER_hh_fec_in!R9/SER_hh_num_in!R9)</f>
        <v>96987.042818731905</v>
      </c>
      <c r="S9" s="132">
        <f>IF(SER_hh_fec_in!S9=0,0,11630*1000*SER_hh_fec_in!S9/SER_hh_num_in!S9)</f>
        <v>97579.409571942</v>
      </c>
      <c r="T9" s="132">
        <f>IF(SER_hh_fec_in!T9=0,0,11630*1000*SER_hh_fec_in!T9/SER_hh_num_in!T9)</f>
        <v>91462.021506052799</v>
      </c>
      <c r="U9" s="132">
        <f>IF(SER_hh_fec_in!U9=0,0,11630*1000*SER_hh_fec_in!U9/SER_hh_num_in!U9)</f>
        <v>84646.658492178904</v>
      </c>
      <c r="V9" s="132">
        <f>IF(SER_hh_fec_in!V9=0,0,11630*1000*SER_hh_fec_in!V9/SER_hh_num_in!V9)</f>
        <v>73552.235936994082</v>
      </c>
      <c r="W9" s="132">
        <f>IF(SER_hh_fec_in!W9=0,0,11630*1000*SER_hh_fec_in!W9/SER_hh_num_in!W9)</f>
        <v>61794.055922124469</v>
      </c>
      <c r="X9" s="132">
        <f>IF(SER_hh_fec_in!X9=0,0,11630*1000*SER_hh_fec_in!X9/SER_hh_num_in!X9)</f>
        <v>53759.926112319576</v>
      </c>
      <c r="Y9" s="132">
        <f>IF(SER_hh_fec_in!Y9=0,0,11630*1000*SER_hh_fec_in!Y9/SER_hh_num_in!Y9)</f>
        <v>0</v>
      </c>
      <c r="DA9" s="156" t="s">
        <v>730</v>
      </c>
    </row>
    <row r="10" spans="1:105" ht="12" customHeight="1" x14ac:dyDescent="0.25">
      <c r="A10" s="131" t="s">
        <v>128</v>
      </c>
      <c r="B10" s="132"/>
      <c r="C10" s="132">
        <f>IF(SER_hh_fec_in!C10=0,0,11630*1000*SER_hh_fec_in!C10/SER_hh_num_in!C10)</f>
        <v>329509.22214958176</v>
      </c>
      <c r="D10" s="132">
        <f>IF(SER_hh_fec_in!D10=0,0,11630*1000*SER_hh_fec_in!D10/SER_hh_num_in!D10)</f>
        <v>247113.9699373437</v>
      </c>
      <c r="E10" s="132">
        <f>IF(SER_hh_fec_in!E10=0,0,11630*1000*SER_hh_fec_in!E10/SER_hh_num_in!E10)</f>
        <v>0</v>
      </c>
      <c r="F10" s="132">
        <f>IF(SER_hh_fec_in!F10=0,0,11630*1000*SER_hh_fec_in!F10/SER_hh_num_in!F10)</f>
        <v>0</v>
      </c>
      <c r="G10" s="132">
        <f>IF(SER_hh_fec_in!G10=0,0,11630*1000*SER_hh_fec_in!G10/SER_hh_num_in!G10)</f>
        <v>0</v>
      </c>
      <c r="H10" s="132">
        <f>IF(SER_hh_fec_in!H10=0,0,11630*1000*SER_hh_fec_in!H10/SER_hh_num_in!H10)</f>
        <v>0</v>
      </c>
      <c r="I10" s="132">
        <f>IF(SER_hh_fec_in!I10=0,0,11630*1000*SER_hh_fec_in!I10/SER_hh_num_in!I10)</f>
        <v>0</v>
      </c>
      <c r="J10" s="132">
        <f>IF(SER_hh_fec_in!J10=0,0,11630*1000*SER_hh_fec_in!J10/SER_hh_num_in!J10)</f>
        <v>280435.11797149526</v>
      </c>
      <c r="K10" s="132">
        <f>IF(SER_hh_fec_in!K10=0,0,11630*1000*SER_hh_fec_in!K10/SER_hh_num_in!K10)</f>
        <v>0</v>
      </c>
      <c r="L10" s="132">
        <f>IF(SER_hh_fec_in!L10=0,0,11630*1000*SER_hh_fec_in!L10/SER_hh_num_in!L10)</f>
        <v>0</v>
      </c>
      <c r="M10" s="132">
        <f>IF(SER_hh_fec_in!M10=0,0,11630*1000*SER_hh_fec_in!M10/SER_hh_num_in!M10)</f>
        <v>0</v>
      </c>
      <c r="N10" s="132">
        <f>IF(SER_hh_fec_in!N10=0,0,11630*1000*SER_hh_fec_in!N10/SER_hh_num_in!N10)</f>
        <v>0</v>
      </c>
      <c r="O10" s="132">
        <f>IF(SER_hh_fec_in!O10=0,0,11630*1000*SER_hh_fec_in!O10/SER_hh_num_in!O10)</f>
        <v>126917.92489743432</v>
      </c>
      <c r="P10" s="132">
        <f>IF(SER_hh_fec_in!P10=0,0,11630*1000*SER_hh_fec_in!P10/SER_hh_num_in!P10)</f>
        <v>99505.43581002974</v>
      </c>
      <c r="Q10" s="132">
        <f>IF(SER_hh_fec_in!Q10=0,0,11630*1000*SER_hh_fec_in!Q10/SER_hh_num_in!Q10)</f>
        <v>160230.29592247482</v>
      </c>
      <c r="R10" s="132">
        <f>IF(SER_hh_fec_in!R10=0,0,11630*1000*SER_hh_fec_in!R10/SER_hh_num_in!R10)</f>
        <v>161264.49446853736</v>
      </c>
      <c r="S10" s="132">
        <f>IF(SER_hh_fec_in!S10=0,0,11630*1000*SER_hh_fec_in!S10/SER_hh_num_in!S10)</f>
        <v>132668.061656587</v>
      </c>
      <c r="T10" s="132">
        <f>IF(SER_hh_fec_in!T10=0,0,11630*1000*SER_hh_fec_in!T10/SER_hh_num_in!T10)</f>
        <v>124569.98350104188</v>
      </c>
      <c r="U10" s="132">
        <f>IF(SER_hh_fec_in!U10=0,0,11630*1000*SER_hh_fec_in!U10/SER_hh_num_in!U10)</f>
        <v>0</v>
      </c>
      <c r="V10" s="132">
        <f>IF(SER_hh_fec_in!V10=0,0,11630*1000*SER_hh_fec_in!V10/SER_hh_num_in!V10)</f>
        <v>0</v>
      </c>
      <c r="W10" s="132">
        <f>IF(SER_hh_fec_in!W10=0,0,11630*1000*SER_hh_fec_in!W10/SER_hh_num_in!W10)</f>
        <v>0</v>
      </c>
      <c r="X10" s="132">
        <f>IF(SER_hh_fec_in!X10=0,0,11630*1000*SER_hh_fec_in!X10/SER_hh_num_in!X10)</f>
        <v>0</v>
      </c>
      <c r="Y10" s="132">
        <f>IF(SER_hh_fec_in!Y10=0,0,11630*1000*SER_hh_fec_in!Y10/SER_hh_num_in!Y10)</f>
        <v>0</v>
      </c>
      <c r="DA10" s="156" t="s">
        <v>731</v>
      </c>
    </row>
    <row r="11" spans="1:105" ht="12" customHeight="1" x14ac:dyDescent="0.25">
      <c r="A11" s="131" t="s">
        <v>25</v>
      </c>
      <c r="B11" s="132"/>
      <c r="C11" s="132">
        <f>IF(SER_hh_fec_in!C11=0,0,11630*1000*SER_hh_fec_in!C11/SER_hh_num_in!C11)</f>
        <v>94204.665256571185</v>
      </c>
      <c r="D11" s="132">
        <f>IF(SER_hh_fec_in!D11=0,0,11630*1000*SER_hh_fec_in!D11/SER_hh_num_in!D11)</f>
        <v>173548.9743160473</v>
      </c>
      <c r="E11" s="132">
        <f>IF(SER_hh_fec_in!E11=0,0,11630*1000*SER_hh_fec_in!E11/SER_hh_num_in!E11)</f>
        <v>206163.03075310367</v>
      </c>
      <c r="F11" s="132">
        <f>IF(SER_hh_fec_in!F11=0,0,11630*1000*SER_hh_fec_in!F11/SER_hh_num_in!F11)</f>
        <v>0</v>
      </c>
      <c r="G11" s="132">
        <f>IF(SER_hh_fec_in!G11=0,0,11630*1000*SER_hh_fec_in!G11/SER_hh_num_in!G11)</f>
        <v>0</v>
      </c>
      <c r="H11" s="132">
        <f>IF(SER_hh_fec_in!H11=0,0,11630*1000*SER_hh_fec_in!H11/SER_hh_num_in!H11)</f>
        <v>0</v>
      </c>
      <c r="I11" s="132">
        <f>IF(SER_hh_fec_in!I11=0,0,11630*1000*SER_hh_fec_in!I11/SER_hh_num_in!I11)</f>
        <v>164155.63144734947</v>
      </c>
      <c r="J11" s="132">
        <f>IF(SER_hh_fec_in!J11=0,0,11630*1000*SER_hh_fec_in!J11/SER_hh_num_in!J11)</f>
        <v>251807.46308691491</v>
      </c>
      <c r="K11" s="132">
        <f>IF(SER_hh_fec_in!K11=0,0,11630*1000*SER_hh_fec_in!K11/SER_hh_num_in!K11)</f>
        <v>210143.01595684481</v>
      </c>
      <c r="L11" s="132">
        <f>IF(SER_hh_fec_in!L11=0,0,11630*1000*SER_hh_fec_in!L11/SER_hh_num_in!L11)</f>
        <v>0</v>
      </c>
      <c r="M11" s="132">
        <f>IF(SER_hh_fec_in!M11=0,0,11630*1000*SER_hh_fec_in!M11/SER_hh_num_in!M11)</f>
        <v>134120.80906921704</v>
      </c>
      <c r="N11" s="132">
        <f>IF(SER_hh_fec_in!N11=0,0,11630*1000*SER_hh_fec_in!N11/SER_hh_num_in!N11)</f>
        <v>109396.85855391419</v>
      </c>
      <c r="O11" s="132">
        <f>IF(SER_hh_fec_in!O11=0,0,11630*1000*SER_hh_fec_in!O11/SER_hh_num_in!O11)</f>
        <v>116835.38180734751</v>
      </c>
      <c r="P11" s="132">
        <f>IF(SER_hh_fec_in!P11=0,0,11630*1000*SER_hh_fec_in!P11/SER_hh_num_in!P11)</f>
        <v>105401.39099236327</v>
      </c>
      <c r="Q11" s="132">
        <f>IF(SER_hh_fec_in!Q11=0,0,11630*1000*SER_hh_fec_in!Q11/SER_hh_num_in!Q11)</f>
        <v>87444.599428488393</v>
      </c>
      <c r="R11" s="132">
        <f>IF(SER_hh_fec_in!R11=0,0,11630*1000*SER_hh_fec_in!R11/SER_hh_num_in!R11)</f>
        <v>91077.725427639904</v>
      </c>
      <c r="S11" s="132">
        <f>IF(SER_hh_fec_in!S11=0,0,11630*1000*SER_hh_fec_in!S11/SER_hh_num_in!S11)</f>
        <v>93606.445334105651</v>
      </c>
      <c r="T11" s="132">
        <f>IF(SER_hh_fec_in!T11=0,0,11630*1000*SER_hh_fec_in!T11/SER_hh_num_in!T11)</f>
        <v>0</v>
      </c>
      <c r="U11" s="132">
        <f>IF(SER_hh_fec_in!U11=0,0,11630*1000*SER_hh_fec_in!U11/SER_hh_num_in!U11)</f>
        <v>0</v>
      </c>
      <c r="V11" s="132">
        <f>IF(SER_hh_fec_in!V11=0,0,11630*1000*SER_hh_fec_in!V11/SER_hh_num_in!V11)</f>
        <v>0</v>
      </c>
      <c r="W11" s="132">
        <f>IF(SER_hh_fec_in!W11=0,0,11630*1000*SER_hh_fec_in!W11/SER_hh_num_in!W11)</f>
        <v>0</v>
      </c>
      <c r="X11" s="132">
        <f>IF(SER_hh_fec_in!X11=0,0,11630*1000*SER_hh_fec_in!X11/SER_hh_num_in!X11)</f>
        <v>0</v>
      </c>
      <c r="Y11" s="132">
        <f>IF(SER_hh_fec_in!Y11=0,0,11630*1000*SER_hh_fec_in!Y11/SER_hh_num_in!Y11)</f>
        <v>0</v>
      </c>
      <c r="DA11" s="156" t="s">
        <v>732</v>
      </c>
    </row>
    <row r="12" spans="1:105" ht="12" customHeight="1" x14ac:dyDescent="0.25">
      <c r="A12" s="131" t="s">
        <v>162</v>
      </c>
      <c r="B12" s="132"/>
      <c r="C12" s="132">
        <f>IF(SER_hh_fec_in!C12=0,0,11630*1000*SER_hh_fec_in!C12/SER_hh_num_in!C12)</f>
        <v>0</v>
      </c>
      <c r="D12" s="132">
        <f>IF(SER_hh_fec_in!D12=0,0,11630*1000*SER_hh_fec_in!D12/SER_hh_num_in!D12)</f>
        <v>0</v>
      </c>
      <c r="E12" s="132">
        <f>IF(SER_hh_fec_in!E12=0,0,11630*1000*SER_hh_fec_in!E12/SER_hh_num_in!E12)</f>
        <v>0</v>
      </c>
      <c r="F12" s="132">
        <f>IF(SER_hh_fec_in!F12=0,0,11630*1000*SER_hh_fec_in!F12/SER_hh_num_in!F12)</f>
        <v>0</v>
      </c>
      <c r="G12" s="132">
        <f>IF(SER_hh_fec_in!G12=0,0,11630*1000*SER_hh_fec_in!G12/SER_hh_num_in!G12)</f>
        <v>338224.48916917993</v>
      </c>
      <c r="H12" s="132">
        <f>IF(SER_hh_fec_in!H12=0,0,11630*1000*SER_hh_fec_in!H12/SER_hh_num_in!H12)</f>
        <v>268047.76632171654</v>
      </c>
      <c r="I12" s="132">
        <f>IF(SER_hh_fec_in!I12=0,0,11630*1000*SER_hh_fec_in!I12/SER_hh_num_in!I12)</f>
        <v>217957.65129183128</v>
      </c>
      <c r="J12" s="132">
        <f>IF(SER_hh_fec_in!J12=0,0,11630*1000*SER_hh_fec_in!J12/SER_hh_num_in!J12)</f>
        <v>209174.64139236571</v>
      </c>
      <c r="K12" s="132">
        <f>IF(SER_hh_fec_in!K12=0,0,11630*1000*SER_hh_fec_in!K12/SER_hh_num_in!K12)</f>
        <v>155824.82714194705</v>
      </c>
      <c r="L12" s="132">
        <f>IF(SER_hh_fec_in!L12=0,0,11630*1000*SER_hh_fec_in!L12/SER_hh_num_in!L12)</f>
        <v>158068.64030988421</v>
      </c>
      <c r="M12" s="132">
        <f>IF(SER_hh_fec_in!M12=0,0,11630*1000*SER_hh_fec_in!M12/SER_hh_num_in!M12)</f>
        <v>146119.892160388</v>
      </c>
      <c r="N12" s="132">
        <f>IF(SER_hh_fec_in!N12=0,0,11630*1000*SER_hh_fec_in!N12/SER_hh_num_in!N12)</f>
        <v>135749.3168247421</v>
      </c>
      <c r="O12" s="132">
        <f>IF(SER_hh_fec_in!O12=0,0,11630*1000*SER_hh_fec_in!O12/SER_hh_num_in!O12)</f>
        <v>118858.36114664772</v>
      </c>
      <c r="P12" s="132">
        <f>IF(SER_hh_fec_in!P12=0,0,11630*1000*SER_hh_fec_in!P12/SER_hh_num_in!P12)</f>
        <v>92487.575285467145</v>
      </c>
      <c r="Q12" s="132">
        <f>IF(SER_hh_fec_in!Q12=0,0,11630*1000*SER_hh_fec_in!Q12/SER_hh_num_in!Q12)</f>
        <v>86910.107542184473</v>
      </c>
      <c r="R12" s="132">
        <f>IF(SER_hh_fec_in!R12=0,0,11630*1000*SER_hh_fec_in!R12/SER_hh_num_in!R12)</f>
        <v>88087.588068046462</v>
      </c>
      <c r="S12" s="132">
        <f>IF(SER_hh_fec_in!S12=0,0,11630*1000*SER_hh_fec_in!S12/SER_hh_num_in!S12)</f>
        <v>0</v>
      </c>
      <c r="T12" s="132">
        <f>IF(SER_hh_fec_in!T12=0,0,11630*1000*SER_hh_fec_in!T12/SER_hh_num_in!T12)</f>
        <v>0</v>
      </c>
      <c r="U12" s="132">
        <f>IF(SER_hh_fec_in!U12=0,0,11630*1000*SER_hh_fec_in!U12/SER_hh_num_in!U12)</f>
        <v>0</v>
      </c>
      <c r="V12" s="132">
        <f>IF(SER_hh_fec_in!V12=0,0,11630*1000*SER_hh_fec_in!V12/SER_hh_num_in!V12)</f>
        <v>60698.554599012416</v>
      </c>
      <c r="W12" s="132">
        <f>IF(SER_hh_fec_in!W12=0,0,11630*1000*SER_hh_fec_in!W12/SER_hh_num_in!W12)</f>
        <v>56326.582168962334</v>
      </c>
      <c r="X12" s="132">
        <f>IF(SER_hh_fec_in!X12=0,0,11630*1000*SER_hh_fec_in!X12/SER_hh_num_in!X12)</f>
        <v>43063.485534744061</v>
      </c>
      <c r="Y12" s="132">
        <f>IF(SER_hh_fec_in!Y12=0,0,11630*1000*SER_hh_fec_in!Y12/SER_hh_num_in!Y12)</f>
        <v>0</v>
      </c>
      <c r="DA12" s="156" t="s">
        <v>733</v>
      </c>
    </row>
    <row r="13" spans="1:105" ht="12" customHeight="1" x14ac:dyDescent="0.25">
      <c r="A13" s="131" t="s">
        <v>77</v>
      </c>
      <c r="B13" s="132"/>
      <c r="C13" s="132">
        <f>IF(SER_hh_fec_in!C13=0,0,11630*1000*SER_hh_fec_in!C13/SER_hh_num_in!C13)</f>
        <v>0</v>
      </c>
      <c r="D13" s="132">
        <f>IF(SER_hh_fec_in!D13=0,0,11630*1000*SER_hh_fec_in!D13/SER_hh_num_in!D13)</f>
        <v>0</v>
      </c>
      <c r="E13" s="132">
        <f>IF(SER_hh_fec_in!E13=0,0,11630*1000*SER_hh_fec_in!E13/SER_hh_num_in!E13)</f>
        <v>0</v>
      </c>
      <c r="F13" s="132">
        <f>IF(SER_hh_fec_in!F13=0,0,11630*1000*SER_hh_fec_in!F13/SER_hh_num_in!F13)</f>
        <v>0</v>
      </c>
      <c r="G13" s="132">
        <f>IF(SER_hh_fec_in!G13=0,0,11630*1000*SER_hh_fec_in!G13/SER_hh_num_in!G13)</f>
        <v>0</v>
      </c>
      <c r="H13" s="132">
        <f>IF(SER_hh_fec_in!H13=0,0,11630*1000*SER_hh_fec_in!H13/SER_hh_num_in!H13)</f>
        <v>0</v>
      </c>
      <c r="I13" s="132">
        <f>IF(SER_hh_fec_in!I13=0,0,11630*1000*SER_hh_fec_in!I13/SER_hh_num_in!I13)</f>
        <v>0</v>
      </c>
      <c r="J13" s="132">
        <f>IF(SER_hh_fec_in!J13=0,0,11630*1000*SER_hh_fec_in!J13/SER_hh_num_in!J13)</f>
        <v>0</v>
      </c>
      <c r="K13" s="132">
        <f>IF(SER_hh_fec_in!K13=0,0,11630*1000*SER_hh_fec_in!K13/SER_hh_num_in!K13)</f>
        <v>0</v>
      </c>
      <c r="L13" s="132">
        <f>IF(SER_hh_fec_in!L13=0,0,11630*1000*SER_hh_fec_in!L13/SER_hh_num_in!L13)</f>
        <v>0</v>
      </c>
      <c r="M13" s="132">
        <f>IF(SER_hh_fec_in!M13=0,0,11630*1000*SER_hh_fec_in!M13/SER_hh_num_in!M13)</f>
        <v>0</v>
      </c>
      <c r="N13" s="132">
        <f>IF(SER_hh_fec_in!N13=0,0,11630*1000*SER_hh_fec_in!N13/SER_hh_num_in!N13)</f>
        <v>0</v>
      </c>
      <c r="O13" s="132">
        <f>IF(SER_hh_fec_in!O13=0,0,11630*1000*SER_hh_fec_in!O13/SER_hh_num_in!O13)</f>
        <v>0</v>
      </c>
      <c r="P13" s="132">
        <f>IF(SER_hh_fec_in!P13=0,0,11630*1000*SER_hh_fec_in!P13/SER_hh_num_in!P13)</f>
        <v>0</v>
      </c>
      <c r="Q13" s="132">
        <f>IF(SER_hh_fec_in!Q13=0,0,11630*1000*SER_hh_fec_in!Q13/SER_hh_num_in!Q13)</f>
        <v>0</v>
      </c>
      <c r="R13" s="132">
        <f>IF(SER_hh_fec_in!R13=0,0,11630*1000*SER_hh_fec_in!R13/SER_hh_num_in!R13)</f>
        <v>0</v>
      </c>
      <c r="S13" s="132">
        <f>IF(SER_hh_fec_in!S13=0,0,11630*1000*SER_hh_fec_in!S13/SER_hh_num_in!S13)</f>
        <v>0</v>
      </c>
      <c r="T13" s="132">
        <f>IF(SER_hh_fec_in!T13=0,0,11630*1000*SER_hh_fec_in!T13/SER_hh_num_in!T13)</f>
        <v>0</v>
      </c>
      <c r="U13" s="132">
        <f>IF(SER_hh_fec_in!U13=0,0,11630*1000*SER_hh_fec_in!U13/SER_hh_num_in!U13)</f>
        <v>0</v>
      </c>
      <c r="V13" s="132">
        <f>IF(SER_hh_fec_in!V13=0,0,11630*1000*SER_hh_fec_in!V13/SER_hh_num_in!V13)</f>
        <v>0</v>
      </c>
      <c r="W13" s="132">
        <f>IF(SER_hh_fec_in!W13=0,0,11630*1000*SER_hh_fec_in!W13/SER_hh_num_in!W13)</f>
        <v>0</v>
      </c>
      <c r="X13" s="132">
        <f>IF(SER_hh_fec_in!X13=0,0,11630*1000*SER_hh_fec_in!X13/SER_hh_num_in!X13)</f>
        <v>0</v>
      </c>
      <c r="Y13" s="132">
        <f>IF(SER_hh_fec_in!Y13=0,0,11630*1000*SER_hh_fec_in!Y13/SER_hh_num_in!Y13)</f>
        <v>23675.733051428124</v>
      </c>
      <c r="DA13" s="156" t="s">
        <v>734</v>
      </c>
    </row>
    <row r="14" spans="1:105" ht="12" customHeight="1" x14ac:dyDescent="0.25">
      <c r="A14" s="60" t="s">
        <v>76</v>
      </c>
      <c r="B14" s="65"/>
      <c r="C14" s="65">
        <f>IF(SER_hh_fec_in!C14=0,0,11630*1000*SER_hh_fec_in!C14/SER_hh_num_in!C14)</f>
        <v>0</v>
      </c>
      <c r="D14" s="65">
        <f>IF(SER_hh_fec_in!D14=0,0,11630*1000*SER_hh_fec_in!D14/SER_hh_num_in!D14)</f>
        <v>0</v>
      </c>
      <c r="E14" s="65">
        <f>IF(SER_hh_fec_in!E14=0,0,11630*1000*SER_hh_fec_in!E14/SER_hh_num_in!E14)</f>
        <v>0</v>
      </c>
      <c r="F14" s="65">
        <f>IF(SER_hh_fec_in!F14=0,0,11630*1000*SER_hh_fec_in!F14/SER_hh_num_in!F14)</f>
        <v>0</v>
      </c>
      <c r="G14" s="65">
        <f>IF(SER_hh_fec_in!G14=0,0,11630*1000*SER_hh_fec_in!G14/SER_hh_num_in!G14)</f>
        <v>233937.51204267502</v>
      </c>
      <c r="H14" s="65">
        <f>IF(SER_hh_fec_in!H14=0,0,11630*1000*SER_hh_fec_in!H14/SER_hh_num_in!H14)</f>
        <v>255965.45064255127</v>
      </c>
      <c r="I14" s="65">
        <f>IF(SER_hh_fec_in!I14=0,0,11630*1000*SER_hh_fec_in!I14/SER_hh_num_in!I14)</f>
        <v>345589.66437564755</v>
      </c>
      <c r="J14" s="65">
        <f>IF(SER_hh_fec_in!J14=0,0,11630*1000*SER_hh_fec_in!J14/SER_hh_num_in!J14)</f>
        <v>177953.45318340047</v>
      </c>
      <c r="K14" s="65">
        <f>IF(SER_hh_fec_in!K14=0,0,11630*1000*SER_hh_fec_in!K14/SER_hh_num_in!K14)</f>
        <v>144395.76974343762</v>
      </c>
      <c r="L14" s="65">
        <f>IF(SER_hh_fec_in!L14=0,0,11630*1000*SER_hh_fec_in!L14/SER_hh_num_in!L14)</f>
        <v>237246.7503066168</v>
      </c>
      <c r="M14" s="65">
        <f>IF(SER_hh_fec_in!M14=0,0,11630*1000*SER_hh_fec_in!M14/SER_hh_num_in!M14)</f>
        <v>188610.29435082592</v>
      </c>
      <c r="N14" s="65">
        <f>IF(SER_hh_fec_in!N14=0,0,11630*1000*SER_hh_fec_in!N14/SER_hh_num_in!N14)</f>
        <v>0</v>
      </c>
      <c r="O14" s="65">
        <f>IF(SER_hh_fec_in!O14=0,0,11630*1000*SER_hh_fec_in!O14/SER_hh_num_in!O14)</f>
        <v>0</v>
      </c>
      <c r="P14" s="65">
        <f>IF(SER_hh_fec_in!P14=0,0,11630*1000*SER_hh_fec_in!P14/SER_hh_num_in!P14)</f>
        <v>0</v>
      </c>
      <c r="Q14" s="65">
        <f>IF(SER_hh_fec_in!Q14=0,0,11630*1000*SER_hh_fec_in!Q14/SER_hh_num_in!Q14)</f>
        <v>0</v>
      </c>
      <c r="R14" s="65">
        <f>IF(SER_hh_fec_in!R14=0,0,11630*1000*SER_hh_fec_in!R14/SER_hh_num_in!R14)</f>
        <v>0</v>
      </c>
      <c r="S14" s="65">
        <f>IF(SER_hh_fec_in!S14=0,0,11630*1000*SER_hh_fec_in!S14/SER_hh_num_in!S14)</f>
        <v>0</v>
      </c>
      <c r="T14" s="65">
        <f>IF(SER_hh_fec_in!T14=0,0,11630*1000*SER_hh_fec_in!T14/SER_hh_num_in!T14)</f>
        <v>0</v>
      </c>
      <c r="U14" s="65">
        <f>IF(SER_hh_fec_in!U14=0,0,11630*1000*SER_hh_fec_in!U14/SER_hh_num_in!U14)</f>
        <v>0</v>
      </c>
      <c r="V14" s="65">
        <f>IF(SER_hh_fec_in!V14=0,0,11630*1000*SER_hh_fec_in!V14/SER_hh_num_in!V14)</f>
        <v>49169.04885497885</v>
      </c>
      <c r="W14" s="65">
        <f>IF(SER_hh_fec_in!W14=0,0,11630*1000*SER_hh_fec_in!W14/SER_hh_num_in!W14)</f>
        <v>36757.417317621497</v>
      </c>
      <c r="X14" s="65">
        <f>IF(SER_hh_fec_in!X14=0,0,11630*1000*SER_hh_fec_in!X14/SER_hh_num_in!X14)</f>
        <v>48613.89141889687</v>
      </c>
      <c r="Y14" s="65">
        <f>IF(SER_hh_fec_in!Y14=0,0,11630*1000*SER_hh_fec_in!Y14/SER_hh_num_in!Y14)</f>
        <v>70208.942663408729</v>
      </c>
      <c r="DA14" s="109" t="s">
        <v>735</v>
      </c>
    </row>
    <row r="15" spans="1:105" ht="12" customHeight="1" x14ac:dyDescent="0.25">
      <c r="A15" s="133" t="s">
        <v>80</v>
      </c>
      <c r="B15" s="134"/>
      <c r="C15" s="134">
        <f>IF(SER_hh_fec_in!C15=0,0,11630*1000*SER_hh_fec_in!C15/SER_hh_num_in!C15)</f>
        <v>2455.5315964039828</v>
      </c>
      <c r="D15" s="134">
        <f>IF(SER_hh_fec_in!D15=0,0,11630*1000*SER_hh_fec_in!D15/SER_hh_num_in!D15)</f>
        <v>1667.1943494155698</v>
      </c>
      <c r="E15" s="134">
        <f>IF(SER_hh_fec_in!E15=0,0,11630*1000*SER_hh_fec_in!E15/SER_hh_num_in!E15)</f>
        <v>2805.3007558406625</v>
      </c>
      <c r="F15" s="134">
        <f>IF(SER_hh_fec_in!F15=0,0,11630*1000*SER_hh_fec_in!F15/SER_hh_num_in!F15)</f>
        <v>3008.5283930420715</v>
      </c>
      <c r="G15" s="134">
        <f>IF(SER_hh_fec_in!G15=0,0,11630*1000*SER_hh_fec_in!G15/SER_hh_num_in!G15)</f>
        <v>2486.7687196037464</v>
      </c>
      <c r="H15" s="134">
        <f>IF(SER_hh_fec_in!H15=0,0,11630*1000*SER_hh_fec_in!H15/SER_hh_num_in!H15)</f>
        <v>5235.2448814397585</v>
      </c>
      <c r="I15" s="134">
        <f>IF(SER_hh_fec_in!I15=0,0,11630*1000*SER_hh_fec_in!I15/SER_hh_num_in!I15)</f>
        <v>1898.7693359445068</v>
      </c>
      <c r="J15" s="134">
        <f>IF(SER_hh_fec_in!J15=0,0,11630*1000*SER_hh_fec_in!J15/SER_hh_num_in!J15)</f>
        <v>1298.6348989588957</v>
      </c>
      <c r="K15" s="134">
        <f>IF(SER_hh_fec_in!K15=0,0,11630*1000*SER_hh_fec_in!K15/SER_hh_num_in!K15)</f>
        <v>1352.8013838879094</v>
      </c>
      <c r="L15" s="134">
        <f>IF(SER_hh_fec_in!L15=0,0,11630*1000*SER_hh_fec_in!L15/SER_hh_num_in!L15)</f>
        <v>1294.592611217452</v>
      </c>
      <c r="M15" s="134">
        <f>IF(SER_hh_fec_in!M15=0,0,11630*1000*SER_hh_fec_in!M15/SER_hh_num_in!M15)</f>
        <v>1367.656609924692</v>
      </c>
      <c r="N15" s="134">
        <f>IF(SER_hh_fec_in!N15=0,0,11630*1000*SER_hh_fec_in!N15/SER_hh_num_in!N15)</f>
        <v>1136.5606750115817</v>
      </c>
      <c r="O15" s="134">
        <f>IF(SER_hh_fec_in!O15=0,0,11630*1000*SER_hh_fec_in!O15/SER_hh_num_in!O15)</f>
        <v>1162.7526394569081</v>
      </c>
      <c r="P15" s="134">
        <f>IF(SER_hh_fec_in!P15=0,0,11630*1000*SER_hh_fec_in!P15/SER_hh_num_in!P15)</f>
        <v>1108.3231324422179</v>
      </c>
      <c r="Q15" s="134">
        <f>IF(SER_hh_fec_in!Q15=0,0,11630*1000*SER_hh_fec_in!Q15/SER_hh_num_in!Q15)</f>
        <v>978.95967188314978</v>
      </c>
      <c r="R15" s="134">
        <f>IF(SER_hh_fec_in!R15=0,0,11630*1000*SER_hh_fec_in!R15/SER_hh_num_in!R15)</f>
        <v>954.62953863745065</v>
      </c>
      <c r="S15" s="134">
        <f>IF(SER_hh_fec_in!S15=0,0,11630*1000*SER_hh_fec_in!S15/SER_hh_num_in!S15)</f>
        <v>1081.4083592481234</v>
      </c>
      <c r="T15" s="134">
        <f>IF(SER_hh_fec_in!T15=0,0,11630*1000*SER_hh_fec_in!T15/SER_hh_num_in!T15)</f>
        <v>1093.9120900717132</v>
      </c>
      <c r="U15" s="134">
        <f>IF(SER_hh_fec_in!U15=0,0,11630*1000*SER_hh_fec_in!U15/SER_hh_num_in!U15)</f>
        <v>991.7953225566863</v>
      </c>
      <c r="V15" s="134">
        <f>IF(SER_hh_fec_in!V15=0,0,11630*1000*SER_hh_fec_in!V15/SER_hh_num_in!V15)</f>
        <v>770.0887542450389</v>
      </c>
      <c r="W15" s="134">
        <f>IF(SER_hh_fec_in!W15=0,0,11630*1000*SER_hh_fec_in!W15/SER_hh_num_in!W15)</f>
        <v>780.3097136846435</v>
      </c>
      <c r="X15" s="134">
        <f>IF(SER_hh_fec_in!X15=0,0,11630*1000*SER_hh_fec_in!X15/SER_hh_num_in!X15)</f>
        <v>618.07785558254204</v>
      </c>
      <c r="Y15" s="134">
        <f>IF(SER_hh_fec_in!Y15=0,0,11630*1000*SER_hh_fec_in!Y15/SER_hh_num_in!Y15)</f>
        <v>779.74364767208567</v>
      </c>
      <c r="DA15" s="157" t="s">
        <v>736</v>
      </c>
    </row>
    <row r="16" spans="1:105" ht="12.95" customHeight="1" x14ac:dyDescent="0.25">
      <c r="A16" s="129" t="s">
        <v>74</v>
      </c>
      <c r="B16" s="130"/>
      <c r="C16" s="130">
        <f>IF(SER_hh_fec_in!C16=0,0,11630*1000*SER_hh_fec_in!C16/SER_hh_num_in!C16)</f>
        <v>13242.123953707585</v>
      </c>
      <c r="D16" s="130">
        <f>IF(SER_hh_fec_in!D16=0,0,11630*1000*SER_hh_fec_in!D16/SER_hh_num_in!D16)</f>
        <v>12163.205668322629</v>
      </c>
      <c r="E16" s="130">
        <f>IF(SER_hh_fec_in!E16=0,0,11630*1000*SER_hh_fec_in!E16/SER_hh_num_in!E16)</f>
        <v>11796.799663543608</v>
      </c>
      <c r="F16" s="130">
        <f>IF(SER_hh_fec_in!F16=0,0,11630*1000*SER_hh_fec_in!F16/SER_hh_num_in!F16)</f>
        <v>9897.477523657546</v>
      </c>
      <c r="G16" s="130">
        <f>IF(SER_hh_fec_in!G16=0,0,11630*1000*SER_hh_fec_in!G16/SER_hh_num_in!G16)</f>
        <v>9577.7949266553296</v>
      </c>
      <c r="H16" s="130">
        <f>IF(SER_hh_fec_in!H16=0,0,11630*1000*SER_hh_fec_in!H16/SER_hh_num_in!H16)</f>
        <v>9851.5087792540417</v>
      </c>
      <c r="I16" s="130">
        <f>IF(SER_hh_fec_in!I16=0,0,11630*1000*SER_hh_fec_in!I16/SER_hh_num_in!I16)</f>
        <v>12554.338233950939</v>
      </c>
      <c r="J16" s="130">
        <f>IF(SER_hh_fec_in!J16=0,0,11630*1000*SER_hh_fec_in!J16/SER_hh_num_in!J16)</f>
        <v>9554.4232232162267</v>
      </c>
      <c r="K16" s="130">
        <f>IF(SER_hh_fec_in!K16=0,0,11630*1000*SER_hh_fec_in!K16/SER_hh_num_in!K16)</f>
        <v>8726.1779527569543</v>
      </c>
      <c r="L16" s="130">
        <f>IF(SER_hh_fec_in!L16=0,0,11630*1000*SER_hh_fec_in!L16/SER_hh_num_in!L16)</f>
        <v>9905.6846254619904</v>
      </c>
      <c r="M16" s="130">
        <f>IF(SER_hh_fec_in!M16=0,0,11630*1000*SER_hh_fec_in!M16/SER_hh_num_in!M16)</f>
        <v>8161.0516007195774</v>
      </c>
      <c r="N16" s="130">
        <f>IF(SER_hh_fec_in!N16=0,0,11630*1000*SER_hh_fec_in!N16/SER_hh_num_in!N16)</f>
        <v>11864.991280738675</v>
      </c>
      <c r="O16" s="130">
        <f>IF(SER_hh_fec_in!O16=0,0,11630*1000*SER_hh_fec_in!O16/SER_hh_num_in!O16)</f>
        <v>7675.8021557034835</v>
      </c>
      <c r="P16" s="130">
        <f>IF(SER_hh_fec_in!P16=0,0,11630*1000*SER_hh_fec_in!P16/SER_hh_num_in!P16)</f>
        <v>6860.7210275997204</v>
      </c>
      <c r="Q16" s="130">
        <f>IF(SER_hh_fec_in!Q16=0,0,11630*1000*SER_hh_fec_in!Q16/SER_hh_num_in!Q16)</f>
        <v>8644.0465232934039</v>
      </c>
      <c r="R16" s="130">
        <f>IF(SER_hh_fec_in!R16=0,0,11630*1000*SER_hh_fec_in!R16/SER_hh_num_in!R16)</f>
        <v>7072.7460922908467</v>
      </c>
      <c r="S16" s="130">
        <f>IF(SER_hh_fec_in!S16=0,0,11630*1000*SER_hh_fec_in!S16/SER_hh_num_in!S16)</f>
        <v>7415.477754591011</v>
      </c>
      <c r="T16" s="130">
        <f>IF(SER_hh_fec_in!T16=0,0,11630*1000*SER_hh_fec_in!T16/SER_hh_num_in!T16)</f>
        <v>6342.379312236948</v>
      </c>
      <c r="U16" s="130">
        <f>IF(SER_hh_fec_in!U16=0,0,11630*1000*SER_hh_fec_in!U16/SER_hh_num_in!U16)</f>
        <v>6959.2818590340548</v>
      </c>
      <c r="V16" s="130">
        <f>IF(SER_hh_fec_in!V16=0,0,11630*1000*SER_hh_fec_in!V16/SER_hh_num_in!V16)</f>
        <v>6039.1808911302787</v>
      </c>
      <c r="W16" s="130">
        <f>IF(SER_hh_fec_in!W16=0,0,11630*1000*SER_hh_fec_in!W16/SER_hh_num_in!W16)</f>
        <v>6456.5299608614214</v>
      </c>
      <c r="X16" s="130">
        <f>IF(SER_hh_fec_in!X16=0,0,11630*1000*SER_hh_fec_in!X16/SER_hh_num_in!X16)</f>
        <v>6274.2181655290187</v>
      </c>
      <c r="Y16" s="130">
        <f>IF(SER_hh_fec_in!Y16=0,0,11630*1000*SER_hh_fec_in!Y16/SER_hh_num_in!Y16)</f>
        <v>6881.9226422242009</v>
      </c>
      <c r="DA16" s="155" t="s">
        <v>737</v>
      </c>
    </row>
    <row r="17" spans="1:105" ht="12.95" customHeight="1" x14ac:dyDescent="0.25">
      <c r="A17" s="131" t="s">
        <v>73</v>
      </c>
      <c r="B17" s="132"/>
      <c r="C17" s="132">
        <f>IF(SER_hh_fec_in!C17=0,0,11630*1000*SER_hh_fec_in!C17/SER_hh_num_in!C17)</f>
        <v>0</v>
      </c>
      <c r="D17" s="132">
        <f>IF(SER_hh_fec_in!D17=0,0,11630*1000*SER_hh_fec_in!D17/SER_hh_num_in!D17)</f>
        <v>0</v>
      </c>
      <c r="E17" s="132">
        <f>IF(SER_hh_fec_in!E17=0,0,11630*1000*SER_hh_fec_in!E17/SER_hh_num_in!E17)</f>
        <v>0</v>
      </c>
      <c r="F17" s="132">
        <f>IF(SER_hh_fec_in!F17=0,0,11630*1000*SER_hh_fec_in!F17/SER_hh_num_in!F17)</f>
        <v>0</v>
      </c>
      <c r="G17" s="132">
        <f>IF(SER_hh_fec_in!G17=0,0,11630*1000*SER_hh_fec_in!G17/SER_hh_num_in!G17)</f>
        <v>0</v>
      </c>
      <c r="H17" s="132">
        <f>IF(SER_hh_fec_in!H17=0,0,11630*1000*SER_hh_fec_in!H17/SER_hh_num_in!H17)</f>
        <v>0</v>
      </c>
      <c r="I17" s="132">
        <f>IF(SER_hh_fec_in!I17=0,0,11630*1000*SER_hh_fec_in!I17/SER_hh_num_in!I17)</f>
        <v>0</v>
      </c>
      <c r="J17" s="132">
        <f>IF(SER_hh_fec_in!J17=0,0,11630*1000*SER_hh_fec_in!J17/SER_hh_num_in!J17)</f>
        <v>0</v>
      </c>
      <c r="K17" s="132">
        <f>IF(SER_hh_fec_in!K17=0,0,11630*1000*SER_hh_fec_in!K17/SER_hh_num_in!K17)</f>
        <v>0</v>
      </c>
      <c r="L17" s="132">
        <f>IF(SER_hh_fec_in!L17=0,0,11630*1000*SER_hh_fec_in!L17/SER_hh_num_in!L17)</f>
        <v>0</v>
      </c>
      <c r="M17" s="132">
        <f>IF(SER_hh_fec_in!M17=0,0,11630*1000*SER_hh_fec_in!M17/SER_hh_num_in!M17)</f>
        <v>0</v>
      </c>
      <c r="N17" s="132">
        <f>IF(SER_hh_fec_in!N17=0,0,11630*1000*SER_hh_fec_in!N17/SER_hh_num_in!N17)</f>
        <v>0</v>
      </c>
      <c r="O17" s="132">
        <f>IF(SER_hh_fec_in!O17=0,0,11630*1000*SER_hh_fec_in!O17/SER_hh_num_in!O17)</f>
        <v>0</v>
      </c>
      <c r="P17" s="132">
        <f>IF(SER_hh_fec_in!P17=0,0,11630*1000*SER_hh_fec_in!P17/SER_hh_num_in!P17)</f>
        <v>0</v>
      </c>
      <c r="Q17" s="132">
        <f>IF(SER_hh_fec_in!Q17=0,0,11630*1000*SER_hh_fec_in!Q17/SER_hh_num_in!Q17)</f>
        <v>0</v>
      </c>
      <c r="R17" s="132">
        <f>IF(SER_hh_fec_in!R17=0,0,11630*1000*SER_hh_fec_in!R17/SER_hh_num_in!R17)</f>
        <v>0</v>
      </c>
      <c r="S17" s="132">
        <f>IF(SER_hh_fec_in!S17=0,0,11630*1000*SER_hh_fec_in!S17/SER_hh_num_in!S17)</f>
        <v>0</v>
      </c>
      <c r="T17" s="132">
        <f>IF(SER_hh_fec_in!T17=0,0,11630*1000*SER_hh_fec_in!T17/SER_hh_num_in!T17)</f>
        <v>0</v>
      </c>
      <c r="U17" s="132">
        <f>IF(SER_hh_fec_in!U17=0,0,11630*1000*SER_hh_fec_in!U17/SER_hh_num_in!U17)</f>
        <v>0</v>
      </c>
      <c r="V17" s="132">
        <f>IF(SER_hh_fec_in!V17=0,0,11630*1000*SER_hh_fec_in!V17/SER_hh_num_in!V17)</f>
        <v>0</v>
      </c>
      <c r="W17" s="132">
        <f>IF(SER_hh_fec_in!W17=0,0,11630*1000*SER_hh_fec_in!W17/SER_hh_num_in!W17)</f>
        <v>0</v>
      </c>
      <c r="X17" s="132">
        <f>IF(SER_hh_fec_in!X17=0,0,11630*1000*SER_hh_fec_in!X17/SER_hh_num_in!X17)</f>
        <v>0</v>
      </c>
      <c r="Y17" s="132">
        <f>IF(SER_hh_fec_in!Y17=0,0,11630*1000*SER_hh_fec_in!Y17/SER_hh_num_in!Y17)</f>
        <v>0</v>
      </c>
      <c r="DA17" s="156" t="s">
        <v>738</v>
      </c>
    </row>
    <row r="18" spans="1:105" ht="12" customHeight="1" x14ac:dyDescent="0.25">
      <c r="A18" s="131" t="s">
        <v>72</v>
      </c>
      <c r="B18" s="132"/>
      <c r="C18" s="132">
        <f>IF(SER_hh_fec_in!C18=0,0,11630*1000*SER_hh_fec_in!C18/SER_hh_num_in!C18)</f>
        <v>13242.123953707585</v>
      </c>
      <c r="D18" s="132">
        <f>IF(SER_hh_fec_in!D18=0,0,11630*1000*SER_hh_fec_in!D18/SER_hh_num_in!D18)</f>
        <v>12163.205668322629</v>
      </c>
      <c r="E18" s="132">
        <f>IF(SER_hh_fec_in!E18=0,0,11630*1000*SER_hh_fec_in!E18/SER_hh_num_in!E18)</f>
        <v>11796.799663543608</v>
      </c>
      <c r="F18" s="132">
        <f>IF(SER_hh_fec_in!F18=0,0,11630*1000*SER_hh_fec_in!F18/SER_hh_num_in!F18)</f>
        <v>9897.477523657546</v>
      </c>
      <c r="G18" s="132">
        <f>IF(SER_hh_fec_in!G18=0,0,11630*1000*SER_hh_fec_in!G18/SER_hh_num_in!G18)</f>
        <v>9577.7949266553296</v>
      </c>
      <c r="H18" s="132">
        <f>IF(SER_hh_fec_in!H18=0,0,11630*1000*SER_hh_fec_in!H18/SER_hh_num_in!H18)</f>
        <v>9851.5087792540417</v>
      </c>
      <c r="I18" s="132">
        <f>IF(SER_hh_fec_in!I18=0,0,11630*1000*SER_hh_fec_in!I18/SER_hh_num_in!I18)</f>
        <v>12554.338233950939</v>
      </c>
      <c r="J18" s="132">
        <f>IF(SER_hh_fec_in!J18=0,0,11630*1000*SER_hh_fec_in!J18/SER_hh_num_in!J18)</f>
        <v>9554.4232232162267</v>
      </c>
      <c r="K18" s="132">
        <f>IF(SER_hh_fec_in!K18=0,0,11630*1000*SER_hh_fec_in!K18/SER_hh_num_in!K18)</f>
        <v>8726.1779527569543</v>
      </c>
      <c r="L18" s="132">
        <f>IF(SER_hh_fec_in!L18=0,0,11630*1000*SER_hh_fec_in!L18/SER_hh_num_in!L18)</f>
        <v>9905.6846254619904</v>
      </c>
      <c r="M18" s="132">
        <f>IF(SER_hh_fec_in!M18=0,0,11630*1000*SER_hh_fec_in!M18/SER_hh_num_in!M18)</f>
        <v>8161.0516007195774</v>
      </c>
      <c r="N18" s="132">
        <f>IF(SER_hh_fec_in!N18=0,0,11630*1000*SER_hh_fec_in!N18/SER_hh_num_in!N18)</f>
        <v>11864.991280738675</v>
      </c>
      <c r="O18" s="132">
        <f>IF(SER_hh_fec_in!O18=0,0,11630*1000*SER_hh_fec_in!O18/SER_hh_num_in!O18)</f>
        <v>7675.8021557034835</v>
      </c>
      <c r="P18" s="132">
        <f>IF(SER_hh_fec_in!P18=0,0,11630*1000*SER_hh_fec_in!P18/SER_hh_num_in!P18)</f>
        <v>6860.7210275997204</v>
      </c>
      <c r="Q18" s="132">
        <f>IF(SER_hh_fec_in!Q18=0,0,11630*1000*SER_hh_fec_in!Q18/SER_hh_num_in!Q18)</f>
        <v>8644.0465232934039</v>
      </c>
      <c r="R18" s="132">
        <f>IF(SER_hh_fec_in!R18=0,0,11630*1000*SER_hh_fec_in!R18/SER_hh_num_in!R18)</f>
        <v>7072.7460922908467</v>
      </c>
      <c r="S18" s="132">
        <f>IF(SER_hh_fec_in!S18=0,0,11630*1000*SER_hh_fec_in!S18/SER_hh_num_in!S18)</f>
        <v>7415.477754591011</v>
      </c>
      <c r="T18" s="132">
        <f>IF(SER_hh_fec_in!T18=0,0,11630*1000*SER_hh_fec_in!T18/SER_hh_num_in!T18)</f>
        <v>6342.379312236948</v>
      </c>
      <c r="U18" s="132">
        <f>IF(SER_hh_fec_in!U18=0,0,11630*1000*SER_hh_fec_in!U18/SER_hh_num_in!U18)</f>
        <v>6959.2818590340548</v>
      </c>
      <c r="V18" s="132">
        <f>IF(SER_hh_fec_in!V18=0,0,11630*1000*SER_hh_fec_in!V18/SER_hh_num_in!V18)</f>
        <v>6039.1808911302787</v>
      </c>
      <c r="W18" s="132">
        <f>IF(SER_hh_fec_in!W18=0,0,11630*1000*SER_hh_fec_in!W18/SER_hh_num_in!W18)</f>
        <v>6456.5299608614214</v>
      </c>
      <c r="X18" s="132">
        <f>IF(SER_hh_fec_in!X18=0,0,11630*1000*SER_hh_fec_in!X18/SER_hh_num_in!X18)</f>
        <v>6274.2181655290187</v>
      </c>
      <c r="Y18" s="132">
        <f>IF(SER_hh_fec_in!Y18=0,0,11630*1000*SER_hh_fec_in!Y18/SER_hh_num_in!Y18)</f>
        <v>6881.9226422242009</v>
      </c>
      <c r="DA18" s="156" t="s">
        <v>739</v>
      </c>
    </row>
    <row r="19" spans="1:105" ht="12.95" customHeight="1" x14ac:dyDescent="0.25">
      <c r="A19" s="129" t="s">
        <v>35</v>
      </c>
      <c r="B19" s="130"/>
      <c r="C19" s="130">
        <f>IF(SER_hh_fec_in!C19=0,0,11630*1000*SER_hh_fec_in!C19/SER_hh_num_in!C19)</f>
        <v>48396.864396508514</v>
      </c>
      <c r="D19" s="130">
        <f>IF(SER_hh_fec_in!D19=0,0,11630*1000*SER_hh_fec_in!D19/SER_hh_num_in!D19)</f>
        <v>22121.234162884022</v>
      </c>
      <c r="E19" s="130">
        <f>IF(SER_hh_fec_in!E19=0,0,11630*1000*SER_hh_fec_in!E19/SER_hh_num_in!E19)</f>
        <v>41757.764889034246</v>
      </c>
      <c r="F19" s="130">
        <f>IF(SER_hh_fec_in!F19=0,0,11630*1000*SER_hh_fec_in!F19/SER_hh_num_in!F19)</f>
        <v>52764.828229713145</v>
      </c>
      <c r="G19" s="130">
        <f>IF(SER_hh_fec_in!G19=0,0,11630*1000*SER_hh_fec_in!G19/SER_hh_num_in!G19)</f>
        <v>43822.438056496801</v>
      </c>
      <c r="H19" s="130">
        <f>IF(SER_hh_fec_in!H19=0,0,11630*1000*SER_hh_fec_in!H19/SER_hh_num_in!H19)</f>
        <v>46612.337906457433</v>
      </c>
      <c r="I19" s="130">
        <f>IF(SER_hh_fec_in!I19=0,0,11630*1000*SER_hh_fec_in!I19/SER_hh_num_in!I19)</f>
        <v>44909.275985545064</v>
      </c>
      <c r="J19" s="130">
        <f>IF(SER_hh_fec_in!J19=0,0,11630*1000*SER_hh_fec_in!J19/SER_hh_num_in!J19)</f>
        <v>42383.007405403681</v>
      </c>
      <c r="K19" s="130">
        <f>IF(SER_hh_fec_in!K19=0,0,11630*1000*SER_hh_fec_in!K19/SER_hh_num_in!K19)</f>
        <v>45272.727682652287</v>
      </c>
      <c r="L19" s="130">
        <f>IF(SER_hh_fec_in!L19=0,0,11630*1000*SER_hh_fec_in!L19/SER_hh_num_in!L19)</f>
        <v>42535.691680811753</v>
      </c>
      <c r="M19" s="130">
        <f>IF(SER_hh_fec_in!M19=0,0,11630*1000*SER_hh_fec_in!M19/SER_hh_num_in!M19)</f>
        <v>41402.886349949338</v>
      </c>
      <c r="N19" s="130">
        <f>IF(SER_hh_fec_in!N19=0,0,11630*1000*SER_hh_fec_in!N19/SER_hh_num_in!N19)</f>
        <v>41058.080516129143</v>
      </c>
      <c r="O19" s="130">
        <f>IF(SER_hh_fec_in!O19=0,0,11630*1000*SER_hh_fec_in!O19/SER_hh_num_in!O19)</f>
        <v>42322.968737509786</v>
      </c>
      <c r="P19" s="130">
        <f>IF(SER_hh_fec_in!P19=0,0,11630*1000*SER_hh_fec_in!P19/SER_hh_num_in!P19)</f>
        <v>40908.467085945078</v>
      </c>
      <c r="Q19" s="130">
        <f>IF(SER_hh_fec_in!Q19=0,0,11630*1000*SER_hh_fec_in!Q19/SER_hh_num_in!Q19)</f>
        <v>39574.434398293386</v>
      </c>
      <c r="R19" s="130">
        <f>IF(SER_hh_fec_in!R19=0,0,11630*1000*SER_hh_fec_in!R19/SER_hh_num_in!R19)</f>
        <v>38272.938782895835</v>
      </c>
      <c r="S19" s="130">
        <f>IF(SER_hh_fec_in!S19=0,0,11630*1000*SER_hh_fec_in!S19/SER_hh_num_in!S19)</f>
        <v>38969.872102319147</v>
      </c>
      <c r="T19" s="130">
        <f>IF(SER_hh_fec_in!T19=0,0,11630*1000*SER_hh_fec_in!T19/SER_hh_num_in!T19)</f>
        <v>36785.786865048278</v>
      </c>
      <c r="U19" s="130">
        <f>IF(SER_hh_fec_in!U19=0,0,11630*1000*SER_hh_fec_in!U19/SER_hh_num_in!U19)</f>
        <v>33968.114852271538</v>
      </c>
      <c r="V19" s="130">
        <f>IF(SER_hh_fec_in!V19=0,0,11630*1000*SER_hh_fec_in!V19/SER_hh_num_in!V19)</f>
        <v>30771.14750624814</v>
      </c>
      <c r="W19" s="130">
        <f>IF(SER_hh_fec_in!W19=0,0,11630*1000*SER_hh_fec_in!W19/SER_hh_num_in!W19)</f>
        <v>34366.767479479648</v>
      </c>
      <c r="X19" s="130">
        <f>IF(SER_hh_fec_in!X19=0,0,11630*1000*SER_hh_fec_in!X19/SER_hh_num_in!X19)</f>
        <v>31802.96929564303</v>
      </c>
      <c r="Y19" s="130">
        <f>IF(SER_hh_fec_in!Y19=0,0,11630*1000*SER_hh_fec_in!Y19/SER_hh_num_in!Y19)</f>
        <v>34195.716044409921</v>
      </c>
      <c r="DA19" s="155" t="s">
        <v>740</v>
      </c>
    </row>
    <row r="20" spans="1:105" ht="12" customHeight="1" x14ac:dyDescent="0.25">
      <c r="A20" s="131" t="s">
        <v>29</v>
      </c>
      <c r="B20" s="132"/>
      <c r="C20" s="132">
        <f>IF(SER_hh_fec_in!C20=0,0,11630*1000*SER_hh_fec_in!C20/SER_hh_num_in!C20)</f>
        <v>0</v>
      </c>
      <c r="D20" s="132">
        <f>IF(SER_hh_fec_in!D20=0,0,11630*1000*SER_hh_fec_in!D20/SER_hh_num_in!D20)</f>
        <v>0</v>
      </c>
      <c r="E20" s="132">
        <f>IF(SER_hh_fec_in!E20=0,0,11630*1000*SER_hh_fec_in!E20/SER_hh_num_in!E20)</f>
        <v>0</v>
      </c>
      <c r="F20" s="132">
        <f>IF(SER_hh_fec_in!F20=0,0,11630*1000*SER_hh_fec_in!F20/SER_hh_num_in!F20)</f>
        <v>0</v>
      </c>
      <c r="G20" s="132">
        <f>IF(SER_hh_fec_in!G20=0,0,11630*1000*SER_hh_fec_in!G20/SER_hh_num_in!G20)</f>
        <v>0</v>
      </c>
      <c r="H20" s="132">
        <f>IF(SER_hh_fec_in!H20=0,0,11630*1000*SER_hh_fec_in!H20/SER_hh_num_in!H20)</f>
        <v>0</v>
      </c>
      <c r="I20" s="132">
        <f>IF(SER_hh_fec_in!I20=0,0,11630*1000*SER_hh_fec_in!I20/SER_hh_num_in!I20)</f>
        <v>0</v>
      </c>
      <c r="J20" s="132">
        <f>IF(SER_hh_fec_in!J20=0,0,11630*1000*SER_hh_fec_in!J20/SER_hh_num_in!J20)</f>
        <v>0</v>
      </c>
      <c r="K20" s="132">
        <f>IF(SER_hh_fec_in!K20=0,0,11630*1000*SER_hh_fec_in!K20/SER_hh_num_in!K20)</f>
        <v>0</v>
      </c>
      <c r="L20" s="132">
        <f>IF(SER_hh_fec_in!L20=0,0,11630*1000*SER_hh_fec_in!L20/SER_hh_num_in!L20)</f>
        <v>0</v>
      </c>
      <c r="M20" s="132">
        <f>IF(SER_hh_fec_in!M20=0,0,11630*1000*SER_hh_fec_in!M20/SER_hh_num_in!M20)</f>
        <v>0</v>
      </c>
      <c r="N20" s="132">
        <f>IF(SER_hh_fec_in!N20=0,0,11630*1000*SER_hh_fec_in!N20/SER_hh_num_in!N20)</f>
        <v>0</v>
      </c>
      <c r="O20" s="132">
        <f>IF(SER_hh_fec_in!O20=0,0,11630*1000*SER_hh_fec_in!O20/SER_hh_num_in!O20)</f>
        <v>0</v>
      </c>
      <c r="P20" s="132">
        <f>IF(SER_hh_fec_in!P20=0,0,11630*1000*SER_hh_fec_in!P20/SER_hh_num_in!P20)</f>
        <v>0</v>
      </c>
      <c r="Q20" s="132">
        <f>IF(SER_hh_fec_in!Q20=0,0,11630*1000*SER_hh_fec_in!Q20/SER_hh_num_in!Q20)</f>
        <v>0</v>
      </c>
      <c r="R20" s="132">
        <f>IF(SER_hh_fec_in!R20=0,0,11630*1000*SER_hh_fec_in!R20/SER_hh_num_in!R20)</f>
        <v>0</v>
      </c>
      <c r="S20" s="132">
        <f>IF(SER_hh_fec_in!S20=0,0,11630*1000*SER_hh_fec_in!S20/SER_hh_num_in!S20)</f>
        <v>0</v>
      </c>
      <c r="T20" s="132">
        <f>IF(SER_hh_fec_in!T20=0,0,11630*1000*SER_hh_fec_in!T20/SER_hh_num_in!T20)</f>
        <v>0</v>
      </c>
      <c r="U20" s="132">
        <f>IF(SER_hh_fec_in!U20=0,0,11630*1000*SER_hh_fec_in!U20/SER_hh_num_in!U20)</f>
        <v>0</v>
      </c>
      <c r="V20" s="132">
        <f>IF(SER_hh_fec_in!V20=0,0,11630*1000*SER_hh_fec_in!V20/SER_hh_num_in!V20)</f>
        <v>0</v>
      </c>
      <c r="W20" s="132">
        <f>IF(SER_hh_fec_in!W20=0,0,11630*1000*SER_hh_fec_in!W20/SER_hh_num_in!W20)</f>
        <v>0</v>
      </c>
      <c r="X20" s="132">
        <f>IF(SER_hh_fec_in!X20=0,0,11630*1000*SER_hh_fec_in!X20/SER_hh_num_in!X20)</f>
        <v>0</v>
      </c>
      <c r="Y20" s="132">
        <f>IF(SER_hh_fec_in!Y20=0,0,11630*1000*SER_hh_fec_in!Y20/SER_hh_num_in!Y20)</f>
        <v>0</v>
      </c>
      <c r="DA20" s="156" t="s">
        <v>741</v>
      </c>
    </row>
    <row r="21" spans="1:105" s="2" customFormat="1" ht="12" customHeight="1" x14ac:dyDescent="0.25">
      <c r="A21" s="131" t="s">
        <v>52</v>
      </c>
      <c r="B21" s="132"/>
      <c r="C21" s="132">
        <f>IF(SER_hh_fec_in!C21=0,0,11630*1000*SER_hh_fec_in!C21/SER_hh_num_in!C21)</f>
        <v>0</v>
      </c>
      <c r="D21" s="132">
        <f>IF(SER_hh_fec_in!D21=0,0,11630*1000*SER_hh_fec_in!D21/SER_hh_num_in!D21)</f>
        <v>0</v>
      </c>
      <c r="E21" s="132">
        <f>IF(SER_hh_fec_in!E21=0,0,11630*1000*SER_hh_fec_in!E21/SER_hh_num_in!E21)</f>
        <v>0</v>
      </c>
      <c r="F21" s="132">
        <f>IF(SER_hh_fec_in!F21=0,0,11630*1000*SER_hh_fec_in!F21/SER_hh_num_in!F21)</f>
        <v>0</v>
      </c>
      <c r="G21" s="132">
        <f>IF(SER_hh_fec_in!G21=0,0,11630*1000*SER_hh_fec_in!G21/SER_hh_num_in!G21)</f>
        <v>0</v>
      </c>
      <c r="H21" s="132">
        <f>IF(SER_hh_fec_in!H21=0,0,11630*1000*SER_hh_fec_in!H21/SER_hh_num_in!H21)</f>
        <v>0</v>
      </c>
      <c r="I21" s="132">
        <f>IF(SER_hh_fec_in!I21=0,0,11630*1000*SER_hh_fec_in!I21/SER_hh_num_in!I21)</f>
        <v>0</v>
      </c>
      <c r="J21" s="132">
        <f>IF(SER_hh_fec_in!J21=0,0,11630*1000*SER_hh_fec_in!J21/SER_hh_num_in!J21)</f>
        <v>0</v>
      </c>
      <c r="K21" s="132">
        <f>IF(SER_hh_fec_in!K21=0,0,11630*1000*SER_hh_fec_in!K21/SER_hh_num_in!K21)</f>
        <v>0</v>
      </c>
      <c r="L21" s="132">
        <f>IF(SER_hh_fec_in!L21=0,0,11630*1000*SER_hh_fec_in!L21/SER_hh_num_in!L21)</f>
        <v>0</v>
      </c>
      <c r="M21" s="132">
        <f>IF(SER_hh_fec_in!M21=0,0,11630*1000*SER_hh_fec_in!M21/SER_hh_num_in!M21)</f>
        <v>0</v>
      </c>
      <c r="N21" s="132">
        <f>IF(SER_hh_fec_in!N21=0,0,11630*1000*SER_hh_fec_in!N21/SER_hh_num_in!N21)</f>
        <v>0</v>
      </c>
      <c r="O21" s="132">
        <f>IF(SER_hh_fec_in!O21=0,0,11630*1000*SER_hh_fec_in!O21/SER_hh_num_in!O21)</f>
        <v>0</v>
      </c>
      <c r="P21" s="132">
        <f>IF(SER_hh_fec_in!P21=0,0,11630*1000*SER_hh_fec_in!P21/SER_hh_num_in!P21)</f>
        <v>0</v>
      </c>
      <c r="Q21" s="132">
        <f>IF(SER_hh_fec_in!Q21=0,0,11630*1000*SER_hh_fec_in!Q21/SER_hh_num_in!Q21)</f>
        <v>0</v>
      </c>
      <c r="R21" s="132">
        <f>IF(SER_hh_fec_in!R21=0,0,11630*1000*SER_hh_fec_in!R21/SER_hh_num_in!R21)</f>
        <v>0</v>
      </c>
      <c r="S21" s="132">
        <f>IF(SER_hh_fec_in!S21=0,0,11630*1000*SER_hh_fec_in!S21/SER_hh_num_in!S21)</f>
        <v>0</v>
      </c>
      <c r="T21" s="132">
        <f>IF(SER_hh_fec_in!T21=0,0,11630*1000*SER_hh_fec_in!T21/SER_hh_num_in!T21)</f>
        <v>0</v>
      </c>
      <c r="U21" s="132">
        <f>IF(SER_hh_fec_in!U21=0,0,11630*1000*SER_hh_fec_in!U21/SER_hh_num_in!U21)</f>
        <v>0</v>
      </c>
      <c r="V21" s="132">
        <f>IF(SER_hh_fec_in!V21=0,0,11630*1000*SER_hh_fec_in!V21/SER_hh_num_in!V21)</f>
        <v>0</v>
      </c>
      <c r="W21" s="132">
        <f>IF(SER_hh_fec_in!W21=0,0,11630*1000*SER_hh_fec_in!W21/SER_hh_num_in!W21)</f>
        <v>0</v>
      </c>
      <c r="X21" s="132">
        <f>IF(SER_hh_fec_in!X21=0,0,11630*1000*SER_hh_fec_in!X21/SER_hh_num_in!X21)</f>
        <v>0</v>
      </c>
      <c r="Y21" s="132">
        <f>IF(SER_hh_fec_in!Y21=0,0,11630*1000*SER_hh_fec_in!Y21/SER_hh_num_in!Y21)</f>
        <v>0</v>
      </c>
      <c r="DA21" s="156" t="s">
        <v>742</v>
      </c>
    </row>
    <row r="22" spans="1:105" ht="12" customHeight="1" x14ac:dyDescent="0.25">
      <c r="A22" s="131" t="s">
        <v>161</v>
      </c>
      <c r="B22" s="132"/>
      <c r="C22" s="132">
        <f>IF(SER_hh_fec_in!C22=0,0,11630*1000*SER_hh_fec_in!C22/SER_hh_num_in!C22)</f>
        <v>11091.645558459069</v>
      </c>
      <c r="D22" s="132">
        <f>IF(SER_hh_fec_in!D22=0,0,11630*1000*SER_hh_fec_in!D22/SER_hh_num_in!D22)</f>
        <v>33143.659380431731</v>
      </c>
      <c r="E22" s="132">
        <f>IF(SER_hh_fec_in!E22=0,0,11630*1000*SER_hh_fec_in!E22/SER_hh_num_in!E22)</f>
        <v>46184.753234678217</v>
      </c>
      <c r="F22" s="132">
        <f>IF(SER_hh_fec_in!F22=0,0,11630*1000*SER_hh_fec_in!F22/SER_hh_num_in!F22)</f>
        <v>52628.7654680614</v>
      </c>
      <c r="G22" s="132">
        <f>IF(SER_hh_fec_in!G22=0,0,11630*1000*SER_hh_fec_in!G22/SER_hh_num_in!G22)</f>
        <v>0</v>
      </c>
      <c r="H22" s="132">
        <f>IF(SER_hh_fec_in!H22=0,0,11630*1000*SER_hh_fec_in!H22/SER_hh_num_in!H22)</f>
        <v>0</v>
      </c>
      <c r="I22" s="132">
        <f>IF(SER_hh_fec_in!I22=0,0,11630*1000*SER_hh_fec_in!I22/SER_hh_num_in!I22)</f>
        <v>0</v>
      </c>
      <c r="J22" s="132">
        <f>IF(SER_hh_fec_in!J22=0,0,11630*1000*SER_hh_fec_in!J22/SER_hh_num_in!J22)</f>
        <v>0</v>
      </c>
      <c r="K22" s="132">
        <f>IF(SER_hh_fec_in!K22=0,0,11630*1000*SER_hh_fec_in!K22/SER_hh_num_in!K22)</f>
        <v>0</v>
      </c>
      <c r="L22" s="132">
        <f>IF(SER_hh_fec_in!L22=0,0,11630*1000*SER_hh_fec_in!L22/SER_hh_num_in!L22)</f>
        <v>48487.966635014418</v>
      </c>
      <c r="M22" s="132">
        <f>IF(SER_hh_fec_in!M22=0,0,11630*1000*SER_hh_fec_in!M22/SER_hh_num_in!M22)</f>
        <v>44255.706805031637</v>
      </c>
      <c r="N22" s="132">
        <f>IF(SER_hh_fec_in!N22=0,0,11630*1000*SER_hh_fec_in!N22/SER_hh_num_in!N22)</f>
        <v>46497.887900659902</v>
      </c>
      <c r="O22" s="132">
        <f>IF(SER_hh_fec_in!O22=0,0,11630*1000*SER_hh_fec_in!O22/SER_hh_num_in!O22)</f>
        <v>51747.186018450331</v>
      </c>
      <c r="P22" s="132">
        <f>IF(SER_hh_fec_in!P22=0,0,11630*1000*SER_hh_fec_in!P22/SER_hh_num_in!P22)</f>
        <v>46297.824026834205</v>
      </c>
      <c r="Q22" s="132">
        <f>IF(SER_hh_fec_in!Q22=0,0,11630*1000*SER_hh_fec_in!Q22/SER_hh_num_in!Q22)</f>
        <v>43902.010190144276</v>
      </c>
      <c r="R22" s="132">
        <f>IF(SER_hh_fec_in!R22=0,0,11630*1000*SER_hh_fec_in!R22/SER_hh_num_in!R22)</f>
        <v>36391.606739971387</v>
      </c>
      <c r="S22" s="132">
        <f>IF(SER_hh_fec_in!S22=0,0,11630*1000*SER_hh_fec_in!S22/SER_hh_num_in!S22)</f>
        <v>42150.079176269581</v>
      </c>
      <c r="T22" s="132">
        <f>IF(SER_hh_fec_in!T22=0,0,11630*1000*SER_hh_fec_in!T22/SER_hh_num_in!T22)</f>
        <v>41496.559190846565</v>
      </c>
      <c r="U22" s="132">
        <f>IF(SER_hh_fec_in!U22=0,0,11630*1000*SER_hh_fec_in!U22/SER_hh_num_in!U22)</f>
        <v>34758.832715113902</v>
      </c>
      <c r="V22" s="132">
        <f>IF(SER_hh_fec_in!V22=0,0,11630*1000*SER_hh_fec_in!V22/SER_hh_num_in!V22)</f>
        <v>30764.794455795403</v>
      </c>
      <c r="W22" s="132">
        <f>IF(SER_hh_fec_in!W22=0,0,11630*1000*SER_hh_fec_in!W22/SER_hh_num_in!W22)</f>
        <v>39883.098409100821</v>
      </c>
      <c r="X22" s="132">
        <f>IF(SER_hh_fec_in!X22=0,0,11630*1000*SER_hh_fec_in!X22/SER_hh_num_in!X22)</f>
        <v>37326.891754595832</v>
      </c>
      <c r="Y22" s="132">
        <f>IF(SER_hh_fec_in!Y22=0,0,11630*1000*SER_hh_fec_in!Y22/SER_hh_num_in!Y22)</f>
        <v>37408.445970807385</v>
      </c>
      <c r="DA22" s="156" t="s">
        <v>743</v>
      </c>
    </row>
    <row r="23" spans="1:105" ht="12" customHeight="1" x14ac:dyDescent="0.25">
      <c r="A23" s="131" t="s">
        <v>149</v>
      </c>
      <c r="B23" s="132"/>
      <c r="C23" s="132">
        <f>IF(SER_hh_fec_in!C23=0,0,11630*1000*SER_hh_fec_in!C23/SER_hh_num_in!C23)</f>
        <v>31865.164401336737</v>
      </c>
      <c r="D23" s="132">
        <f>IF(SER_hh_fec_in!D23=0,0,11630*1000*SER_hh_fec_in!D23/SER_hh_num_in!D23)</f>
        <v>18352.227849932206</v>
      </c>
      <c r="E23" s="132">
        <f>IF(SER_hh_fec_in!E23=0,0,11630*1000*SER_hh_fec_in!E23/SER_hh_num_in!E23)</f>
        <v>36261.927331193954</v>
      </c>
      <c r="F23" s="132">
        <f>IF(SER_hh_fec_in!F23=0,0,11630*1000*SER_hh_fec_in!F23/SER_hh_num_in!F23)</f>
        <v>54930.173328596524</v>
      </c>
      <c r="G23" s="132">
        <f>IF(SER_hh_fec_in!G23=0,0,11630*1000*SER_hh_fec_in!G23/SER_hh_num_in!G23)</f>
        <v>46816.134007498949</v>
      </c>
      <c r="H23" s="132">
        <f>IF(SER_hh_fec_in!H23=0,0,11630*1000*SER_hh_fec_in!H23/SER_hh_num_in!H23)</f>
        <v>53734.212281233755</v>
      </c>
      <c r="I23" s="132">
        <f>IF(SER_hh_fec_in!I23=0,0,11630*1000*SER_hh_fec_in!I23/SER_hh_num_in!I23)</f>
        <v>44918.539125116084</v>
      </c>
      <c r="J23" s="132">
        <f>IF(SER_hh_fec_in!J23=0,0,11630*1000*SER_hh_fec_in!J23/SER_hh_num_in!J23)</f>
        <v>39089.619150419087</v>
      </c>
      <c r="K23" s="132">
        <f>IF(SER_hh_fec_in!K23=0,0,11630*1000*SER_hh_fec_in!K23/SER_hh_num_in!K23)</f>
        <v>52174.783270202744</v>
      </c>
      <c r="L23" s="132">
        <f>IF(SER_hh_fec_in!L23=0,0,11630*1000*SER_hh_fec_in!L23/SER_hh_num_in!L23)</f>
        <v>48021.429702402638</v>
      </c>
      <c r="M23" s="132">
        <f>IF(SER_hh_fec_in!M23=0,0,11630*1000*SER_hh_fec_in!M23/SER_hh_num_in!M23)</f>
        <v>42973.509369044492</v>
      </c>
      <c r="N23" s="132">
        <f>IF(SER_hh_fec_in!N23=0,0,11630*1000*SER_hh_fec_in!N23/SER_hh_num_in!N23)</f>
        <v>42027.692253540699</v>
      </c>
      <c r="O23" s="132">
        <f>IF(SER_hh_fec_in!O23=0,0,11630*1000*SER_hh_fec_in!O23/SER_hh_num_in!O23)</f>
        <v>40908.80978837845</v>
      </c>
      <c r="P23" s="132">
        <f>IF(SER_hh_fec_in!P23=0,0,11630*1000*SER_hh_fec_in!P23/SER_hh_num_in!P23)</f>
        <v>40128.79039740494</v>
      </c>
      <c r="Q23" s="132">
        <f>IF(SER_hh_fec_in!Q23=0,0,11630*1000*SER_hh_fec_in!Q23/SER_hh_num_in!Q23)</f>
        <v>39000.165933949909</v>
      </c>
      <c r="R23" s="132">
        <f>IF(SER_hh_fec_in!R23=0,0,11630*1000*SER_hh_fec_in!R23/SER_hh_num_in!R23)</f>
        <v>38928.433196155609</v>
      </c>
      <c r="S23" s="132">
        <f>IF(SER_hh_fec_in!S23=0,0,11630*1000*SER_hh_fec_in!S23/SER_hh_num_in!S23)</f>
        <v>38513.456100612464</v>
      </c>
      <c r="T23" s="132">
        <f>IF(SER_hh_fec_in!T23=0,0,11630*1000*SER_hh_fec_in!T23/SER_hh_num_in!T23)</f>
        <v>35619.724588028417</v>
      </c>
      <c r="U23" s="132">
        <f>IF(SER_hh_fec_in!U23=0,0,11630*1000*SER_hh_fec_in!U23/SER_hh_num_in!U23)</f>
        <v>34769.773525256336</v>
      </c>
      <c r="V23" s="132">
        <f>IF(SER_hh_fec_in!V23=0,0,11630*1000*SER_hh_fec_in!V23/SER_hh_num_in!V23)</f>
        <v>33266.441975406015</v>
      </c>
      <c r="W23" s="132">
        <f>IF(SER_hh_fec_in!W23=0,0,11630*1000*SER_hh_fec_in!W23/SER_hh_num_in!W23)</f>
        <v>30515.42552072286</v>
      </c>
      <c r="X23" s="132">
        <f>IF(SER_hh_fec_in!X23=0,0,11630*1000*SER_hh_fec_in!X23/SER_hh_num_in!X23)</f>
        <v>0</v>
      </c>
      <c r="Y23" s="132">
        <f>IF(SER_hh_fec_in!Y23=0,0,11630*1000*SER_hh_fec_in!Y23/SER_hh_num_in!Y23)</f>
        <v>0</v>
      </c>
      <c r="DA23" s="156" t="s">
        <v>744</v>
      </c>
    </row>
    <row r="24" spans="1:105" ht="12" customHeight="1" x14ac:dyDescent="0.25">
      <c r="A24" s="131" t="s">
        <v>128</v>
      </c>
      <c r="B24" s="132"/>
      <c r="C24" s="132">
        <f>IF(SER_hh_fec_in!C24=0,0,11630*1000*SER_hh_fec_in!C24/SER_hh_num_in!C24)</f>
        <v>21222.161775651057</v>
      </c>
      <c r="D24" s="132">
        <f>IF(SER_hh_fec_in!D24=0,0,11630*1000*SER_hh_fec_in!D24/SER_hh_num_in!D24)</f>
        <v>0</v>
      </c>
      <c r="E24" s="132">
        <f>IF(SER_hh_fec_in!E24=0,0,11630*1000*SER_hh_fec_in!E24/SER_hh_num_in!E24)</f>
        <v>37842.595157181677</v>
      </c>
      <c r="F24" s="132">
        <f>IF(SER_hh_fec_in!F24=0,0,11630*1000*SER_hh_fec_in!F24/SER_hh_num_in!F24)</f>
        <v>0</v>
      </c>
      <c r="G24" s="132">
        <f>IF(SER_hh_fec_in!G24=0,0,11630*1000*SER_hh_fec_in!G24/SER_hh_num_in!G24)</f>
        <v>0</v>
      </c>
      <c r="H24" s="132">
        <f>IF(SER_hh_fec_in!H24=0,0,11630*1000*SER_hh_fec_in!H24/SER_hh_num_in!H24)</f>
        <v>0</v>
      </c>
      <c r="I24" s="132">
        <f>IF(SER_hh_fec_in!I24=0,0,11630*1000*SER_hh_fec_in!I24/SER_hh_num_in!I24)</f>
        <v>0</v>
      </c>
      <c r="J24" s="132">
        <f>IF(SER_hh_fec_in!J24=0,0,11630*1000*SER_hh_fec_in!J24/SER_hh_num_in!J24)</f>
        <v>42270.165222519157</v>
      </c>
      <c r="K24" s="132">
        <f>IF(SER_hh_fec_in!K24=0,0,11630*1000*SER_hh_fec_in!K24/SER_hh_num_in!K24)</f>
        <v>41742.507651922897</v>
      </c>
      <c r="L24" s="132">
        <f>IF(SER_hh_fec_in!L24=0,0,11630*1000*SER_hh_fec_in!L24/SER_hh_num_in!L24)</f>
        <v>41354.958593731135</v>
      </c>
      <c r="M24" s="132">
        <f>IF(SER_hh_fec_in!M24=0,0,11630*1000*SER_hh_fec_in!M24/SER_hh_num_in!M24)</f>
        <v>42052.746462021365</v>
      </c>
      <c r="N24" s="132">
        <f>IF(SER_hh_fec_in!N24=0,0,11630*1000*SER_hh_fec_in!N24/SER_hh_num_in!N24)</f>
        <v>42230.792191705463</v>
      </c>
      <c r="O24" s="132">
        <f>IF(SER_hh_fec_in!O24=0,0,11630*1000*SER_hh_fec_in!O24/SER_hh_num_in!O24)</f>
        <v>41967.503961329763</v>
      </c>
      <c r="P24" s="132">
        <f>IF(SER_hh_fec_in!P24=0,0,11630*1000*SER_hh_fec_in!P24/SER_hh_num_in!P24)</f>
        <v>42155.549850477779</v>
      </c>
      <c r="Q24" s="132">
        <f>IF(SER_hh_fec_in!Q24=0,0,11630*1000*SER_hh_fec_in!Q24/SER_hh_num_in!Q24)</f>
        <v>44558.726361669615</v>
      </c>
      <c r="R24" s="132">
        <f>IF(SER_hh_fec_in!R24=0,0,11630*1000*SER_hh_fec_in!R24/SER_hh_num_in!R24)</f>
        <v>0</v>
      </c>
      <c r="S24" s="132">
        <f>IF(SER_hh_fec_in!S24=0,0,11630*1000*SER_hh_fec_in!S24/SER_hh_num_in!S24)</f>
        <v>0</v>
      </c>
      <c r="T24" s="132">
        <f>IF(SER_hh_fec_in!T24=0,0,11630*1000*SER_hh_fec_in!T24/SER_hh_num_in!T24)</f>
        <v>0</v>
      </c>
      <c r="U24" s="132">
        <f>IF(SER_hh_fec_in!U24=0,0,11630*1000*SER_hh_fec_in!U24/SER_hh_num_in!U24)</f>
        <v>0</v>
      </c>
      <c r="V24" s="132">
        <f>IF(SER_hh_fec_in!V24=0,0,11630*1000*SER_hh_fec_in!V24/SER_hh_num_in!V24)</f>
        <v>32682.521935735884</v>
      </c>
      <c r="W24" s="132">
        <f>IF(SER_hh_fec_in!W24=0,0,11630*1000*SER_hh_fec_in!W24/SER_hh_num_in!W24)</f>
        <v>0</v>
      </c>
      <c r="X24" s="132">
        <f>IF(SER_hh_fec_in!X24=0,0,11630*1000*SER_hh_fec_in!X24/SER_hh_num_in!X24)</f>
        <v>0</v>
      </c>
      <c r="Y24" s="132">
        <f>IF(SER_hh_fec_in!Y24=0,0,11630*1000*SER_hh_fec_in!Y24/SER_hh_num_in!Y24)</f>
        <v>35197.536036173769</v>
      </c>
      <c r="DA24" s="156" t="s">
        <v>745</v>
      </c>
    </row>
    <row r="25" spans="1:105" ht="12" customHeight="1" x14ac:dyDescent="0.25">
      <c r="A25" s="131" t="s">
        <v>162</v>
      </c>
      <c r="B25" s="132"/>
      <c r="C25" s="132">
        <f>IF(SER_hh_fec_in!C25=0,0,11630*1000*SER_hh_fec_in!C25/SER_hh_num_in!C25)</f>
        <v>0</v>
      </c>
      <c r="D25" s="132">
        <f>IF(SER_hh_fec_in!D25=0,0,11630*1000*SER_hh_fec_in!D25/SER_hh_num_in!D25)</f>
        <v>0</v>
      </c>
      <c r="E25" s="132">
        <f>IF(SER_hh_fec_in!E25=0,0,11630*1000*SER_hh_fec_in!E25/SER_hh_num_in!E25)</f>
        <v>0</v>
      </c>
      <c r="F25" s="132">
        <f>IF(SER_hh_fec_in!F25=0,0,11630*1000*SER_hh_fec_in!F25/SER_hh_num_in!F25)</f>
        <v>0</v>
      </c>
      <c r="G25" s="132">
        <f>IF(SER_hh_fec_in!G25=0,0,11630*1000*SER_hh_fec_in!G25/SER_hh_num_in!G25)</f>
        <v>38531.504899395397</v>
      </c>
      <c r="H25" s="132">
        <f>IF(SER_hh_fec_in!H25=0,0,11630*1000*SER_hh_fec_in!H25/SER_hh_num_in!H25)</f>
        <v>35322.267861308675</v>
      </c>
      <c r="I25" s="132">
        <f>IF(SER_hh_fec_in!I25=0,0,11630*1000*SER_hh_fec_in!I25/SER_hh_num_in!I25)</f>
        <v>33468.424047173175</v>
      </c>
      <c r="J25" s="132">
        <f>IF(SER_hh_fec_in!J25=0,0,11630*1000*SER_hh_fec_in!J25/SER_hh_num_in!J25)</f>
        <v>38654.442563013814</v>
      </c>
      <c r="K25" s="132">
        <f>IF(SER_hh_fec_in!K25=0,0,11630*1000*SER_hh_fec_in!K25/SER_hh_num_in!K25)</f>
        <v>35729.273375487057</v>
      </c>
      <c r="L25" s="132">
        <f>IF(SER_hh_fec_in!L25=0,0,11630*1000*SER_hh_fec_in!L25/SER_hh_num_in!L25)</f>
        <v>33854.821015950474</v>
      </c>
      <c r="M25" s="132">
        <f>IF(SER_hh_fec_in!M25=0,0,11630*1000*SER_hh_fec_in!M25/SER_hh_num_in!M25)</f>
        <v>35507.26863396258</v>
      </c>
      <c r="N25" s="132">
        <f>IF(SER_hh_fec_in!N25=0,0,11630*1000*SER_hh_fec_in!N25/SER_hh_num_in!N25)</f>
        <v>36224.543364437202</v>
      </c>
      <c r="O25" s="132">
        <f>IF(SER_hh_fec_in!O25=0,0,11630*1000*SER_hh_fec_in!O25/SER_hh_num_in!O25)</f>
        <v>36695.449531346836</v>
      </c>
      <c r="P25" s="132">
        <f>IF(SER_hh_fec_in!P25=0,0,11630*1000*SER_hh_fec_in!P25/SER_hh_num_in!P25)</f>
        <v>34090.98597127392</v>
      </c>
      <c r="Q25" s="132">
        <f>IF(SER_hh_fec_in!Q25=0,0,11630*1000*SER_hh_fec_in!Q25/SER_hh_num_in!Q25)</f>
        <v>35249.509698346461</v>
      </c>
      <c r="R25" s="132">
        <f>IF(SER_hh_fec_in!R25=0,0,11630*1000*SER_hh_fec_in!R25/SER_hh_num_in!R25)</f>
        <v>35692.955130214315</v>
      </c>
      <c r="S25" s="132">
        <f>IF(SER_hh_fec_in!S25=0,0,11630*1000*SER_hh_fec_in!S25/SER_hh_num_in!S25)</f>
        <v>0</v>
      </c>
      <c r="T25" s="132">
        <f>IF(SER_hh_fec_in!T25=0,0,11630*1000*SER_hh_fec_in!T25/SER_hh_num_in!T25)</f>
        <v>32720.001403948339</v>
      </c>
      <c r="U25" s="132">
        <f>IF(SER_hh_fec_in!U25=0,0,11630*1000*SER_hh_fec_in!U25/SER_hh_num_in!U25)</f>
        <v>30324.652725061787</v>
      </c>
      <c r="V25" s="132">
        <f>IF(SER_hh_fec_in!V25=0,0,11630*1000*SER_hh_fec_in!V25/SER_hh_num_in!V25)</f>
        <v>30567.091120101744</v>
      </c>
      <c r="W25" s="132">
        <f>IF(SER_hh_fec_in!W25=0,0,11630*1000*SER_hh_fec_in!W25/SER_hh_num_in!W25)</f>
        <v>30964.559186106788</v>
      </c>
      <c r="X25" s="132">
        <f>IF(SER_hh_fec_in!X25=0,0,11630*1000*SER_hh_fec_in!X25/SER_hh_num_in!X25)</f>
        <v>29554.66830087555</v>
      </c>
      <c r="Y25" s="132">
        <f>IF(SER_hh_fec_in!Y25=0,0,11630*1000*SER_hh_fec_in!Y25/SER_hh_num_in!Y25)</f>
        <v>32756.502675424919</v>
      </c>
      <c r="DA25" s="156" t="s">
        <v>746</v>
      </c>
    </row>
    <row r="26" spans="1:105" ht="12" customHeight="1" x14ac:dyDescent="0.25">
      <c r="A26" s="131" t="s">
        <v>24</v>
      </c>
      <c r="B26" s="65"/>
      <c r="C26" s="65">
        <f>IF(SER_hh_fec_in!C26=0,0,11630*1000*SER_hh_fec_in!C26/SER_hh_num_in!C26)</f>
        <v>76610.468129398258</v>
      </c>
      <c r="D26" s="65">
        <f>IF(SER_hh_fec_in!D26=0,0,11630*1000*SER_hh_fec_in!D26/SER_hh_num_in!D26)</f>
        <v>6647.6238700454005</v>
      </c>
      <c r="E26" s="65">
        <f>IF(SER_hh_fec_in!E26=0,0,11630*1000*SER_hh_fec_in!E26/SER_hh_num_in!E26)</f>
        <v>45306.158331389634</v>
      </c>
      <c r="F26" s="65">
        <f>IF(SER_hh_fec_in!F26=0,0,11630*1000*SER_hh_fec_in!F26/SER_hh_num_in!F26)</f>
        <v>42840.33857514253</v>
      </c>
      <c r="G26" s="65">
        <f>IF(SER_hh_fec_in!G26=0,0,11630*1000*SER_hh_fec_in!G26/SER_hh_num_in!G26)</f>
        <v>40180.989180793731</v>
      </c>
      <c r="H26" s="65">
        <f>IF(SER_hh_fec_in!H26=0,0,11630*1000*SER_hh_fec_in!H26/SER_hh_num_in!H26)</f>
        <v>40967.931850269408</v>
      </c>
      <c r="I26" s="65">
        <f>IF(SER_hh_fec_in!I26=0,0,11630*1000*SER_hh_fec_in!I26/SER_hh_num_in!I26)</f>
        <v>48293.790157576666</v>
      </c>
      <c r="J26" s="65">
        <f>IF(SER_hh_fec_in!J26=0,0,11630*1000*SER_hh_fec_in!J26/SER_hh_num_in!J26)</f>
        <v>50486.416335829323</v>
      </c>
      <c r="K26" s="65">
        <f>IF(SER_hh_fec_in!K26=0,0,11630*1000*SER_hh_fec_in!K26/SER_hh_num_in!K26)</f>
        <v>0</v>
      </c>
      <c r="L26" s="65">
        <f>IF(SER_hh_fec_in!L26=0,0,11630*1000*SER_hh_fec_in!L26/SER_hh_num_in!L26)</f>
        <v>0</v>
      </c>
      <c r="M26" s="65">
        <f>IF(SER_hh_fec_in!M26=0,0,11630*1000*SER_hh_fec_in!M26/SER_hh_num_in!M26)</f>
        <v>45485.357451118885</v>
      </c>
      <c r="N26" s="65">
        <f>IF(SER_hh_fec_in!N26=0,0,11630*1000*SER_hh_fec_in!N26/SER_hh_num_in!N26)</f>
        <v>39160.926336818018</v>
      </c>
      <c r="O26" s="65">
        <f>IF(SER_hh_fec_in!O26=0,0,11630*1000*SER_hh_fec_in!O26/SER_hh_num_in!O26)</f>
        <v>38828.205917236315</v>
      </c>
      <c r="P26" s="65">
        <f>IF(SER_hh_fec_in!P26=0,0,11630*1000*SER_hh_fec_in!P26/SER_hh_num_in!P26)</f>
        <v>39145.304713917125</v>
      </c>
      <c r="Q26" s="65">
        <f>IF(SER_hh_fec_in!Q26=0,0,11630*1000*SER_hh_fec_in!Q26/SER_hh_num_in!Q26)</f>
        <v>38106.787137023945</v>
      </c>
      <c r="R26" s="65">
        <f>IF(SER_hh_fec_in!R26=0,0,11630*1000*SER_hh_fec_in!R26/SER_hh_num_in!R26)</f>
        <v>37798.388691613502</v>
      </c>
      <c r="S26" s="65">
        <f>IF(SER_hh_fec_in!S26=0,0,11630*1000*SER_hh_fec_in!S26/SER_hh_num_in!S26)</f>
        <v>32662.294628586114</v>
      </c>
      <c r="T26" s="65">
        <f>IF(SER_hh_fec_in!T26=0,0,11630*1000*SER_hh_fec_in!T26/SER_hh_num_in!T26)</f>
        <v>33404.339424885795</v>
      </c>
      <c r="U26" s="65">
        <f>IF(SER_hh_fec_in!U26=0,0,11630*1000*SER_hh_fec_in!U26/SER_hh_num_in!U26)</f>
        <v>31674.58432723166</v>
      </c>
      <c r="V26" s="65">
        <f>IF(SER_hh_fec_in!V26=0,0,11630*1000*SER_hh_fec_in!V26/SER_hh_num_in!V26)</f>
        <v>27623.026226836322</v>
      </c>
      <c r="W26" s="65">
        <f>IF(SER_hh_fec_in!W26=0,0,11630*1000*SER_hh_fec_in!W26/SER_hh_num_in!W26)</f>
        <v>25042.031192663962</v>
      </c>
      <c r="X26" s="65">
        <f>IF(SER_hh_fec_in!X26=0,0,11630*1000*SER_hh_fec_in!X26/SER_hh_num_in!X26)</f>
        <v>30296.340472722182</v>
      </c>
      <c r="Y26" s="65">
        <f>IF(SER_hh_fec_in!Y26=0,0,11630*1000*SER_hh_fec_in!Y26/SER_hh_num_in!Y26)</f>
        <v>33572.835987732884</v>
      </c>
      <c r="DA26" s="109" t="s">
        <v>747</v>
      </c>
    </row>
    <row r="27" spans="1:105" ht="12" customHeight="1" x14ac:dyDescent="0.25">
      <c r="A27" s="144" t="s">
        <v>86</v>
      </c>
      <c r="B27" s="147"/>
      <c r="C27" s="145">
        <f>IF(SER_hh_fec_in!C27=0,0,11630*1000*SER_hh_fec_in!C27/SER_hh_num_in!C19)</f>
        <v>0</v>
      </c>
      <c r="D27" s="145">
        <f>IF(SER_hh_fec_in!D27=0,0,11630*1000*SER_hh_fec_in!D27/SER_hh_num_in!D19)</f>
        <v>0</v>
      </c>
      <c r="E27" s="145">
        <f>IF(SER_hh_fec_in!E27=0,0,11630*1000*SER_hh_fec_in!E27/SER_hh_num_in!E19)</f>
        <v>0</v>
      </c>
      <c r="F27" s="145">
        <f>IF(SER_hh_fec_in!F27=0,0,11630*1000*SER_hh_fec_in!F27/SER_hh_num_in!F19)</f>
        <v>0</v>
      </c>
      <c r="G27" s="145">
        <f>IF(SER_hh_fec_in!G27=0,0,11630*1000*SER_hh_fec_in!G27/SER_hh_num_in!G19)</f>
        <v>0</v>
      </c>
      <c r="H27" s="145">
        <f>IF(SER_hh_fec_in!H27=0,0,11630*1000*SER_hh_fec_in!H27/SER_hh_num_in!H19)</f>
        <v>0</v>
      </c>
      <c r="I27" s="145">
        <f>IF(SER_hh_fec_in!I27=0,0,11630*1000*SER_hh_fec_in!I27/SER_hh_num_in!I19)</f>
        <v>174.7348421587408</v>
      </c>
      <c r="J27" s="145">
        <f>IF(SER_hh_fec_in!J27=0,0,11630*1000*SER_hh_fec_in!J27/SER_hh_num_in!J19)</f>
        <v>0</v>
      </c>
      <c r="K27" s="145">
        <f>IF(SER_hh_fec_in!K27=0,0,11630*1000*SER_hh_fec_in!K27/SER_hh_num_in!K19)</f>
        <v>0</v>
      </c>
      <c r="L27" s="145">
        <f>IF(SER_hh_fec_in!L27=0,0,11630*1000*SER_hh_fec_in!L27/SER_hh_num_in!L19)</f>
        <v>198.9876226795746</v>
      </c>
      <c r="M27" s="145">
        <f>IF(SER_hh_fec_in!M27=0,0,11630*1000*SER_hh_fec_in!M27/SER_hh_num_in!M19)</f>
        <v>0</v>
      </c>
      <c r="N27" s="145">
        <f>IF(SER_hh_fec_in!N27=0,0,11630*1000*SER_hh_fec_in!N27/SER_hh_num_in!N19)</f>
        <v>426.7568501708127</v>
      </c>
      <c r="O27" s="145">
        <f>IF(SER_hh_fec_in!O27=0,0,11630*1000*SER_hh_fec_in!O27/SER_hh_num_in!O19)</f>
        <v>3.4317877558770377E-14</v>
      </c>
      <c r="P27" s="145">
        <f>IF(SER_hh_fec_in!P27=0,0,11630*1000*SER_hh_fec_in!P27/SER_hh_num_in!P19)</f>
        <v>0</v>
      </c>
      <c r="Q27" s="145">
        <f>IF(SER_hh_fec_in!Q27=0,0,11630*1000*SER_hh_fec_in!Q27/SER_hh_num_in!Q19)</f>
        <v>0</v>
      </c>
      <c r="R27" s="145">
        <f>IF(SER_hh_fec_in!R27=0,0,11630*1000*SER_hh_fec_in!R27/SER_hh_num_in!R19)</f>
        <v>5.2337312070019996E-5</v>
      </c>
      <c r="S27" s="145">
        <f>IF(SER_hh_fec_in!S27=0,0,11630*1000*SER_hh_fec_in!S27/SER_hh_num_in!S19)</f>
        <v>126.47914160790344</v>
      </c>
      <c r="T27" s="145">
        <f>IF(SER_hh_fec_in!T27=0,0,11630*1000*SER_hh_fec_in!T27/SER_hh_num_in!T19)</f>
        <v>5.481915751574811E-6</v>
      </c>
      <c r="U27" s="145">
        <f>IF(SER_hh_fec_in!U27=0,0,11630*1000*SER_hh_fec_in!U27/SER_hh_num_in!U19)</f>
        <v>60.829978751877185</v>
      </c>
      <c r="V27" s="145">
        <f>IF(SER_hh_fec_in!V27=0,0,11630*1000*SER_hh_fec_in!V27/SER_hh_num_in!V19)</f>
        <v>4.6791549559862739E-14</v>
      </c>
      <c r="W27" s="145">
        <f>IF(SER_hh_fec_in!W27=0,0,11630*1000*SER_hh_fec_in!W27/SER_hh_num_in!W19)</f>
        <v>2170.9401040861562</v>
      </c>
      <c r="X27" s="145">
        <f>IF(SER_hh_fec_in!X27=0,0,11630*1000*SER_hh_fec_in!X27/SER_hh_num_in!X19)</f>
        <v>0</v>
      </c>
      <c r="Y27" s="145">
        <f>IF(SER_hh_fec_in!Y27=0,0,11630*1000*SER_hh_fec_in!Y27/SER_hh_num_in!Y19)</f>
        <v>87.32607391890285</v>
      </c>
      <c r="DA27" s="158" t="s">
        <v>748</v>
      </c>
    </row>
    <row r="28" spans="1:105" ht="12" customHeight="1" x14ac:dyDescent="0.25">
      <c r="A28" s="78" t="s">
        <v>85</v>
      </c>
      <c r="B28" s="68"/>
      <c r="C28" s="146">
        <f>IF(SER_hh_fec_in!C27=0,0,11630*1000*SER_hh_fec_in!C27/SER_hh_num_in!C27)</f>
        <v>0</v>
      </c>
      <c r="D28" s="146">
        <f>IF(SER_hh_fec_in!D27=0,0,11630*1000*SER_hh_fec_in!D27/SER_hh_num_in!D27)</f>
        <v>0</v>
      </c>
      <c r="E28" s="146">
        <f>IF(SER_hh_fec_in!E27=0,0,11630*1000*SER_hh_fec_in!E27/SER_hh_num_in!E27)</f>
        <v>0</v>
      </c>
      <c r="F28" s="146">
        <f>IF(SER_hh_fec_in!F27=0,0,11630*1000*SER_hh_fec_in!F27/SER_hh_num_in!F27)</f>
        <v>0</v>
      </c>
      <c r="G28" s="146">
        <f>IF(SER_hh_fec_in!G27=0,0,11630*1000*SER_hh_fec_in!G27/SER_hh_num_in!G27)</f>
        <v>0</v>
      </c>
      <c r="H28" s="146">
        <f>IF(SER_hh_fec_in!H27=0,0,11630*1000*SER_hh_fec_in!H27/SER_hh_num_in!H27)</f>
        <v>0</v>
      </c>
      <c r="I28" s="146">
        <f>IF(SER_hh_fec_in!I27=0,0,11630*1000*SER_hh_fec_in!I27/SER_hh_num_in!I27)</f>
        <v>22829.104544935035</v>
      </c>
      <c r="J28" s="146">
        <f>IF(SER_hh_fec_in!J27=0,0,11630*1000*SER_hh_fec_in!J27/SER_hh_num_in!J27)</f>
        <v>0</v>
      </c>
      <c r="K28" s="146">
        <f>IF(SER_hh_fec_in!K27=0,0,11630*1000*SER_hh_fec_in!K27/SER_hh_num_in!K27)</f>
        <v>0</v>
      </c>
      <c r="L28" s="146">
        <f>IF(SER_hh_fec_in!L27=0,0,11630*1000*SER_hh_fec_in!L27/SER_hh_num_in!L27)</f>
        <v>21570.838440575142</v>
      </c>
      <c r="M28" s="146">
        <f>IF(SER_hh_fec_in!M27=0,0,11630*1000*SER_hh_fec_in!M27/SER_hh_num_in!M27)</f>
        <v>0</v>
      </c>
      <c r="N28" s="146">
        <f>IF(SER_hh_fec_in!N27=0,0,11630*1000*SER_hh_fec_in!N27/SER_hh_num_in!N27)</f>
        <v>30445.583700304196</v>
      </c>
      <c r="O28" s="146">
        <f>IF(SER_hh_fec_in!O27=0,0,11630*1000*SER_hh_fec_in!O27/SER_hh_num_in!O27)</f>
        <v>30273.066665675655</v>
      </c>
      <c r="P28" s="146">
        <f>IF(SER_hh_fec_in!P27=0,0,11630*1000*SER_hh_fec_in!P27/SER_hh_num_in!P27)</f>
        <v>0</v>
      </c>
      <c r="Q28" s="146">
        <f>IF(SER_hh_fec_in!Q27=0,0,11630*1000*SER_hh_fec_in!Q27/SER_hh_num_in!Q27)</f>
        <v>0</v>
      </c>
      <c r="R28" s="146">
        <f>IF(SER_hh_fec_in!R27=0,0,11630*1000*SER_hh_fec_in!R27/SER_hh_num_in!R27)</f>
        <v>28745.017440023679</v>
      </c>
      <c r="S28" s="146">
        <f>IF(SER_hh_fec_in!S27=0,0,11630*1000*SER_hh_fec_in!S27/SER_hh_num_in!S27)</f>
        <v>23530.826772591692</v>
      </c>
      <c r="T28" s="146">
        <f>IF(SER_hh_fec_in!T27=0,0,11630*1000*SER_hh_fec_in!T27/SER_hh_num_in!T27)</f>
        <v>23557.451553525581</v>
      </c>
      <c r="U28" s="146">
        <f>IF(SER_hh_fec_in!U27=0,0,11630*1000*SER_hh_fec_in!U27/SER_hh_num_in!U27)</f>
        <v>21993.659743382563</v>
      </c>
      <c r="V28" s="146">
        <f>IF(SER_hh_fec_in!V27=0,0,11630*1000*SER_hh_fec_in!V27/SER_hh_num_in!V27)</f>
        <v>21056.935265807508</v>
      </c>
      <c r="W28" s="146">
        <f>IF(SER_hh_fec_in!W27=0,0,11630*1000*SER_hh_fec_in!W27/SER_hh_num_in!W27)</f>
        <v>23481.227644867275</v>
      </c>
      <c r="X28" s="146">
        <f>IF(SER_hh_fec_in!X27=0,0,11630*1000*SER_hh_fec_in!X27/SER_hh_num_in!X27)</f>
        <v>0</v>
      </c>
      <c r="Y28" s="146">
        <f>IF(SER_hh_fec_in!Y27=0,0,11630*1000*SER_hh_fec_in!Y27/SER_hh_num_in!Y27)</f>
        <v>25781.370055480224</v>
      </c>
      <c r="DA28" s="159"/>
    </row>
    <row r="29" spans="1:105" ht="12.95" customHeight="1" x14ac:dyDescent="0.25">
      <c r="A29" s="129" t="s">
        <v>34</v>
      </c>
      <c r="B29" s="130"/>
      <c r="C29" s="130">
        <f>IF(SER_hh_fec_in!C29=0,0,11630*1000*SER_hh_fec_in!C29/SER_hh_num_in!C29)</f>
        <v>48157.93426658</v>
      </c>
      <c r="D29" s="130">
        <f>IF(SER_hh_fec_in!D29=0,0,11630*1000*SER_hh_fec_in!D29/SER_hh_num_in!D29)</f>
        <v>25411.958305510514</v>
      </c>
      <c r="E29" s="130">
        <f>IF(SER_hh_fec_in!E29=0,0,11630*1000*SER_hh_fec_in!E29/SER_hh_num_in!E29)</f>
        <v>51154.323622011609</v>
      </c>
      <c r="F29" s="130">
        <f>IF(SER_hh_fec_in!F29=0,0,11630*1000*SER_hh_fec_in!F29/SER_hh_num_in!F29)</f>
        <v>71582.170163768023</v>
      </c>
      <c r="G29" s="130">
        <f>IF(SER_hh_fec_in!G29=0,0,11630*1000*SER_hh_fec_in!G29/SER_hh_num_in!G29)</f>
        <v>61406.469146407704</v>
      </c>
      <c r="H29" s="130">
        <f>IF(SER_hh_fec_in!H29=0,0,11630*1000*SER_hh_fec_in!H29/SER_hh_num_in!H29)</f>
        <v>54855.543056941126</v>
      </c>
      <c r="I29" s="130">
        <f>IF(SER_hh_fec_in!I29=0,0,11630*1000*SER_hh_fec_in!I29/SER_hh_num_in!I29)</f>
        <v>31890.333385241178</v>
      </c>
      <c r="J29" s="130">
        <f>IF(SER_hh_fec_in!J29=0,0,11630*1000*SER_hh_fec_in!J29/SER_hh_num_in!J29)</f>
        <v>59301.724677699633</v>
      </c>
      <c r="K29" s="130">
        <f>IF(SER_hh_fec_in!K29=0,0,11630*1000*SER_hh_fec_in!K29/SER_hh_num_in!K29)</f>
        <v>55675.466327361602</v>
      </c>
      <c r="L29" s="130">
        <f>IF(SER_hh_fec_in!L29=0,0,11630*1000*SER_hh_fec_in!L29/SER_hh_num_in!L29)</f>
        <v>53185.256042979127</v>
      </c>
      <c r="M29" s="130">
        <f>IF(SER_hh_fec_in!M29=0,0,11630*1000*SER_hh_fec_in!M29/SER_hh_num_in!M29)</f>
        <v>55699.837294509387</v>
      </c>
      <c r="N29" s="130">
        <f>IF(SER_hh_fec_in!N29=0,0,11630*1000*SER_hh_fec_in!N29/SER_hh_num_in!N29)</f>
        <v>58416.996123414778</v>
      </c>
      <c r="O29" s="130">
        <f>IF(SER_hh_fec_in!O29=0,0,11630*1000*SER_hh_fec_in!O29/SER_hh_num_in!O29)</f>
        <v>61074.75832653902</v>
      </c>
      <c r="P29" s="130">
        <f>IF(SER_hh_fec_in!P29=0,0,11630*1000*SER_hh_fec_in!P29/SER_hh_num_in!P29)</f>
        <v>63590.810701456547</v>
      </c>
      <c r="Q29" s="130">
        <f>IF(SER_hh_fec_in!Q29=0,0,11630*1000*SER_hh_fec_in!Q29/SER_hh_num_in!Q29)</f>
        <v>66086.500660392368</v>
      </c>
      <c r="R29" s="130">
        <f>IF(SER_hh_fec_in!R29=0,0,11630*1000*SER_hh_fec_in!R29/SER_hh_num_in!R29)</f>
        <v>61421.909067805514</v>
      </c>
      <c r="S29" s="130">
        <f>IF(SER_hh_fec_in!S29=0,0,11630*1000*SER_hh_fec_in!S29/SER_hh_num_in!S29)</f>
        <v>57283.506047348543</v>
      </c>
      <c r="T29" s="130">
        <f>IF(SER_hh_fec_in!T29=0,0,11630*1000*SER_hh_fec_in!T29/SER_hh_num_in!T29)</f>
        <v>53316.487857630229</v>
      </c>
      <c r="U29" s="130">
        <f>IF(SER_hh_fec_in!U29=0,0,11630*1000*SER_hh_fec_in!U29/SER_hh_num_in!U29)</f>
        <v>52140.109114040228</v>
      </c>
      <c r="V29" s="130">
        <f>IF(SER_hh_fec_in!V29=0,0,11630*1000*SER_hh_fec_in!V29/SER_hh_num_in!V29)</f>
        <v>46068.234518114288</v>
      </c>
      <c r="W29" s="130">
        <f>IF(SER_hh_fec_in!W29=0,0,11630*1000*SER_hh_fec_in!W29/SER_hh_num_in!W29)</f>
        <v>48384.246252209974</v>
      </c>
      <c r="X29" s="130">
        <f>IF(SER_hh_fec_in!X29=0,0,11630*1000*SER_hh_fec_in!X29/SER_hh_num_in!X29)</f>
        <v>51552.829232685763</v>
      </c>
      <c r="Y29" s="130">
        <f>IF(SER_hh_fec_in!Y29=0,0,11630*1000*SER_hh_fec_in!Y29/SER_hh_num_in!Y29)</f>
        <v>54986.915232277737</v>
      </c>
      <c r="DA29" s="155" t="s">
        <v>749</v>
      </c>
    </row>
    <row r="30" spans="1:105" s="2" customFormat="1" ht="12" customHeight="1" x14ac:dyDescent="0.25">
      <c r="A30" s="131" t="s">
        <v>52</v>
      </c>
      <c r="B30" s="132"/>
      <c r="C30" s="132">
        <f>IF(SER_hh_fec_in!C30=0,0,11630*1000*SER_hh_fec_in!C30/SER_hh_num_in!C30)</f>
        <v>36934.917317336185</v>
      </c>
      <c r="D30" s="132">
        <f>IF(SER_hh_fec_in!D30=0,0,11630*1000*SER_hh_fec_in!D30/SER_hh_num_in!D30)</f>
        <v>16277.86866444865</v>
      </c>
      <c r="E30" s="132">
        <f>IF(SER_hh_fec_in!E30=0,0,11630*1000*SER_hh_fec_in!E30/SER_hh_num_in!E30)</f>
        <v>49021.249208526759</v>
      </c>
      <c r="F30" s="132">
        <f>IF(SER_hh_fec_in!F30=0,0,11630*1000*SER_hh_fec_in!F30/SER_hh_num_in!F30)</f>
        <v>74817.70630415545</v>
      </c>
      <c r="G30" s="132">
        <f>IF(SER_hh_fec_in!G30=0,0,11630*1000*SER_hh_fec_in!G30/SER_hh_num_in!G30)</f>
        <v>90283.354246225586</v>
      </c>
      <c r="H30" s="132">
        <f>IF(SER_hh_fec_in!H30=0,0,11630*1000*SER_hh_fec_in!H30/SER_hh_num_in!H30)</f>
        <v>37429.001788805363</v>
      </c>
      <c r="I30" s="132">
        <f>IF(SER_hh_fec_in!I30=0,0,11630*1000*SER_hh_fec_in!I30/SER_hh_num_in!I30)</f>
        <v>114686.15032355202</v>
      </c>
      <c r="J30" s="132">
        <f>IF(SER_hh_fec_in!J30=0,0,11630*1000*SER_hh_fec_in!J30/SER_hh_num_in!J30)</f>
        <v>0</v>
      </c>
      <c r="K30" s="132">
        <f>IF(SER_hh_fec_in!K30=0,0,11630*1000*SER_hh_fec_in!K30/SER_hh_num_in!K30)</f>
        <v>0</v>
      </c>
      <c r="L30" s="132">
        <f>IF(SER_hh_fec_in!L30=0,0,11630*1000*SER_hh_fec_in!L30/SER_hh_num_in!L30)</f>
        <v>0</v>
      </c>
      <c r="M30" s="132">
        <f>IF(SER_hh_fec_in!M30=0,0,11630*1000*SER_hh_fec_in!M30/SER_hh_num_in!M30)</f>
        <v>0</v>
      </c>
      <c r="N30" s="132">
        <f>IF(SER_hh_fec_in!N30=0,0,11630*1000*SER_hh_fec_in!N30/SER_hh_num_in!N30)</f>
        <v>66096.460407516526</v>
      </c>
      <c r="O30" s="132">
        <f>IF(SER_hh_fec_in!O30=0,0,11630*1000*SER_hh_fec_in!O30/SER_hh_num_in!O30)</f>
        <v>67020.156655196843</v>
      </c>
      <c r="P30" s="132">
        <f>IF(SER_hh_fec_in!P30=0,0,11630*1000*SER_hh_fec_in!P30/SER_hh_num_in!P30)</f>
        <v>72826.94983575221</v>
      </c>
      <c r="Q30" s="132">
        <f>IF(SER_hh_fec_in!Q30=0,0,11630*1000*SER_hh_fec_in!Q30/SER_hh_num_in!Q30)</f>
        <v>80824.020749229167</v>
      </c>
      <c r="R30" s="132">
        <f>IF(SER_hh_fec_in!R30=0,0,11630*1000*SER_hh_fec_in!R30/SER_hh_num_in!R30)</f>
        <v>71107.205859263049</v>
      </c>
      <c r="S30" s="132">
        <f>IF(SER_hh_fec_in!S30=0,0,11630*1000*SER_hh_fec_in!S30/SER_hh_num_in!S30)</f>
        <v>68657.858896179605</v>
      </c>
      <c r="T30" s="132">
        <f>IF(SER_hh_fec_in!T30=0,0,11630*1000*SER_hh_fec_in!T30/SER_hh_num_in!T30)</f>
        <v>69993.943991449531</v>
      </c>
      <c r="U30" s="132">
        <f>IF(SER_hh_fec_in!U30=0,0,11630*1000*SER_hh_fec_in!U30/SER_hh_num_in!U30)</f>
        <v>69098.957606553085</v>
      </c>
      <c r="V30" s="132">
        <f>IF(SER_hh_fec_in!V30=0,0,11630*1000*SER_hh_fec_in!V30/SER_hh_num_in!V30)</f>
        <v>63665.418084827237</v>
      </c>
      <c r="W30" s="132">
        <f>IF(SER_hh_fec_in!W30=0,0,11630*1000*SER_hh_fec_in!W30/SER_hh_num_in!W30)</f>
        <v>66913.690052251201</v>
      </c>
      <c r="X30" s="132">
        <f>IF(SER_hh_fec_in!X30=0,0,11630*1000*SER_hh_fec_in!X30/SER_hh_num_in!X30)</f>
        <v>71085.677803809987</v>
      </c>
      <c r="Y30" s="132">
        <f>IF(SER_hh_fec_in!Y30=0,0,11630*1000*SER_hh_fec_in!Y30/SER_hh_num_in!Y30)</f>
        <v>67990.066307896952</v>
      </c>
      <c r="DA30" s="156" t="s">
        <v>750</v>
      </c>
    </row>
    <row r="31" spans="1:105" ht="12" customHeight="1" x14ac:dyDescent="0.25">
      <c r="A31" s="131" t="s">
        <v>149</v>
      </c>
      <c r="B31" s="132"/>
      <c r="C31" s="132">
        <f>IF(SER_hh_fec_in!C31=0,0,11630*1000*SER_hh_fec_in!C31/SER_hh_num_in!C31)</f>
        <v>55095.262970286516</v>
      </c>
      <c r="D31" s="132">
        <f>IF(SER_hh_fec_in!D31=0,0,11630*1000*SER_hh_fec_in!D31/SER_hh_num_in!D31)</f>
        <v>31666.716743425677</v>
      </c>
      <c r="E31" s="132">
        <f>IF(SER_hh_fec_in!E31=0,0,11630*1000*SER_hh_fec_in!E31/SER_hh_num_in!E31)</f>
        <v>52265.729060394726</v>
      </c>
      <c r="F31" s="132">
        <f>IF(SER_hh_fec_in!F31=0,0,11630*1000*SER_hh_fec_in!F31/SER_hh_num_in!F31)</f>
        <v>69812.922465270749</v>
      </c>
      <c r="G31" s="132">
        <f>IF(SER_hh_fec_in!G31=0,0,11630*1000*SER_hh_fec_in!G31/SER_hh_num_in!G31)</f>
        <v>56848.581853390133</v>
      </c>
      <c r="H31" s="132">
        <f>IF(SER_hh_fec_in!H31=0,0,11630*1000*SER_hh_fec_in!H31/SER_hh_num_in!H31)</f>
        <v>77894.470043417954</v>
      </c>
      <c r="I31" s="132">
        <f>IF(SER_hh_fec_in!I31=0,0,11630*1000*SER_hh_fec_in!I31/SER_hh_num_in!I31)</f>
        <v>59106.625688178698</v>
      </c>
      <c r="J31" s="132">
        <f>IF(SER_hh_fec_in!J31=0,0,11630*1000*SER_hh_fec_in!J31/SER_hh_num_in!J31)</f>
        <v>64395.238563276085</v>
      </c>
      <c r="K31" s="132">
        <f>IF(SER_hh_fec_in!K31=0,0,11630*1000*SER_hh_fec_in!K31/SER_hh_num_in!K31)</f>
        <v>67189.407451029299</v>
      </c>
      <c r="L31" s="132">
        <f>IF(SER_hh_fec_in!L31=0,0,11630*1000*SER_hh_fec_in!L31/SER_hh_num_in!L31)</f>
        <v>67367.215244116422</v>
      </c>
      <c r="M31" s="132">
        <f>IF(SER_hh_fec_in!M31=0,0,11630*1000*SER_hh_fec_in!M31/SER_hh_num_in!M31)</f>
        <v>67798.393776848025</v>
      </c>
      <c r="N31" s="132">
        <f>IF(SER_hh_fec_in!N31=0,0,11630*1000*SER_hh_fec_in!N31/SER_hh_num_in!N31)</f>
        <v>67774.674281878833</v>
      </c>
      <c r="O31" s="132">
        <f>IF(SER_hh_fec_in!O31=0,0,11630*1000*SER_hh_fec_in!O31/SER_hh_num_in!O31)</f>
        <v>69856.705445290369</v>
      </c>
      <c r="P31" s="132">
        <f>IF(SER_hh_fec_in!P31=0,0,11630*1000*SER_hh_fec_in!P31/SER_hh_num_in!P31)</f>
        <v>69054.604926684289</v>
      </c>
      <c r="Q31" s="132">
        <f>IF(SER_hh_fec_in!Q31=0,0,11630*1000*SER_hh_fec_in!Q31/SER_hh_num_in!Q31)</f>
        <v>72271.05027997728</v>
      </c>
      <c r="R31" s="132">
        <f>IF(SER_hh_fec_in!R31=0,0,11630*1000*SER_hh_fec_in!R31/SER_hh_num_in!R31)</f>
        <v>68203.895885370264</v>
      </c>
      <c r="S31" s="132">
        <f>IF(SER_hh_fec_in!S31=0,0,11630*1000*SER_hh_fec_in!S31/SER_hh_num_in!S31)</f>
        <v>70655.721515627156</v>
      </c>
      <c r="T31" s="132">
        <f>IF(SER_hh_fec_in!T31=0,0,11630*1000*SER_hh_fec_in!T31/SER_hh_num_in!T31)</f>
        <v>67492.840642440729</v>
      </c>
      <c r="U31" s="132">
        <f>IF(SER_hh_fec_in!U31=0,0,11630*1000*SER_hh_fec_in!U31/SER_hh_num_in!U31)</f>
        <v>66793.846098810114</v>
      </c>
      <c r="V31" s="132">
        <f>IF(SER_hh_fec_in!V31=0,0,11630*1000*SER_hh_fec_in!V31/SER_hh_num_in!V31)</f>
        <v>62977.434641748026</v>
      </c>
      <c r="W31" s="132">
        <f>IF(SER_hh_fec_in!W31=0,0,11630*1000*SER_hh_fec_in!W31/SER_hh_num_in!W31)</f>
        <v>65266.821609839106</v>
      </c>
      <c r="X31" s="132">
        <f>IF(SER_hh_fec_in!X31=0,0,11630*1000*SER_hh_fec_in!X31/SER_hh_num_in!X31)</f>
        <v>67711.374200044564</v>
      </c>
      <c r="Y31" s="132">
        <f>IF(SER_hh_fec_in!Y31=0,0,11630*1000*SER_hh_fec_in!Y31/SER_hh_num_in!Y31)</f>
        <v>70266.032014218086</v>
      </c>
      <c r="DA31" s="156" t="s">
        <v>751</v>
      </c>
    </row>
    <row r="32" spans="1:105" ht="12" customHeight="1" x14ac:dyDescent="0.25">
      <c r="A32" s="131" t="s">
        <v>128</v>
      </c>
      <c r="B32" s="132"/>
      <c r="C32" s="132">
        <f>IF(SER_hh_fec_in!C32=0,0,11630*1000*SER_hh_fec_in!C32/SER_hh_num_in!C32)</f>
        <v>0</v>
      </c>
      <c r="D32" s="132">
        <f>IF(SER_hh_fec_in!D32=0,0,11630*1000*SER_hh_fec_in!D32/SER_hh_num_in!D32)</f>
        <v>0</v>
      </c>
      <c r="E32" s="132">
        <f>IF(SER_hh_fec_in!E32=0,0,11630*1000*SER_hh_fec_in!E32/SER_hh_num_in!E32)</f>
        <v>0</v>
      </c>
      <c r="F32" s="132">
        <f>IF(SER_hh_fec_in!F32=0,0,11630*1000*SER_hh_fec_in!F32/SER_hh_num_in!F32)</f>
        <v>0</v>
      </c>
      <c r="G32" s="132">
        <f>IF(SER_hh_fec_in!G32=0,0,11630*1000*SER_hh_fec_in!G32/SER_hh_num_in!G32)</f>
        <v>0</v>
      </c>
      <c r="H32" s="132">
        <f>IF(SER_hh_fec_in!H32=0,0,11630*1000*SER_hh_fec_in!H32/SER_hh_num_in!H32)</f>
        <v>0</v>
      </c>
      <c r="I32" s="132">
        <f>IF(SER_hh_fec_in!I32=0,0,11630*1000*SER_hh_fec_in!I32/SER_hh_num_in!I32)</f>
        <v>0</v>
      </c>
      <c r="J32" s="132">
        <f>IF(SER_hh_fec_in!J32=0,0,11630*1000*SER_hh_fec_in!J32/SER_hh_num_in!J32)</f>
        <v>0</v>
      </c>
      <c r="K32" s="132">
        <f>IF(SER_hh_fec_in!K32=0,0,11630*1000*SER_hh_fec_in!K32/SER_hh_num_in!K32)</f>
        <v>0</v>
      </c>
      <c r="L32" s="132">
        <f>IF(SER_hh_fec_in!L32=0,0,11630*1000*SER_hh_fec_in!L32/SER_hh_num_in!L32)</f>
        <v>0</v>
      </c>
      <c r="M32" s="132">
        <f>IF(SER_hh_fec_in!M32=0,0,11630*1000*SER_hh_fec_in!M32/SER_hh_num_in!M32)</f>
        <v>0</v>
      </c>
      <c r="N32" s="132">
        <f>IF(SER_hh_fec_in!N32=0,0,11630*1000*SER_hh_fec_in!N32/SER_hh_num_in!N32)</f>
        <v>0</v>
      </c>
      <c r="O32" s="132">
        <f>IF(SER_hh_fec_in!O32=0,0,11630*1000*SER_hh_fec_in!O32/SER_hh_num_in!O32)</f>
        <v>0</v>
      </c>
      <c r="P32" s="132">
        <f>IF(SER_hh_fec_in!P32=0,0,11630*1000*SER_hh_fec_in!P32/SER_hh_num_in!P32)</f>
        <v>0</v>
      </c>
      <c r="Q32" s="132">
        <f>IF(SER_hh_fec_in!Q32=0,0,11630*1000*SER_hh_fec_in!Q32/SER_hh_num_in!Q32)</f>
        <v>0</v>
      </c>
      <c r="R32" s="132">
        <f>IF(SER_hh_fec_in!R32=0,0,11630*1000*SER_hh_fec_in!R32/SER_hh_num_in!R32)</f>
        <v>0</v>
      </c>
      <c r="S32" s="132">
        <f>IF(SER_hh_fec_in!S32=0,0,11630*1000*SER_hh_fec_in!S32/SER_hh_num_in!S32)</f>
        <v>0</v>
      </c>
      <c r="T32" s="132">
        <f>IF(SER_hh_fec_in!T32=0,0,11630*1000*SER_hh_fec_in!T32/SER_hh_num_in!T32)</f>
        <v>0</v>
      </c>
      <c r="U32" s="132">
        <f>IF(SER_hh_fec_in!U32=0,0,11630*1000*SER_hh_fec_in!U32/SER_hh_num_in!U32)</f>
        <v>0</v>
      </c>
      <c r="V32" s="132">
        <f>IF(SER_hh_fec_in!V32=0,0,11630*1000*SER_hh_fec_in!V32/SER_hh_num_in!V32)</f>
        <v>0</v>
      </c>
      <c r="W32" s="132">
        <f>IF(SER_hh_fec_in!W32=0,0,11630*1000*SER_hh_fec_in!W32/SER_hh_num_in!W32)</f>
        <v>0</v>
      </c>
      <c r="X32" s="132">
        <f>IF(SER_hh_fec_in!X32=0,0,11630*1000*SER_hh_fec_in!X32/SER_hh_num_in!X32)</f>
        <v>0</v>
      </c>
      <c r="Y32" s="132">
        <f>IF(SER_hh_fec_in!Y32=0,0,11630*1000*SER_hh_fec_in!Y32/SER_hh_num_in!Y32)</f>
        <v>0</v>
      </c>
      <c r="DA32" s="156" t="s">
        <v>752</v>
      </c>
    </row>
    <row r="33" spans="1:105" ht="12" customHeight="1" x14ac:dyDescent="0.25">
      <c r="A33" s="62" t="s">
        <v>24</v>
      </c>
      <c r="B33" s="68"/>
      <c r="C33" s="68">
        <f>IF(SER_hh_fec_in!C33=0,0,11630*1000*SER_hh_fec_in!C33/SER_hh_num_in!C33)</f>
        <v>46667.06564441017</v>
      </c>
      <c r="D33" s="68">
        <f>IF(SER_hh_fec_in!D33=0,0,11630*1000*SER_hh_fec_in!D33/SER_hh_num_in!D33)</f>
        <v>0</v>
      </c>
      <c r="E33" s="68">
        <f>IF(SER_hh_fec_in!E33=0,0,11630*1000*SER_hh_fec_in!E33/SER_hh_num_in!E33)</f>
        <v>0</v>
      </c>
      <c r="F33" s="68">
        <f>IF(SER_hh_fec_in!F33=0,0,11630*1000*SER_hh_fec_in!F33/SER_hh_num_in!F33)</f>
        <v>0</v>
      </c>
      <c r="G33" s="68">
        <f>IF(SER_hh_fec_in!G33=0,0,11630*1000*SER_hh_fec_in!G33/SER_hh_num_in!G33)</f>
        <v>0</v>
      </c>
      <c r="H33" s="68">
        <f>IF(SER_hh_fec_in!H33=0,0,11630*1000*SER_hh_fec_in!H33/SER_hh_num_in!H33)</f>
        <v>40767.535395968654</v>
      </c>
      <c r="I33" s="68">
        <f>IF(SER_hh_fec_in!I33=0,0,11630*1000*SER_hh_fec_in!I33/SER_hh_num_in!I33)</f>
        <v>23677.725184421877</v>
      </c>
      <c r="J33" s="68">
        <f>IF(SER_hh_fec_in!J33=0,0,11630*1000*SER_hh_fec_in!J33/SER_hh_num_in!J33)</f>
        <v>59084.491922882888</v>
      </c>
      <c r="K33" s="68">
        <f>IF(SER_hh_fec_in!K33=0,0,11630*1000*SER_hh_fec_in!K33/SER_hh_num_in!K33)</f>
        <v>54726.995051635065</v>
      </c>
      <c r="L33" s="68">
        <f>IF(SER_hh_fec_in!L33=0,0,11630*1000*SER_hh_fec_in!L33/SER_hh_num_in!L33)</f>
        <v>49811.973429957761</v>
      </c>
      <c r="M33" s="68">
        <f>IF(SER_hh_fec_in!M33=0,0,11630*1000*SER_hh_fec_in!M33/SER_hh_num_in!M33)</f>
        <v>51025.015855738769</v>
      </c>
      <c r="N33" s="68">
        <f>IF(SER_hh_fec_in!N33=0,0,11630*1000*SER_hh_fec_in!N33/SER_hh_num_in!N33)</f>
        <v>51493.313578684167</v>
      </c>
      <c r="O33" s="68">
        <f>IF(SER_hh_fec_in!O33=0,0,11630*1000*SER_hh_fec_in!O33/SER_hh_num_in!O33)</f>
        <v>53458.791211324948</v>
      </c>
      <c r="P33" s="68">
        <f>IF(SER_hh_fec_in!P33=0,0,11630*1000*SER_hh_fec_in!P33/SER_hh_num_in!P33)</f>
        <v>53919.003195949466</v>
      </c>
      <c r="Q33" s="68">
        <f>IF(SER_hh_fec_in!Q33=0,0,11630*1000*SER_hh_fec_in!Q33/SER_hh_num_in!Q33)</f>
        <v>52378.095628199735</v>
      </c>
      <c r="R33" s="68">
        <f>IF(SER_hh_fec_in!R33=0,0,11630*1000*SER_hh_fec_in!R33/SER_hh_num_in!R33)</f>
        <v>50996.020726531657</v>
      </c>
      <c r="S33" s="68">
        <f>IF(SER_hh_fec_in!S33=0,0,11630*1000*SER_hh_fec_in!S33/SER_hh_num_in!S33)</f>
        <v>46914.821923081821</v>
      </c>
      <c r="T33" s="68">
        <f>IF(SER_hh_fec_in!T33=0,0,11630*1000*SER_hh_fec_in!T33/SER_hh_num_in!T33)</f>
        <v>47785.651184840593</v>
      </c>
      <c r="U33" s="68">
        <f>IF(SER_hh_fec_in!U33=0,0,11630*1000*SER_hh_fec_in!U33/SER_hh_num_in!U33)</f>
        <v>47368.098515930775</v>
      </c>
      <c r="V33" s="68">
        <f>IF(SER_hh_fec_in!V33=0,0,11630*1000*SER_hh_fec_in!V33/SER_hh_num_in!V33)</f>
        <v>41096.550571015032</v>
      </c>
      <c r="W33" s="68">
        <f>IF(SER_hh_fec_in!W33=0,0,11630*1000*SER_hh_fec_in!W33/SER_hh_num_in!W33)</f>
        <v>43932.595826311554</v>
      </c>
      <c r="X33" s="68">
        <f>IF(SER_hh_fec_in!X33=0,0,11630*1000*SER_hh_fec_in!X33/SER_hh_num_in!X33)</f>
        <v>46949.574538951216</v>
      </c>
      <c r="Y33" s="68">
        <f>IF(SER_hh_fec_in!Y33=0,0,11630*1000*SER_hh_fec_in!Y33/SER_hh_num_in!Y33)</f>
        <v>48024.002526431075</v>
      </c>
      <c r="DA33" s="111" t="s">
        <v>753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6">
    <tabColor theme="6" tint="0.79998168889431442"/>
    <pageSetUpPr fitToPage="1"/>
  </sheetPr>
  <dimension ref="A1:DA33"/>
  <sheetViews>
    <sheetView showGridLines="0" zoomScaleNormal="100" workbookViewId="0">
      <pane xSplit="1" ySplit="1" topLeftCell="G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40.7109375" style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25.5" customHeight="1" x14ac:dyDescent="0.25">
      <c r="A1" s="28" t="s">
        <v>754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X1" s="27">
        <v>2022</v>
      </c>
      <c r="Y1" s="27">
        <v>2023</v>
      </c>
      <c r="DA1" s="87" t="s">
        <v>150</v>
      </c>
    </row>
    <row r="2" spans="1:105" s="2" customFormat="1" ht="12" customHeight="1" x14ac:dyDescent="0.25">
      <c r="DA2" s="7"/>
    </row>
    <row r="3" spans="1:105" ht="12.95" customHeight="1" x14ac:dyDescent="0.25">
      <c r="A3" s="123" t="s">
        <v>88</v>
      </c>
      <c r="B3" s="125"/>
      <c r="C3" s="125">
        <f>IF(SER_hh_tes_in!C3=0,0,11630*1000*SER_hh_tes_in!C3/SER_hh_num_in!C3)</f>
        <v>238683.44035159016</v>
      </c>
      <c r="D3" s="125">
        <f>IF(SER_hh_tes_in!D3=0,0,11630*1000*SER_hh_tes_in!D3/SER_hh_num_in!D3)</f>
        <v>145728.27097066364</v>
      </c>
      <c r="E3" s="125">
        <f>IF(SER_hh_tes_in!E3=0,0,11630*1000*SER_hh_tes_in!E3/SER_hh_num_in!E3)</f>
        <v>212948.35997903877</v>
      </c>
      <c r="F3" s="125">
        <f>IF(SER_hh_tes_in!F3=0,0,11630*1000*SER_hh_tes_in!F3/SER_hh_num_in!F3)</f>
        <v>244577.89424777095</v>
      </c>
      <c r="G3" s="125">
        <f>IF(SER_hh_tes_in!G3=0,0,11630*1000*SER_hh_tes_in!G3/SER_hh_num_in!G3)</f>
        <v>251318.78017282081</v>
      </c>
      <c r="H3" s="125">
        <f>IF(SER_hh_tes_in!H3=0,0,11630*1000*SER_hh_tes_in!H3/SER_hh_num_in!H3)</f>
        <v>371279.83747397631</v>
      </c>
      <c r="I3" s="125">
        <f>IF(SER_hh_tes_in!I3=0,0,11630*1000*SER_hh_tes_in!I3/SER_hh_num_in!I3)</f>
        <v>276658.62589107838</v>
      </c>
      <c r="J3" s="125">
        <f>IF(SER_hh_tes_in!J3=0,0,11630*1000*SER_hh_tes_in!J3/SER_hh_num_in!J3)</f>
        <v>241465.06517423381</v>
      </c>
      <c r="K3" s="125">
        <f>IF(SER_hh_tes_in!K3=0,0,11630*1000*SER_hh_tes_in!K3/SER_hh_num_in!K3)</f>
        <v>219604.66351651828</v>
      </c>
      <c r="L3" s="125">
        <f>IF(SER_hh_tes_in!L3=0,0,11630*1000*SER_hh_tes_in!L3/SER_hh_num_in!L3)</f>
        <v>219460.78281139</v>
      </c>
      <c r="M3" s="125">
        <f>IF(SER_hh_tes_in!M3=0,0,11630*1000*SER_hh_tes_in!M3/SER_hh_num_in!M3)</f>
        <v>206932.19692539642</v>
      </c>
      <c r="N3" s="125">
        <f>IF(SER_hh_tes_in!N3=0,0,11630*1000*SER_hh_tes_in!N3/SER_hh_num_in!N3)</f>
        <v>207303.01447395698</v>
      </c>
      <c r="O3" s="125">
        <f>IF(SER_hh_tes_in!O3=0,0,11630*1000*SER_hh_tes_in!O3/SER_hh_num_in!O3)</f>
        <v>177628.50441073169</v>
      </c>
      <c r="P3" s="125">
        <f>IF(SER_hh_tes_in!P3=0,0,11630*1000*SER_hh_tes_in!P3/SER_hh_num_in!P3)</f>
        <v>163671.53926643435</v>
      </c>
      <c r="Q3" s="125">
        <f>IF(SER_hh_tes_in!Q3=0,0,11630*1000*SER_hh_tes_in!Q3/SER_hh_num_in!Q3)</f>
        <v>163483.49476958218</v>
      </c>
      <c r="R3" s="125">
        <f>IF(SER_hh_tes_in!R3=0,0,11630*1000*SER_hh_tes_in!R3/SER_hh_num_in!R3)</f>
        <v>156078.90479643768</v>
      </c>
      <c r="S3" s="125">
        <f>IF(SER_hh_tes_in!S3=0,0,11630*1000*SER_hh_tes_in!S3/SER_hh_num_in!S3)</f>
        <v>158272.59698122452</v>
      </c>
      <c r="T3" s="125">
        <f>IF(SER_hh_tes_in!T3=0,0,11630*1000*SER_hh_tes_in!T3/SER_hh_num_in!T3)</f>
        <v>156062.26392199477</v>
      </c>
      <c r="U3" s="125">
        <f>IF(SER_hh_tes_in!U3=0,0,11630*1000*SER_hh_tes_in!U3/SER_hh_num_in!U3)</f>
        <v>153491.69990277133</v>
      </c>
      <c r="V3" s="125">
        <f>IF(SER_hh_tes_in!V3=0,0,11630*1000*SER_hh_tes_in!V3/SER_hh_num_in!V3)</f>
        <v>137025.71992464771</v>
      </c>
      <c r="W3" s="125">
        <f>IF(SER_hh_tes_in!W3=0,0,11630*1000*SER_hh_tes_in!W3/SER_hh_num_in!W3)</f>
        <v>145505.83364916005</v>
      </c>
      <c r="X3" s="125">
        <f>IF(SER_hh_tes_in!X3=0,0,11630*1000*SER_hh_tes_in!X3/SER_hh_num_in!X3)</f>
        <v>137621.52820664019</v>
      </c>
      <c r="Y3" s="125">
        <f>IF(SER_hh_tes_in!Y3=0,0,11630*1000*SER_hh_tes_in!Y3/SER_hh_num_in!Y3)</f>
        <v>185334.00277962966</v>
      </c>
      <c r="DA3" s="154" t="s">
        <v>755</v>
      </c>
    </row>
    <row r="4" spans="1:105" ht="12.95" customHeight="1" x14ac:dyDescent="0.25">
      <c r="A4" s="129" t="s">
        <v>32</v>
      </c>
      <c r="B4" s="130"/>
      <c r="C4" s="130">
        <f>IF(SER_hh_tes_in!C4=0,0,11630*1000*SER_hh_tes_in!C4/SER_hh_num_in!C4)</f>
        <v>172977.00228038675</v>
      </c>
      <c r="D4" s="130">
        <f>IF(SER_hh_tes_in!D4=0,0,11630*1000*SER_hh_tes_in!D4/SER_hh_num_in!D4)</f>
        <v>109536.58743933262</v>
      </c>
      <c r="E4" s="130">
        <f>IF(SER_hh_tes_in!E4=0,0,11630*1000*SER_hh_tes_in!E4/SER_hh_num_in!E4)</f>
        <v>152054.08861521745</v>
      </c>
      <c r="F4" s="130">
        <f>IF(SER_hh_tes_in!F4=0,0,11630*1000*SER_hh_tes_in!F4/SER_hh_num_in!F4)</f>
        <v>165644.28579519229</v>
      </c>
      <c r="G4" s="130">
        <f>IF(SER_hh_tes_in!G4=0,0,11630*1000*SER_hh_tes_in!G4/SER_hh_num_in!G4)</f>
        <v>183536.65186081608</v>
      </c>
      <c r="H4" s="130">
        <f>IF(SER_hh_tes_in!H4=0,0,11630*1000*SER_hh_tes_in!H4/SER_hh_num_in!H4)</f>
        <v>297345.09186784533</v>
      </c>
      <c r="I4" s="130">
        <f>IF(SER_hh_tes_in!I4=0,0,11630*1000*SER_hh_tes_in!I4/SER_hh_num_in!I4)</f>
        <v>204201.28890190998</v>
      </c>
      <c r="J4" s="130">
        <f>IF(SER_hh_tes_in!J4=0,0,11630*1000*SER_hh_tes_in!J4/SER_hh_num_in!J4)</f>
        <v>150014.40604840865</v>
      </c>
      <c r="K4" s="130">
        <f>IF(SER_hh_tes_in!K4=0,0,11630*1000*SER_hh_tes_in!K4/SER_hh_num_in!K4)</f>
        <v>127365.57589168438</v>
      </c>
      <c r="L4" s="130">
        <f>IF(SER_hh_tes_in!L4=0,0,11630*1000*SER_hh_tes_in!L4/SER_hh_num_in!L4)</f>
        <v>138204.66455348465</v>
      </c>
      <c r="M4" s="130">
        <f>IF(SER_hh_tes_in!M4=0,0,11630*1000*SER_hh_tes_in!M4/SER_hh_num_in!M4)</f>
        <v>122717.38952057849</v>
      </c>
      <c r="N4" s="130">
        <f>IF(SER_hh_tes_in!N4=0,0,11630*1000*SER_hh_tes_in!N4/SER_hh_num_in!N4)</f>
        <v>105563.88938498391</v>
      </c>
      <c r="O4" s="130">
        <f>IF(SER_hh_tes_in!O4=0,0,11630*1000*SER_hh_tes_in!O4/SER_hh_num_in!O4)</f>
        <v>93676.950646964688</v>
      </c>
      <c r="P4" s="130">
        <f>IF(SER_hh_tes_in!P4=0,0,11630*1000*SER_hh_tes_in!P4/SER_hh_num_in!P4)</f>
        <v>77786.406788874185</v>
      </c>
      <c r="Q4" s="130">
        <f>IF(SER_hh_tes_in!Q4=0,0,11630*1000*SER_hh_tes_in!Q4/SER_hh_num_in!Q4)</f>
        <v>76296.035803494189</v>
      </c>
      <c r="R4" s="130">
        <f>IF(SER_hh_tes_in!R4=0,0,11630*1000*SER_hh_tes_in!R4/SER_hh_num_in!R4)</f>
        <v>73062.403944040125</v>
      </c>
      <c r="S4" s="130">
        <f>IF(SER_hh_tes_in!S4=0,0,11630*1000*SER_hh_tes_in!S4/SER_hh_num_in!S4)</f>
        <v>73920.327721334892</v>
      </c>
      <c r="T4" s="130">
        <f>IF(SER_hh_tes_in!T4=0,0,11630*1000*SER_hh_tes_in!T4/SER_hh_num_in!T4)</f>
        <v>70081.472625444483</v>
      </c>
      <c r="U4" s="130">
        <f>IF(SER_hh_tes_in!U4=0,0,11630*1000*SER_hh_tes_in!U4/SER_hh_num_in!U4)</f>
        <v>63287.879474253765</v>
      </c>
      <c r="V4" s="130">
        <f>IF(SER_hh_tes_in!V4=0,0,11630*1000*SER_hh_tes_in!V4/SER_hh_num_in!V4)</f>
        <v>52610.522680920898</v>
      </c>
      <c r="W4" s="130">
        <f>IF(SER_hh_tes_in!W4=0,0,11630*1000*SER_hh_tes_in!W4/SER_hh_num_in!W4)</f>
        <v>51627.806939229646</v>
      </c>
      <c r="X4" s="130">
        <f>IF(SER_hh_tes_in!X4=0,0,11630*1000*SER_hh_tes_in!X4/SER_hh_num_in!X4)</f>
        <v>42430.174078176584</v>
      </c>
      <c r="Y4" s="130">
        <f>IF(SER_hh_tes_in!Y4=0,0,11630*1000*SER_hh_tes_in!Y4/SER_hh_num_in!Y4)</f>
        <v>84304.289772193559</v>
      </c>
      <c r="DA4" s="155" t="s">
        <v>756</v>
      </c>
    </row>
    <row r="5" spans="1:105" ht="12" customHeight="1" x14ac:dyDescent="0.25">
      <c r="A5" s="131" t="s">
        <v>29</v>
      </c>
      <c r="B5" s="132"/>
      <c r="C5" s="132">
        <f>IF(SER_hh_tes_in!C5=0,0,11630*1000*SER_hh_tes_in!C5/SER_hh_num_in!C5)</f>
        <v>211616.69953616487</v>
      </c>
      <c r="D5" s="132">
        <f>IF(SER_hh_tes_in!D5=0,0,11630*1000*SER_hh_tes_in!D5/SER_hh_num_in!D5)</f>
        <v>134172.73622414091</v>
      </c>
      <c r="E5" s="132">
        <f>IF(SER_hh_tes_in!E5=0,0,11630*1000*SER_hh_tes_in!E5/SER_hh_num_in!E5)</f>
        <v>0</v>
      </c>
      <c r="F5" s="132">
        <f>IF(SER_hh_tes_in!F5=0,0,11630*1000*SER_hh_tes_in!F5/SER_hh_num_in!F5)</f>
        <v>0</v>
      </c>
      <c r="G5" s="132">
        <f>IF(SER_hh_tes_in!G5=0,0,11630*1000*SER_hh_tes_in!G5/SER_hh_num_in!G5)</f>
        <v>0</v>
      </c>
      <c r="H5" s="132">
        <f>IF(SER_hh_tes_in!H5=0,0,11630*1000*SER_hh_tes_in!H5/SER_hh_num_in!H5)</f>
        <v>375622.20347961388</v>
      </c>
      <c r="I5" s="132">
        <f>IF(SER_hh_tes_in!I5=0,0,11630*1000*SER_hh_tes_in!I5/SER_hh_num_in!I5)</f>
        <v>0</v>
      </c>
      <c r="J5" s="132">
        <f>IF(SER_hh_tes_in!J5=0,0,11630*1000*SER_hh_tes_in!J5/SER_hh_num_in!J5)</f>
        <v>0</v>
      </c>
      <c r="K5" s="132">
        <f>IF(SER_hh_tes_in!K5=0,0,11630*1000*SER_hh_tes_in!K5/SER_hh_num_in!K5)</f>
        <v>0</v>
      </c>
      <c r="L5" s="132">
        <f>IF(SER_hh_tes_in!L5=0,0,11630*1000*SER_hh_tes_in!L5/SER_hh_num_in!L5)</f>
        <v>135116.16060181439</v>
      </c>
      <c r="M5" s="132">
        <f>IF(SER_hh_tes_in!M5=0,0,11630*1000*SER_hh_tes_in!M5/SER_hh_num_in!M5)</f>
        <v>144616.64155424727</v>
      </c>
      <c r="N5" s="132">
        <f>IF(SER_hh_tes_in!N5=0,0,11630*1000*SER_hh_tes_in!N5/SER_hh_num_in!N5)</f>
        <v>76348.886414043009</v>
      </c>
      <c r="O5" s="132">
        <f>IF(SER_hh_tes_in!O5=0,0,11630*1000*SER_hh_tes_in!O5/SER_hh_num_in!O5)</f>
        <v>113015.36055781452</v>
      </c>
      <c r="P5" s="132">
        <f>IF(SER_hh_tes_in!P5=0,0,11630*1000*SER_hh_tes_in!P5/SER_hh_num_in!P5)</f>
        <v>68195.426555452897</v>
      </c>
      <c r="Q5" s="132">
        <f>IF(SER_hh_tes_in!Q5=0,0,11630*1000*SER_hh_tes_in!Q5/SER_hh_num_in!Q5)</f>
        <v>68686.99440885082</v>
      </c>
      <c r="R5" s="132">
        <f>IF(SER_hh_tes_in!R5=0,0,11630*1000*SER_hh_tes_in!R5/SER_hh_num_in!R5)</f>
        <v>117006.38392228093</v>
      </c>
      <c r="S5" s="132">
        <f>IF(SER_hh_tes_in!S5=0,0,11630*1000*SER_hh_tes_in!S5/SER_hh_num_in!S5)</f>
        <v>0</v>
      </c>
      <c r="T5" s="132">
        <f>IF(SER_hh_tes_in!T5=0,0,11630*1000*SER_hh_tes_in!T5/SER_hh_num_in!T5)</f>
        <v>106570.4318711744</v>
      </c>
      <c r="U5" s="132">
        <f>IF(SER_hh_tes_in!U5=0,0,11630*1000*SER_hh_tes_in!U5/SER_hh_num_in!U5)</f>
        <v>0</v>
      </c>
      <c r="V5" s="132">
        <f>IF(SER_hh_tes_in!V5=0,0,11630*1000*SER_hh_tes_in!V5/SER_hh_num_in!V5)</f>
        <v>0</v>
      </c>
      <c r="W5" s="132">
        <f>IF(SER_hh_tes_in!W5=0,0,11630*1000*SER_hh_tes_in!W5/SER_hh_num_in!W5)</f>
        <v>0</v>
      </c>
      <c r="X5" s="132">
        <f>IF(SER_hh_tes_in!X5=0,0,11630*1000*SER_hh_tes_in!X5/SER_hh_num_in!X5)</f>
        <v>0</v>
      </c>
      <c r="Y5" s="132">
        <f>IF(SER_hh_tes_in!Y5=0,0,11630*1000*SER_hh_tes_in!Y5/SER_hh_num_in!Y5)</f>
        <v>0</v>
      </c>
      <c r="DA5" s="156" t="s">
        <v>757</v>
      </c>
    </row>
    <row r="6" spans="1:105" ht="12" customHeight="1" x14ac:dyDescent="0.25">
      <c r="A6" s="131" t="s">
        <v>52</v>
      </c>
      <c r="B6" s="132"/>
      <c r="C6" s="132">
        <f>IF(SER_hh_tes_in!C6=0,0,11630*1000*SER_hh_tes_in!C6/SER_hh_num_in!C6)</f>
        <v>0</v>
      </c>
      <c r="D6" s="132">
        <f>IF(SER_hh_tes_in!D6=0,0,11630*1000*SER_hh_tes_in!D6/SER_hh_num_in!D6)</f>
        <v>0</v>
      </c>
      <c r="E6" s="132">
        <f>IF(SER_hh_tes_in!E6=0,0,11630*1000*SER_hh_tes_in!E6/SER_hh_num_in!E6)</f>
        <v>0</v>
      </c>
      <c r="F6" s="132">
        <f>IF(SER_hh_tes_in!F6=0,0,11630*1000*SER_hh_tes_in!F6/SER_hh_num_in!F6)</f>
        <v>0</v>
      </c>
      <c r="G6" s="132">
        <f>IF(SER_hh_tes_in!G6=0,0,11630*1000*SER_hh_tes_in!G6/SER_hh_num_in!G6)</f>
        <v>0</v>
      </c>
      <c r="H6" s="132">
        <f>IF(SER_hh_tes_in!H6=0,0,11630*1000*SER_hh_tes_in!H6/SER_hh_num_in!H6)</f>
        <v>0</v>
      </c>
      <c r="I6" s="132">
        <f>IF(SER_hh_tes_in!I6=0,0,11630*1000*SER_hh_tes_in!I6/SER_hh_num_in!I6)</f>
        <v>0</v>
      </c>
      <c r="J6" s="132">
        <f>IF(SER_hh_tes_in!J6=0,0,11630*1000*SER_hh_tes_in!J6/SER_hh_num_in!J6)</f>
        <v>0</v>
      </c>
      <c r="K6" s="132">
        <f>IF(SER_hh_tes_in!K6=0,0,11630*1000*SER_hh_tes_in!K6/SER_hh_num_in!K6)</f>
        <v>0</v>
      </c>
      <c r="L6" s="132">
        <f>IF(SER_hh_tes_in!L6=0,0,11630*1000*SER_hh_tes_in!L6/SER_hh_num_in!L6)</f>
        <v>0</v>
      </c>
      <c r="M6" s="132">
        <f>IF(SER_hh_tes_in!M6=0,0,11630*1000*SER_hh_tes_in!M6/SER_hh_num_in!M6)</f>
        <v>0</v>
      </c>
      <c r="N6" s="132">
        <f>IF(SER_hh_tes_in!N6=0,0,11630*1000*SER_hh_tes_in!N6/SER_hh_num_in!N6)</f>
        <v>0</v>
      </c>
      <c r="O6" s="132">
        <f>IF(SER_hh_tes_in!O6=0,0,11630*1000*SER_hh_tes_in!O6/SER_hh_num_in!O6)</f>
        <v>0</v>
      </c>
      <c r="P6" s="132">
        <f>IF(SER_hh_tes_in!P6=0,0,11630*1000*SER_hh_tes_in!P6/SER_hh_num_in!P6)</f>
        <v>0</v>
      </c>
      <c r="Q6" s="132">
        <f>IF(SER_hh_tes_in!Q6=0,0,11630*1000*SER_hh_tes_in!Q6/SER_hh_num_in!Q6)</f>
        <v>0</v>
      </c>
      <c r="R6" s="132">
        <f>IF(SER_hh_tes_in!R6=0,0,11630*1000*SER_hh_tes_in!R6/SER_hh_num_in!R6)</f>
        <v>0</v>
      </c>
      <c r="S6" s="132">
        <f>IF(SER_hh_tes_in!S6=0,0,11630*1000*SER_hh_tes_in!S6/SER_hh_num_in!S6)</f>
        <v>0</v>
      </c>
      <c r="T6" s="132">
        <f>IF(SER_hh_tes_in!T6=0,0,11630*1000*SER_hh_tes_in!T6/SER_hh_num_in!T6)</f>
        <v>0</v>
      </c>
      <c r="U6" s="132">
        <f>IF(SER_hh_tes_in!U6=0,0,11630*1000*SER_hh_tes_in!U6/SER_hh_num_in!U6)</f>
        <v>0</v>
      </c>
      <c r="V6" s="132">
        <f>IF(SER_hh_tes_in!V6=0,0,11630*1000*SER_hh_tes_in!V6/SER_hh_num_in!V6)</f>
        <v>0</v>
      </c>
      <c r="W6" s="132">
        <f>IF(SER_hh_tes_in!W6=0,0,11630*1000*SER_hh_tes_in!W6/SER_hh_num_in!W6)</f>
        <v>0</v>
      </c>
      <c r="X6" s="132">
        <f>IF(SER_hh_tes_in!X6=0,0,11630*1000*SER_hh_tes_in!X6/SER_hh_num_in!X6)</f>
        <v>0</v>
      </c>
      <c r="Y6" s="132">
        <f>IF(SER_hh_tes_in!Y6=0,0,11630*1000*SER_hh_tes_in!Y6/SER_hh_num_in!Y6)</f>
        <v>0</v>
      </c>
      <c r="DA6" s="156" t="s">
        <v>758</v>
      </c>
    </row>
    <row r="7" spans="1:105" ht="12" customHeight="1" x14ac:dyDescent="0.25">
      <c r="A7" s="131" t="s">
        <v>161</v>
      </c>
      <c r="B7" s="132"/>
      <c r="C7" s="132">
        <f>IF(SER_hh_tes_in!C7=0,0,11630*1000*SER_hh_tes_in!C7/SER_hh_num_in!C7)</f>
        <v>116531.26471047192</v>
      </c>
      <c r="D7" s="132">
        <f>IF(SER_hh_tes_in!D7=0,0,11630*1000*SER_hh_tes_in!D7/SER_hh_num_in!D7)</f>
        <v>122528.36672421038</v>
      </c>
      <c r="E7" s="132">
        <f>IF(SER_hh_tes_in!E7=0,0,11630*1000*SER_hh_tes_in!E7/SER_hh_num_in!E7)</f>
        <v>108377.26524034151</v>
      </c>
      <c r="F7" s="132">
        <f>IF(SER_hh_tes_in!F7=0,0,11630*1000*SER_hh_tes_in!F7/SER_hh_num_in!F7)</f>
        <v>183512.55934745871</v>
      </c>
      <c r="G7" s="132">
        <f>IF(SER_hh_tes_in!G7=0,0,11630*1000*SER_hh_tes_in!G7/SER_hh_num_in!G7)</f>
        <v>0</v>
      </c>
      <c r="H7" s="132">
        <f>IF(SER_hh_tes_in!H7=0,0,11630*1000*SER_hh_tes_in!H7/SER_hh_num_in!H7)</f>
        <v>0</v>
      </c>
      <c r="I7" s="132">
        <f>IF(SER_hh_tes_in!I7=0,0,11630*1000*SER_hh_tes_in!I7/SER_hh_num_in!I7)</f>
        <v>0</v>
      </c>
      <c r="J7" s="132">
        <f>IF(SER_hh_tes_in!J7=0,0,11630*1000*SER_hh_tes_in!J7/SER_hh_num_in!J7)</f>
        <v>0</v>
      </c>
      <c r="K7" s="132">
        <f>IF(SER_hh_tes_in!K7=0,0,11630*1000*SER_hh_tes_in!K7/SER_hh_num_in!K7)</f>
        <v>0</v>
      </c>
      <c r="L7" s="132">
        <f>IF(SER_hh_tes_in!L7=0,0,11630*1000*SER_hh_tes_in!L7/SER_hh_num_in!L7)</f>
        <v>83226.574127507658</v>
      </c>
      <c r="M7" s="132">
        <f>IF(SER_hh_tes_in!M7=0,0,11630*1000*SER_hh_tes_in!M7/SER_hh_num_in!M7)</f>
        <v>142492.24452910168</v>
      </c>
      <c r="N7" s="132">
        <f>IF(SER_hh_tes_in!N7=0,0,11630*1000*SER_hh_tes_in!N7/SER_hh_num_in!N7)</f>
        <v>109584.37957214715</v>
      </c>
      <c r="O7" s="132">
        <f>IF(SER_hh_tes_in!O7=0,0,11630*1000*SER_hh_tes_in!O7/SER_hh_num_in!O7)</f>
        <v>80305.174732230138</v>
      </c>
      <c r="P7" s="132">
        <f>IF(SER_hh_tes_in!P7=0,0,11630*1000*SER_hh_tes_in!P7/SER_hh_num_in!P7)</f>
        <v>71066.950174249505</v>
      </c>
      <c r="Q7" s="132">
        <f>IF(SER_hh_tes_in!Q7=0,0,11630*1000*SER_hh_tes_in!Q7/SER_hh_num_in!Q7)</f>
        <v>69767.145254495146</v>
      </c>
      <c r="R7" s="132">
        <f>IF(SER_hh_tes_in!R7=0,0,11630*1000*SER_hh_tes_in!R7/SER_hh_num_in!R7)</f>
        <v>64898.107923178875</v>
      </c>
      <c r="S7" s="132">
        <f>IF(SER_hh_tes_in!S7=0,0,11630*1000*SER_hh_tes_in!S7/SER_hh_num_in!S7)</f>
        <v>75646.643642180279</v>
      </c>
      <c r="T7" s="132">
        <f>IF(SER_hh_tes_in!T7=0,0,11630*1000*SER_hh_tes_in!T7/SER_hh_num_in!T7)</f>
        <v>71972.032024960048</v>
      </c>
      <c r="U7" s="132">
        <f>IF(SER_hh_tes_in!U7=0,0,11630*1000*SER_hh_tes_in!U7/SER_hh_num_in!U7)</f>
        <v>62010.637892156308</v>
      </c>
      <c r="V7" s="132">
        <f>IF(SER_hh_tes_in!V7=0,0,11630*1000*SER_hh_tes_in!V7/SER_hh_num_in!V7)</f>
        <v>47676.833185827309</v>
      </c>
      <c r="W7" s="132">
        <f>IF(SER_hh_tes_in!W7=0,0,11630*1000*SER_hh_tes_in!W7/SER_hh_num_in!W7)</f>
        <v>56464.241206628627</v>
      </c>
      <c r="X7" s="132">
        <f>IF(SER_hh_tes_in!X7=0,0,11630*1000*SER_hh_tes_in!X7/SER_hh_num_in!X7)</f>
        <v>46652.84138062194</v>
      </c>
      <c r="Y7" s="132">
        <f>IF(SER_hh_tes_in!Y7=0,0,11630*1000*SER_hh_tes_in!Y7/SER_hh_num_in!Y7)</f>
        <v>49074.914715485524</v>
      </c>
      <c r="DA7" s="156" t="s">
        <v>759</v>
      </c>
    </row>
    <row r="8" spans="1:105" ht="12" customHeight="1" x14ac:dyDescent="0.25">
      <c r="A8" s="131" t="s">
        <v>73</v>
      </c>
      <c r="B8" s="132"/>
      <c r="C8" s="132">
        <f>IF(SER_hh_tes_in!C8=0,0,11630*1000*SER_hh_tes_in!C8/SER_hh_num_in!C8)</f>
        <v>0</v>
      </c>
      <c r="D8" s="132">
        <f>IF(SER_hh_tes_in!D8=0,0,11630*1000*SER_hh_tes_in!D8/SER_hh_num_in!D8)</f>
        <v>0</v>
      </c>
      <c r="E8" s="132">
        <f>IF(SER_hh_tes_in!E8=0,0,11630*1000*SER_hh_tes_in!E8/SER_hh_num_in!E8)</f>
        <v>0</v>
      </c>
      <c r="F8" s="132">
        <f>IF(SER_hh_tes_in!F8=0,0,11630*1000*SER_hh_tes_in!F8/SER_hh_num_in!F8)</f>
        <v>0</v>
      </c>
      <c r="G8" s="132">
        <f>IF(SER_hh_tes_in!G8=0,0,11630*1000*SER_hh_tes_in!G8/SER_hh_num_in!G8)</f>
        <v>0</v>
      </c>
      <c r="H8" s="132">
        <f>IF(SER_hh_tes_in!H8=0,0,11630*1000*SER_hh_tes_in!H8/SER_hh_num_in!H8)</f>
        <v>0</v>
      </c>
      <c r="I8" s="132">
        <f>IF(SER_hh_tes_in!I8=0,0,11630*1000*SER_hh_tes_in!I8/SER_hh_num_in!I8)</f>
        <v>0</v>
      </c>
      <c r="J8" s="132">
        <f>IF(SER_hh_tes_in!J8=0,0,11630*1000*SER_hh_tes_in!J8/SER_hh_num_in!J8)</f>
        <v>0</v>
      </c>
      <c r="K8" s="132">
        <f>IF(SER_hh_tes_in!K8=0,0,11630*1000*SER_hh_tes_in!K8/SER_hh_num_in!K8)</f>
        <v>0</v>
      </c>
      <c r="L8" s="132">
        <f>IF(SER_hh_tes_in!L8=0,0,11630*1000*SER_hh_tes_in!L8/SER_hh_num_in!L8)</f>
        <v>0</v>
      </c>
      <c r="M8" s="132">
        <f>IF(SER_hh_tes_in!M8=0,0,11630*1000*SER_hh_tes_in!M8/SER_hh_num_in!M8)</f>
        <v>0</v>
      </c>
      <c r="N8" s="132">
        <f>IF(SER_hh_tes_in!N8=0,0,11630*1000*SER_hh_tes_in!N8/SER_hh_num_in!N8)</f>
        <v>0</v>
      </c>
      <c r="O8" s="132">
        <f>IF(SER_hh_tes_in!O8=0,0,11630*1000*SER_hh_tes_in!O8/SER_hh_num_in!O8)</f>
        <v>0</v>
      </c>
      <c r="P8" s="132">
        <f>IF(SER_hh_tes_in!P8=0,0,11630*1000*SER_hh_tes_in!P8/SER_hh_num_in!P8)</f>
        <v>0</v>
      </c>
      <c r="Q8" s="132">
        <f>IF(SER_hh_tes_in!Q8=0,0,11630*1000*SER_hh_tes_in!Q8/SER_hh_num_in!Q8)</f>
        <v>0</v>
      </c>
      <c r="R8" s="132">
        <f>IF(SER_hh_tes_in!R8=0,0,11630*1000*SER_hh_tes_in!R8/SER_hh_num_in!R8)</f>
        <v>0</v>
      </c>
      <c r="S8" s="132">
        <f>IF(SER_hh_tes_in!S8=0,0,11630*1000*SER_hh_tes_in!S8/SER_hh_num_in!S8)</f>
        <v>0</v>
      </c>
      <c r="T8" s="132">
        <f>IF(SER_hh_tes_in!T8=0,0,11630*1000*SER_hh_tes_in!T8/SER_hh_num_in!T8)</f>
        <v>0</v>
      </c>
      <c r="U8" s="132">
        <f>IF(SER_hh_tes_in!U8=0,0,11630*1000*SER_hh_tes_in!U8/SER_hh_num_in!U8)</f>
        <v>0</v>
      </c>
      <c r="V8" s="132">
        <f>IF(SER_hh_tes_in!V8=0,0,11630*1000*SER_hh_tes_in!V8/SER_hh_num_in!V8)</f>
        <v>0</v>
      </c>
      <c r="W8" s="132">
        <f>IF(SER_hh_tes_in!W8=0,0,11630*1000*SER_hh_tes_in!W8/SER_hh_num_in!W8)</f>
        <v>0</v>
      </c>
      <c r="X8" s="132">
        <f>IF(SER_hh_tes_in!X8=0,0,11630*1000*SER_hh_tes_in!X8/SER_hh_num_in!X8)</f>
        <v>0</v>
      </c>
      <c r="Y8" s="132">
        <f>IF(SER_hh_tes_in!Y8=0,0,11630*1000*SER_hh_tes_in!Y8/SER_hh_num_in!Y8)</f>
        <v>0</v>
      </c>
      <c r="DA8" s="156" t="s">
        <v>760</v>
      </c>
    </row>
    <row r="9" spans="1:105" ht="12" customHeight="1" x14ac:dyDescent="0.25">
      <c r="A9" s="131" t="s">
        <v>78</v>
      </c>
      <c r="B9" s="132"/>
      <c r="C9" s="132">
        <f>IF(SER_hh_tes_in!C9=0,0,11630*1000*SER_hh_tes_in!C9/SER_hh_num_in!C9)</f>
        <v>317267.27387088962</v>
      </c>
      <c r="D9" s="132">
        <f>IF(SER_hh_tes_in!D9=0,0,11630*1000*SER_hh_tes_in!D9/SER_hh_num_in!D9)</f>
        <v>28787.411434563212</v>
      </c>
      <c r="E9" s="132">
        <f>IF(SER_hh_tes_in!E9=0,0,11630*1000*SER_hh_tes_in!E9/SER_hh_num_in!E9)</f>
        <v>157302.99194249834</v>
      </c>
      <c r="F9" s="132">
        <f>IF(SER_hh_tes_in!F9=0,0,11630*1000*SER_hh_tes_in!F9/SER_hh_num_in!F9)</f>
        <v>156982.33801352308</v>
      </c>
      <c r="G9" s="132">
        <f>IF(SER_hh_tes_in!G9=0,0,11630*1000*SER_hh_tes_in!G9/SER_hh_num_in!G9)</f>
        <v>157530.17151038209</v>
      </c>
      <c r="H9" s="132">
        <f>IF(SER_hh_tes_in!H9=0,0,11630*1000*SER_hh_tes_in!H9/SER_hh_num_in!H9)</f>
        <v>294233.56281735376</v>
      </c>
      <c r="I9" s="132">
        <f>IF(SER_hh_tes_in!I9=0,0,11630*1000*SER_hh_tes_in!I9/SER_hh_num_in!I9)</f>
        <v>189789.80069923165</v>
      </c>
      <c r="J9" s="132">
        <f>IF(SER_hh_tes_in!J9=0,0,11630*1000*SER_hh_tes_in!J9/SER_hh_num_in!J9)</f>
        <v>127471.9094767543</v>
      </c>
      <c r="K9" s="132">
        <f>IF(SER_hh_tes_in!K9=0,0,11630*1000*SER_hh_tes_in!K9/SER_hh_num_in!K9)</f>
        <v>140419.55494349555</v>
      </c>
      <c r="L9" s="132">
        <f>IF(SER_hh_tes_in!L9=0,0,11630*1000*SER_hh_tes_in!L9/SER_hh_num_in!L9)</f>
        <v>137304.35061447567</v>
      </c>
      <c r="M9" s="132">
        <f>IF(SER_hh_tes_in!M9=0,0,11630*1000*SER_hh_tes_in!M9/SER_hh_num_in!M9)</f>
        <v>101580.79351712248</v>
      </c>
      <c r="N9" s="132">
        <f>IF(SER_hh_tes_in!N9=0,0,11630*1000*SER_hh_tes_in!N9/SER_hh_num_in!N9)</f>
        <v>98992.024156657557</v>
      </c>
      <c r="O9" s="132">
        <f>IF(SER_hh_tes_in!O9=0,0,11630*1000*SER_hh_tes_in!O9/SER_hh_num_in!O9)</f>
        <v>91919.870849400337</v>
      </c>
      <c r="P9" s="132">
        <f>IF(SER_hh_tes_in!P9=0,0,11630*1000*SER_hh_tes_in!P9/SER_hh_num_in!P9)</f>
        <v>82438.049839908985</v>
      </c>
      <c r="Q9" s="132">
        <f>IF(SER_hh_tes_in!Q9=0,0,11630*1000*SER_hh_tes_in!Q9/SER_hh_num_in!Q9)</f>
        <v>71259.518351747436</v>
      </c>
      <c r="R9" s="132">
        <f>IF(SER_hh_tes_in!R9=0,0,11630*1000*SER_hh_tes_in!R9/SER_hh_num_in!R9)</f>
        <v>68756.046068558338</v>
      </c>
      <c r="S9" s="132">
        <f>IF(SER_hh_tes_in!S9=0,0,11630*1000*SER_hh_tes_in!S9/SER_hh_num_in!S9)</f>
        <v>70299.088539063203</v>
      </c>
      <c r="T9" s="132">
        <f>IF(SER_hh_tes_in!T9=0,0,11630*1000*SER_hh_tes_in!T9/SER_hh_num_in!T9)</f>
        <v>66745.494270991985</v>
      </c>
      <c r="U9" s="132">
        <f>IF(SER_hh_tes_in!U9=0,0,11630*1000*SER_hh_tes_in!U9/SER_hh_num_in!U9)</f>
        <v>62458.095985416425</v>
      </c>
      <c r="V9" s="132">
        <f>IF(SER_hh_tes_in!V9=0,0,11630*1000*SER_hh_tes_in!V9/SER_hh_num_in!V9)</f>
        <v>54812.534775073385</v>
      </c>
      <c r="W9" s="132">
        <f>IF(SER_hh_tes_in!W9=0,0,11630*1000*SER_hh_tes_in!W9/SER_hh_num_in!W9)</f>
        <v>46387.965672835438</v>
      </c>
      <c r="X9" s="132">
        <f>IF(SER_hh_tes_in!X9=0,0,11630*1000*SER_hh_tes_in!X9/SER_hh_num_in!X9)</f>
        <v>40545.483405373561</v>
      </c>
      <c r="Y9" s="132">
        <f>IF(SER_hh_tes_in!Y9=0,0,11630*1000*SER_hh_tes_in!Y9/SER_hh_num_in!Y9)</f>
        <v>0</v>
      </c>
      <c r="DA9" s="156" t="s">
        <v>761</v>
      </c>
    </row>
    <row r="10" spans="1:105" ht="12" customHeight="1" x14ac:dyDescent="0.25">
      <c r="A10" s="131" t="s">
        <v>128</v>
      </c>
      <c r="B10" s="132"/>
      <c r="C10" s="132">
        <f>IF(SER_hh_tes_in!C10=0,0,11630*1000*SER_hh_tes_in!C10/SER_hh_num_in!C10)</f>
        <v>178032.28122286013</v>
      </c>
      <c r="D10" s="132">
        <f>IF(SER_hh_tes_in!D10=0,0,11630*1000*SER_hh_tes_in!D10/SER_hh_num_in!D10)</f>
        <v>133581.95172747981</v>
      </c>
      <c r="E10" s="132">
        <f>IF(SER_hh_tes_in!E10=0,0,11630*1000*SER_hh_tes_in!E10/SER_hh_num_in!E10)</f>
        <v>0</v>
      </c>
      <c r="F10" s="132">
        <f>IF(SER_hh_tes_in!F10=0,0,11630*1000*SER_hh_tes_in!F10/SER_hh_num_in!F10)</f>
        <v>0</v>
      </c>
      <c r="G10" s="132">
        <f>IF(SER_hh_tes_in!G10=0,0,11630*1000*SER_hh_tes_in!G10/SER_hh_num_in!G10)</f>
        <v>0</v>
      </c>
      <c r="H10" s="132">
        <f>IF(SER_hh_tes_in!H10=0,0,11630*1000*SER_hh_tes_in!H10/SER_hh_num_in!H10)</f>
        <v>0</v>
      </c>
      <c r="I10" s="132">
        <f>IF(SER_hh_tes_in!I10=0,0,11630*1000*SER_hh_tes_in!I10/SER_hh_num_in!I10)</f>
        <v>0</v>
      </c>
      <c r="J10" s="132">
        <f>IF(SER_hh_tes_in!J10=0,0,11630*1000*SER_hh_tes_in!J10/SER_hh_num_in!J10)</f>
        <v>152065.72657367444</v>
      </c>
      <c r="K10" s="132">
        <f>IF(SER_hh_tes_in!K10=0,0,11630*1000*SER_hh_tes_in!K10/SER_hh_num_in!K10)</f>
        <v>0</v>
      </c>
      <c r="L10" s="132">
        <f>IF(SER_hh_tes_in!L10=0,0,11630*1000*SER_hh_tes_in!L10/SER_hh_num_in!L10)</f>
        <v>0</v>
      </c>
      <c r="M10" s="132">
        <f>IF(SER_hh_tes_in!M10=0,0,11630*1000*SER_hh_tes_in!M10/SER_hh_num_in!M10)</f>
        <v>0</v>
      </c>
      <c r="N10" s="132">
        <f>IF(SER_hh_tes_in!N10=0,0,11630*1000*SER_hh_tes_in!N10/SER_hh_num_in!N10)</f>
        <v>0</v>
      </c>
      <c r="O10" s="132">
        <f>IF(SER_hh_tes_in!O10=0,0,11630*1000*SER_hh_tes_in!O10/SER_hh_num_in!O10)</f>
        <v>68976.836243148384</v>
      </c>
      <c r="P10" s="132">
        <f>IF(SER_hh_tes_in!P10=0,0,11630*1000*SER_hh_tes_in!P10/SER_hh_num_in!P10)</f>
        <v>54094.471623079837</v>
      </c>
      <c r="Q10" s="132">
        <f>IF(SER_hh_tes_in!Q10=0,0,11630*1000*SER_hh_tes_in!Q10/SER_hh_num_in!Q10)</f>
        <v>87136.624062156494</v>
      </c>
      <c r="R10" s="132">
        <f>IF(SER_hh_tes_in!R10=0,0,11630*1000*SER_hh_tes_in!R10/SER_hh_num_in!R10)</f>
        <v>87744.411576291895</v>
      </c>
      <c r="S10" s="132">
        <f>IF(SER_hh_tes_in!S10=0,0,11630*1000*SER_hh_tes_in!S10/SER_hh_num_in!S10)</f>
        <v>72227.02862334704</v>
      </c>
      <c r="T10" s="132">
        <f>IF(SER_hh_tes_in!T10=0,0,11630*1000*SER_hh_tes_in!T10/SER_hh_num_in!T10)</f>
        <v>67858.065444596068</v>
      </c>
      <c r="U10" s="132">
        <f>IF(SER_hh_tes_in!U10=0,0,11630*1000*SER_hh_tes_in!U10/SER_hh_num_in!U10)</f>
        <v>0</v>
      </c>
      <c r="V10" s="132">
        <f>IF(SER_hh_tes_in!V10=0,0,11630*1000*SER_hh_tes_in!V10/SER_hh_num_in!V10)</f>
        <v>0</v>
      </c>
      <c r="W10" s="132">
        <f>IF(SER_hh_tes_in!W10=0,0,11630*1000*SER_hh_tes_in!W10/SER_hh_num_in!W10)</f>
        <v>0</v>
      </c>
      <c r="X10" s="132">
        <f>IF(SER_hh_tes_in!X10=0,0,11630*1000*SER_hh_tes_in!X10/SER_hh_num_in!X10)</f>
        <v>0</v>
      </c>
      <c r="Y10" s="132">
        <f>IF(SER_hh_tes_in!Y10=0,0,11630*1000*SER_hh_tes_in!Y10/SER_hh_num_in!Y10)</f>
        <v>0</v>
      </c>
      <c r="DA10" s="156" t="s">
        <v>762</v>
      </c>
    </row>
    <row r="11" spans="1:105" ht="12" customHeight="1" x14ac:dyDescent="0.25">
      <c r="A11" s="131" t="s">
        <v>25</v>
      </c>
      <c r="B11" s="132"/>
      <c r="C11" s="132">
        <f>IF(SER_hh_tes_in!C11=0,0,11630*1000*SER_hh_tes_in!C11/SER_hh_num_in!C11)</f>
        <v>72091.85857347674</v>
      </c>
      <c r="D11" s="132">
        <f>IF(SER_hh_tes_in!D11=0,0,11630*1000*SER_hh_tes_in!D11/SER_hh_num_in!D11)</f>
        <v>133522.54505854213</v>
      </c>
      <c r="E11" s="132">
        <f>IF(SER_hh_tes_in!E11=0,0,11630*1000*SER_hh_tes_in!E11/SER_hh_num_in!E11)</f>
        <v>159459.39632760969</v>
      </c>
      <c r="F11" s="132">
        <f>IF(SER_hh_tes_in!F11=0,0,11630*1000*SER_hh_tes_in!F11/SER_hh_num_in!F11)</f>
        <v>0</v>
      </c>
      <c r="G11" s="132">
        <f>IF(SER_hh_tes_in!G11=0,0,11630*1000*SER_hh_tes_in!G11/SER_hh_num_in!G11)</f>
        <v>0</v>
      </c>
      <c r="H11" s="132">
        <f>IF(SER_hh_tes_in!H11=0,0,11630*1000*SER_hh_tes_in!H11/SER_hh_num_in!H11)</f>
        <v>0</v>
      </c>
      <c r="I11" s="132">
        <f>IF(SER_hh_tes_in!I11=0,0,11630*1000*SER_hh_tes_in!I11/SER_hh_num_in!I11)</f>
        <v>129659.29457593967</v>
      </c>
      <c r="J11" s="132">
        <f>IF(SER_hh_tes_in!J11=0,0,11630*1000*SER_hh_tes_in!J11/SER_hh_num_in!J11)</f>
        <v>199924.10470570542</v>
      </c>
      <c r="K11" s="132">
        <f>IF(SER_hh_tes_in!K11=0,0,11630*1000*SER_hh_tes_in!K11/SER_hh_num_in!K11)</f>
        <v>167706.3382889358</v>
      </c>
      <c r="L11" s="132">
        <f>IF(SER_hh_tes_in!L11=0,0,11630*1000*SER_hh_tes_in!L11/SER_hh_num_in!L11)</f>
        <v>0</v>
      </c>
      <c r="M11" s="132">
        <f>IF(SER_hh_tes_in!M11=0,0,11630*1000*SER_hh_tes_in!M11/SER_hh_num_in!M11)</f>
        <v>108142.82098271577</v>
      </c>
      <c r="N11" s="132">
        <f>IF(SER_hh_tes_in!N11=0,0,11630*1000*SER_hh_tes_in!N11/SER_hh_num_in!N11)</f>
        <v>88667.911016617712</v>
      </c>
      <c r="O11" s="132">
        <f>IF(SER_hh_tes_in!O11=0,0,11630*1000*SER_hh_tes_in!O11/SER_hh_num_in!O11)</f>
        <v>95193.211247979401</v>
      </c>
      <c r="P11" s="132">
        <f>IF(SER_hh_tes_in!P11=0,0,11630*1000*SER_hh_tes_in!P11/SER_hh_num_in!P11)</f>
        <v>86319.812082485223</v>
      </c>
      <c r="Q11" s="132">
        <f>IF(SER_hh_tes_in!Q11=0,0,11630*1000*SER_hh_tes_in!Q11/SER_hh_num_in!Q11)</f>
        <v>71955.24223027438</v>
      </c>
      <c r="R11" s="132">
        <f>IF(SER_hh_tes_in!R11=0,0,11630*1000*SER_hh_tes_in!R11/SER_hh_num_in!R11)</f>
        <v>75255.020595704569</v>
      </c>
      <c r="S11" s="132">
        <f>IF(SER_hh_tes_in!S11=0,0,11630*1000*SER_hh_tes_in!S11/SER_hh_num_in!S11)</f>
        <v>77638.019863928726</v>
      </c>
      <c r="T11" s="132">
        <f>IF(SER_hh_tes_in!T11=0,0,11630*1000*SER_hh_tes_in!T11/SER_hh_num_in!T11)</f>
        <v>0</v>
      </c>
      <c r="U11" s="132">
        <f>IF(SER_hh_tes_in!U11=0,0,11630*1000*SER_hh_tes_in!U11/SER_hh_num_in!U11)</f>
        <v>0</v>
      </c>
      <c r="V11" s="132">
        <f>IF(SER_hh_tes_in!V11=0,0,11630*1000*SER_hh_tes_in!V11/SER_hh_num_in!V11)</f>
        <v>0</v>
      </c>
      <c r="W11" s="132">
        <f>IF(SER_hh_tes_in!W11=0,0,11630*1000*SER_hh_tes_in!W11/SER_hh_num_in!W11)</f>
        <v>0</v>
      </c>
      <c r="X11" s="132">
        <f>IF(SER_hh_tes_in!X11=0,0,11630*1000*SER_hh_tes_in!X11/SER_hh_num_in!X11)</f>
        <v>0</v>
      </c>
      <c r="Y11" s="132">
        <f>IF(SER_hh_tes_in!Y11=0,0,11630*1000*SER_hh_tes_in!Y11/SER_hh_num_in!Y11)</f>
        <v>0</v>
      </c>
      <c r="DA11" s="156" t="s">
        <v>763</v>
      </c>
    </row>
    <row r="12" spans="1:105" ht="12" customHeight="1" x14ac:dyDescent="0.25">
      <c r="A12" s="131" t="s">
        <v>162</v>
      </c>
      <c r="B12" s="132"/>
      <c r="C12" s="132">
        <f>IF(SER_hh_tes_in!C12=0,0,11630*1000*SER_hh_tes_in!C12/SER_hh_num_in!C12)</f>
        <v>0</v>
      </c>
      <c r="D12" s="132">
        <f>IF(SER_hh_tes_in!D12=0,0,11630*1000*SER_hh_tes_in!D12/SER_hh_num_in!D12)</f>
        <v>0</v>
      </c>
      <c r="E12" s="132">
        <f>IF(SER_hh_tes_in!E12=0,0,11630*1000*SER_hh_tes_in!E12/SER_hh_num_in!E12)</f>
        <v>0</v>
      </c>
      <c r="F12" s="132">
        <f>IF(SER_hh_tes_in!F12=0,0,11630*1000*SER_hh_tes_in!F12/SER_hh_num_in!F12)</f>
        <v>0</v>
      </c>
      <c r="G12" s="132">
        <f>IF(SER_hh_tes_in!G12=0,0,11630*1000*SER_hh_tes_in!G12/SER_hh_num_in!G12)</f>
        <v>263949.43987078127</v>
      </c>
      <c r="H12" s="132">
        <f>IF(SER_hh_tes_in!H12=0,0,11630*1000*SER_hh_tes_in!H12/SER_hh_num_in!H12)</f>
        <v>209943.43206691623</v>
      </c>
      <c r="I12" s="132">
        <f>IF(SER_hh_tes_in!I12=0,0,11630*1000*SER_hh_tes_in!I12/SER_hh_num_in!I12)</f>
        <v>171344.77820673501</v>
      </c>
      <c r="J12" s="132">
        <f>IF(SER_hh_tes_in!J12=0,0,11630*1000*SER_hh_tes_in!J12/SER_hh_num_in!J12)</f>
        <v>165074.97218425706</v>
      </c>
      <c r="K12" s="132">
        <f>IF(SER_hh_tes_in!K12=0,0,11630*1000*SER_hh_tes_in!K12/SER_hh_num_in!K12)</f>
        <v>123473.14843497805</v>
      </c>
      <c r="L12" s="132">
        <f>IF(SER_hh_tes_in!L12=0,0,11630*1000*SER_hh_tes_in!L12/SER_hh_num_in!L12)</f>
        <v>125788.61555577247</v>
      </c>
      <c r="M12" s="132">
        <f>IF(SER_hh_tes_in!M12=0,0,11630*1000*SER_hh_tes_in!M12/SER_hh_num_in!M12)</f>
        <v>116967.96740202814</v>
      </c>
      <c r="N12" s="132">
        <f>IF(SER_hh_tes_in!N12=0,0,11630*1000*SER_hh_tes_in!N12/SER_hh_num_in!N12)</f>
        <v>109531.1139763321</v>
      </c>
      <c r="O12" s="132">
        <f>IF(SER_hh_tes_in!O12=0,0,11630*1000*SER_hh_tes_in!O12/SER_hh_num_in!O12)</f>
        <v>96893.906601178373</v>
      </c>
      <c r="P12" s="132">
        <f>IF(SER_hh_tes_in!P12=0,0,11630*1000*SER_hh_tes_in!P12/SER_hh_num_in!P12)</f>
        <v>76295.61439360994</v>
      </c>
      <c r="Q12" s="132">
        <f>IF(SER_hh_tes_in!Q12=0,0,11630*1000*SER_hh_tes_in!Q12/SER_hh_num_in!Q12)</f>
        <v>72491.904732983065</v>
      </c>
      <c r="R12" s="132">
        <f>IF(SER_hh_tes_in!R12=0,0,11630*1000*SER_hh_tes_in!R12/SER_hh_num_in!R12)</f>
        <v>74093.266191113144</v>
      </c>
      <c r="S12" s="132">
        <f>IF(SER_hh_tes_in!S12=0,0,11630*1000*SER_hh_tes_in!S12/SER_hh_num_in!S12)</f>
        <v>0</v>
      </c>
      <c r="T12" s="132">
        <f>IF(SER_hh_tes_in!T12=0,0,11630*1000*SER_hh_tes_in!T12/SER_hh_num_in!T12)</f>
        <v>0</v>
      </c>
      <c r="U12" s="132">
        <f>IF(SER_hh_tes_in!U12=0,0,11630*1000*SER_hh_tes_in!U12/SER_hh_num_in!U12)</f>
        <v>0</v>
      </c>
      <c r="V12" s="132">
        <f>IF(SER_hh_tes_in!V12=0,0,11630*1000*SER_hh_tes_in!V12/SER_hh_num_in!V12)</f>
        <v>52618.578477057796</v>
      </c>
      <c r="W12" s="132">
        <f>IF(SER_hh_tes_in!W12=0,0,11630*1000*SER_hh_tes_in!W12/SER_hh_num_in!W12)</f>
        <v>49139.475656561219</v>
      </c>
      <c r="X12" s="132">
        <f>IF(SER_hh_tes_in!X12=0,0,11630*1000*SER_hh_tes_in!X12/SER_hh_num_in!X12)</f>
        <v>37768.680226711098</v>
      </c>
      <c r="Y12" s="132">
        <f>IF(SER_hh_tes_in!Y12=0,0,11630*1000*SER_hh_tes_in!Y12/SER_hh_num_in!Y12)</f>
        <v>0</v>
      </c>
      <c r="DA12" s="156" t="s">
        <v>764</v>
      </c>
    </row>
    <row r="13" spans="1:105" ht="12" customHeight="1" x14ac:dyDescent="0.25">
      <c r="A13" s="131" t="s">
        <v>77</v>
      </c>
      <c r="B13" s="132"/>
      <c r="C13" s="132">
        <f>IF(SER_hh_tes_in!C13=0,0,11630*1000*SER_hh_tes_in!C13/SER_hh_num_in!C13)</f>
        <v>0</v>
      </c>
      <c r="D13" s="132">
        <f>IF(SER_hh_tes_in!D13=0,0,11630*1000*SER_hh_tes_in!D13/SER_hh_num_in!D13)</f>
        <v>0</v>
      </c>
      <c r="E13" s="132">
        <f>IF(SER_hh_tes_in!E13=0,0,11630*1000*SER_hh_tes_in!E13/SER_hh_num_in!E13)</f>
        <v>0</v>
      </c>
      <c r="F13" s="132">
        <f>IF(SER_hh_tes_in!F13=0,0,11630*1000*SER_hh_tes_in!F13/SER_hh_num_in!F13)</f>
        <v>0</v>
      </c>
      <c r="G13" s="132">
        <f>IF(SER_hh_tes_in!G13=0,0,11630*1000*SER_hh_tes_in!G13/SER_hh_num_in!G13)</f>
        <v>0</v>
      </c>
      <c r="H13" s="132">
        <f>IF(SER_hh_tes_in!H13=0,0,11630*1000*SER_hh_tes_in!H13/SER_hh_num_in!H13)</f>
        <v>0</v>
      </c>
      <c r="I13" s="132">
        <f>IF(SER_hh_tes_in!I13=0,0,11630*1000*SER_hh_tes_in!I13/SER_hh_num_in!I13)</f>
        <v>0</v>
      </c>
      <c r="J13" s="132">
        <f>IF(SER_hh_tes_in!J13=0,0,11630*1000*SER_hh_tes_in!J13/SER_hh_num_in!J13)</f>
        <v>0</v>
      </c>
      <c r="K13" s="132">
        <f>IF(SER_hh_tes_in!K13=0,0,11630*1000*SER_hh_tes_in!K13/SER_hh_num_in!K13)</f>
        <v>0</v>
      </c>
      <c r="L13" s="132">
        <f>IF(SER_hh_tes_in!L13=0,0,11630*1000*SER_hh_tes_in!L13/SER_hh_num_in!L13)</f>
        <v>0</v>
      </c>
      <c r="M13" s="132">
        <f>IF(SER_hh_tes_in!M13=0,0,11630*1000*SER_hh_tes_in!M13/SER_hh_num_in!M13)</f>
        <v>0</v>
      </c>
      <c r="N13" s="132">
        <f>IF(SER_hh_tes_in!N13=0,0,11630*1000*SER_hh_tes_in!N13/SER_hh_num_in!N13)</f>
        <v>0</v>
      </c>
      <c r="O13" s="132">
        <f>IF(SER_hh_tes_in!O13=0,0,11630*1000*SER_hh_tes_in!O13/SER_hh_num_in!O13)</f>
        <v>0</v>
      </c>
      <c r="P13" s="132">
        <f>IF(SER_hh_tes_in!P13=0,0,11630*1000*SER_hh_tes_in!P13/SER_hh_num_in!P13)</f>
        <v>0</v>
      </c>
      <c r="Q13" s="132">
        <f>IF(SER_hh_tes_in!Q13=0,0,11630*1000*SER_hh_tes_in!Q13/SER_hh_num_in!Q13)</f>
        <v>0</v>
      </c>
      <c r="R13" s="132">
        <f>IF(SER_hh_tes_in!R13=0,0,11630*1000*SER_hh_tes_in!R13/SER_hh_num_in!R13)</f>
        <v>0</v>
      </c>
      <c r="S13" s="132">
        <f>IF(SER_hh_tes_in!S13=0,0,11630*1000*SER_hh_tes_in!S13/SER_hh_num_in!S13)</f>
        <v>0</v>
      </c>
      <c r="T13" s="132">
        <f>IF(SER_hh_tes_in!T13=0,0,11630*1000*SER_hh_tes_in!T13/SER_hh_num_in!T13)</f>
        <v>0</v>
      </c>
      <c r="U13" s="132">
        <f>IF(SER_hh_tes_in!U13=0,0,11630*1000*SER_hh_tes_in!U13/SER_hh_num_in!U13)</f>
        <v>0</v>
      </c>
      <c r="V13" s="132">
        <f>IF(SER_hh_tes_in!V13=0,0,11630*1000*SER_hh_tes_in!V13/SER_hh_num_in!V13)</f>
        <v>0</v>
      </c>
      <c r="W13" s="132">
        <f>IF(SER_hh_tes_in!W13=0,0,11630*1000*SER_hh_tes_in!W13/SER_hh_num_in!W13)</f>
        <v>0</v>
      </c>
      <c r="X13" s="132">
        <f>IF(SER_hh_tes_in!X13=0,0,11630*1000*SER_hh_tes_in!X13/SER_hh_num_in!X13)</f>
        <v>0</v>
      </c>
      <c r="Y13" s="132">
        <f>IF(SER_hh_tes_in!Y13=0,0,11630*1000*SER_hh_tes_in!Y13/SER_hh_num_in!Y13)</f>
        <v>87542.753032323759</v>
      </c>
      <c r="DA13" s="156" t="s">
        <v>765</v>
      </c>
    </row>
    <row r="14" spans="1:105" ht="12" customHeight="1" x14ac:dyDescent="0.25">
      <c r="A14" s="60" t="s">
        <v>76</v>
      </c>
      <c r="B14" s="65"/>
      <c r="C14" s="65">
        <f>IF(SER_hh_tes_in!C14=0,0,11630*1000*SER_hh_tes_in!C14/SER_hh_num_in!C14)</f>
        <v>0</v>
      </c>
      <c r="D14" s="65">
        <f>IF(SER_hh_tes_in!D14=0,0,11630*1000*SER_hh_tes_in!D14/SER_hh_num_in!D14)</f>
        <v>0</v>
      </c>
      <c r="E14" s="65">
        <f>IF(SER_hh_tes_in!E14=0,0,11630*1000*SER_hh_tes_in!E14/SER_hh_num_in!E14)</f>
        <v>0</v>
      </c>
      <c r="F14" s="65">
        <f>IF(SER_hh_tes_in!F14=0,0,11630*1000*SER_hh_tes_in!F14/SER_hh_num_in!F14)</f>
        <v>0</v>
      </c>
      <c r="G14" s="65">
        <f>IF(SER_hh_tes_in!G14=0,0,11630*1000*SER_hh_tes_in!G14/SER_hh_num_in!G14)</f>
        <v>166754.97698964525</v>
      </c>
      <c r="H14" s="65">
        <f>IF(SER_hh_tes_in!H14=0,0,11630*1000*SER_hh_tes_in!H14/SER_hh_num_in!H14)</f>
        <v>183437.13842387349</v>
      </c>
      <c r="I14" s="65">
        <f>IF(SER_hh_tes_in!I14=0,0,11630*1000*SER_hh_tes_in!I14/SER_hh_num_in!I14)</f>
        <v>248985.87529098909</v>
      </c>
      <c r="J14" s="65">
        <f>IF(SER_hh_tes_in!J14=0,0,11630*1000*SER_hh_tes_in!J14/SER_hh_num_in!J14)</f>
        <v>128885.74895729213</v>
      </c>
      <c r="K14" s="65">
        <f>IF(SER_hh_tes_in!K14=0,0,11630*1000*SER_hh_tes_in!K14/SER_hh_num_in!K14)</f>
        <v>105126.0088505583</v>
      </c>
      <c r="L14" s="65">
        <f>IF(SER_hh_tes_in!L14=0,0,11630*1000*SER_hh_tes_in!L14/SER_hh_num_in!L14)</f>
        <v>173614.20565440672</v>
      </c>
      <c r="M14" s="65">
        <f>IF(SER_hh_tes_in!M14=0,0,11630*1000*SER_hh_tes_in!M14/SER_hh_num_in!M14)</f>
        <v>138594.13985225686</v>
      </c>
      <c r="N14" s="65">
        <f>IF(SER_hh_tes_in!N14=0,0,11630*1000*SER_hh_tes_in!N14/SER_hh_num_in!N14)</f>
        <v>0</v>
      </c>
      <c r="O14" s="65">
        <f>IF(SER_hh_tes_in!O14=0,0,11630*1000*SER_hh_tes_in!O14/SER_hh_num_in!O14)</f>
        <v>0</v>
      </c>
      <c r="P14" s="65">
        <f>IF(SER_hh_tes_in!P14=0,0,11630*1000*SER_hh_tes_in!P14/SER_hh_num_in!P14)</f>
        <v>0</v>
      </c>
      <c r="Q14" s="65">
        <f>IF(SER_hh_tes_in!Q14=0,0,11630*1000*SER_hh_tes_in!Q14/SER_hh_num_in!Q14)</f>
        <v>0</v>
      </c>
      <c r="R14" s="65">
        <f>IF(SER_hh_tes_in!R14=0,0,11630*1000*SER_hh_tes_in!R14/SER_hh_num_in!R14)</f>
        <v>0</v>
      </c>
      <c r="S14" s="65">
        <f>IF(SER_hh_tes_in!S14=0,0,11630*1000*SER_hh_tes_in!S14/SER_hh_num_in!S14)</f>
        <v>0</v>
      </c>
      <c r="T14" s="65">
        <f>IF(SER_hh_tes_in!T14=0,0,11630*1000*SER_hh_tes_in!T14/SER_hh_num_in!T14)</f>
        <v>0</v>
      </c>
      <c r="U14" s="65">
        <f>IF(SER_hh_tes_in!U14=0,0,11630*1000*SER_hh_tes_in!U14/SER_hh_num_in!U14)</f>
        <v>0</v>
      </c>
      <c r="V14" s="65">
        <f>IF(SER_hh_tes_in!V14=0,0,11630*1000*SER_hh_tes_in!V14/SER_hh_num_in!V14)</f>
        <v>42072.835602183695</v>
      </c>
      <c r="W14" s="65">
        <f>IF(SER_hh_tes_in!W14=0,0,11630*1000*SER_hh_tes_in!W14/SER_hh_num_in!W14)</f>
        <v>32077.414546336422</v>
      </c>
      <c r="X14" s="65">
        <f>IF(SER_hh_tes_in!X14=0,0,11630*1000*SER_hh_tes_in!X14/SER_hh_num_in!X14)</f>
        <v>43127.274147204422</v>
      </c>
      <c r="Y14" s="65">
        <f>IF(SER_hh_tes_in!Y14=0,0,11630*1000*SER_hh_tes_in!Y14/SER_hh_num_in!Y14)</f>
        <v>63242.683399373193</v>
      </c>
      <c r="DA14" s="109" t="s">
        <v>766</v>
      </c>
    </row>
    <row r="15" spans="1:105" ht="12" customHeight="1" x14ac:dyDescent="0.25">
      <c r="A15" s="133" t="s">
        <v>80</v>
      </c>
      <c r="B15" s="134"/>
      <c r="C15" s="134">
        <f>IF(SER_hh_tes_in!C15=0,0,11630*1000*SER_hh_tes_in!C15/SER_hh_num_in!C15)</f>
        <v>2455.5315964039828</v>
      </c>
      <c r="D15" s="134">
        <f>IF(SER_hh_tes_in!D15=0,0,11630*1000*SER_hh_tes_in!D15/SER_hh_num_in!D15)</f>
        <v>1667.1943494155698</v>
      </c>
      <c r="E15" s="134">
        <f>IF(SER_hh_tes_in!E15=0,0,11630*1000*SER_hh_tes_in!E15/SER_hh_num_in!E15)</f>
        <v>2805.3007558406625</v>
      </c>
      <c r="F15" s="134">
        <f>IF(SER_hh_tes_in!F15=0,0,11630*1000*SER_hh_tes_in!F15/SER_hh_num_in!F15)</f>
        <v>3008.5283930420715</v>
      </c>
      <c r="G15" s="134">
        <f>IF(SER_hh_tes_in!G15=0,0,11630*1000*SER_hh_tes_in!G15/SER_hh_num_in!G15)</f>
        <v>2486.7687196037464</v>
      </c>
      <c r="H15" s="134">
        <f>IF(SER_hh_tes_in!H15=0,0,11630*1000*SER_hh_tes_in!H15/SER_hh_num_in!H15)</f>
        <v>5235.2448814397585</v>
      </c>
      <c r="I15" s="134">
        <f>IF(SER_hh_tes_in!I15=0,0,11630*1000*SER_hh_tes_in!I15/SER_hh_num_in!I15)</f>
        <v>1898.7693359445068</v>
      </c>
      <c r="J15" s="134">
        <f>IF(SER_hh_tes_in!J15=0,0,11630*1000*SER_hh_tes_in!J15/SER_hh_num_in!J15)</f>
        <v>1298.6348989588957</v>
      </c>
      <c r="K15" s="134">
        <f>IF(SER_hh_tes_in!K15=0,0,11630*1000*SER_hh_tes_in!K15/SER_hh_num_in!K15)</f>
        <v>1352.8013838879094</v>
      </c>
      <c r="L15" s="134">
        <f>IF(SER_hh_tes_in!L15=0,0,11630*1000*SER_hh_tes_in!L15/SER_hh_num_in!L15)</f>
        <v>1294.592611217452</v>
      </c>
      <c r="M15" s="134">
        <f>IF(SER_hh_tes_in!M15=0,0,11630*1000*SER_hh_tes_in!M15/SER_hh_num_in!M15)</f>
        <v>1367.656609924692</v>
      </c>
      <c r="N15" s="134">
        <f>IF(SER_hh_tes_in!N15=0,0,11630*1000*SER_hh_tes_in!N15/SER_hh_num_in!N15)</f>
        <v>1136.5606750115817</v>
      </c>
      <c r="O15" s="134">
        <f>IF(SER_hh_tes_in!O15=0,0,11630*1000*SER_hh_tes_in!O15/SER_hh_num_in!O15)</f>
        <v>1162.7526394569081</v>
      </c>
      <c r="P15" s="134">
        <f>IF(SER_hh_tes_in!P15=0,0,11630*1000*SER_hh_tes_in!P15/SER_hh_num_in!P15)</f>
        <v>1108.3231324422179</v>
      </c>
      <c r="Q15" s="134">
        <f>IF(SER_hh_tes_in!Q15=0,0,11630*1000*SER_hh_tes_in!Q15/SER_hh_num_in!Q15)</f>
        <v>978.95967188314978</v>
      </c>
      <c r="R15" s="134">
        <f>IF(SER_hh_tes_in!R15=0,0,11630*1000*SER_hh_tes_in!R15/SER_hh_num_in!R15)</f>
        <v>954.62953863745065</v>
      </c>
      <c r="S15" s="134">
        <f>IF(SER_hh_tes_in!S15=0,0,11630*1000*SER_hh_tes_in!S15/SER_hh_num_in!S15)</f>
        <v>1081.4083592481234</v>
      </c>
      <c r="T15" s="134">
        <f>IF(SER_hh_tes_in!T15=0,0,11630*1000*SER_hh_tes_in!T15/SER_hh_num_in!T15)</f>
        <v>1093.9120900717132</v>
      </c>
      <c r="U15" s="134">
        <f>IF(SER_hh_tes_in!U15=0,0,11630*1000*SER_hh_tes_in!U15/SER_hh_num_in!U15)</f>
        <v>991.7953225566863</v>
      </c>
      <c r="V15" s="134">
        <f>IF(SER_hh_tes_in!V15=0,0,11630*1000*SER_hh_tes_in!V15/SER_hh_num_in!V15)</f>
        <v>770.0887542450389</v>
      </c>
      <c r="W15" s="134">
        <f>IF(SER_hh_tes_in!W15=0,0,11630*1000*SER_hh_tes_in!W15/SER_hh_num_in!W15)</f>
        <v>780.3097136846435</v>
      </c>
      <c r="X15" s="134">
        <f>IF(SER_hh_tes_in!X15=0,0,11630*1000*SER_hh_tes_in!X15/SER_hh_num_in!X15)</f>
        <v>618.07785558254204</v>
      </c>
      <c r="Y15" s="134">
        <f>IF(SER_hh_tes_in!Y15=0,0,11630*1000*SER_hh_tes_in!Y15/SER_hh_num_in!Y15)</f>
        <v>779.74364767208567</v>
      </c>
      <c r="DA15" s="157" t="s">
        <v>767</v>
      </c>
    </row>
    <row r="16" spans="1:105" ht="12.95" customHeight="1" x14ac:dyDescent="0.25">
      <c r="A16" s="129" t="s">
        <v>74</v>
      </c>
      <c r="B16" s="130"/>
      <c r="C16" s="130">
        <f>IF(SER_hh_tes_in!C16=0,0,11630*1000*SER_hh_tes_in!C16/SER_hh_num_in!C16)</f>
        <v>27770.049003442549</v>
      </c>
      <c r="D16" s="130">
        <f>IF(SER_hh_tes_in!D16=0,0,11630*1000*SER_hh_tes_in!D16/SER_hh_num_in!D16)</f>
        <v>26494.266005642457</v>
      </c>
      <c r="E16" s="130">
        <f>IF(SER_hh_tes_in!E16=0,0,11630*1000*SER_hh_tes_in!E16/SER_hh_num_in!E16)</f>
        <v>26667.586684478505</v>
      </c>
      <c r="F16" s="130">
        <f>IF(SER_hh_tes_in!F16=0,0,11630*1000*SER_hh_tes_in!F16/SER_hh_num_in!F16)</f>
        <v>23195.599603053262</v>
      </c>
      <c r="G16" s="130">
        <f>IF(SER_hh_tes_in!G16=0,0,11630*1000*SER_hh_tes_in!G16/SER_hh_num_in!G16)</f>
        <v>23252.378518851929</v>
      </c>
      <c r="H16" s="130">
        <f>IF(SER_hh_tes_in!H16=0,0,11630*1000*SER_hh_tes_in!H16/SER_hh_num_in!H16)</f>
        <v>24756.408917854562</v>
      </c>
      <c r="I16" s="130">
        <f>IF(SER_hh_tes_in!I16=0,0,11630*1000*SER_hh_tes_in!I16/SER_hh_num_in!I16)</f>
        <v>32633.012129181094</v>
      </c>
      <c r="J16" s="130">
        <f>IF(SER_hh_tes_in!J16=0,0,11630*1000*SER_hh_tes_in!J16/SER_hh_num_in!J16)</f>
        <v>25676.042772111501</v>
      </c>
      <c r="K16" s="130">
        <f>IF(SER_hh_tes_in!K16=0,0,11630*1000*SER_hh_tes_in!K16/SER_hh_num_in!K16)</f>
        <v>24235.458830468349</v>
      </c>
      <c r="L16" s="130">
        <f>IF(SER_hh_tes_in!L16=0,0,11630*1000*SER_hh_tes_in!L16/SER_hh_num_in!L16)</f>
        <v>28422.723154185773</v>
      </c>
      <c r="M16" s="130">
        <f>IF(SER_hh_tes_in!M16=0,0,11630*1000*SER_hh_tes_in!M16/SER_hh_num_in!M16)</f>
        <v>24277.228754427288</v>
      </c>
      <c r="N16" s="130">
        <f>IF(SER_hh_tes_in!N16=0,0,11630*1000*SER_hh_tes_in!N16/SER_hh_num_in!N16)</f>
        <v>36746.004266715419</v>
      </c>
      <c r="O16" s="130">
        <f>IF(SER_hh_tes_in!O16=0,0,11630*1000*SER_hh_tes_in!O16/SER_hh_num_in!O16)</f>
        <v>24837.719525445616</v>
      </c>
      <c r="P16" s="130">
        <f>IF(SER_hh_tes_in!P16=0,0,11630*1000*SER_hh_tes_in!P16/SER_hh_num_in!P16)</f>
        <v>23173.896737094372</v>
      </c>
      <c r="Q16" s="130">
        <f>IF(SER_hh_tes_in!Q16=0,0,11630*1000*SER_hh_tes_in!Q16/SER_hh_num_in!Q16)</f>
        <v>30139.053241970258</v>
      </c>
      <c r="R16" s="130">
        <f>IF(SER_hh_tes_in!R16=0,0,11630*1000*SER_hh_tes_in!R16/SER_hh_num_in!R16)</f>
        <v>25402.091010366465</v>
      </c>
      <c r="S16" s="130">
        <f>IF(SER_hh_tes_in!S16=0,0,11630*1000*SER_hh_tes_in!S16/SER_hh_num_in!S16)</f>
        <v>27037.879611722863</v>
      </c>
      <c r="T16" s="130">
        <f>IF(SER_hh_tes_in!T16=0,0,11630*1000*SER_hh_tes_in!T16/SER_hh_num_in!T16)</f>
        <v>23347.29570123789</v>
      </c>
      <c r="U16" s="130">
        <f>IF(SER_hh_tes_in!U16=0,0,11630*1000*SER_hh_tes_in!U16/SER_hh_num_in!U16)</f>
        <v>25790.454934816938</v>
      </c>
      <c r="V16" s="130">
        <f>IF(SER_hh_tes_in!V16=0,0,11630*1000*SER_hh_tes_in!V16/SER_hh_num_in!V16)</f>
        <v>22525.043499042858</v>
      </c>
      <c r="W16" s="130">
        <f>IF(SER_hh_tes_in!W16=0,0,11630*1000*SER_hh_tes_in!W16/SER_hh_num_in!W16)</f>
        <v>24227.630350643933</v>
      </c>
      <c r="X16" s="130">
        <f>IF(SER_hh_tes_in!X16=0,0,11630*1000*SER_hh_tes_in!X16/SER_hh_num_in!X16)</f>
        <v>23660.386794455029</v>
      </c>
      <c r="Y16" s="130">
        <f>IF(SER_hh_tes_in!Y16=0,0,11630*1000*SER_hh_tes_in!Y16/SER_hh_num_in!Y16)</f>
        <v>26063.591601733868</v>
      </c>
      <c r="DA16" s="155" t="s">
        <v>768</v>
      </c>
    </row>
    <row r="17" spans="1:105" ht="12.95" customHeight="1" x14ac:dyDescent="0.25">
      <c r="A17" s="131" t="s">
        <v>73</v>
      </c>
      <c r="B17" s="132"/>
      <c r="C17" s="132">
        <f>IF(SER_hh_tes_in!C17=0,0,11630*1000*SER_hh_tes_in!C17/SER_hh_num_in!C17)</f>
        <v>0</v>
      </c>
      <c r="D17" s="132">
        <f>IF(SER_hh_tes_in!D17=0,0,11630*1000*SER_hh_tes_in!D17/SER_hh_num_in!D17)</f>
        <v>0</v>
      </c>
      <c r="E17" s="132">
        <f>IF(SER_hh_tes_in!E17=0,0,11630*1000*SER_hh_tes_in!E17/SER_hh_num_in!E17)</f>
        <v>0</v>
      </c>
      <c r="F17" s="132">
        <f>IF(SER_hh_tes_in!F17=0,0,11630*1000*SER_hh_tes_in!F17/SER_hh_num_in!F17)</f>
        <v>0</v>
      </c>
      <c r="G17" s="132">
        <f>IF(SER_hh_tes_in!G17=0,0,11630*1000*SER_hh_tes_in!G17/SER_hh_num_in!G17)</f>
        <v>0</v>
      </c>
      <c r="H17" s="132">
        <f>IF(SER_hh_tes_in!H17=0,0,11630*1000*SER_hh_tes_in!H17/SER_hh_num_in!H17)</f>
        <v>0</v>
      </c>
      <c r="I17" s="132">
        <f>IF(SER_hh_tes_in!I17=0,0,11630*1000*SER_hh_tes_in!I17/SER_hh_num_in!I17)</f>
        <v>0</v>
      </c>
      <c r="J17" s="132">
        <f>IF(SER_hh_tes_in!J17=0,0,11630*1000*SER_hh_tes_in!J17/SER_hh_num_in!J17)</f>
        <v>0</v>
      </c>
      <c r="K17" s="132">
        <f>IF(SER_hh_tes_in!K17=0,0,11630*1000*SER_hh_tes_in!K17/SER_hh_num_in!K17)</f>
        <v>0</v>
      </c>
      <c r="L17" s="132">
        <f>IF(SER_hh_tes_in!L17=0,0,11630*1000*SER_hh_tes_in!L17/SER_hh_num_in!L17)</f>
        <v>0</v>
      </c>
      <c r="M17" s="132">
        <f>IF(SER_hh_tes_in!M17=0,0,11630*1000*SER_hh_tes_in!M17/SER_hh_num_in!M17)</f>
        <v>0</v>
      </c>
      <c r="N17" s="132">
        <f>IF(SER_hh_tes_in!N17=0,0,11630*1000*SER_hh_tes_in!N17/SER_hh_num_in!N17)</f>
        <v>0</v>
      </c>
      <c r="O17" s="132">
        <f>IF(SER_hh_tes_in!O17=0,0,11630*1000*SER_hh_tes_in!O17/SER_hh_num_in!O17)</f>
        <v>0</v>
      </c>
      <c r="P17" s="132">
        <f>IF(SER_hh_tes_in!P17=0,0,11630*1000*SER_hh_tes_in!P17/SER_hh_num_in!P17)</f>
        <v>0</v>
      </c>
      <c r="Q17" s="132">
        <f>IF(SER_hh_tes_in!Q17=0,0,11630*1000*SER_hh_tes_in!Q17/SER_hh_num_in!Q17)</f>
        <v>0</v>
      </c>
      <c r="R17" s="132">
        <f>IF(SER_hh_tes_in!R17=0,0,11630*1000*SER_hh_tes_in!R17/SER_hh_num_in!R17)</f>
        <v>0</v>
      </c>
      <c r="S17" s="132">
        <f>IF(SER_hh_tes_in!S17=0,0,11630*1000*SER_hh_tes_in!S17/SER_hh_num_in!S17)</f>
        <v>0</v>
      </c>
      <c r="T17" s="132">
        <f>IF(SER_hh_tes_in!T17=0,0,11630*1000*SER_hh_tes_in!T17/SER_hh_num_in!T17)</f>
        <v>0</v>
      </c>
      <c r="U17" s="132">
        <f>IF(SER_hh_tes_in!U17=0,0,11630*1000*SER_hh_tes_in!U17/SER_hh_num_in!U17)</f>
        <v>0</v>
      </c>
      <c r="V17" s="132">
        <f>IF(SER_hh_tes_in!V17=0,0,11630*1000*SER_hh_tes_in!V17/SER_hh_num_in!V17)</f>
        <v>0</v>
      </c>
      <c r="W17" s="132">
        <f>IF(SER_hh_tes_in!W17=0,0,11630*1000*SER_hh_tes_in!W17/SER_hh_num_in!W17)</f>
        <v>0</v>
      </c>
      <c r="X17" s="132">
        <f>IF(SER_hh_tes_in!X17=0,0,11630*1000*SER_hh_tes_in!X17/SER_hh_num_in!X17)</f>
        <v>0</v>
      </c>
      <c r="Y17" s="132">
        <f>IF(SER_hh_tes_in!Y17=0,0,11630*1000*SER_hh_tes_in!Y17/SER_hh_num_in!Y17)</f>
        <v>0</v>
      </c>
      <c r="DA17" s="156" t="s">
        <v>769</v>
      </c>
    </row>
    <row r="18" spans="1:105" ht="12" customHeight="1" x14ac:dyDescent="0.25">
      <c r="A18" s="131" t="s">
        <v>72</v>
      </c>
      <c r="B18" s="132"/>
      <c r="C18" s="132">
        <f>IF(SER_hh_tes_in!C18=0,0,11630*1000*SER_hh_tes_in!C18/SER_hh_num_in!C18)</f>
        <v>27770.049003442549</v>
      </c>
      <c r="D18" s="132">
        <f>IF(SER_hh_tes_in!D18=0,0,11630*1000*SER_hh_tes_in!D18/SER_hh_num_in!D18)</f>
        <v>26494.266005642457</v>
      </c>
      <c r="E18" s="132">
        <f>IF(SER_hh_tes_in!E18=0,0,11630*1000*SER_hh_tes_in!E18/SER_hh_num_in!E18)</f>
        <v>26667.586684478505</v>
      </c>
      <c r="F18" s="132">
        <f>IF(SER_hh_tes_in!F18=0,0,11630*1000*SER_hh_tes_in!F18/SER_hh_num_in!F18)</f>
        <v>23195.599603053262</v>
      </c>
      <c r="G18" s="132">
        <f>IF(SER_hh_tes_in!G18=0,0,11630*1000*SER_hh_tes_in!G18/SER_hh_num_in!G18)</f>
        <v>23252.378518851929</v>
      </c>
      <c r="H18" s="132">
        <f>IF(SER_hh_tes_in!H18=0,0,11630*1000*SER_hh_tes_in!H18/SER_hh_num_in!H18)</f>
        <v>24756.408917854562</v>
      </c>
      <c r="I18" s="132">
        <f>IF(SER_hh_tes_in!I18=0,0,11630*1000*SER_hh_tes_in!I18/SER_hh_num_in!I18)</f>
        <v>32633.012129181094</v>
      </c>
      <c r="J18" s="132">
        <f>IF(SER_hh_tes_in!J18=0,0,11630*1000*SER_hh_tes_in!J18/SER_hh_num_in!J18)</f>
        <v>25676.042772111501</v>
      </c>
      <c r="K18" s="132">
        <f>IF(SER_hh_tes_in!K18=0,0,11630*1000*SER_hh_tes_in!K18/SER_hh_num_in!K18)</f>
        <v>24235.458830468349</v>
      </c>
      <c r="L18" s="132">
        <f>IF(SER_hh_tes_in!L18=0,0,11630*1000*SER_hh_tes_in!L18/SER_hh_num_in!L18)</f>
        <v>28422.723154185773</v>
      </c>
      <c r="M18" s="132">
        <f>IF(SER_hh_tes_in!M18=0,0,11630*1000*SER_hh_tes_in!M18/SER_hh_num_in!M18)</f>
        <v>24277.228754427288</v>
      </c>
      <c r="N18" s="132">
        <f>IF(SER_hh_tes_in!N18=0,0,11630*1000*SER_hh_tes_in!N18/SER_hh_num_in!N18)</f>
        <v>36746.004266715419</v>
      </c>
      <c r="O18" s="132">
        <f>IF(SER_hh_tes_in!O18=0,0,11630*1000*SER_hh_tes_in!O18/SER_hh_num_in!O18)</f>
        <v>24837.719525445616</v>
      </c>
      <c r="P18" s="132">
        <f>IF(SER_hh_tes_in!P18=0,0,11630*1000*SER_hh_tes_in!P18/SER_hh_num_in!P18)</f>
        <v>23173.896737094372</v>
      </c>
      <c r="Q18" s="132">
        <f>IF(SER_hh_tes_in!Q18=0,0,11630*1000*SER_hh_tes_in!Q18/SER_hh_num_in!Q18)</f>
        <v>30139.053241970258</v>
      </c>
      <c r="R18" s="132">
        <f>IF(SER_hh_tes_in!R18=0,0,11630*1000*SER_hh_tes_in!R18/SER_hh_num_in!R18)</f>
        <v>25402.091010366465</v>
      </c>
      <c r="S18" s="132">
        <f>IF(SER_hh_tes_in!S18=0,0,11630*1000*SER_hh_tes_in!S18/SER_hh_num_in!S18)</f>
        <v>27037.879611722863</v>
      </c>
      <c r="T18" s="132">
        <f>IF(SER_hh_tes_in!T18=0,0,11630*1000*SER_hh_tes_in!T18/SER_hh_num_in!T18)</f>
        <v>23347.29570123789</v>
      </c>
      <c r="U18" s="132">
        <f>IF(SER_hh_tes_in!U18=0,0,11630*1000*SER_hh_tes_in!U18/SER_hh_num_in!U18)</f>
        <v>25790.454934816938</v>
      </c>
      <c r="V18" s="132">
        <f>IF(SER_hh_tes_in!V18=0,0,11630*1000*SER_hh_tes_in!V18/SER_hh_num_in!V18)</f>
        <v>22525.043499042858</v>
      </c>
      <c r="W18" s="132">
        <f>IF(SER_hh_tes_in!W18=0,0,11630*1000*SER_hh_tes_in!W18/SER_hh_num_in!W18)</f>
        <v>24227.630350643933</v>
      </c>
      <c r="X18" s="132">
        <f>IF(SER_hh_tes_in!X18=0,0,11630*1000*SER_hh_tes_in!X18/SER_hh_num_in!X18)</f>
        <v>23660.386794455029</v>
      </c>
      <c r="Y18" s="132">
        <f>IF(SER_hh_tes_in!Y18=0,0,11630*1000*SER_hh_tes_in!Y18/SER_hh_num_in!Y18)</f>
        <v>26063.591601733868</v>
      </c>
      <c r="DA18" s="156" t="s">
        <v>770</v>
      </c>
    </row>
    <row r="19" spans="1:105" ht="12.95" customHeight="1" x14ac:dyDescent="0.25">
      <c r="A19" s="129" t="s">
        <v>35</v>
      </c>
      <c r="B19" s="130"/>
      <c r="C19" s="130">
        <f>IF(SER_hh_tes_in!C19=0,0,11630*1000*SER_hh_tes_in!C19/SER_hh_num_in!C19)</f>
        <v>29655.351937684532</v>
      </c>
      <c r="D19" s="130">
        <f>IF(SER_hh_tes_in!D19=0,0,11630*1000*SER_hh_tes_in!D19/SER_hh_num_in!D19)</f>
        <v>11760.55673099567</v>
      </c>
      <c r="E19" s="130">
        <f>IF(SER_hh_tes_in!E19=0,0,11630*1000*SER_hh_tes_in!E19/SER_hh_num_in!E19)</f>
        <v>25308.417951445321</v>
      </c>
      <c r="F19" s="130">
        <f>IF(SER_hh_tes_in!F19=0,0,11630*1000*SER_hh_tes_in!F19/SER_hh_num_in!F19)</f>
        <v>30335.23013426844</v>
      </c>
      <c r="G19" s="130">
        <f>IF(SER_hh_tes_in!G19=0,0,11630*1000*SER_hh_tes_in!G19/SER_hh_num_in!G19)</f>
        <v>26524.891040912604</v>
      </c>
      <c r="H19" s="130">
        <f>IF(SER_hh_tes_in!H19=0,0,11630*1000*SER_hh_tes_in!H19/SER_hh_num_in!H19)</f>
        <v>28813.689904033672</v>
      </c>
      <c r="I19" s="130">
        <f>IF(SER_hh_tes_in!I19=0,0,11630*1000*SER_hh_tes_in!I19/SER_hh_num_in!I19)</f>
        <v>30267.064097159964</v>
      </c>
      <c r="J19" s="130">
        <f>IF(SER_hh_tes_in!J19=0,0,11630*1000*SER_hh_tes_in!J19/SER_hh_num_in!J19)</f>
        <v>28709.371213988285</v>
      </c>
      <c r="K19" s="130">
        <f>IF(SER_hh_tes_in!K19=0,0,11630*1000*SER_hh_tes_in!K19/SER_hh_num_in!K19)</f>
        <v>29899.577537669076</v>
      </c>
      <c r="L19" s="130">
        <f>IF(SER_hh_tes_in!L19=0,0,11630*1000*SER_hh_tes_in!L19/SER_hh_num_in!L19)</f>
        <v>28089.12011838963</v>
      </c>
      <c r="M19" s="130">
        <f>IF(SER_hh_tes_in!M19=0,0,11630*1000*SER_hh_tes_in!M19/SER_hh_num_in!M19)</f>
        <v>27997.694035318451</v>
      </c>
      <c r="N19" s="130">
        <f>IF(SER_hh_tes_in!N19=0,0,11630*1000*SER_hh_tes_in!N19/SER_hh_num_in!N19)</f>
        <v>28109.857954375973</v>
      </c>
      <c r="O19" s="130">
        <f>IF(SER_hh_tes_in!O19=0,0,11630*1000*SER_hh_tes_in!O19/SER_hh_num_in!O19)</f>
        <v>28863.875110551078</v>
      </c>
      <c r="P19" s="130">
        <f>IF(SER_hh_tes_in!P19=0,0,11630*1000*SER_hh_tes_in!P19/SER_hh_num_in!P19)</f>
        <v>28756.788352857267</v>
      </c>
      <c r="Q19" s="130">
        <f>IF(SER_hh_tes_in!Q19=0,0,11630*1000*SER_hh_tes_in!Q19/SER_hh_num_in!Q19)</f>
        <v>28984.849845195375</v>
      </c>
      <c r="R19" s="130">
        <f>IF(SER_hh_tes_in!R19=0,0,11630*1000*SER_hh_tes_in!R19/SER_hh_num_in!R19)</f>
        <v>28722.258590877082</v>
      </c>
      <c r="S19" s="130">
        <f>IF(SER_hh_tes_in!S19=0,0,11630*1000*SER_hh_tes_in!S19/SER_hh_num_in!S19)</f>
        <v>29563.464697244635</v>
      </c>
      <c r="T19" s="130">
        <f>IF(SER_hh_tes_in!T19=0,0,11630*1000*SER_hh_tes_in!T19/SER_hh_num_in!T19)</f>
        <v>28515.30621323203</v>
      </c>
      <c r="U19" s="130">
        <f>IF(SER_hh_tes_in!U19=0,0,11630*1000*SER_hh_tes_in!U19/SER_hh_num_in!U19)</f>
        <v>27073.414712713755</v>
      </c>
      <c r="V19" s="130">
        <f>IF(SER_hh_tes_in!V19=0,0,11630*1000*SER_hh_tes_in!V19/SER_hh_num_in!V19)</f>
        <v>24960.516107106112</v>
      </c>
      <c r="W19" s="130">
        <f>IF(SER_hh_tes_in!W19=0,0,11630*1000*SER_hh_tes_in!W19/SER_hh_num_in!W19)</f>
        <v>28399.327654071272</v>
      </c>
      <c r="X19" s="130">
        <f>IF(SER_hh_tes_in!X19=0,0,11630*1000*SER_hh_tes_in!X19/SER_hh_num_in!X19)</f>
        <v>27615.872376163919</v>
      </c>
      <c r="Y19" s="130">
        <f>IF(SER_hh_tes_in!Y19=0,0,11630*1000*SER_hh_tes_in!Y19/SER_hh_num_in!Y19)</f>
        <v>30204.70035100012</v>
      </c>
      <c r="DA19" s="155" t="s">
        <v>771</v>
      </c>
    </row>
    <row r="20" spans="1:105" ht="12" customHeight="1" x14ac:dyDescent="0.25">
      <c r="A20" s="131" t="s">
        <v>29</v>
      </c>
      <c r="B20" s="132"/>
      <c r="C20" s="132">
        <f>IF(SER_hh_tes_in!C20=0,0,11630*1000*SER_hh_tes_in!C20/SER_hh_num_in!C20)</f>
        <v>0</v>
      </c>
      <c r="D20" s="132">
        <f>IF(SER_hh_tes_in!D20=0,0,11630*1000*SER_hh_tes_in!D20/SER_hh_num_in!D20)</f>
        <v>0</v>
      </c>
      <c r="E20" s="132">
        <f>IF(SER_hh_tes_in!E20=0,0,11630*1000*SER_hh_tes_in!E20/SER_hh_num_in!E20)</f>
        <v>0</v>
      </c>
      <c r="F20" s="132">
        <f>IF(SER_hh_tes_in!F20=0,0,11630*1000*SER_hh_tes_in!F20/SER_hh_num_in!F20)</f>
        <v>0</v>
      </c>
      <c r="G20" s="132">
        <f>IF(SER_hh_tes_in!G20=0,0,11630*1000*SER_hh_tes_in!G20/SER_hh_num_in!G20)</f>
        <v>0</v>
      </c>
      <c r="H20" s="132">
        <f>IF(SER_hh_tes_in!H20=0,0,11630*1000*SER_hh_tes_in!H20/SER_hh_num_in!H20)</f>
        <v>0</v>
      </c>
      <c r="I20" s="132">
        <f>IF(SER_hh_tes_in!I20=0,0,11630*1000*SER_hh_tes_in!I20/SER_hh_num_in!I20)</f>
        <v>0</v>
      </c>
      <c r="J20" s="132">
        <f>IF(SER_hh_tes_in!J20=0,0,11630*1000*SER_hh_tes_in!J20/SER_hh_num_in!J20)</f>
        <v>0</v>
      </c>
      <c r="K20" s="132">
        <f>IF(SER_hh_tes_in!K20=0,0,11630*1000*SER_hh_tes_in!K20/SER_hh_num_in!K20)</f>
        <v>0</v>
      </c>
      <c r="L20" s="132">
        <f>IF(SER_hh_tes_in!L20=0,0,11630*1000*SER_hh_tes_in!L20/SER_hh_num_in!L20)</f>
        <v>0</v>
      </c>
      <c r="M20" s="132">
        <f>IF(SER_hh_tes_in!M20=0,0,11630*1000*SER_hh_tes_in!M20/SER_hh_num_in!M20)</f>
        <v>0</v>
      </c>
      <c r="N20" s="132">
        <f>IF(SER_hh_tes_in!N20=0,0,11630*1000*SER_hh_tes_in!N20/SER_hh_num_in!N20)</f>
        <v>0</v>
      </c>
      <c r="O20" s="132">
        <f>IF(SER_hh_tes_in!O20=0,0,11630*1000*SER_hh_tes_in!O20/SER_hh_num_in!O20)</f>
        <v>0</v>
      </c>
      <c r="P20" s="132">
        <f>IF(SER_hh_tes_in!P20=0,0,11630*1000*SER_hh_tes_in!P20/SER_hh_num_in!P20)</f>
        <v>0</v>
      </c>
      <c r="Q20" s="132">
        <f>IF(SER_hh_tes_in!Q20=0,0,11630*1000*SER_hh_tes_in!Q20/SER_hh_num_in!Q20)</f>
        <v>0</v>
      </c>
      <c r="R20" s="132">
        <f>IF(SER_hh_tes_in!R20=0,0,11630*1000*SER_hh_tes_in!R20/SER_hh_num_in!R20)</f>
        <v>0</v>
      </c>
      <c r="S20" s="132">
        <f>IF(SER_hh_tes_in!S20=0,0,11630*1000*SER_hh_tes_in!S20/SER_hh_num_in!S20)</f>
        <v>0</v>
      </c>
      <c r="T20" s="132">
        <f>IF(SER_hh_tes_in!T20=0,0,11630*1000*SER_hh_tes_in!T20/SER_hh_num_in!T20)</f>
        <v>0</v>
      </c>
      <c r="U20" s="132">
        <f>IF(SER_hh_tes_in!U20=0,0,11630*1000*SER_hh_tes_in!U20/SER_hh_num_in!U20)</f>
        <v>0</v>
      </c>
      <c r="V20" s="132">
        <f>IF(SER_hh_tes_in!V20=0,0,11630*1000*SER_hh_tes_in!V20/SER_hh_num_in!V20)</f>
        <v>0</v>
      </c>
      <c r="W20" s="132">
        <f>IF(SER_hh_tes_in!W20=0,0,11630*1000*SER_hh_tes_in!W20/SER_hh_num_in!W20)</f>
        <v>0</v>
      </c>
      <c r="X20" s="132">
        <f>IF(SER_hh_tes_in!X20=0,0,11630*1000*SER_hh_tes_in!X20/SER_hh_num_in!X20)</f>
        <v>0</v>
      </c>
      <c r="Y20" s="132">
        <f>IF(SER_hh_tes_in!Y20=0,0,11630*1000*SER_hh_tes_in!Y20/SER_hh_num_in!Y20)</f>
        <v>0</v>
      </c>
      <c r="DA20" s="156" t="s">
        <v>772</v>
      </c>
    </row>
    <row r="21" spans="1:105" s="2" customFormat="1" ht="12" customHeight="1" x14ac:dyDescent="0.25">
      <c r="A21" s="131" t="s">
        <v>52</v>
      </c>
      <c r="B21" s="132"/>
      <c r="C21" s="132">
        <f>IF(SER_hh_tes_in!C21=0,0,11630*1000*SER_hh_tes_in!C21/SER_hh_num_in!C21)</f>
        <v>0</v>
      </c>
      <c r="D21" s="132">
        <f>IF(SER_hh_tes_in!D21=0,0,11630*1000*SER_hh_tes_in!D21/SER_hh_num_in!D21)</f>
        <v>0</v>
      </c>
      <c r="E21" s="132">
        <f>IF(SER_hh_tes_in!E21=0,0,11630*1000*SER_hh_tes_in!E21/SER_hh_num_in!E21)</f>
        <v>0</v>
      </c>
      <c r="F21" s="132">
        <f>IF(SER_hh_tes_in!F21=0,0,11630*1000*SER_hh_tes_in!F21/SER_hh_num_in!F21)</f>
        <v>0</v>
      </c>
      <c r="G21" s="132">
        <f>IF(SER_hh_tes_in!G21=0,0,11630*1000*SER_hh_tes_in!G21/SER_hh_num_in!G21)</f>
        <v>0</v>
      </c>
      <c r="H21" s="132">
        <f>IF(SER_hh_tes_in!H21=0,0,11630*1000*SER_hh_tes_in!H21/SER_hh_num_in!H21)</f>
        <v>0</v>
      </c>
      <c r="I21" s="132">
        <f>IF(SER_hh_tes_in!I21=0,0,11630*1000*SER_hh_tes_in!I21/SER_hh_num_in!I21)</f>
        <v>0</v>
      </c>
      <c r="J21" s="132">
        <f>IF(SER_hh_tes_in!J21=0,0,11630*1000*SER_hh_tes_in!J21/SER_hh_num_in!J21)</f>
        <v>0</v>
      </c>
      <c r="K21" s="132">
        <f>IF(SER_hh_tes_in!K21=0,0,11630*1000*SER_hh_tes_in!K21/SER_hh_num_in!K21)</f>
        <v>0</v>
      </c>
      <c r="L21" s="132">
        <f>IF(SER_hh_tes_in!L21=0,0,11630*1000*SER_hh_tes_in!L21/SER_hh_num_in!L21)</f>
        <v>0</v>
      </c>
      <c r="M21" s="132">
        <f>IF(SER_hh_tes_in!M21=0,0,11630*1000*SER_hh_tes_in!M21/SER_hh_num_in!M21)</f>
        <v>0</v>
      </c>
      <c r="N21" s="132">
        <f>IF(SER_hh_tes_in!N21=0,0,11630*1000*SER_hh_tes_in!N21/SER_hh_num_in!N21)</f>
        <v>0</v>
      </c>
      <c r="O21" s="132">
        <f>IF(SER_hh_tes_in!O21=0,0,11630*1000*SER_hh_tes_in!O21/SER_hh_num_in!O21)</f>
        <v>0</v>
      </c>
      <c r="P21" s="132">
        <f>IF(SER_hh_tes_in!P21=0,0,11630*1000*SER_hh_tes_in!P21/SER_hh_num_in!P21)</f>
        <v>0</v>
      </c>
      <c r="Q21" s="132">
        <f>IF(SER_hh_tes_in!Q21=0,0,11630*1000*SER_hh_tes_in!Q21/SER_hh_num_in!Q21)</f>
        <v>0</v>
      </c>
      <c r="R21" s="132">
        <f>IF(SER_hh_tes_in!R21=0,0,11630*1000*SER_hh_tes_in!R21/SER_hh_num_in!R21)</f>
        <v>0</v>
      </c>
      <c r="S21" s="132">
        <f>IF(SER_hh_tes_in!S21=0,0,11630*1000*SER_hh_tes_in!S21/SER_hh_num_in!S21)</f>
        <v>0</v>
      </c>
      <c r="T21" s="132">
        <f>IF(SER_hh_tes_in!T21=0,0,11630*1000*SER_hh_tes_in!T21/SER_hh_num_in!T21)</f>
        <v>0</v>
      </c>
      <c r="U21" s="132">
        <f>IF(SER_hh_tes_in!U21=0,0,11630*1000*SER_hh_tes_in!U21/SER_hh_num_in!U21)</f>
        <v>0</v>
      </c>
      <c r="V21" s="132">
        <f>IF(SER_hh_tes_in!V21=0,0,11630*1000*SER_hh_tes_in!V21/SER_hh_num_in!V21)</f>
        <v>0</v>
      </c>
      <c r="W21" s="132">
        <f>IF(SER_hh_tes_in!W21=0,0,11630*1000*SER_hh_tes_in!W21/SER_hh_num_in!W21)</f>
        <v>0</v>
      </c>
      <c r="X21" s="132">
        <f>IF(SER_hh_tes_in!X21=0,0,11630*1000*SER_hh_tes_in!X21/SER_hh_num_in!X21)</f>
        <v>0</v>
      </c>
      <c r="Y21" s="132">
        <f>IF(SER_hh_tes_in!Y21=0,0,11630*1000*SER_hh_tes_in!Y21/SER_hh_num_in!Y21)</f>
        <v>0</v>
      </c>
      <c r="DA21" s="156" t="s">
        <v>773</v>
      </c>
    </row>
    <row r="22" spans="1:105" ht="12" customHeight="1" x14ac:dyDescent="0.25">
      <c r="A22" s="131" t="s">
        <v>161</v>
      </c>
      <c r="B22" s="132"/>
      <c r="C22" s="132">
        <f>IF(SER_hh_tes_in!C22=0,0,11630*1000*SER_hh_tes_in!C22/SER_hh_num_in!C22)</f>
        <v>5572.8869550597883</v>
      </c>
      <c r="D22" s="132">
        <f>IF(SER_hh_tes_in!D22=0,0,11630*1000*SER_hh_tes_in!D22/SER_hh_num_in!D22)</f>
        <v>16734.191743340059</v>
      </c>
      <c r="E22" s="132">
        <f>IF(SER_hh_tes_in!E22=0,0,11630*1000*SER_hh_tes_in!E22/SER_hh_num_in!E22)</f>
        <v>23447.961836580642</v>
      </c>
      <c r="F22" s="132">
        <f>IF(SER_hh_tes_in!F22=0,0,11630*1000*SER_hh_tes_in!F22/SER_hh_num_in!F22)</f>
        <v>26869.418827543908</v>
      </c>
      <c r="G22" s="132">
        <f>IF(SER_hh_tes_in!G22=0,0,11630*1000*SER_hh_tes_in!G22/SER_hh_num_in!G22)</f>
        <v>0</v>
      </c>
      <c r="H22" s="132">
        <f>IF(SER_hh_tes_in!H22=0,0,11630*1000*SER_hh_tes_in!H22/SER_hh_num_in!H22)</f>
        <v>0</v>
      </c>
      <c r="I22" s="132">
        <f>IF(SER_hh_tes_in!I22=0,0,11630*1000*SER_hh_tes_in!I22/SER_hh_num_in!I22)</f>
        <v>0</v>
      </c>
      <c r="J22" s="132">
        <f>IF(SER_hh_tes_in!J22=0,0,11630*1000*SER_hh_tes_in!J22/SER_hh_num_in!J22)</f>
        <v>0</v>
      </c>
      <c r="K22" s="132">
        <f>IF(SER_hh_tes_in!K22=0,0,11630*1000*SER_hh_tes_in!K22/SER_hh_num_in!K22)</f>
        <v>0</v>
      </c>
      <c r="L22" s="132">
        <f>IF(SER_hh_tes_in!L22=0,0,11630*1000*SER_hh_tes_in!L22/SER_hh_num_in!L22)</f>
        <v>26027.504650480321</v>
      </c>
      <c r="M22" s="132">
        <f>IF(SER_hh_tes_in!M22=0,0,11630*1000*SER_hh_tes_in!M22/SER_hh_num_in!M22)</f>
        <v>24312.309767766514</v>
      </c>
      <c r="N22" s="132">
        <f>IF(SER_hh_tes_in!N22=0,0,11630*1000*SER_hh_tes_in!N22/SER_hh_num_in!N22)</f>
        <v>26508.066732190393</v>
      </c>
      <c r="O22" s="132">
        <f>IF(SER_hh_tes_in!O22=0,0,11630*1000*SER_hh_tes_in!O22/SER_hh_num_in!O22)</f>
        <v>31069.049594165033</v>
      </c>
      <c r="P22" s="132">
        <f>IF(SER_hh_tes_in!P22=0,0,11630*1000*SER_hh_tes_in!P22/SER_hh_num_in!P22)</f>
        <v>29498.824274914336</v>
      </c>
      <c r="Q22" s="132">
        <f>IF(SER_hh_tes_in!Q22=0,0,11630*1000*SER_hh_tes_in!Q22/SER_hh_num_in!Q22)</f>
        <v>29425.076869476216</v>
      </c>
      <c r="R22" s="132">
        <f>IF(SER_hh_tes_in!R22=0,0,11630*1000*SER_hh_tes_in!R22/SER_hh_num_in!R22)</f>
        <v>25172.547807022223</v>
      </c>
      <c r="S22" s="132">
        <f>IF(SER_hh_tes_in!S22=0,0,11630*1000*SER_hh_tes_in!S22/SER_hh_num_in!S22)</f>
        <v>29998.309226746263</v>
      </c>
      <c r="T22" s="132">
        <f>IF(SER_hh_tes_in!T22=0,0,11630*1000*SER_hh_tes_in!T22/SER_hh_num_in!T22)</f>
        <v>30276.841823261217</v>
      </c>
      <c r="U22" s="132">
        <f>IF(SER_hh_tes_in!U22=0,0,11630*1000*SER_hh_tes_in!U22/SER_hh_num_in!U22)</f>
        <v>25891.349955592508</v>
      </c>
      <c r="V22" s="132">
        <f>IF(SER_hh_tes_in!V22=0,0,11630*1000*SER_hh_tes_in!V22/SER_hh_num_in!V22)</f>
        <v>23285.889346973363</v>
      </c>
      <c r="W22" s="132">
        <f>IF(SER_hh_tes_in!W22=0,0,11630*1000*SER_hh_tes_in!W22/SER_hh_num_in!W22)</f>
        <v>30482.078586701613</v>
      </c>
      <c r="X22" s="132">
        <f>IF(SER_hh_tes_in!X22=0,0,11630*1000*SER_hh_tes_in!X22/SER_hh_num_in!X22)</f>
        <v>28652.510968498005</v>
      </c>
      <c r="Y22" s="132">
        <f>IF(SER_hh_tes_in!Y22=0,0,11630*1000*SER_hh_tes_in!Y22/SER_hh_num_in!Y22)</f>
        <v>28778.093553797105</v>
      </c>
      <c r="DA22" s="156" t="s">
        <v>774</v>
      </c>
    </row>
    <row r="23" spans="1:105" ht="12" customHeight="1" x14ac:dyDescent="0.25">
      <c r="A23" s="131" t="s">
        <v>149</v>
      </c>
      <c r="B23" s="132"/>
      <c r="C23" s="132">
        <f>IF(SER_hh_tes_in!C23=0,0,11630*1000*SER_hh_tes_in!C23/SER_hh_num_in!C23)</f>
        <v>17375.472438171455</v>
      </c>
      <c r="D23" s="132">
        <f>IF(SER_hh_tes_in!D23=0,0,11630*1000*SER_hh_tes_in!D23/SER_hh_num_in!D23)</f>
        <v>10124.061099228315</v>
      </c>
      <c r="E23" s="132">
        <f>IF(SER_hh_tes_in!E23=0,0,11630*1000*SER_hh_tes_in!E23/SER_hh_num_in!E23)</f>
        <v>20245.521445290775</v>
      </c>
      <c r="F23" s="132">
        <f>IF(SER_hh_tes_in!F23=0,0,11630*1000*SER_hh_tes_in!F23/SER_hh_num_in!F23)</f>
        <v>31036.933334818823</v>
      </c>
      <c r="G23" s="132">
        <f>IF(SER_hh_tes_in!G23=0,0,11630*1000*SER_hh_tes_in!G23/SER_hh_num_in!G23)</f>
        <v>26778.862742497102</v>
      </c>
      <c r="H23" s="132">
        <f>IF(SER_hh_tes_in!H23=0,0,11630*1000*SER_hh_tes_in!H23/SER_hh_num_in!H23)</f>
        <v>31123.487741031466</v>
      </c>
      <c r="I23" s="132">
        <f>IF(SER_hh_tes_in!I23=0,0,11630*1000*SER_hh_tes_in!I23/SER_hh_num_in!I23)</f>
        <v>26354.084335105217</v>
      </c>
      <c r="J23" s="132">
        <f>IF(SER_hh_tes_in!J23=0,0,11630*1000*SER_hh_tes_in!J23/SER_hh_num_in!J23)</f>
        <v>23246.632731132257</v>
      </c>
      <c r="K23" s="132">
        <f>IF(SER_hh_tes_in!K23=0,0,11630*1000*SER_hh_tes_in!K23/SER_hh_num_in!K23)</f>
        <v>31480.446548809734</v>
      </c>
      <c r="L23" s="132">
        <f>IF(SER_hh_tes_in!L23=0,0,11630*1000*SER_hh_tes_in!L23/SER_hh_num_in!L23)</f>
        <v>29424.789337343922</v>
      </c>
      <c r="M23" s="132">
        <f>IF(SER_hh_tes_in!M23=0,0,11630*1000*SER_hh_tes_in!M23/SER_hh_num_in!M23)</f>
        <v>26953.459877445635</v>
      </c>
      <c r="N23" s="132">
        <f>IF(SER_hh_tes_in!N23=0,0,11630*1000*SER_hh_tes_in!N23/SER_hh_num_in!N23)</f>
        <v>27239.034328564583</v>
      </c>
      <c r="O23" s="132">
        <f>IF(SER_hh_tes_in!O23=0,0,11630*1000*SER_hh_tes_in!O23/SER_hh_num_in!O23)</f>
        <v>27672.258537497073</v>
      </c>
      <c r="P23" s="132">
        <f>IF(SER_hh_tes_in!P23=0,0,11630*1000*SER_hh_tes_in!P23/SER_hh_num_in!P23)</f>
        <v>28465.848475051211</v>
      </c>
      <c r="Q23" s="132">
        <f>IF(SER_hh_tes_in!Q23=0,0,11630*1000*SER_hh_tes_in!Q23/SER_hh_num_in!Q23)</f>
        <v>28789.475310114234</v>
      </c>
      <c r="R23" s="132">
        <f>IF(SER_hh_tes_in!R23=0,0,11630*1000*SER_hh_tes_in!R23/SER_hh_num_in!R23)</f>
        <v>29422.470948364396</v>
      </c>
      <c r="S23" s="132">
        <f>IF(SER_hh_tes_in!S23=0,0,11630*1000*SER_hh_tes_in!S23/SER_hh_num_in!S23)</f>
        <v>29686.76244751897</v>
      </c>
      <c r="T23" s="132">
        <f>IF(SER_hh_tes_in!T23=0,0,11630*1000*SER_hh_tes_in!T23/SER_hh_num_in!T23)</f>
        <v>27905.996779437828</v>
      </c>
      <c r="U23" s="132">
        <f>IF(SER_hh_tes_in!U23=0,0,11630*1000*SER_hh_tes_in!U23/SER_hh_num_in!U23)</f>
        <v>27604.220293718499</v>
      </c>
      <c r="V23" s="132">
        <f>IF(SER_hh_tes_in!V23=0,0,11630*1000*SER_hh_tes_in!V23/SER_hh_num_in!V23)</f>
        <v>26693.932157034549</v>
      </c>
      <c r="W23" s="132">
        <f>IF(SER_hh_tes_in!W23=0,0,11630*1000*SER_hh_tes_in!W23/SER_hh_num_in!W23)</f>
        <v>24658.38021273728</v>
      </c>
      <c r="X23" s="132">
        <f>IF(SER_hh_tes_in!X23=0,0,11630*1000*SER_hh_tes_in!X23/SER_hh_num_in!X23)</f>
        <v>0</v>
      </c>
      <c r="Y23" s="132">
        <f>IF(SER_hh_tes_in!Y23=0,0,11630*1000*SER_hh_tes_in!Y23/SER_hh_num_in!Y23)</f>
        <v>0</v>
      </c>
      <c r="DA23" s="156" t="s">
        <v>775</v>
      </c>
    </row>
    <row r="24" spans="1:105" ht="12" customHeight="1" x14ac:dyDescent="0.25">
      <c r="A24" s="131" t="s">
        <v>128</v>
      </c>
      <c r="B24" s="132"/>
      <c r="C24" s="132">
        <f>IF(SER_hh_tes_in!C24=0,0,11630*1000*SER_hh_tes_in!C24/SER_hh_num_in!C24)</f>
        <v>11750.674745127057</v>
      </c>
      <c r="D24" s="132">
        <f>IF(SER_hh_tes_in!D24=0,0,11630*1000*SER_hh_tes_in!D24/SER_hh_num_in!D24)</f>
        <v>0</v>
      </c>
      <c r="E24" s="132">
        <f>IF(SER_hh_tes_in!E24=0,0,11630*1000*SER_hh_tes_in!E24/SER_hh_num_in!E24)</f>
        <v>21830.356551880566</v>
      </c>
      <c r="F24" s="132">
        <f>IF(SER_hh_tes_in!F24=0,0,11630*1000*SER_hh_tes_in!F24/SER_hh_num_in!F24)</f>
        <v>0</v>
      </c>
      <c r="G24" s="132">
        <f>IF(SER_hh_tes_in!G24=0,0,11630*1000*SER_hh_tes_in!G24/SER_hh_num_in!G24)</f>
        <v>0</v>
      </c>
      <c r="H24" s="132">
        <f>IF(SER_hh_tes_in!H24=0,0,11630*1000*SER_hh_tes_in!H24/SER_hh_num_in!H24)</f>
        <v>0</v>
      </c>
      <c r="I24" s="132">
        <f>IF(SER_hh_tes_in!I24=0,0,11630*1000*SER_hh_tes_in!I24/SER_hh_num_in!I24)</f>
        <v>0</v>
      </c>
      <c r="J24" s="132">
        <f>IF(SER_hh_tes_in!J24=0,0,11630*1000*SER_hh_tes_in!J24/SER_hh_num_in!J24)</f>
        <v>26895.166457584361</v>
      </c>
      <c r="K24" s="132">
        <f>IF(SER_hh_tes_in!K24=0,0,11630*1000*SER_hh_tes_in!K24/SER_hh_num_in!K24)</f>
        <v>27057.7081296619</v>
      </c>
      <c r="L24" s="132">
        <f>IF(SER_hh_tes_in!L24=0,0,11630*1000*SER_hh_tes_in!L24/SER_hh_num_in!L24)</f>
        <v>27296.806422650414</v>
      </c>
      <c r="M24" s="132">
        <f>IF(SER_hh_tes_in!M24=0,0,11630*1000*SER_hh_tes_in!M24/SER_hh_num_in!M24)</f>
        <v>28215.378339678646</v>
      </c>
      <c r="N24" s="132">
        <f>IF(SER_hh_tes_in!N24=0,0,11630*1000*SER_hh_tes_in!N24/SER_hh_num_in!N24)</f>
        <v>28733.560418663492</v>
      </c>
      <c r="O24" s="132">
        <f>IF(SER_hh_tes_in!O24=0,0,11630*1000*SER_hh_tes_in!O24/SER_hh_num_in!O24)</f>
        <v>28878.099985200974</v>
      </c>
      <c r="P24" s="132">
        <f>IF(SER_hh_tes_in!P24=0,0,11630*1000*SER_hh_tes_in!P24/SER_hh_num_in!P24)</f>
        <v>29287.909043505009</v>
      </c>
      <c r="Q24" s="132">
        <f>IF(SER_hh_tes_in!Q24=0,0,11630*1000*SER_hh_tes_in!Q24/SER_hh_num_in!Q24)</f>
        <v>31311.194951843583</v>
      </c>
      <c r="R24" s="132">
        <f>IF(SER_hh_tes_in!R24=0,0,11630*1000*SER_hh_tes_in!R24/SER_hh_num_in!R24)</f>
        <v>0</v>
      </c>
      <c r="S24" s="132">
        <f>IF(SER_hh_tes_in!S24=0,0,11630*1000*SER_hh_tes_in!S24/SER_hh_num_in!S24)</f>
        <v>0</v>
      </c>
      <c r="T24" s="132">
        <f>IF(SER_hh_tes_in!T24=0,0,11630*1000*SER_hh_tes_in!T24/SER_hh_num_in!T24)</f>
        <v>0</v>
      </c>
      <c r="U24" s="132">
        <f>IF(SER_hh_tes_in!U24=0,0,11630*1000*SER_hh_tes_in!U24/SER_hh_num_in!U24)</f>
        <v>0</v>
      </c>
      <c r="V24" s="132">
        <f>IF(SER_hh_tes_in!V24=0,0,11630*1000*SER_hh_tes_in!V24/SER_hh_num_in!V24)</f>
        <v>24982.052378649885</v>
      </c>
      <c r="W24" s="132">
        <f>IF(SER_hh_tes_in!W24=0,0,11630*1000*SER_hh_tes_in!W24/SER_hh_num_in!W24)</f>
        <v>0</v>
      </c>
      <c r="X24" s="132">
        <f>IF(SER_hh_tes_in!X24=0,0,11630*1000*SER_hh_tes_in!X24/SER_hh_num_in!X24)</f>
        <v>0</v>
      </c>
      <c r="Y24" s="132">
        <f>IF(SER_hh_tes_in!Y24=0,0,11630*1000*SER_hh_tes_in!Y24/SER_hh_num_in!Y24)</f>
        <v>27708.262319530375</v>
      </c>
      <c r="DA24" s="156" t="s">
        <v>776</v>
      </c>
    </row>
    <row r="25" spans="1:105" ht="12" customHeight="1" x14ac:dyDescent="0.25">
      <c r="A25" s="131" t="s">
        <v>162</v>
      </c>
      <c r="B25" s="132"/>
      <c r="C25" s="132">
        <f>IF(SER_hh_tes_in!C25=0,0,11630*1000*SER_hh_tes_in!C25/SER_hh_num_in!C25)</f>
        <v>0</v>
      </c>
      <c r="D25" s="132">
        <f>IF(SER_hh_tes_in!D25=0,0,11630*1000*SER_hh_tes_in!D25/SER_hh_num_in!D25)</f>
        <v>0</v>
      </c>
      <c r="E25" s="132">
        <f>IF(SER_hh_tes_in!E25=0,0,11630*1000*SER_hh_tes_in!E25/SER_hh_num_in!E25)</f>
        <v>0</v>
      </c>
      <c r="F25" s="132">
        <f>IF(SER_hh_tes_in!F25=0,0,11630*1000*SER_hh_tes_in!F25/SER_hh_num_in!F25)</f>
        <v>0</v>
      </c>
      <c r="G25" s="132">
        <f>IF(SER_hh_tes_in!G25=0,0,11630*1000*SER_hh_tes_in!G25/SER_hh_num_in!G25)</f>
        <v>29812.583896928787</v>
      </c>
      <c r="H25" s="132">
        <f>IF(SER_hh_tes_in!H25=0,0,11630*1000*SER_hh_tes_in!H25/SER_hh_num_in!H25)</f>
        <v>27435.752739500982</v>
      </c>
      <c r="I25" s="132">
        <f>IF(SER_hh_tes_in!I25=0,0,11630*1000*SER_hh_tes_in!I25/SER_hh_num_in!I25)</f>
        <v>26099.033438315477</v>
      </c>
      <c r="J25" s="132">
        <f>IF(SER_hh_tes_in!J25=0,0,11630*1000*SER_hh_tes_in!J25/SER_hh_num_in!J25)</f>
        <v>30267.62016928722</v>
      </c>
      <c r="K25" s="132">
        <f>IF(SER_hh_tes_in!K25=0,0,11630*1000*SER_hh_tes_in!K25/SER_hh_num_in!K25)</f>
        <v>28098.861170482702</v>
      </c>
      <c r="L25" s="132">
        <f>IF(SER_hh_tes_in!L25=0,0,11630*1000*SER_hh_tes_in!L25/SER_hh_num_in!L25)</f>
        <v>26746.865079088635</v>
      </c>
      <c r="M25" s="132">
        <f>IF(SER_hh_tes_in!M25=0,0,11630*1000*SER_hh_tes_in!M25/SER_hh_num_in!M25)</f>
        <v>28229.754084466393</v>
      </c>
      <c r="N25" s="132">
        <f>IF(SER_hh_tes_in!N25=0,0,11630*1000*SER_hh_tes_in!N25/SER_hh_num_in!N25)</f>
        <v>29044.843766259593</v>
      </c>
      <c r="O25" s="132">
        <f>IF(SER_hh_tes_in!O25=0,0,11630*1000*SER_hh_tes_in!O25/SER_hh_num_in!O25)</f>
        <v>29747.192658595442</v>
      </c>
      <c r="P25" s="132">
        <f>IF(SER_hh_tes_in!P25=0,0,11630*1000*SER_hh_tes_in!P25/SER_hh_num_in!P25)</f>
        <v>27987.586566568374</v>
      </c>
      <c r="Q25" s="132">
        <f>IF(SER_hh_tes_in!Q25=0,0,11630*1000*SER_hh_tes_in!Q25/SER_hh_num_in!Q25)</f>
        <v>29281.798041824972</v>
      </c>
      <c r="R25" s="132">
        <f>IF(SER_hh_tes_in!R25=0,0,11630*1000*SER_hh_tes_in!R25/SER_hh_num_in!R25)</f>
        <v>29916.383051127876</v>
      </c>
      <c r="S25" s="132">
        <f>IF(SER_hh_tes_in!S25=0,0,11630*1000*SER_hh_tes_in!S25/SER_hh_num_in!S25)</f>
        <v>0</v>
      </c>
      <c r="T25" s="132">
        <f>IF(SER_hh_tes_in!T25=0,0,11630*1000*SER_hh_tes_in!T25/SER_hh_num_in!T25)</f>
        <v>27891.179895815651</v>
      </c>
      <c r="U25" s="132">
        <f>IF(SER_hh_tes_in!U25=0,0,11630*1000*SER_hh_tes_in!U25/SER_hh_num_in!U25)</f>
        <v>26052.668205937924</v>
      </c>
      <c r="V25" s="132">
        <f>IF(SER_hh_tes_in!V25=0,0,11630*1000*SER_hh_tes_in!V25/SER_hh_num_in!V25)</f>
        <v>26455.270466338286</v>
      </c>
      <c r="W25" s="132">
        <f>IF(SER_hh_tes_in!W25=0,0,11630*1000*SER_hh_tes_in!W25/SER_hh_num_in!W25)</f>
        <v>26980.603324850235</v>
      </c>
      <c r="X25" s="132">
        <f>IF(SER_hh_tes_in!X25=0,0,11630*1000*SER_hh_tes_in!X25/SER_hh_num_in!X25)</f>
        <v>25889.183694670981</v>
      </c>
      <c r="Y25" s="132">
        <f>IF(SER_hh_tes_in!Y25=0,0,11630*1000*SER_hh_tes_in!Y25/SER_hh_num_in!Y25)</f>
        <v>28839.902916108065</v>
      </c>
      <c r="DA25" s="156" t="s">
        <v>777</v>
      </c>
    </row>
    <row r="26" spans="1:105" ht="12" customHeight="1" x14ac:dyDescent="0.25">
      <c r="A26" s="131" t="s">
        <v>24</v>
      </c>
      <c r="B26" s="65"/>
      <c r="C26" s="65">
        <f>IF(SER_hh_tes_in!C26=0,0,11630*1000*SER_hh_tes_in!C26/SER_hh_num_in!C26)</f>
        <v>48496.951796161076</v>
      </c>
      <c r="D26" s="65">
        <f>IF(SER_hh_tes_in!D26=0,0,11630*1000*SER_hh_tes_in!D26/SER_hh_num_in!D26)</f>
        <v>4224.3544998382522</v>
      </c>
      <c r="E26" s="65">
        <f>IF(SER_hh_tes_in!E26=0,0,11630*1000*SER_hh_tes_in!E26/SER_hh_num_in!E26)</f>
        <v>28911.421359077169</v>
      </c>
      <c r="F26" s="65">
        <f>IF(SER_hh_tes_in!F26=0,0,11630*1000*SER_hh_tes_in!F26/SER_hh_num_in!F26)</f>
        <v>27453.492841410662</v>
      </c>
      <c r="G26" s="65">
        <f>IF(SER_hh_tes_in!G26=0,0,11630*1000*SER_hh_tes_in!G26/SER_hh_num_in!G26)</f>
        <v>25866.326319090054</v>
      </c>
      <c r="H26" s="65">
        <f>IF(SER_hh_tes_in!H26=0,0,11630*1000*SER_hh_tes_in!H26/SER_hh_num_in!H26)</f>
        <v>26500.178513766608</v>
      </c>
      <c r="I26" s="65">
        <f>IF(SER_hh_tes_in!I26=0,0,11630*1000*SER_hh_tes_in!I26/SER_hh_num_in!I26)</f>
        <v>31400.579581725466</v>
      </c>
      <c r="J26" s="65">
        <f>IF(SER_hh_tes_in!J26=0,0,11630*1000*SER_hh_tes_in!J26/SER_hh_num_in!J26)</f>
        <v>33016.949266822972</v>
      </c>
      <c r="K26" s="65">
        <f>IF(SER_hh_tes_in!K26=0,0,11630*1000*SER_hh_tes_in!K26/SER_hh_num_in!K26)</f>
        <v>0</v>
      </c>
      <c r="L26" s="65">
        <f>IF(SER_hh_tes_in!L26=0,0,11630*1000*SER_hh_tes_in!L26/SER_hh_num_in!L26)</f>
        <v>0</v>
      </c>
      <c r="M26" s="65">
        <f>IF(SER_hh_tes_in!M26=0,0,11630*1000*SER_hh_tes_in!M26/SER_hh_num_in!M26)</f>
        <v>30609.24873519305</v>
      </c>
      <c r="N26" s="65">
        <f>IF(SER_hh_tes_in!N26=0,0,11630*1000*SER_hh_tes_in!N26/SER_hh_num_in!N26)</f>
        <v>26970.82263983642</v>
      </c>
      <c r="O26" s="65">
        <f>IF(SER_hh_tes_in!O26=0,0,11630*1000*SER_hh_tes_in!O26/SER_hh_num_in!O26)</f>
        <v>27675.404474997576</v>
      </c>
      <c r="P26" s="65">
        <f>IF(SER_hh_tes_in!P26=0,0,11630*1000*SER_hh_tes_in!P26/SER_hh_num_in!P26)</f>
        <v>29122.170676688729</v>
      </c>
      <c r="Q26" s="65">
        <f>IF(SER_hh_tes_in!Q26=0,0,11630*1000*SER_hh_tes_in!Q26/SER_hh_num_in!Q26)</f>
        <v>29496.082309222569</v>
      </c>
      <c r="R26" s="65">
        <f>IF(SER_hh_tes_in!R26=0,0,11630*1000*SER_hh_tes_in!R26/SER_hh_num_in!R26)</f>
        <v>30026.984447304429</v>
      </c>
      <c r="S26" s="65">
        <f>IF(SER_hh_tes_in!S26=0,0,11630*1000*SER_hh_tes_in!S26/SER_hh_num_in!S26)</f>
        <v>26591.18599972011</v>
      </c>
      <c r="T26" s="65">
        <f>IF(SER_hh_tes_in!T26=0,0,11630*1000*SER_hh_tes_in!T26/SER_hh_num_in!T26)</f>
        <v>27849.134298972946</v>
      </c>
      <c r="U26" s="65">
        <f>IF(SER_hh_tes_in!U26=0,0,11630*1000*SER_hh_tes_in!U26/SER_hh_num_in!U26)</f>
        <v>27028.398499615851</v>
      </c>
      <c r="V26" s="65">
        <f>IF(SER_hh_tes_in!V26=0,0,11630*1000*SER_hh_tes_in!V26/SER_hh_num_in!V26)</f>
        <v>24103.476087760489</v>
      </c>
      <c r="W26" s="65">
        <f>IF(SER_hh_tes_in!W26=0,0,11630*1000*SER_hh_tes_in!W26/SER_hh_num_in!W26)</f>
        <v>22292.103163651289</v>
      </c>
      <c r="X26" s="65">
        <f>IF(SER_hh_tes_in!X26=0,0,11630*1000*SER_hh_tes_in!X26/SER_hh_num_in!X26)</f>
        <v>27380.702721019057</v>
      </c>
      <c r="Y26" s="65">
        <f>IF(SER_hh_tes_in!Y26=0,0,11630*1000*SER_hh_tes_in!Y26/SER_hh_num_in!Y26)</f>
        <v>30767.071897585352</v>
      </c>
      <c r="DA26" s="109" t="s">
        <v>778</v>
      </c>
    </row>
    <row r="27" spans="1:105" ht="12" customHeight="1" x14ac:dyDescent="0.25">
      <c r="A27" s="144" t="s">
        <v>86</v>
      </c>
      <c r="B27" s="147"/>
      <c r="C27" s="145">
        <f>IF(SER_hh_tes_in!C27=0,0,11630*1000*SER_hh_tes_in!C27/SER_hh_num_in!C19)</f>
        <v>0</v>
      </c>
      <c r="D27" s="145">
        <f>IF(SER_hh_tes_in!D27=0,0,11630*1000*SER_hh_tes_in!D27/SER_hh_num_in!D19)</f>
        <v>0</v>
      </c>
      <c r="E27" s="145">
        <f>IF(SER_hh_tes_in!E27=0,0,11630*1000*SER_hh_tes_in!E27/SER_hh_num_in!E19)</f>
        <v>0</v>
      </c>
      <c r="F27" s="145">
        <f>IF(SER_hh_tes_in!F27=0,0,11630*1000*SER_hh_tes_in!F27/SER_hh_num_in!F19)</f>
        <v>0</v>
      </c>
      <c r="G27" s="145">
        <f>IF(SER_hh_tes_in!G27=0,0,11630*1000*SER_hh_tes_in!G27/SER_hh_num_in!G19)</f>
        <v>0</v>
      </c>
      <c r="H27" s="145">
        <f>IF(SER_hh_tes_in!H27=0,0,11630*1000*SER_hh_tes_in!H27/SER_hh_num_in!H19)</f>
        <v>0</v>
      </c>
      <c r="I27" s="145">
        <f>IF(SER_hh_tes_in!I27=0,0,11630*1000*SER_hh_tes_in!I27/SER_hh_num_in!I19)</f>
        <v>174.7348421587408</v>
      </c>
      <c r="J27" s="145">
        <f>IF(SER_hh_tes_in!J27=0,0,11630*1000*SER_hh_tes_in!J27/SER_hh_num_in!J19)</f>
        <v>0</v>
      </c>
      <c r="K27" s="145">
        <f>IF(SER_hh_tes_in!K27=0,0,11630*1000*SER_hh_tes_in!K27/SER_hh_num_in!K19)</f>
        <v>0</v>
      </c>
      <c r="L27" s="145">
        <f>IF(SER_hh_tes_in!L27=0,0,11630*1000*SER_hh_tes_in!L27/SER_hh_num_in!L19)</f>
        <v>198.9876226795746</v>
      </c>
      <c r="M27" s="145">
        <f>IF(SER_hh_tes_in!M27=0,0,11630*1000*SER_hh_tes_in!M27/SER_hh_num_in!M19)</f>
        <v>0</v>
      </c>
      <c r="N27" s="145">
        <f>IF(SER_hh_tes_in!N27=0,0,11630*1000*SER_hh_tes_in!N27/SER_hh_num_in!N19)</f>
        <v>426.7568501708127</v>
      </c>
      <c r="O27" s="145">
        <f>IF(SER_hh_tes_in!O27=0,0,11630*1000*SER_hh_tes_in!O27/SER_hh_num_in!O19)</f>
        <v>3.4317877558770377E-14</v>
      </c>
      <c r="P27" s="145">
        <f>IF(SER_hh_tes_in!P27=0,0,11630*1000*SER_hh_tes_in!P27/SER_hh_num_in!P19)</f>
        <v>0</v>
      </c>
      <c r="Q27" s="145">
        <f>IF(SER_hh_tes_in!Q27=0,0,11630*1000*SER_hh_tes_in!Q27/SER_hh_num_in!Q19)</f>
        <v>0</v>
      </c>
      <c r="R27" s="145">
        <f>IF(SER_hh_tes_in!R27=0,0,11630*1000*SER_hh_tes_in!R27/SER_hh_num_in!R19)</f>
        <v>5.2337312070019996E-5</v>
      </c>
      <c r="S27" s="145">
        <f>IF(SER_hh_tes_in!S27=0,0,11630*1000*SER_hh_tes_in!S27/SER_hh_num_in!S19)</f>
        <v>126.47914160790344</v>
      </c>
      <c r="T27" s="145">
        <f>IF(SER_hh_tes_in!T27=0,0,11630*1000*SER_hh_tes_in!T27/SER_hh_num_in!T19)</f>
        <v>5.481915751574811E-6</v>
      </c>
      <c r="U27" s="145">
        <f>IF(SER_hh_tes_in!U27=0,0,11630*1000*SER_hh_tes_in!U27/SER_hh_num_in!U19)</f>
        <v>60.829978751877185</v>
      </c>
      <c r="V27" s="145">
        <f>IF(SER_hh_tes_in!V27=0,0,11630*1000*SER_hh_tes_in!V27/SER_hh_num_in!V19)</f>
        <v>4.6791549559862739E-14</v>
      </c>
      <c r="W27" s="145">
        <f>IF(SER_hh_tes_in!W27=0,0,11630*1000*SER_hh_tes_in!W27/SER_hh_num_in!W19)</f>
        <v>2170.9401040861562</v>
      </c>
      <c r="X27" s="145">
        <f>IF(SER_hh_tes_in!X27=0,0,11630*1000*SER_hh_tes_in!X27/SER_hh_num_in!X19)</f>
        <v>0</v>
      </c>
      <c r="Y27" s="145">
        <f>IF(SER_hh_tes_in!Y27=0,0,11630*1000*SER_hh_tes_in!Y27/SER_hh_num_in!Y19)</f>
        <v>87.32607391890285</v>
      </c>
      <c r="DA27" s="158" t="s">
        <v>779</v>
      </c>
    </row>
    <row r="28" spans="1:105" ht="12" customHeight="1" x14ac:dyDescent="0.25">
      <c r="A28" s="78" t="s">
        <v>85</v>
      </c>
      <c r="B28" s="68"/>
      <c r="C28" s="146">
        <f>IF(SER_hh_tes_in!C27=0,0,11630*1000*SER_hh_tes_in!C27/SER_hh_num_in!C27)</f>
        <v>0</v>
      </c>
      <c r="D28" s="146">
        <f>IF(SER_hh_tes_in!D27=0,0,11630*1000*SER_hh_tes_in!D27/SER_hh_num_in!D27)</f>
        <v>0</v>
      </c>
      <c r="E28" s="146">
        <f>IF(SER_hh_tes_in!E27=0,0,11630*1000*SER_hh_tes_in!E27/SER_hh_num_in!E27)</f>
        <v>0</v>
      </c>
      <c r="F28" s="146">
        <f>IF(SER_hh_tes_in!F27=0,0,11630*1000*SER_hh_tes_in!F27/SER_hh_num_in!F27)</f>
        <v>0</v>
      </c>
      <c r="G28" s="146">
        <f>IF(SER_hh_tes_in!G27=0,0,11630*1000*SER_hh_tes_in!G27/SER_hh_num_in!G27)</f>
        <v>0</v>
      </c>
      <c r="H28" s="146">
        <f>IF(SER_hh_tes_in!H27=0,0,11630*1000*SER_hh_tes_in!H27/SER_hh_num_in!H27)</f>
        <v>0</v>
      </c>
      <c r="I28" s="146">
        <f>IF(SER_hh_tes_in!I27=0,0,11630*1000*SER_hh_tes_in!I27/SER_hh_num_in!I27)</f>
        <v>22829.104544935035</v>
      </c>
      <c r="J28" s="146">
        <f>IF(SER_hh_tes_in!J27=0,0,11630*1000*SER_hh_tes_in!J27/SER_hh_num_in!J27)</f>
        <v>0</v>
      </c>
      <c r="K28" s="146">
        <f>IF(SER_hh_tes_in!K27=0,0,11630*1000*SER_hh_tes_in!K27/SER_hh_num_in!K27)</f>
        <v>0</v>
      </c>
      <c r="L28" s="146">
        <f>IF(SER_hh_tes_in!L27=0,0,11630*1000*SER_hh_tes_in!L27/SER_hh_num_in!L27)</f>
        <v>21570.838440575142</v>
      </c>
      <c r="M28" s="146">
        <f>IF(SER_hh_tes_in!M27=0,0,11630*1000*SER_hh_tes_in!M27/SER_hh_num_in!M27)</f>
        <v>0</v>
      </c>
      <c r="N28" s="146">
        <f>IF(SER_hh_tes_in!N27=0,0,11630*1000*SER_hh_tes_in!N27/SER_hh_num_in!N27)</f>
        <v>30445.583700304196</v>
      </c>
      <c r="O28" s="146">
        <f>IF(SER_hh_tes_in!O27=0,0,11630*1000*SER_hh_tes_in!O27/SER_hh_num_in!O27)</f>
        <v>30273.066665675655</v>
      </c>
      <c r="P28" s="146">
        <f>IF(SER_hh_tes_in!P27=0,0,11630*1000*SER_hh_tes_in!P27/SER_hh_num_in!P27)</f>
        <v>0</v>
      </c>
      <c r="Q28" s="146">
        <f>IF(SER_hh_tes_in!Q27=0,0,11630*1000*SER_hh_tes_in!Q27/SER_hh_num_in!Q27)</f>
        <v>0</v>
      </c>
      <c r="R28" s="146">
        <f>IF(SER_hh_tes_in!R27=0,0,11630*1000*SER_hh_tes_in!R27/SER_hh_num_in!R27)</f>
        <v>28745.017440023679</v>
      </c>
      <c r="S28" s="146">
        <f>IF(SER_hh_tes_in!S27=0,0,11630*1000*SER_hh_tes_in!S27/SER_hh_num_in!S27)</f>
        <v>23530.826772591692</v>
      </c>
      <c r="T28" s="146">
        <f>IF(SER_hh_tes_in!T27=0,0,11630*1000*SER_hh_tes_in!T27/SER_hh_num_in!T27)</f>
        <v>23557.451553525581</v>
      </c>
      <c r="U28" s="146">
        <f>IF(SER_hh_tes_in!U27=0,0,11630*1000*SER_hh_tes_in!U27/SER_hh_num_in!U27)</f>
        <v>21993.659743382563</v>
      </c>
      <c r="V28" s="146">
        <f>IF(SER_hh_tes_in!V27=0,0,11630*1000*SER_hh_tes_in!V27/SER_hh_num_in!V27)</f>
        <v>21056.935265807508</v>
      </c>
      <c r="W28" s="146">
        <f>IF(SER_hh_tes_in!W27=0,0,11630*1000*SER_hh_tes_in!W27/SER_hh_num_in!W27)</f>
        <v>23481.227644867275</v>
      </c>
      <c r="X28" s="146">
        <f>IF(SER_hh_tes_in!X27=0,0,11630*1000*SER_hh_tes_in!X27/SER_hh_num_in!X27)</f>
        <v>0</v>
      </c>
      <c r="Y28" s="146">
        <f>IF(SER_hh_tes_in!Y27=0,0,11630*1000*SER_hh_tes_in!Y27/SER_hh_num_in!Y27)</f>
        <v>25781.370055480224</v>
      </c>
      <c r="DA28" s="159"/>
    </row>
    <row r="29" spans="1:105" ht="12.95" customHeight="1" x14ac:dyDescent="0.25">
      <c r="A29" s="129" t="s">
        <v>34</v>
      </c>
      <c r="B29" s="130"/>
      <c r="C29" s="130">
        <f>IF(SER_hh_tes_in!C29=0,0,11630*1000*SER_hh_tes_in!C29/SER_hh_num_in!C29)</f>
        <v>32327.457528938467</v>
      </c>
      <c r="D29" s="130">
        <f>IF(SER_hh_tes_in!D29=0,0,11630*1000*SER_hh_tes_in!D29/SER_hh_num_in!D29)</f>
        <v>15457.681289443219</v>
      </c>
      <c r="E29" s="130">
        <f>IF(SER_hh_tes_in!E29=0,0,11630*1000*SER_hh_tes_in!E29/SER_hh_num_in!E29)</f>
        <v>31112.44719514501</v>
      </c>
      <c r="F29" s="130">
        <f>IF(SER_hh_tes_in!F29=0,0,11630*1000*SER_hh_tes_in!F29/SER_hh_num_in!F29)</f>
        <v>43545.389045973629</v>
      </c>
      <c r="G29" s="130">
        <f>IF(SER_hh_tes_in!G29=0,0,11630*1000*SER_hh_tes_in!G29/SER_hh_num_in!G29)</f>
        <v>37464.413711850109</v>
      </c>
      <c r="H29" s="130">
        <f>IF(SER_hh_tes_in!H29=0,0,11630*1000*SER_hh_tes_in!H29/SER_hh_num_in!H29)</f>
        <v>38236.077976686174</v>
      </c>
      <c r="I29" s="130">
        <f>IF(SER_hh_tes_in!I29=0,0,11630*1000*SER_hh_tes_in!I29/SER_hh_num_in!I29)</f>
        <v>23368.04988097517</v>
      </c>
      <c r="J29" s="130">
        <f>IF(SER_hh_tes_in!J29=0,0,11630*1000*SER_hh_tes_in!J29/SER_hh_num_in!J29)</f>
        <v>47668.634682331336</v>
      </c>
      <c r="K29" s="130">
        <f>IF(SER_hh_tes_in!K29=0,0,11630*1000*SER_hh_tes_in!K29/SER_hh_num_in!K29)</f>
        <v>44325.399859943085</v>
      </c>
      <c r="L29" s="130">
        <f>IF(SER_hh_tes_in!L29=0,0,11630*1000*SER_hh_tes_in!L29/SER_hh_num_in!L29)</f>
        <v>40812.395249859568</v>
      </c>
      <c r="M29" s="130">
        <f>IF(SER_hh_tes_in!M29=0,0,11630*1000*SER_hh_tes_in!M29/SER_hh_num_in!M29)</f>
        <v>41776.310590261601</v>
      </c>
      <c r="N29" s="130">
        <f>IF(SER_hh_tes_in!N29=0,0,11630*1000*SER_hh_tes_in!N29/SER_hh_num_in!N29)</f>
        <v>42021.593522649069</v>
      </c>
      <c r="O29" s="130">
        <f>IF(SER_hh_tes_in!O29=0,0,11630*1000*SER_hh_tes_in!O29/SER_hh_num_in!O29)</f>
        <v>43460.43093595322</v>
      </c>
      <c r="P29" s="130">
        <f>IF(SER_hh_tes_in!P29=0,0,11630*1000*SER_hh_tes_in!P29/SER_hh_num_in!P29)</f>
        <v>43779.70171847687</v>
      </c>
      <c r="Q29" s="130">
        <f>IF(SER_hh_tes_in!Q29=0,0,11630*1000*SER_hh_tes_in!Q29/SER_hh_num_in!Q29)</f>
        <v>45116.593567208634</v>
      </c>
      <c r="R29" s="130">
        <f>IF(SER_hh_tes_in!R29=0,0,11630*1000*SER_hh_tes_in!R29/SER_hh_num_in!R29)</f>
        <v>43068.039022158366</v>
      </c>
      <c r="S29" s="130">
        <f>IF(SER_hh_tes_in!S29=0,0,11630*1000*SER_hh_tes_in!S29/SER_hh_num_in!S29)</f>
        <v>42382.208237634681</v>
      </c>
      <c r="T29" s="130">
        <f>IF(SER_hh_tes_in!T29=0,0,11630*1000*SER_hh_tes_in!T29/SER_hh_num_in!T29)</f>
        <v>42682.843159065706</v>
      </c>
      <c r="U29" s="130">
        <f>IF(SER_hh_tes_in!U29=0,0,11630*1000*SER_hh_tes_in!U29/SER_hh_num_in!U29)</f>
        <v>42983.151305522071</v>
      </c>
      <c r="V29" s="130">
        <f>IF(SER_hh_tes_in!V29=0,0,11630*1000*SER_hh_tes_in!V29/SER_hh_num_in!V29)</f>
        <v>38516.728751618495</v>
      </c>
      <c r="W29" s="130">
        <f>IF(SER_hh_tes_in!W29=0,0,11630*1000*SER_hh_tes_in!W29/SER_hh_num_in!W29)</f>
        <v>41251.068705215184</v>
      </c>
      <c r="X29" s="130">
        <f>IF(SER_hh_tes_in!X29=0,0,11630*1000*SER_hh_tes_in!X29/SER_hh_num_in!X29)</f>
        <v>43975.820419158736</v>
      </c>
      <c r="Y29" s="130">
        <f>IF(SER_hh_tes_in!Y29=0,0,11630*1000*SER_hh_tes_in!Y29/SER_hh_num_in!Y29)</f>
        <v>45177.902395262485</v>
      </c>
      <c r="DA29" s="155" t="s">
        <v>780</v>
      </c>
    </row>
    <row r="30" spans="1:105" s="2" customFormat="1" ht="12" customHeight="1" x14ac:dyDescent="0.25">
      <c r="A30" s="131" t="s">
        <v>52</v>
      </c>
      <c r="B30" s="132"/>
      <c r="C30" s="132">
        <f>IF(SER_hh_tes_in!C30=0,0,11630*1000*SER_hh_tes_in!C30/SER_hh_num_in!C30)</f>
        <v>22244.363489909105</v>
      </c>
      <c r="D30" s="132">
        <f>IF(SER_hh_tes_in!D30=0,0,11630*1000*SER_hh_tes_in!D30/SER_hh_num_in!D30)</f>
        <v>9809.6337498594548</v>
      </c>
      <c r="E30" s="132">
        <f>IF(SER_hh_tes_in!E30=0,0,11630*1000*SER_hh_tes_in!E30/SER_hh_num_in!E30)</f>
        <v>29560.507213582387</v>
      </c>
      <c r="F30" s="132">
        <f>IF(SER_hh_tes_in!F30=0,0,11630*1000*SER_hh_tes_in!F30/SER_hh_num_in!F30)</f>
        <v>45144.410324573546</v>
      </c>
      <c r="G30" s="132">
        <f>IF(SER_hh_tes_in!G30=0,0,11630*1000*SER_hh_tes_in!G30/SER_hh_num_in!G30)</f>
        <v>54510.381329498727</v>
      </c>
      <c r="H30" s="132">
        <f>IF(SER_hh_tes_in!H30=0,0,11630*1000*SER_hh_tes_in!H30/SER_hh_num_in!H30)</f>
        <v>22612.655625828804</v>
      </c>
      <c r="I30" s="132">
        <f>IF(SER_hh_tes_in!I30=0,0,11630*1000*SER_hh_tes_in!I30/SER_hh_num_in!I30)</f>
        <v>69330.757201555418</v>
      </c>
      <c r="J30" s="132">
        <f>IF(SER_hh_tes_in!J30=0,0,11630*1000*SER_hh_tes_in!J30/SER_hh_num_in!J30)</f>
        <v>0</v>
      </c>
      <c r="K30" s="132">
        <f>IF(SER_hh_tes_in!K30=0,0,11630*1000*SER_hh_tes_in!K30/SER_hh_num_in!K30)</f>
        <v>0</v>
      </c>
      <c r="L30" s="132">
        <f>IF(SER_hh_tes_in!L30=0,0,11630*1000*SER_hh_tes_in!L30/SER_hh_num_in!L30)</f>
        <v>0</v>
      </c>
      <c r="M30" s="132">
        <f>IF(SER_hh_tes_in!M30=0,0,11630*1000*SER_hh_tes_in!M30/SER_hh_num_in!M30)</f>
        <v>0</v>
      </c>
      <c r="N30" s="132">
        <f>IF(SER_hh_tes_in!N30=0,0,11630*1000*SER_hh_tes_in!N30/SER_hh_num_in!N30)</f>
        <v>40061.609627454789</v>
      </c>
      <c r="O30" s="132">
        <f>IF(SER_hh_tes_in!O30=0,0,11630*1000*SER_hh_tes_in!O30/SER_hh_num_in!O30)</f>
        <v>40627.900972066316</v>
      </c>
      <c r="P30" s="132">
        <f>IF(SER_hh_tes_in!P30=0,0,11630*1000*SER_hh_tes_in!P30/SER_hh_num_in!P30)</f>
        <v>44167.504155383074</v>
      </c>
      <c r="Q30" s="132">
        <f>IF(SER_hh_tes_in!Q30=0,0,11630*1000*SER_hh_tes_in!Q30/SER_hh_num_in!Q30)</f>
        <v>49105.591885001704</v>
      </c>
      <c r="R30" s="132">
        <f>IF(SER_hh_tes_in!R30=0,0,11630*1000*SER_hh_tes_in!R30/SER_hh_num_in!R30)</f>
        <v>43405.594259918791</v>
      </c>
      <c r="S30" s="132">
        <f>IF(SER_hh_tes_in!S30=0,0,11630*1000*SER_hh_tes_in!S30/SER_hh_num_in!S30)</f>
        <v>42187.717597837698</v>
      </c>
      <c r="T30" s="132">
        <f>IF(SER_hh_tes_in!T30=0,0,11630*1000*SER_hh_tes_in!T30/SER_hh_num_in!T30)</f>
        <v>43318.826841812435</v>
      </c>
      <c r="U30" s="132">
        <f>IF(SER_hh_tes_in!U30=0,0,11630*1000*SER_hh_tes_in!U30/SER_hh_num_in!U30)</f>
        <v>43044.111033413901</v>
      </c>
      <c r="V30" s="132">
        <f>IF(SER_hh_tes_in!V30=0,0,11630*1000*SER_hh_tes_in!V30/SER_hh_num_in!V30)</f>
        <v>39841.893393030805</v>
      </c>
      <c r="W30" s="132">
        <f>IF(SER_hh_tes_in!W30=0,0,11630*1000*SER_hh_tes_in!W30/SER_hh_num_in!W30)</f>
        <v>41966.862149181186</v>
      </c>
      <c r="X30" s="132">
        <f>IF(SER_hh_tes_in!X30=0,0,11630*1000*SER_hh_tes_in!X30/SER_hh_num_in!X30)</f>
        <v>44610.732601598458</v>
      </c>
      <c r="Y30" s="132">
        <f>IF(SER_hh_tes_in!Y30=0,0,11630*1000*SER_hh_tes_in!Y30/SER_hh_num_in!Y30)</f>
        <v>42670.651638862451</v>
      </c>
      <c r="DA30" s="156" t="s">
        <v>781</v>
      </c>
    </row>
    <row r="31" spans="1:105" ht="12" customHeight="1" x14ac:dyDescent="0.25">
      <c r="A31" s="131" t="s">
        <v>149</v>
      </c>
      <c r="B31" s="132"/>
      <c r="C31" s="132">
        <f>IF(SER_hh_tes_in!C31=0,0,11630*1000*SER_hh_tes_in!C31/SER_hh_num_in!C31)</f>
        <v>33596.970338214858</v>
      </c>
      <c r="D31" s="132">
        <f>IF(SER_hh_tes_in!D31=0,0,11630*1000*SER_hh_tes_in!D31/SER_hh_num_in!D31)</f>
        <v>19325.299672247995</v>
      </c>
      <c r="E31" s="132">
        <f>IF(SER_hh_tes_in!E31=0,0,11630*1000*SER_hh_tes_in!E31/SER_hh_num_in!E31)</f>
        <v>31921.061524138346</v>
      </c>
      <c r="F31" s="132">
        <f>IF(SER_hh_tes_in!F31=0,0,11630*1000*SER_hh_tes_in!F31/SER_hh_num_in!F31)</f>
        <v>42671.016269945139</v>
      </c>
      <c r="G31" s="132">
        <f>IF(SER_hh_tes_in!G31=0,0,11630*1000*SER_hh_tes_in!G31/SER_hh_num_in!G31)</f>
        <v>34773.901943246659</v>
      </c>
      <c r="H31" s="132">
        <f>IF(SER_hh_tes_in!H31=0,0,11630*1000*SER_hh_tes_in!H31/SER_hh_num_in!H31)</f>
        <v>47684.452798195271</v>
      </c>
      <c r="I31" s="132">
        <f>IF(SER_hh_tes_in!I31=0,0,11630*1000*SER_hh_tes_in!I31/SER_hh_num_in!I31)</f>
        <v>36211.165224265183</v>
      </c>
      <c r="J31" s="132">
        <f>IF(SER_hh_tes_in!J31=0,0,11630*1000*SER_hh_tes_in!J31/SER_hh_num_in!J31)</f>
        <v>39481.717915596055</v>
      </c>
      <c r="K31" s="132">
        <f>IF(SER_hh_tes_in!K31=0,0,11630*1000*SER_hh_tes_in!K31/SER_hh_num_in!K31)</f>
        <v>41226.727513317062</v>
      </c>
      <c r="L31" s="132">
        <f>IF(SER_hh_tes_in!L31=0,0,11630*1000*SER_hh_tes_in!L31/SER_hh_num_in!L31)</f>
        <v>41367.781903242241</v>
      </c>
      <c r="M31" s="132">
        <f>IF(SER_hh_tes_in!M31=0,0,11630*1000*SER_hh_tes_in!M31/SER_hh_num_in!M31)</f>
        <v>41656.975191306148</v>
      </c>
      <c r="N31" s="132">
        <f>IF(SER_hh_tes_in!N31=0,0,11630*1000*SER_hh_tes_in!N31/SER_hh_num_in!N31)</f>
        <v>41656.047372814726</v>
      </c>
      <c r="O31" s="132">
        <f>IF(SER_hh_tes_in!O31=0,0,11630*1000*SER_hh_tes_in!O31/SER_hh_num_in!O31)</f>
        <v>42944.123361130849</v>
      </c>
      <c r="P31" s="132">
        <f>IF(SER_hh_tes_in!P31=0,0,11630*1000*SER_hh_tes_in!P31/SER_hh_num_in!P31)</f>
        <v>42474.222723855055</v>
      </c>
      <c r="Q31" s="132">
        <f>IF(SER_hh_tes_in!Q31=0,0,11630*1000*SER_hh_tes_in!Q31/SER_hh_num_in!Q31)</f>
        <v>44551.373325041764</v>
      </c>
      <c r="R31" s="132">
        <f>IF(SER_hh_tes_in!R31=0,0,11630*1000*SER_hh_tes_in!R31/SER_hh_num_in!R31)</f>
        <v>42289.035969706092</v>
      </c>
      <c r="S31" s="132">
        <f>IF(SER_hh_tes_in!S31=0,0,11630*1000*SER_hh_tes_in!S31/SER_hh_num_in!S31)</f>
        <v>44167.07223314813</v>
      </c>
      <c r="T31" s="132">
        <f>IF(SER_hh_tes_in!T31=0,0,11630*1000*SER_hh_tes_in!T31/SER_hh_num_in!T31)</f>
        <v>42564.961148673108</v>
      </c>
      <c r="U31" s="132">
        <f>IF(SER_hh_tes_in!U31=0,0,11630*1000*SER_hh_tes_in!U31/SER_hh_num_in!U31)</f>
        <v>42462.555988432599</v>
      </c>
      <c r="V31" s="132">
        <f>IF(SER_hh_tes_in!V31=0,0,11630*1000*SER_hh_tes_in!V31/SER_hh_num_in!V31)</f>
        <v>40262.774426977092</v>
      </c>
      <c r="W31" s="132">
        <f>IF(SER_hh_tes_in!W31=0,0,11630*1000*SER_hh_tes_in!W31/SER_hh_num_in!W31)</f>
        <v>41839.196228510562</v>
      </c>
      <c r="X31" s="132">
        <f>IF(SER_hh_tes_in!X31=0,0,11630*1000*SER_hh_tes_in!X31/SER_hh_num_in!X31)</f>
        <v>43433.070724123521</v>
      </c>
      <c r="Y31" s="132">
        <f>IF(SER_hh_tes_in!Y31=0,0,11630*1000*SER_hh_tes_in!Y31/SER_hh_num_in!Y31)</f>
        <v>45074.522139034962</v>
      </c>
      <c r="DA31" s="156" t="s">
        <v>782</v>
      </c>
    </row>
    <row r="32" spans="1:105" ht="12" customHeight="1" x14ac:dyDescent="0.25">
      <c r="A32" s="131" t="s">
        <v>128</v>
      </c>
      <c r="B32" s="132"/>
      <c r="C32" s="132">
        <f>IF(SER_hh_tes_in!C32=0,0,11630*1000*SER_hh_tes_in!C32/SER_hh_num_in!C32)</f>
        <v>0</v>
      </c>
      <c r="D32" s="132">
        <f>IF(SER_hh_tes_in!D32=0,0,11630*1000*SER_hh_tes_in!D32/SER_hh_num_in!D32)</f>
        <v>0</v>
      </c>
      <c r="E32" s="132">
        <f>IF(SER_hh_tes_in!E32=0,0,11630*1000*SER_hh_tes_in!E32/SER_hh_num_in!E32)</f>
        <v>0</v>
      </c>
      <c r="F32" s="132">
        <f>IF(SER_hh_tes_in!F32=0,0,11630*1000*SER_hh_tes_in!F32/SER_hh_num_in!F32)</f>
        <v>0</v>
      </c>
      <c r="G32" s="132">
        <f>IF(SER_hh_tes_in!G32=0,0,11630*1000*SER_hh_tes_in!G32/SER_hh_num_in!G32)</f>
        <v>0</v>
      </c>
      <c r="H32" s="132">
        <f>IF(SER_hh_tes_in!H32=0,0,11630*1000*SER_hh_tes_in!H32/SER_hh_num_in!H32)</f>
        <v>0</v>
      </c>
      <c r="I32" s="132">
        <f>IF(SER_hh_tes_in!I32=0,0,11630*1000*SER_hh_tes_in!I32/SER_hh_num_in!I32)</f>
        <v>0</v>
      </c>
      <c r="J32" s="132">
        <f>IF(SER_hh_tes_in!J32=0,0,11630*1000*SER_hh_tes_in!J32/SER_hh_num_in!J32)</f>
        <v>0</v>
      </c>
      <c r="K32" s="132">
        <f>IF(SER_hh_tes_in!K32=0,0,11630*1000*SER_hh_tes_in!K32/SER_hh_num_in!K32)</f>
        <v>0</v>
      </c>
      <c r="L32" s="132">
        <f>IF(SER_hh_tes_in!L32=0,0,11630*1000*SER_hh_tes_in!L32/SER_hh_num_in!L32)</f>
        <v>0</v>
      </c>
      <c r="M32" s="132">
        <f>IF(SER_hh_tes_in!M32=0,0,11630*1000*SER_hh_tes_in!M32/SER_hh_num_in!M32)</f>
        <v>0</v>
      </c>
      <c r="N32" s="132">
        <f>IF(SER_hh_tes_in!N32=0,0,11630*1000*SER_hh_tes_in!N32/SER_hh_num_in!N32)</f>
        <v>0</v>
      </c>
      <c r="O32" s="132">
        <f>IF(SER_hh_tes_in!O32=0,0,11630*1000*SER_hh_tes_in!O32/SER_hh_num_in!O32)</f>
        <v>0</v>
      </c>
      <c r="P32" s="132">
        <f>IF(SER_hh_tes_in!P32=0,0,11630*1000*SER_hh_tes_in!P32/SER_hh_num_in!P32)</f>
        <v>0</v>
      </c>
      <c r="Q32" s="132">
        <f>IF(SER_hh_tes_in!Q32=0,0,11630*1000*SER_hh_tes_in!Q32/SER_hh_num_in!Q32)</f>
        <v>0</v>
      </c>
      <c r="R32" s="132">
        <f>IF(SER_hh_tes_in!R32=0,0,11630*1000*SER_hh_tes_in!R32/SER_hh_num_in!R32)</f>
        <v>0</v>
      </c>
      <c r="S32" s="132">
        <f>IF(SER_hh_tes_in!S32=0,0,11630*1000*SER_hh_tes_in!S32/SER_hh_num_in!S32)</f>
        <v>0</v>
      </c>
      <c r="T32" s="132">
        <f>IF(SER_hh_tes_in!T32=0,0,11630*1000*SER_hh_tes_in!T32/SER_hh_num_in!T32)</f>
        <v>0</v>
      </c>
      <c r="U32" s="132">
        <f>IF(SER_hh_tes_in!U32=0,0,11630*1000*SER_hh_tes_in!U32/SER_hh_num_in!U32)</f>
        <v>0</v>
      </c>
      <c r="V32" s="132">
        <f>IF(SER_hh_tes_in!V32=0,0,11630*1000*SER_hh_tes_in!V32/SER_hh_num_in!V32)</f>
        <v>0</v>
      </c>
      <c r="W32" s="132">
        <f>IF(SER_hh_tes_in!W32=0,0,11630*1000*SER_hh_tes_in!W32/SER_hh_num_in!W32)</f>
        <v>0</v>
      </c>
      <c r="X32" s="132">
        <f>IF(SER_hh_tes_in!X32=0,0,11630*1000*SER_hh_tes_in!X32/SER_hh_num_in!X32)</f>
        <v>0</v>
      </c>
      <c r="Y32" s="132">
        <f>IF(SER_hh_tes_in!Y32=0,0,11630*1000*SER_hh_tes_in!Y32/SER_hh_num_in!Y32)</f>
        <v>0</v>
      </c>
      <c r="DA32" s="156" t="s">
        <v>783</v>
      </c>
    </row>
    <row r="33" spans="1:105" ht="12" customHeight="1" x14ac:dyDescent="0.25">
      <c r="A33" s="62" t="s">
        <v>24</v>
      </c>
      <c r="B33" s="68"/>
      <c r="C33" s="68">
        <f>IF(SER_hh_tes_in!C33=0,0,11630*1000*SER_hh_tes_in!C33/SER_hh_num_in!C33)</f>
        <v>37427.202976010798</v>
      </c>
      <c r="D33" s="68">
        <f>IF(SER_hh_tes_in!D33=0,0,11630*1000*SER_hh_tes_in!D33/SER_hh_num_in!D33)</f>
        <v>0</v>
      </c>
      <c r="E33" s="68">
        <f>IF(SER_hh_tes_in!E33=0,0,11630*1000*SER_hh_tes_in!E33/SER_hh_num_in!E33)</f>
        <v>0</v>
      </c>
      <c r="F33" s="68">
        <f>IF(SER_hh_tes_in!F33=0,0,11630*1000*SER_hh_tes_in!F33/SER_hh_num_in!F33)</f>
        <v>0</v>
      </c>
      <c r="G33" s="68">
        <f>IF(SER_hh_tes_in!G33=0,0,11630*1000*SER_hh_tes_in!G33/SER_hh_num_in!G33)</f>
        <v>0</v>
      </c>
      <c r="H33" s="68">
        <f>IF(SER_hh_tes_in!H33=0,0,11630*1000*SER_hh_tes_in!H33/SER_hh_num_in!H33)</f>
        <v>32994.330484227314</v>
      </c>
      <c r="I33" s="68">
        <f>IF(SER_hh_tes_in!I33=0,0,11630*1000*SER_hh_tes_in!I33/SER_hh_num_in!I33)</f>
        <v>19201.551799933473</v>
      </c>
      <c r="J33" s="68">
        <f>IF(SER_hh_tes_in!J33=0,0,11630*1000*SER_hh_tes_in!J33/SER_hh_num_in!J33)</f>
        <v>48017.797661493794</v>
      </c>
      <c r="K33" s="68">
        <f>IF(SER_hh_tes_in!K33=0,0,11630*1000*SER_hh_tes_in!K33/SER_hh_num_in!K33)</f>
        <v>44580.65578683171</v>
      </c>
      <c r="L33" s="68">
        <f>IF(SER_hh_tes_in!L33=0,0,11630*1000*SER_hh_tes_in!L33/SER_hh_num_in!L33)</f>
        <v>40680.29247655518</v>
      </c>
      <c r="M33" s="68">
        <f>IF(SER_hh_tes_in!M33=0,0,11630*1000*SER_hh_tes_in!M33/SER_hh_num_in!M33)</f>
        <v>41822.421188848755</v>
      </c>
      <c r="N33" s="68">
        <f>IF(SER_hh_tes_in!N33=0,0,11630*1000*SER_hh_tes_in!N33/SER_hh_num_in!N33)</f>
        <v>42415.613529398433</v>
      </c>
      <c r="O33" s="68">
        <f>IF(SER_hh_tes_in!O33=0,0,11630*1000*SER_hh_tes_in!O33/SER_hh_num_in!O33)</f>
        <v>44336.578677446902</v>
      </c>
      <c r="P33" s="68">
        <f>IF(SER_hh_tes_in!P33=0,0,11630*1000*SER_hh_tes_in!P33/SER_hh_num_in!P33)</f>
        <v>45121.053227116347</v>
      </c>
      <c r="Q33" s="68">
        <f>IF(SER_hh_tes_in!Q33=0,0,11630*1000*SER_hh_tes_in!Q33/SER_hh_num_in!Q33)</f>
        <v>44337.897975712513</v>
      </c>
      <c r="R33" s="68">
        <f>IF(SER_hh_tes_in!R33=0,0,11630*1000*SER_hh_tes_in!R33/SER_hh_num_in!R33)</f>
        <v>43838.780212217382</v>
      </c>
      <c r="S33" s="68">
        <f>IF(SER_hh_tes_in!S33=0,0,11630*1000*SER_hh_tes_in!S33/SER_hh_num_in!S33)</f>
        <v>41102.592289704364</v>
      </c>
      <c r="T33" s="68">
        <f>IF(SER_hh_tes_in!T33=0,0,11630*1000*SER_hh_tes_in!T33/SER_hh_num_in!T33)</f>
        <v>42712.302436810816</v>
      </c>
      <c r="U33" s="68">
        <f>IF(SER_hh_tes_in!U33=0,0,11630*1000*SER_hh_tes_in!U33/SER_hh_num_in!U33)</f>
        <v>43141.228324387092</v>
      </c>
      <c r="V33" s="68">
        <f>IF(SER_hh_tes_in!V33=0,0,11630*1000*SER_hh_tes_in!V33/SER_hh_num_in!V33)</f>
        <v>38008.891423049499</v>
      </c>
      <c r="W33" s="68">
        <f>IF(SER_hh_tes_in!W33=0,0,11630*1000*SER_hh_tes_in!W33/SER_hh_num_in!W33)</f>
        <v>41095.797989309511</v>
      </c>
      <c r="X33" s="68">
        <f>IF(SER_hh_tes_in!X33=0,0,11630*1000*SER_hh_tes_in!X33/SER_hh_num_in!X33)</f>
        <v>44118.635787973275</v>
      </c>
      <c r="Y33" s="68">
        <f>IF(SER_hh_tes_in!Y33=0,0,11630*1000*SER_hh_tes_in!Y33/SER_hh_num_in!Y33)</f>
        <v>45310.304454940924</v>
      </c>
      <c r="DA33" s="111" t="s">
        <v>784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7">
    <tabColor theme="6" tint="0.79998168889431442"/>
    <pageSetUpPr fitToPage="1"/>
  </sheetPr>
  <dimension ref="A1:DA33"/>
  <sheetViews>
    <sheetView showGridLines="0" zoomScaleNormal="100" workbookViewId="0">
      <pane xSplit="1" ySplit="1" topLeftCell="G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40.7109375" style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25.5" customHeight="1" x14ac:dyDescent="0.25">
      <c r="A1" s="28" t="s">
        <v>785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X1" s="27">
        <v>2022</v>
      </c>
      <c r="Y1" s="27">
        <v>2023</v>
      </c>
      <c r="DA1" s="87" t="s">
        <v>150</v>
      </c>
    </row>
    <row r="2" spans="1:105" s="2" customFormat="1" ht="12" customHeight="1" x14ac:dyDescent="0.25">
      <c r="DA2" s="7"/>
    </row>
    <row r="3" spans="1:105" ht="12.95" customHeight="1" x14ac:dyDescent="0.25">
      <c r="A3" s="123" t="s">
        <v>89</v>
      </c>
      <c r="B3" s="125"/>
      <c r="C3" s="125">
        <f>IF(SER_hh_emi_in!C3=0,0,1000000*SER_hh_emi_in!C3/SER_hh_num_in!C3)</f>
        <v>46259.551256242383</v>
      </c>
      <c r="D3" s="125">
        <f>IF(SER_hh_emi_in!D3=0,0,1000000*SER_hh_emi_in!D3/SER_hh_num_in!D3)</f>
        <v>46170.761855892684</v>
      </c>
      <c r="E3" s="125">
        <f>IF(SER_hh_emi_in!E3=0,0,1000000*SER_hh_emi_in!E3/SER_hh_num_in!E3)</f>
        <v>73766.970477680836</v>
      </c>
      <c r="F3" s="125">
        <f>IF(SER_hh_emi_in!F3=0,0,1000000*SER_hh_emi_in!F3/SER_hh_num_in!F3)</f>
        <v>92056.653572493859</v>
      </c>
      <c r="G3" s="125">
        <f>IF(SER_hh_emi_in!G3=0,0,1000000*SER_hh_emi_in!G3/SER_hh_num_in!G3)</f>
        <v>62207.477909062232</v>
      </c>
      <c r="H3" s="125">
        <f>IF(SER_hh_emi_in!H3=0,0,1000000*SER_hh_emi_in!H3/SER_hh_num_in!H3)</f>
        <v>119363.35399994433</v>
      </c>
      <c r="I3" s="125">
        <f>IF(SER_hh_emi_in!I3=0,0,1000000*SER_hh_emi_in!I3/SER_hh_num_in!I3)</f>
        <v>22669.901685124991</v>
      </c>
      <c r="J3" s="125">
        <f>IF(SER_hh_emi_in!J3=0,0,1000000*SER_hh_emi_in!J3/SER_hh_num_in!J3)</f>
        <v>17666.26162116884</v>
      </c>
      <c r="K3" s="125">
        <f>IF(SER_hh_emi_in!K3=0,0,1000000*SER_hh_emi_in!K3/SER_hh_num_in!K3)</f>
        <v>24740.336021644303</v>
      </c>
      <c r="L3" s="125">
        <f>IF(SER_hh_emi_in!L3=0,0,1000000*SER_hh_emi_in!L3/SER_hh_num_in!L3)</f>
        <v>25516.407290742536</v>
      </c>
      <c r="M3" s="125">
        <f>IF(SER_hh_emi_in!M3=0,0,1000000*SER_hh_emi_in!M3/SER_hh_num_in!M3)</f>
        <v>35369.027704274566</v>
      </c>
      <c r="N3" s="125">
        <f>IF(SER_hh_emi_in!N3=0,0,1000000*SER_hh_emi_in!N3/SER_hh_num_in!N3)</f>
        <v>30536.385635887433</v>
      </c>
      <c r="O3" s="125">
        <f>IF(SER_hh_emi_in!O3=0,0,1000000*SER_hh_emi_in!O3/SER_hh_num_in!O3)</f>
        <v>33526.395932888918</v>
      </c>
      <c r="P3" s="125">
        <f>IF(SER_hh_emi_in!P3=0,0,1000000*SER_hh_emi_in!P3/SER_hh_num_in!P3)</f>
        <v>36122.901444523879</v>
      </c>
      <c r="Q3" s="125">
        <f>IF(SER_hh_emi_in!Q3=0,0,1000000*SER_hh_emi_in!Q3/SER_hh_num_in!Q3)</f>
        <v>33632.311404422268</v>
      </c>
      <c r="R3" s="125">
        <f>IF(SER_hh_emi_in!R3=0,0,1000000*SER_hh_emi_in!R3/SER_hh_num_in!R3)</f>
        <v>32188.017833909864</v>
      </c>
      <c r="S3" s="125">
        <f>IF(SER_hh_emi_in!S3=0,0,1000000*SER_hh_emi_in!S3/SER_hh_num_in!S3)</f>
        <v>35353.04708241202</v>
      </c>
      <c r="T3" s="125">
        <f>IF(SER_hh_emi_in!T3=0,0,1000000*SER_hh_emi_in!T3/SER_hh_num_in!T3)</f>
        <v>32968.754222264353</v>
      </c>
      <c r="U3" s="125">
        <f>IF(SER_hh_emi_in!U3=0,0,1000000*SER_hh_emi_in!U3/SER_hh_num_in!U3)</f>
        <v>28537.046471130438</v>
      </c>
      <c r="V3" s="125">
        <f>IF(SER_hh_emi_in!V3=0,0,1000000*SER_hh_emi_in!V3/SER_hh_num_in!V3)</f>
        <v>22390.07998097068</v>
      </c>
      <c r="W3" s="125">
        <f>IF(SER_hh_emi_in!W3=0,0,1000000*SER_hh_emi_in!W3/SER_hh_num_in!W3)</f>
        <v>23646.250369909576</v>
      </c>
      <c r="X3" s="125">
        <f>IF(SER_hh_emi_in!X3=0,0,1000000*SER_hh_emi_in!X3/SER_hh_num_in!X3)</f>
        <v>15773.237605513983</v>
      </c>
      <c r="Y3" s="125">
        <f>IF(SER_hh_emi_in!Y3=0,0,1000000*SER_hh_emi_in!Y3/SER_hh_num_in!Y3)</f>
        <v>6611.3702984766796</v>
      </c>
      <c r="DA3" s="154" t="s">
        <v>786</v>
      </c>
    </row>
    <row r="4" spans="1:105" ht="12.95" customHeight="1" x14ac:dyDescent="0.25">
      <c r="A4" s="129" t="s">
        <v>32</v>
      </c>
      <c r="B4" s="130"/>
      <c r="C4" s="130">
        <f>IF(SER_hh_emi_in!C4=0,0,1000000*SER_hh_emi_in!C4/SER_hh_num_in!C4)</f>
        <v>37531.711795319636</v>
      </c>
      <c r="D4" s="130">
        <f>IF(SER_hh_emi_in!D4=0,0,1000000*SER_hh_emi_in!D4/SER_hh_num_in!D4)</f>
        <v>35856.853274249879</v>
      </c>
      <c r="E4" s="130">
        <f>IF(SER_hh_emi_in!E4=0,0,1000000*SER_hh_emi_in!E4/SER_hh_num_in!E4)</f>
        <v>59779.396299300206</v>
      </c>
      <c r="F4" s="130">
        <f>IF(SER_hh_emi_in!F4=0,0,1000000*SER_hh_emi_in!F4/SER_hh_num_in!F4)</f>
        <v>67741.975756718108</v>
      </c>
      <c r="G4" s="130">
        <f>IF(SER_hh_emi_in!G4=0,0,1000000*SER_hh_emi_in!G4/SER_hh_num_in!G4)</f>
        <v>44217.809535416411</v>
      </c>
      <c r="H4" s="130">
        <f>IF(SER_hh_emi_in!H4=0,0,1000000*SER_hh_emi_in!H4/SER_hh_num_in!H4)</f>
        <v>107798.08287418124</v>
      </c>
      <c r="I4" s="130">
        <f>IF(SER_hh_emi_in!I4=0,0,1000000*SER_hh_emi_in!I4/SER_hh_num_in!I4)</f>
        <v>19979.31971964856</v>
      </c>
      <c r="J4" s="130">
        <f>IF(SER_hh_emi_in!J4=0,0,1000000*SER_hh_emi_in!J4/SER_hh_num_in!J4)</f>
        <v>14490.166049369731</v>
      </c>
      <c r="K4" s="130">
        <f>IF(SER_hh_emi_in!K4=0,0,1000000*SER_hh_emi_in!K4/SER_hh_num_in!K4)</f>
        <v>17866.215474852634</v>
      </c>
      <c r="L4" s="130">
        <f>IF(SER_hh_emi_in!L4=0,0,1000000*SER_hh_emi_in!L4/SER_hh_num_in!L4)</f>
        <v>17369.52912190351</v>
      </c>
      <c r="M4" s="130">
        <f>IF(SER_hh_emi_in!M4=0,0,1000000*SER_hh_emi_in!M4/SER_hh_num_in!M4)</f>
        <v>28216.983732407429</v>
      </c>
      <c r="N4" s="130">
        <f>IF(SER_hh_emi_in!N4=0,0,1000000*SER_hh_emi_in!N4/SER_hh_num_in!N4)</f>
        <v>20917.03588833307</v>
      </c>
      <c r="O4" s="130">
        <f>IF(SER_hh_emi_in!O4=0,0,1000000*SER_hh_emi_in!O4/SER_hh_num_in!O4)</f>
        <v>20617.7830948591</v>
      </c>
      <c r="P4" s="130">
        <f>IF(SER_hh_emi_in!P4=0,0,1000000*SER_hh_emi_in!P4/SER_hh_num_in!P4)</f>
        <v>20212.404775440762</v>
      </c>
      <c r="Q4" s="130">
        <f>IF(SER_hh_emi_in!Q4=0,0,1000000*SER_hh_emi_in!Q4/SER_hh_num_in!Q4)</f>
        <v>16637.591722326124</v>
      </c>
      <c r="R4" s="130">
        <f>IF(SER_hh_emi_in!R4=0,0,1000000*SER_hh_emi_in!R4/SER_hh_num_in!R4)</f>
        <v>16829.148490044805</v>
      </c>
      <c r="S4" s="130">
        <f>IF(SER_hh_emi_in!S4=0,0,1000000*SER_hh_emi_in!S4/SER_hh_num_in!S4)</f>
        <v>21208.966466376278</v>
      </c>
      <c r="T4" s="130">
        <f>IF(SER_hh_emi_in!T4=0,0,1000000*SER_hh_emi_in!T4/SER_hh_num_in!T4)</f>
        <v>22189.344604388443</v>
      </c>
      <c r="U4" s="130">
        <f>IF(SER_hh_emi_in!U4=0,0,1000000*SER_hh_emi_in!U4/SER_hh_num_in!U4)</f>
        <v>19574.11479133791</v>
      </c>
      <c r="V4" s="130">
        <f>IF(SER_hh_emi_in!V4=0,0,1000000*SER_hh_emi_in!V4/SER_hh_num_in!V4)</f>
        <v>14714.497079011595</v>
      </c>
      <c r="W4" s="130">
        <f>IF(SER_hh_emi_in!W4=0,0,1000000*SER_hh_emi_in!W4/SER_hh_num_in!W4)</f>
        <v>15731.027480946808</v>
      </c>
      <c r="X4" s="130">
        <f>IF(SER_hh_emi_in!X4=0,0,1000000*SER_hh_emi_in!X4/SER_hh_num_in!X4)</f>
        <v>10597.139233538826</v>
      </c>
      <c r="Y4" s="130">
        <f>IF(SER_hh_emi_in!Y4=0,0,1000000*SER_hh_emi_in!Y4/SER_hh_num_in!Y4)</f>
        <v>429.98809945025698</v>
      </c>
      <c r="DA4" s="155" t="s">
        <v>787</v>
      </c>
    </row>
    <row r="5" spans="1:105" ht="12" customHeight="1" x14ac:dyDescent="0.25">
      <c r="A5" s="131" t="s">
        <v>29</v>
      </c>
      <c r="B5" s="132"/>
      <c r="C5" s="132">
        <f>IF(SER_hh_emi_in!C5=0,0,1000000*SER_hh_emi_in!C5/SER_hh_num_in!C5)</f>
        <v>134042.48320873288</v>
      </c>
      <c r="D5" s="132">
        <f>IF(SER_hh_emi_in!D5=0,0,1000000*SER_hh_emi_in!D5/SER_hh_num_in!D5)</f>
        <v>82891.874163377375</v>
      </c>
      <c r="E5" s="132">
        <f>IF(SER_hh_emi_in!E5=0,0,1000000*SER_hh_emi_in!E5/SER_hh_num_in!E5)</f>
        <v>0</v>
      </c>
      <c r="F5" s="132">
        <f>IF(SER_hh_emi_in!F5=0,0,1000000*SER_hh_emi_in!F5/SER_hh_num_in!F5)</f>
        <v>0</v>
      </c>
      <c r="G5" s="132">
        <f>IF(SER_hh_emi_in!G5=0,0,1000000*SER_hh_emi_in!G5/SER_hh_num_in!G5)</f>
        <v>0</v>
      </c>
      <c r="H5" s="132">
        <f>IF(SER_hh_emi_in!H5=0,0,1000000*SER_hh_emi_in!H5/SER_hh_num_in!H5)</f>
        <v>221615.21972296358</v>
      </c>
      <c r="I5" s="132">
        <f>IF(SER_hh_emi_in!I5=0,0,1000000*SER_hh_emi_in!I5/SER_hh_num_in!I5)</f>
        <v>0</v>
      </c>
      <c r="J5" s="132">
        <f>IF(SER_hh_emi_in!J5=0,0,1000000*SER_hh_emi_in!J5/SER_hh_num_in!J5)</f>
        <v>0</v>
      </c>
      <c r="K5" s="132">
        <f>IF(SER_hh_emi_in!K5=0,0,1000000*SER_hh_emi_in!K5/SER_hh_num_in!K5)</f>
        <v>0</v>
      </c>
      <c r="L5" s="132">
        <f>IF(SER_hh_emi_in!L5=0,0,1000000*SER_hh_emi_in!L5/SER_hh_num_in!L5)</f>
        <v>74957.160496583077</v>
      </c>
      <c r="M5" s="132">
        <f>IF(SER_hh_emi_in!M5=0,0,1000000*SER_hh_emi_in!M5/SER_hh_num_in!M5)</f>
        <v>75060.377637629776</v>
      </c>
      <c r="N5" s="132">
        <f>IF(SER_hh_emi_in!N5=0,0,1000000*SER_hh_emi_in!N5/SER_hh_num_in!N5)</f>
        <v>41464.36966118103</v>
      </c>
      <c r="O5" s="132">
        <f>IF(SER_hh_emi_in!O5=0,0,1000000*SER_hh_emi_in!O5/SER_hh_num_in!O5)</f>
        <v>61066.298203643513</v>
      </c>
      <c r="P5" s="132">
        <f>IF(SER_hh_emi_in!P5=0,0,1000000*SER_hh_emi_in!P5/SER_hh_num_in!P5)</f>
        <v>36452.974225179474</v>
      </c>
      <c r="Q5" s="132">
        <f>IF(SER_hh_emi_in!Q5=0,0,1000000*SER_hh_emi_in!Q5/SER_hh_num_in!Q5)</f>
        <v>36323.889091895966</v>
      </c>
      <c r="R5" s="132">
        <f>IF(SER_hh_emi_in!R5=0,0,1000000*SER_hh_emi_in!R5/SER_hh_num_in!R5)</f>
        <v>61010.465155614249</v>
      </c>
      <c r="S5" s="132">
        <f>IF(SER_hh_emi_in!S5=0,0,1000000*SER_hh_emi_in!S5/SER_hh_num_in!S5)</f>
        <v>0</v>
      </c>
      <c r="T5" s="132">
        <f>IF(SER_hh_emi_in!T5=0,0,1000000*SER_hh_emi_in!T5/SER_hh_num_in!T5)</f>
        <v>53649.427735470155</v>
      </c>
      <c r="U5" s="132">
        <f>IF(SER_hh_emi_in!U5=0,0,1000000*SER_hh_emi_in!U5/SER_hh_num_in!U5)</f>
        <v>0</v>
      </c>
      <c r="V5" s="132">
        <f>IF(SER_hh_emi_in!V5=0,0,1000000*SER_hh_emi_in!V5/SER_hh_num_in!V5)</f>
        <v>0</v>
      </c>
      <c r="W5" s="132">
        <f>IF(SER_hh_emi_in!W5=0,0,1000000*SER_hh_emi_in!W5/SER_hh_num_in!W5)</f>
        <v>0</v>
      </c>
      <c r="X5" s="132">
        <f>IF(SER_hh_emi_in!X5=0,0,1000000*SER_hh_emi_in!X5/SER_hh_num_in!X5)</f>
        <v>0</v>
      </c>
      <c r="Y5" s="132">
        <f>IF(SER_hh_emi_in!Y5=0,0,1000000*SER_hh_emi_in!Y5/SER_hh_num_in!Y5)</f>
        <v>0</v>
      </c>
      <c r="DA5" s="156" t="s">
        <v>788</v>
      </c>
    </row>
    <row r="6" spans="1:105" ht="12" customHeight="1" x14ac:dyDescent="0.25">
      <c r="A6" s="131" t="s">
        <v>52</v>
      </c>
      <c r="B6" s="132"/>
      <c r="C6" s="132">
        <f>IF(SER_hh_emi_in!C6=0,0,1000000*SER_hh_emi_in!C6/SER_hh_num_in!C6)</f>
        <v>0</v>
      </c>
      <c r="D6" s="132">
        <f>IF(SER_hh_emi_in!D6=0,0,1000000*SER_hh_emi_in!D6/SER_hh_num_in!D6)</f>
        <v>0</v>
      </c>
      <c r="E6" s="132">
        <f>IF(SER_hh_emi_in!E6=0,0,1000000*SER_hh_emi_in!E6/SER_hh_num_in!E6)</f>
        <v>0</v>
      </c>
      <c r="F6" s="132">
        <f>IF(SER_hh_emi_in!F6=0,0,1000000*SER_hh_emi_in!F6/SER_hh_num_in!F6)</f>
        <v>0</v>
      </c>
      <c r="G6" s="132">
        <f>IF(SER_hh_emi_in!G6=0,0,1000000*SER_hh_emi_in!G6/SER_hh_num_in!G6)</f>
        <v>0</v>
      </c>
      <c r="H6" s="132">
        <f>IF(SER_hh_emi_in!H6=0,0,1000000*SER_hh_emi_in!H6/SER_hh_num_in!H6)</f>
        <v>0</v>
      </c>
      <c r="I6" s="132">
        <f>IF(SER_hh_emi_in!I6=0,0,1000000*SER_hh_emi_in!I6/SER_hh_num_in!I6)</f>
        <v>0</v>
      </c>
      <c r="J6" s="132">
        <f>IF(SER_hh_emi_in!J6=0,0,1000000*SER_hh_emi_in!J6/SER_hh_num_in!J6)</f>
        <v>0</v>
      </c>
      <c r="K6" s="132">
        <f>IF(SER_hh_emi_in!K6=0,0,1000000*SER_hh_emi_in!K6/SER_hh_num_in!K6)</f>
        <v>0</v>
      </c>
      <c r="L6" s="132">
        <f>IF(SER_hh_emi_in!L6=0,0,1000000*SER_hh_emi_in!L6/SER_hh_num_in!L6)</f>
        <v>0</v>
      </c>
      <c r="M6" s="132">
        <f>IF(SER_hh_emi_in!M6=0,0,1000000*SER_hh_emi_in!M6/SER_hh_num_in!M6)</f>
        <v>0</v>
      </c>
      <c r="N6" s="132">
        <f>IF(SER_hh_emi_in!N6=0,0,1000000*SER_hh_emi_in!N6/SER_hh_num_in!N6)</f>
        <v>0</v>
      </c>
      <c r="O6" s="132">
        <f>IF(SER_hh_emi_in!O6=0,0,1000000*SER_hh_emi_in!O6/SER_hh_num_in!O6)</f>
        <v>0</v>
      </c>
      <c r="P6" s="132">
        <f>IF(SER_hh_emi_in!P6=0,0,1000000*SER_hh_emi_in!P6/SER_hh_num_in!P6)</f>
        <v>0</v>
      </c>
      <c r="Q6" s="132">
        <f>IF(SER_hh_emi_in!Q6=0,0,1000000*SER_hh_emi_in!Q6/SER_hh_num_in!Q6)</f>
        <v>0</v>
      </c>
      <c r="R6" s="132">
        <f>IF(SER_hh_emi_in!R6=0,0,1000000*SER_hh_emi_in!R6/SER_hh_num_in!R6)</f>
        <v>0</v>
      </c>
      <c r="S6" s="132">
        <f>IF(SER_hh_emi_in!S6=0,0,1000000*SER_hh_emi_in!S6/SER_hh_num_in!S6)</f>
        <v>0</v>
      </c>
      <c r="T6" s="132">
        <f>IF(SER_hh_emi_in!T6=0,0,1000000*SER_hh_emi_in!T6/SER_hh_num_in!T6)</f>
        <v>0</v>
      </c>
      <c r="U6" s="132">
        <f>IF(SER_hh_emi_in!U6=0,0,1000000*SER_hh_emi_in!U6/SER_hh_num_in!U6)</f>
        <v>0</v>
      </c>
      <c r="V6" s="132">
        <f>IF(SER_hh_emi_in!V6=0,0,1000000*SER_hh_emi_in!V6/SER_hh_num_in!V6)</f>
        <v>0</v>
      </c>
      <c r="W6" s="132">
        <f>IF(SER_hh_emi_in!W6=0,0,1000000*SER_hh_emi_in!W6/SER_hh_num_in!W6)</f>
        <v>0</v>
      </c>
      <c r="X6" s="132">
        <f>IF(SER_hh_emi_in!X6=0,0,1000000*SER_hh_emi_in!X6/SER_hh_num_in!X6)</f>
        <v>0</v>
      </c>
      <c r="Y6" s="132">
        <f>IF(SER_hh_emi_in!Y6=0,0,1000000*SER_hh_emi_in!Y6/SER_hh_num_in!Y6)</f>
        <v>0</v>
      </c>
      <c r="DA6" s="156" t="s">
        <v>789</v>
      </c>
    </row>
    <row r="7" spans="1:105" ht="12" customHeight="1" x14ac:dyDescent="0.25">
      <c r="A7" s="131" t="s">
        <v>161</v>
      </c>
      <c r="B7" s="132"/>
      <c r="C7" s="132">
        <f>IF(SER_hh_emi_in!C7=0,0,1000000*SER_hh_emi_in!C7/SER_hh_num_in!C7)</f>
        <v>61447.23765626191</v>
      </c>
      <c r="D7" s="132">
        <f>IF(SER_hh_emi_in!D7=0,0,1000000*SER_hh_emi_in!D7/SER_hh_num_in!D7)</f>
        <v>66225.082288921738</v>
      </c>
      <c r="E7" s="132">
        <f>IF(SER_hh_emi_in!E7=0,0,1000000*SER_hh_emi_in!E7/SER_hh_num_in!E7)</f>
        <v>57638.243499916658</v>
      </c>
      <c r="F7" s="132">
        <f>IF(SER_hh_emi_in!F7=0,0,1000000*SER_hh_emi_in!F7/SER_hh_num_in!F7)</f>
        <v>97225.839310462252</v>
      </c>
      <c r="G7" s="132">
        <f>IF(SER_hh_emi_in!G7=0,0,1000000*SER_hh_emi_in!G7/SER_hh_num_in!G7)</f>
        <v>0</v>
      </c>
      <c r="H7" s="132">
        <f>IF(SER_hh_emi_in!H7=0,0,1000000*SER_hh_emi_in!H7/SER_hh_num_in!H7)</f>
        <v>0</v>
      </c>
      <c r="I7" s="132">
        <f>IF(SER_hh_emi_in!I7=0,0,1000000*SER_hh_emi_in!I7/SER_hh_num_in!I7)</f>
        <v>0</v>
      </c>
      <c r="J7" s="132">
        <f>IF(SER_hh_emi_in!J7=0,0,1000000*SER_hh_emi_in!J7/SER_hh_num_in!J7)</f>
        <v>0</v>
      </c>
      <c r="K7" s="132">
        <f>IF(SER_hh_emi_in!K7=0,0,1000000*SER_hh_emi_in!K7/SER_hh_num_in!K7)</f>
        <v>0</v>
      </c>
      <c r="L7" s="132">
        <f>IF(SER_hh_emi_in!L7=0,0,1000000*SER_hh_emi_in!L7/SER_hh_num_in!L7)</f>
        <v>41113.437556402241</v>
      </c>
      <c r="M7" s="132">
        <f>IF(SER_hh_emi_in!M7=0,0,1000000*SER_hh_emi_in!M7/SER_hh_num_in!M7)</f>
        <v>68712.783915628519</v>
      </c>
      <c r="N7" s="132">
        <f>IF(SER_hh_emi_in!N7=0,0,1000000*SER_hh_emi_in!N7/SER_hh_num_in!N7)</f>
        <v>50988.295342946498</v>
      </c>
      <c r="O7" s="132">
        <f>IF(SER_hh_emi_in!O7=0,0,1000000*SER_hh_emi_in!O7/SER_hh_num_in!O7)</f>
        <v>35399.504071731339</v>
      </c>
      <c r="P7" s="132">
        <f>IF(SER_hh_emi_in!P7=0,0,1000000*SER_hh_emi_in!P7/SER_hh_num_in!P7)</f>
        <v>29620.843219369042</v>
      </c>
      <c r="Q7" s="132">
        <f>IF(SER_hh_emi_in!Q7=0,0,1000000*SER_hh_emi_in!Q7/SER_hh_num_in!Q7)</f>
        <v>27892.070873311441</v>
      </c>
      <c r="R7" s="132">
        <f>IF(SER_hh_emi_in!R7=0,0,1000000*SER_hh_emi_in!R7/SER_hh_num_in!R7)</f>
        <v>25447.319077481246</v>
      </c>
      <c r="S7" s="132">
        <f>IF(SER_hh_emi_in!S7=0,0,1000000*SER_hh_emi_in!S7/SER_hh_num_in!S7)</f>
        <v>29556.335028892037</v>
      </c>
      <c r="T7" s="132">
        <f>IF(SER_hh_emi_in!T7=0,0,1000000*SER_hh_emi_in!T7/SER_hh_num_in!T7)</f>
        <v>27983.810047118757</v>
      </c>
      <c r="U7" s="132">
        <f>IF(SER_hh_emi_in!U7=0,0,1000000*SER_hh_emi_in!U7/SER_hh_num_in!U7)</f>
        <v>24081.002131790636</v>
      </c>
      <c r="V7" s="132">
        <f>IF(SER_hh_emi_in!V7=0,0,1000000*SER_hh_emi_in!V7/SER_hh_num_in!V7)</f>
        <v>18531.244195038191</v>
      </c>
      <c r="W7" s="132">
        <f>IF(SER_hh_emi_in!W7=0,0,1000000*SER_hh_emi_in!W7/SER_hh_num_in!W7)</f>
        <v>21951.79623272047</v>
      </c>
      <c r="X7" s="132">
        <f>IF(SER_hh_emi_in!X7=0,0,1000000*SER_hh_emi_in!X7/SER_hh_num_in!X7)</f>
        <v>18123.179587448281</v>
      </c>
      <c r="Y7" s="132">
        <f>IF(SER_hh_emi_in!Y7=0,0,1000000*SER_hh_emi_in!Y7/SER_hh_num_in!Y7)</f>
        <v>19026.175215424257</v>
      </c>
      <c r="DA7" s="156" t="s">
        <v>790</v>
      </c>
    </row>
    <row r="8" spans="1:105" ht="12" customHeight="1" x14ac:dyDescent="0.25">
      <c r="A8" s="131" t="s">
        <v>73</v>
      </c>
      <c r="B8" s="132"/>
      <c r="C8" s="132">
        <f>IF(SER_hh_emi_in!C8=0,0,1000000*SER_hh_emi_in!C8/SER_hh_num_in!C8)</f>
        <v>0</v>
      </c>
      <c r="D8" s="132">
        <f>IF(SER_hh_emi_in!D8=0,0,1000000*SER_hh_emi_in!D8/SER_hh_num_in!D8)</f>
        <v>0</v>
      </c>
      <c r="E8" s="132">
        <f>IF(SER_hh_emi_in!E8=0,0,1000000*SER_hh_emi_in!E8/SER_hh_num_in!E8)</f>
        <v>0</v>
      </c>
      <c r="F8" s="132">
        <f>IF(SER_hh_emi_in!F8=0,0,1000000*SER_hh_emi_in!F8/SER_hh_num_in!F8)</f>
        <v>0</v>
      </c>
      <c r="G8" s="132">
        <f>IF(SER_hh_emi_in!G8=0,0,1000000*SER_hh_emi_in!G8/SER_hh_num_in!G8)</f>
        <v>0</v>
      </c>
      <c r="H8" s="132">
        <f>IF(SER_hh_emi_in!H8=0,0,1000000*SER_hh_emi_in!H8/SER_hh_num_in!H8)</f>
        <v>0</v>
      </c>
      <c r="I8" s="132">
        <f>IF(SER_hh_emi_in!I8=0,0,1000000*SER_hh_emi_in!I8/SER_hh_num_in!I8)</f>
        <v>0</v>
      </c>
      <c r="J8" s="132">
        <f>IF(SER_hh_emi_in!J8=0,0,1000000*SER_hh_emi_in!J8/SER_hh_num_in!J8)</f>
        <v>0</v>
      </c>
      <c r="K8" s="132">
        <f>IF(SER_hh_emi_in!K8=0,0,1000000*SER_hh_emi_in!K8/SER_hh_num_in!K8)</f>
        <v>0</v>
      </c>
      <c r="L8" s="132">
        <f>IF(SER_hh_emi_in!L8=0,0,1000000*SER_hh_emi_in!L8/SER_hh_num_in!L8)</f>
        <v>0</v>
      </c>
      <c r="M8" s="132">
        <f>IF(SER_hh_emi_in!M8=0,0,1000000*SER_hh_emi_in!M8/SER_hh_num_in!M8)</f>
        <v>0</v>
      </c>
      <c r="N8" s="132">
        <f>IF(SER_hh_emi_in!N8=0,0,1000000*SER_hh_emi_in!N8/SER_hh_num_in!N8)</f>
        <v>0</v>
      </c>
      <c r="O8" s="132">
        <f>IF(SER_hh_emi_in!O8=0,0,1000000*SER_hh_emi_in!O8/SER_hh_num_in!O8)</f>
        <v>0</v>
      </c>
      <c r="P8" s="132">
        <f>IF(SER_hh_emi_in!P8=0,0,1000000*SER_hh_emi_in!P8/SER_hh_num_in!P8)</f>
        <v>0</v>
      </c>
      <c r="Q8" s="132">
        <f>IF(SER_hh_emi_in!Q8=0,0,1000000*SER_hh_emi_in!Q8/SER_hh_num_in!Q8)</f>
        <v>0</v>
      </c>
      <c r="R8" s="132">
        <f>IF(SER_hh_emi_in!R8=0,0,1000000*SER_hh_emi_in!R8/SER_hh_num_in!R8)</f>
        <v>0</v>
      </c>
      <c r="S8" s="132">
        <f>IF(SER_hh_emi_in!S8=0,0,1000000*SER_hh_emi_in!S8/SER_hh_num_in!S8)</f>
        <v>0</v>
      </c>
      <c r="T8" s="132">
        <f>IF(SER_hh_emi_in!T8=0,0,1000000*SER_hh_emi_in!T8/SER_hh_num_in!T8)</f>
        <v>0</v>
      </c>
      <c r="U8" s="132">
        <f>IF(SER_hh_emi_in!U8=0,0,1000000*SER_hh_emi_in!U8/SER_hh_num_in!U8)</f>
        <v>0</v>
      </c>
      <c r="V8" s="132">
        <f>IF(SER_hh_emi_in!V8=0,0,1000000*SER_hh_emi_in!V8/SER_hh_num_in!V8)</f>
        <v>0</v>
      </c>
      <c r="W8" s="132">
        <f>IF(SER_hh_emi_in!W8=0,0,1000000*SER_hh_emi_in!W8/SER_hh_num_in!W8)</f>
        <v>0</v>
      </c>
      <c r="X8" s="132">
        <f>IF(SER_hh_emi_in!X8=0,0,1000000*SER_hh_emi_in!X8/SER_hh_num_in!X8)</f>
        <v>0</v>
      </c>
      <c r="Y8" s="132">
        <f>IF(SER_hh_emi_in!Y8=0,0,1000000*SER_hh_emi_in!Y8/SER_hh_num_in!Y8)</f>
        <v>0</v>
      </c>
      <c r="DA8" s="156" t="s">
        <v>791</v>
      </c>
    </row>
    <row r="9" spans="1:105" ht="12" customHeight="1" x14ac:dyDescent="0.25">
      <c r="A9" s="131" t="s">
        <v>78</v>
      </c>
      <c r="B9" s="132"/>
      <c r="C9" s="132">
        <f>IF(SER_hh_emi_in!C9=0,0,1000000*SER_hh_emi_in!C9/SER_hh_num_in!C9)</f>
        <v>123835.8931780725</v>
      </c>
      <c r="D9" s="132">
        <f>IF(SER_hh_emi_in!D9=0,0,1000000*SER_hh_emi_in!D9/SER_hh_num_in!D9)</f>
        <v>11145.764248571615</v>
      </c>
      <c r="E9" s="132">
        <f>IF(SER_hh_emi_in!E9=0,0,1000000*SER_hh_emi_in!E9/SER_hh_num_in!E9)</f>
        <v>60386.524151359401</v>
      </c>
      <c r="F9" s="132">
        <f>IF(SER_hh_emi_in!F9=0,0,1000000*SER_hh_emi_in!F9/SER_hh_num_in!F9)</f>
        <v>59757.771743907993</v>
      </c>
      <c r="G9" s="132">
        <f>IF(SER_hh_emi_in!G9=0,0,1000000*SER_hh_emi_in!G9/SER_hh_num_in!G9)</f>
        <v>59441.021993787675</v>
      </c>
      <c r="H9" s="132">
        <f>IF(SER_hh_emi_in!H9=0,0,1000000*SER_hh_emi_in!H9/SER_hh_num_in!H9)</f>
        <v>110017.69475013447</v>
      </c>
      <c r="I9" s="132">
        <f>IF(SER_hh_emi_in!I9=0,0,1000000*SER_hh_emi_in!I9/SER_hh_num_in!I9)</f>
        <v>70289.714764014891</v>
      </c>
      <c r="J9" s="132">
        <f>IF(SER_hh_emi_in!J9=0,0,1000000*SER_hh_emi_in!J9/SER_hh_num_in!J9)</f>
        <v>46726.035838462878</v>
      </c>
      <c r="K9" s="132">
        <f>IF(SER_hh_emi_in!K9=0,0,1000000*SER_hh_emi_in!K9/SER_hh_num_in!K9)</f>
        <v>50880.352096560469</v>
      </c>
      <c r="L9" s="132">
        <f>IF(SER_hh_emi_in!L9=0,0,1000000*SER_hh_emi_in!L9/SER_hh_num_in!L9)</f>
        <v>49117.749076276828</v>
      </c>
      <c r="M9" s="132">
        <f>IF(SER_hh_emi_in!M9=0,0,1000000*SER_hh_emi_in!M9/SER_hh_num_in!M9)</f>
        <v>35501.814224045003</v>
      </c>
      <c r="N9" s="132">
        <f>IF(SER_hh_emi_in!N9=0,0,1000000*SER_hh_emi_in!N9/SER_hh_num_in!N9)</f>
        <v>33379.886856447491</v>
      </c>
      <c r="O9" s="132">
        <f>IF(SER_hh_emi_in!O9=0,0,1000000*SER_hh_emi_in!O9/SER_hh_num_in!O9)</f>
        <v>29519.490027421201</v>
      </c>
      <c r="P9" s="132">
        <f>IF(SER_hh_emi_in!P9=0,0,1000000*SER_hh_emi_in!P9/SER_hh_num_in!P9)</f>
        <v>25068.933151221248</v>
      </c>
      <c r="Q9" s="132">
        <f>IF(SER_hh_emi_in!Q9=0,0,1000000*SER_hh_emi_in!Q9/SER_hh_num_in!Q9)</f>
        <v>20741.474784740101</v>
      </c>
      <c r="R9" s="132">
        <f>IF(SER_hh_emi_in!R9=0,0,1000000*SER_hh_emi_in!R9/SER_hh_num_in!R9)</f>
        <v>19587.503167671101</v>
      </c>
      <c r="S9" s="132">
        <f>IF(SER_hh_emi_in!S9=0,0,1000000*SER_hh_emi_in!S9/SER_hh_num_in!S9)</f>
        <v>19707.137557149406</v>
      </c>
      <c r="T9" s="132">
        <f>IF(SER_hh_emi_in!T9=0,0,1000000*SER_hh_emi_in!T9/SER_hh_num_in!T9)</f>
        <v>18376.897226260375</v>
      </c>
      <c r="U9" s="132">
        <f>IF(SER_hh_emi_in!U9=0,0,1000000*SER_hh_emi_in!U9/SER_hh_num_in!U9)</f>
        <v>17016.123372680231</v>
      </c>
      <c r="V9" s="132">
        <f>IF(SER_hh_emi_in!V9=0,0,1000000*SER_hh_emi_in!V9/SER_hh_num_in!V9)</f>
        <v>14820.148671620784</v>
      </c>
      <c r="W9" s="132">
        <f>IF(SER_hh_emi_in!W9=0,0,1000000*SER_hh_emi_in!W9/SER_hh_num_in!W9)</f>
        <v>12463.513900474873</v>
      </c>
      <c r="X9" s="132">
        <f>IF(SER_hh_emi_in!X9=0,0,1000000*SER_hh_emi_in!X9/SER_hh_num_in!X9)</f>
        <v>10836.109408445594</v>
      </c>
      <c r="Y9" s="132">
        <f>IF(SER_hh_emi_in!Y9=0,0,1000000*SER_hh_emi_in!Y9/SER_hh_num_in!Y9)</f>
        <v>0</v>
      </c>
      <c r="DA9" s="156" t="s">
        <v>792</v>
      </c>
    </row>
    <row r="10" spans="1:105" ht="12" customHeight="1" x14ac:dyDescent="0.25">
      <c r="A10" s="131" t="s">
        <v>128</v>
      </c>
      <c r="B10" s="132"/>
      <c r="C10" s="132">
        <f>IF(SER_hh_emi_in!C10=0,0,1000000*SER_hh_emi_in!C10/SER_hh_num_in!C10)</f>
        <v>0</v>
      </c>
      <c r="D10" s="132">
        <f>IF(SER_hh_emi_in!D10=0,0,1000000*SER_hh_emi_in!D10/SER_hh_num_in!D10)</f>
        <v>0</v>
      </c>
      <c r="E10" s="132">
        <f>IF(SER_hh_emi_in!E10=0,0,1000000*SER_hh_emi_in!E10/SER_hh_num_in!E10)</f>
        <v>0</v>
      </c>
      <c r="F10" s="132">
        <f>IF(SER_hh_emi_in!F10=0,0,1000000*SER_hh_emi_in!F10/SER_hh_num_in!F10)</f>
        <v>0</v>
      </c>
      <c r="G10" s="132">
        <f>IF(SER_hh_emi_in!G10=0,0,1000000*SER_hh_emi_in!G10/SER_hh_num_in!G10)</f>
        <v>0</v>
      </c>
      <c r="H10" s="132">
        <f>IF(SER_hh_emi_in!H10=0,0,1000000*SER_hh_emi_in!H10/SER_hh_num_in!H10)</f>
        <v>0</v>
      </c>
      <c r="I10" s="132">
        <f>IF(SER_hh_emi_in!I10=0,0,1000000*SER_hh_emi_in!I10/SER_hh_num_in!I10)</f>
        <v>0</v>
      </c>
      <c r="J10" s="132">
        <f>IF(SER_hh_emi_in!J10=0,0,1000000*SER_hh_emi_in!J10/SER_hh_num_in!J10)</f>
        <v>0</v>
      </c>
      <c r="K10" s="132">
        <f>IF(SER_hh_emi_in!K10=0,0,1000000*SER_hh_emi_in!K10/SER_hh_num_in!K10)</f>
        <v>0</v>
      </c>
      <c r="L10" s="132">
        <f>IF(SER_hh_emi_in!L10=0,0,1000000*SER_hh_emi_in!L10/SER_hh_num_in!L10)</f>
        <v>0</v>
      </c>
      <c r="M10" s="132">
        <f>IF(SER_hh_emi_in!M10=0,0,1000000*SER_hh_emi_in!M10/SER_hh_num_in!M10)</f>
        <v>0</v>
      </c>
      <c r="N10" s="132">
        <f>IF(SER_hh_emi_in!N10=0,0,1000000*SER_hh_emi_in!N10/SER_hh_num_in!N10)</f>
        <v>0</v>
      </c>
      <c r="O10" s="132">
        <f>IF(SER_hh_emi_in!O10=0,0,1000000*SER_hh_emi_in!O10/SER_hh_num_in!O10)</f>
        <v>38.561494411533971</v>
      </c>
      <c r="P10" s="132">
        <f>IF(SER_hh_emi_in!P10=0,0,1000000*SER_hh_emi_in!P10/SER_hh_num_in!P10)</f>
        <v>4649.2858950956752</v>
      </c>
      <c r="Q10" s="132">
        <f>IF(SER_hh_emi_in!Q10=0,0,1000000*SER_hh_emi_in!Q10/SER_hh_num_in!Q10)</f>
        <v>3486.4268721580843</v>
      </c>
      <c r="R10" s="132">
        <f>IF(SER_hh_emi_in!R10=0,0,1000000*SER_hh_emi_in!R10/SER_hh_num_in!R10)</f>
        <v>2687.4549568801299</v>
      </c>
      <c r="S10" s="132">
        <f>IF(SER_hh_emi_in!S10=0,0,1000000*SER_hh_emi_in!S10/SER_hh_num_in!S10)</f>
        <v>1724.9921050172061</v>
      </c>
      <c r="T10" s="132">
        <f>IF(SER_hh_emi_in!T10=0,0,1000000*SER_hh_emi_in!T10/SER_hh_num_in!T10)</f>
        <v>1313.9046316564045</v>
      </c>
      <c r="U10" s="132">
        <f>IF(SER_hh_emi_in!U10=0,0,1000000*SER_hh_emi_in!U10/SER_hh_num_in!U10)</f>
        <v>0</v>
      </c>
      <c r="V10" s="132">
        <f>IF(SER_hh_emi_in!V10=0,0,1000000*SER_hh_emi_in!V10/SER_hh_num_in!V10)</f>
        <v>0</v>
      </c>
      <c r="W10" s="132">
        <f>IF(SER_hh_emi_in!W10=0,0,1000000*SER_hh_emi_in!W10/SER_hh_num_in!W10)</f>
        <v>0</v>
      </c>
      <c r="X10" s="132">
        <f>IF(SER_hh_emi_in!X10=0,0,1000000*SER_hh_emi_in!X10/SER_hh_num_in!X10)</f>
        <v>0</v>
      </c>
      <c r="Y10" s="132">
        <f>IF(SER_hh_emi_in!Y10=0,0,1000000*SER_hh_emi_in!Y10/SER_hh_num_in!Y10)</f>
        <v>0</v>
      </c>
      <c r="DA10" s="156" t="s">
        <v>793</v>
      </c>
    </row>
    <row r="11" spans="1:105" ht="12" customHeight="1" x14ac:dyDescent="0.25">
      <c r="A11" s="131" t="s">
        <v>25</v>
      </c>
      <c r="B11" s="132"/>
      <c r="C11" s="132">
        <f>IF(SER_hh_emi_in!C11=0,0,1000000*SER_hh_emi_in!C11/SER_hh_num_in!C11)</f>
        <v>0</v>
      </c>
      <c r="D11" s="132">
        <f>IF(SER_hh_emi_in!D11=0,0,1000000*SER_hh_emi_in!D11/SER_hh_num_in!D11)</f>
        <v>0</v>
      </c>
      <c r="E11" s="132">
        <f>IF(SER_hh_emi_in!E11=0,0,1000000*SER_hh_emi_in!E11/SER_hh_num_in!E11)</f>
        <v>0</v>
      </c>
      <c r="F11" s="132">
        <f>IF(SER_hh_emi_in!F11=0,0,1000000*SER_hh_emi_in!F11/SER_hh_num_in!F11)</f>
        <v>0</v>
      </c>
      <c r="G11" s="132">
        <f>IF(SER_hh_emi_in!G11=0,0,1000000*SER_hh_emi_in!G11/SER_hh_num_in!G11)</f>
        <v>0</v>
      </c>
      <c r="H11" s="132">
        <f>IF(SER_hh_emi_in!H11=0,0,1000000*SER_hh_emi_in!H11/SER_hh_num_in!H11)</f>
        <v>0</v>
      </c>
      <c r="I11" s="132">
        <f>IF(SER_hh_emi_in!I11=0,0,1000000*SER_hh_emi_in!I11/SER_hh_num_in!I11)</f>
        <v>0</v>
      </c>
      <c r="J11" s="132">
        <f>IF(SER_hh_emi_in!J11=0,0,1000000*SER_hh_emi_in!J11/SER_hh_num_in!J11)</f>
        <v>0</v>
      </c>
      <c r="K11" s="132">
        <f>IF(SER_hh_emi_in!K11=0,0,1000000*SER_hh_emi_in!K11/SER_hh_num_in!K11)</f>
        <v>0</v>
      </c>
      <c r="L11" s="132">
        <f>IF(SER_hh_emi_in!L11=0,0,1000000*SER_hh_emi_in!L11/SER_hh_num_in!L11)</f>
        <v>0</v>
      </c>
      <c r="M11" s="132">
        <f>IF(SER_hh_emi_in!M11=0,0,1000000*SER_hh_emi_in!M11/SER_hh_num_in!M11)</f>
        <v>0</v>
      </c>
      <c r="N11" s="132">
        <f>IF(SER_hh_emi_in!N11=0,0,1000000*SER_hh_emi_in!N11/SER_hh_num_in!N11)</f>
        <v>0</v>
      </c>
      <c r="O11" s="132">
        <f>IF(SER_hh_emi_in!O11=0,0,1000000*SER_hh_emi_in!O11/SER_hh_num_in!O11)</f>
        <v>0</v>
      </c>
      <c r="P11" s="132">
        <f>IF(SER_hh_emi_in!P11=0,0,1000000*SER_hh_emi_in!P11/SER_hh_num_in!P11)</f>
        <v>0</v>
      </c>
      <c r="Q11" s="132">
        <f>IF(SER_hh_emi_in!Q11=0,0,1000000*SER_hh_emi_in!Q11/SER_hh_num_in!Q11)</f>
        <v>0</v>
      </c>
      <c r="R11" s="132">
        <f>IF(SER_hh_emi_in!R11=0,0,1000000*SER_hh_emi_in!R11/SER_hh_num_in!R11)</f>
        <v>0</v>
      </c>
      <c r="S11" s="132">
        <f>IF(SER_hh_emi_in!S11=0,0,1000000*SER_hh_emi_in!S11/SER_hh_num_in!S11)</f>
        <v>0</v>
      </c>
      <c r="T11" s="132">
        <f>IF(SER_hh_emi_in!T11=0,0,1000000*SER_hh_emi_in!T11/SER_hh_num_in!T11)</f>
        <v>0</v>
      </c>
      <c r="U11" s="132">
        <f>IF(SER_hh_emi_in!U11=0,0,1000000*SER_hh_emi_in!U11/SER_hh_num_in!U11)</f>
        <v>0</v>
      </c>
      <c r="V11" s="132">
        <f>IF(SER_hh_emi_in!V11=0,0,1000000*SER_hh_emi_in!V11/SER_hh_num_in!V11)</f>
        <v>0</v>
      </c>
      <c r="W11" s="132">
        <f>IF(SER_hh_emi_in!W11=0,0,1000000*SER_hh_emi_in!W11/SER_hh_num_in!W11)</f>
        <v>0</v>
      </c>
      <c r="X11" s="132">
        <f>IF(SER_hh_emi_in!X11=0,0,1000000*SER_hh_emi_in!X11/SER_hh_num_in!X11)</f>
        <v>0</v>
      </c>
      <c r="Y11" s="132">
        <f>IF(SER_hh_emi_in!Y11=0,0,1000000*SER_hh_emi_in!Y11/SER_hh_num_in!Y11)</f>
        <v>0</v>
      </c>
      <c r="DA11" s="156" t="s">
        <v>794</v>
      </c>
    </row>
    <row r="12" spans="1:105" ht="12" customHeight="1" x14ac:dyDescent="0.25">
      <c r="A12" s="131" t="s">
        <v>162</v>
      </c>
      <c r="B12" s="132"/>
      <c r="C12" s="132">
        <f>IF(SER_hh_emi_in!C12=0,0,1000000*SER_hh_emi_in!C12/SER_hh_num_in!C12)</f>
        <v>0</v>
      </c>
      <c r="D12" s="132">
        <f>IF(SER_hh_emi_in!D12=0,0,1000000*SER_hh_emi_in!D12/SER_hh_num_in!D12)</f>
        <v>0</v>
      </c>
      <c r="E12" s="132">
        <f>IF(SER_hh_emi_in!E12=0,0,1000000*SER_hh_emi_in!E12/SER_hh_num_in!E12)</f>
        <v>0</v>
      </c>
      <c r="F12" s="132">
        <f>IF(SER_hh_emi_in!F12=0,0,1000000*SER_hh_emi_in!F12/SER_hh_num_in!F12)</f>
        <v>0</v>
      </c>
      <c r="G12" s="132">
        <f>IF(SER_hh_emi_in!G12=0,0,1000000*SER_hh_emi_in!G12/SER_hh_num_in!G12)</f>
        <v>0</v>
      </c>
      <c r="H12" s="132">
        <f>IF(SER_hh_emi_in!H12=0,0,1000000*SER_hh_emi_in!H12/SER_hh_num_in!H12)</f>
        <v>0</v>
      </c>
      <c r="I12" s="132">
        <f>IF(SER_hh_emi_in!I12=0,0,1000000*SER_hh_emi_in!I12/SER_hh_num_in!I12)</f>
        <v>0</v>
      </c>
      <c r="J12" s="132">
        <f>IF(SER_hh_emi_in!J12=0,0,1000000*SER_hh_emi_in!J12/SER_hh_num_in!J12)</f>
        <v>0</v>
      </c>
      <c r="K12" s="132">
        <f>IF(SER_hh_emi_in!K12=0,0,1000000*SER_hh_emi_in!K12/SER_hh_num_in!K12)</f>
        <v>0</v>
      </c>
      <c r="L12" s="132">
        <f>IF(SER_hh_emi_in!L12=0,0,1000000*SER_hh_emi_in!L12/SER_hh_num_in!L12)</f>
        <v>0</v>
      </c>
      <c r="M12" s="132">
        <f>IF(SER_hh_emi_in!M12=0,0,1000000*SER_hh_emi_in!M12/SER_hh_num_in!M12)</f>
        <v>0</v>
      </c>
      <c r="N12" s="132">
        <f>IF(SER_hh_emi_in!N12=0,0,1000000*SER_hh_emi_in!N12/SER_hh_num_in!N12)</f>
        <v>0</v>
      </c>
      <c r="O12" s="132">
        <f>IF(SER_hh_emi_in!O12=0,0,1000000*SER_hh_emi_in!O12/SER_hh_num_in!O12)</f>
        <v>0</v>
      </c>
      <c r="P12" s="132">
        <f>IF(SER_hh_emi_in!P12=0,0,1000000*SER_hh_emi_in!P12/SER_hh_num_in!P12)</f>
        <v>0</v>
      </c>
      <c r="Q12" s="132">
        <f>IF(SER_hh_emi_in!Q12=0,0,1000000*SER_hh_emi_in!Q12/SER_hh_num_in!Q12)</f>
        <v>0</v>
      </c>
      <c r="R12" s="132">
        <f>IF(SER_hh_emi_in!R12=0,0,1000000*SER_hh_emi_in!R12/SER_hh_num_in!R12)</f>
        <v>0</v>
      </c>
      <c r="S12" s="132">
        <f>IF(SER_hh_emi_in!S12=0,0,1000000*SER_hh_emi_in!S12/SER_hh_num_in!S12)</f>
        <v>0</v>
      </c>
      <c r="T12" s="132">
        <f>IF(SER_hh_emi_in!T12=0,0,1000000*SER_hh_emi_in!T12/SER_hh_num_in!T12)</f>
        <v>0</v>
      </c>
      <c r="U12" s="132">
        <f>IF(SER_hh_emi_in!U12=0,0,1000000*SER_hh_emi_in!U12/SER_hh_num_in!U12)</f>
        <v>0</v>
      </c>
      <c r="V12" s="132">
        <f>IF(SER_hh_emi_in!V12=0,0,1000000*SER_hh_emi_in!V12/SER_hh_num_in!V12)</f>
        <v>0</v>
      </c>
      <c r="W12" s="132">
        <f>IF(SER_hh_emi_in!W12=0,0,1000000*SER_hh_emi_in!W12/SER_hh_num_in!W12)</f>
        <v>0</v>
      </c>
      <c r="X12" s="132">
        <f>IF(SER_hh_emi_in!X12=0,0,1000000*SER_hh_emi_in!X12/SER_hh_num_in!X12)</f>
        <v>0</v>
      </c>
      <c r="Y12" s="132">
        <f>IF(SER_hh_emi_in!Y12=0,0,1000000*SER_hh_emi_in!Y12/SER_hh_num_in!Y12)</f>
        <v>0</v>
      </c>
      <c r="DA12" s="156" t="s">
        <v>795</v>
      </c>
    </row>
    <row r="13" spans="1:105" ht="12" customHeight="1" x14ac:dyDescent="0.25">
      <c r="A13" s="131" t="s">
        <v>77</v>
      </c>
      <c r="B13" s="132"/>
      <c r="C13" s="132">
        <f>IF(SER_hh_emi_in!C13=0,0,1000000*SER_hh_emi_in!C13/SER_hh_num_in!C13)</f>
        <v>0</v>
      </c>
      <c r="D13" s="132">
        <f>IF(SER_hh_emi_in!D13=0,0,1000000*SER_hh_emi_in!D13/SER_hh_num_in!D13)</f>
        <v>0</v>
      </c>
      <c r="E13" s="132">
        <f>IF(SER_hh_emi_in!E13=0,0,1000000*SER_hh_emi_in!E13/SER_hh_num_in!E13)</f>
        <v>0</v>
      </c>
      <c r="F13" s="132">
        <f>IF(SER_hh_emi_in!F13=0,0,1000000*SER_hh_emi_in!F13/SER_hh_num_in!F13)</f>
        <v>0</v>
      </c>
      <c r="G13" s="132">
        <f>IF(SER_hh_emi_in!G13=0,0,1000000*SER_hh_emi_in!G13/SER_hh_num_in!G13)</f>
        <v>0</v>
      </c>
      <c r="H13" s="132">
        <f>IF(SER_hh_emi_in!H13=0,0,1000000*SER_hh_emi_in!H13/SER_hh_num_in!H13)</f>
        <v>0</v>
      </c>
      <c r="I13" s="132">
        <f>IF(SER_hh_emi_in!I13=0,0,1000000*SER_hh_emi_in!I13/SER_hh_num_in!I13)</f>
        <v>0</v>
      </c>
      <c r="J13" s="132">
        <f>IF(SER_hh_emi_in!J13=0,0,1000000*SER_hh_emi_in!J13/SER_hh_num_in!J13)</f>
        <v>0</v>
      </c>
      <c r="K13" s="132">
        <f>IF(SER_hh_emi_in!K13=0,0,1000000*SER_hh_emi_in!K13/SER_hh_num_in!K13)</f>
        <v>0</v>
      </c>
      <c r="L13" s="132">
        <f>IF(SER_hh_emi_in!L13=0,0,1000000*SER_hh_emi_in!L13/SER_hh_num_in!L13)</f>
        <v>0</v>
      </c>
      <c r="M13" s="132">
        <f>IF(SER_hh_emi_in!M13=0,0,1000000*SER_hh_emi_in!M13/SER_hh_num_in!M13)</f>
        <v>0</v>
      </c>
      <c r="N13" s="132">
        <f>IF(SER_hh_emi_in!N13=0,0,1000000*SER_hh_emi_in!N13/SER_hh_num_in!N13)</f>
        <v>0</v>
      </c>
      <c r="O13" s="132">
        <f>IF(SER_hh_emi_in!O13=0,0,1000000*SER_hh_emi_in!O13/SER_hh_num_in!O13)</f>
        <v>0</v>
      </c>
      <c r="P13" s="132">
        <f>IF(SER_hh_emi_in!P13=0,0,1000000*SER_hh_emi_in!P13/SER_hh_num_in!P13)</f>
        <v>0</v>
      </c>
      <c r="Q13" s="132">
        <f>IF(SER_hh_emi_in!Q13=0,0,1000000*SER_hh_emi_in!Q13/SER_hh_num_in!Q13)</f>
        <v>0</v>
      </c>
      <c r="R13" s="132">
        <f>IF(SER_hh_emi_in!R13=0,0,1000000*SER_hh_emi_in!R13/SER_hh_num_in!R13)</f>
        <v>0</v>
      </c>
      <c r="S13" s="132">
        <f>IF(SER_hh_emi_in!S13=0,0,1000000*SER_hh_emi_in!S13/SER_hh_num_in!S13)</f>
        <v>0</v>
      </c>
      <c r="T13" s="132">
        <f>IF(SER_hh_emi_in!T13=0,0,1000000*SER_hh_emi_in!T13/SER_hh_num_in!T13)</f>
        <v>0</v>
      </c>
      <c r="U13" s="132">
        <f>IF(SER_hh_emi_in!U13=0,0,1000000*SER_hh_emi_in!U13/SER_hh_num_in!U13)</f>
        <v>0</v>
      </c>
      <c r="V13" s="132">
        <f>IF(SER_hh_emi_in!V13=0,0,1000000*SER_hh_emi_in!V13/SER_hh_num_in!V13)</f>
        <v>0</v>
      </c>
      <c r="W13" s="132">
        <f>IF(SER_hh_emi_in!W13=0,0,1000000*SER_hh_emi_in!W13/SER_hh_num_in!W13)</f>
        <v>0</v>
      </c>
      <c r="X13" s="132">
        <f>IF(SER_hh_emi_in!X13=0,0,1000000*SER_hh_emi_in!X13/SER_hh_num_in!X13)</f>
        <v>0</v>
      </c>
      <c r="Y13" s="132">
        <f>IF(SER_hh_emi_in!Y13=0,0,1000000*SER_hh_emi_in!Y13/SER_hh_num_in!Y13)</f>
        <v>0</v>
      </c>
      <c r="DA13" s="156" t="s">
        <v>796</v>
      </c>
    </row>
    <row r="14" spans="1:105" ht="12" customHeight="1" x14ac:dyDescent="0.25">
      <c r="A14" s="60" t="s">
        <v>76</v>
      </c>
      <c r="B14" s="65"/>
      <c r="C14" s="65">
        <f>IF(SER_hh_emi_in!C14=0,0,1000000*SER_hh_emi_in!C14/SER_hh_num_in!C14)</f>
        <v>0</v>
      </c>
      <c r="D14" s="65">
        <f>IF(SER_hh_emi_in!D14=0,0,1000000*SER_hh_emi_in!D14/SER_hh_num_in!D14)</f>
        <v>0</v>
      </c>
      <c r="E14" s="65">
        <f>IF(SER_hh_emi_in!E14=0,0,1000000*SER_hh_emi_in!E14/SER_hh_num_in!E14)</f>
        <v>0</v>
      </c>
      <c r="F14" s="65">
        <f>IF(SER_hh_emi_in!F14=0,0,1000000*SER_hh_emi_in!F14/SER_hh_num_in!F14)</f>
        <v>0</v>
      </c>
      <c r="G14" s="65">
        <f>IF(SER_hh_emi_in!G14=0,0,1000000*SER_hh_emi_in!G14/SER_hh_num_in!G14)</f>
        <v>0</v>
      </c>
      <c r="H14" s="65">
        <f>IF(SER_hh_emi_in!H14=0,0,1000000*SER_hh_emi_in!H14/SER_hh_num_in!H14)</f>
        <v>0</v>
      </c>
      <c r="I14" s="65">
        <f>IF(SER_hh_emi_in!I14=0,0,1000000*SER_hh_emi_in!I14/SER_hh_num_in!I14)</f>
        <v>0</v>
      </c>
      <c r="J14" s="65">
        <f>IF(SER_hh_emi_in!J14=0,0,1000000*SER_hh_emi_in!J14/SER_hh_num_in!J14)</f>
        <v>0</v>
      </c>
      <c r="K14" s="65">
        <f>IF(SER_hh_emi_in!K14=0,0,1000000*SER_hh_emi_in!K14/SER_hh_num_in!K14)</f>
        <v>0</v>
      </c>
      <c r="L14" s="65">
        <f>IF(SER_hh_emi_in!L14=0,0,1000000*SER_hh_emi_in!L14/SER_hh_num_in!L14)</f>
        <v>0</v>
      </c>
      <c r="M14" s="65">
        <f>IF(SER_hh_emi_in!M14=0,0,1000000*SER_hh_emi_in!M14/SER_hh_num_in!M14)</f>
        <v>0</v>
      </c>
      <c r="N14" s="65">
        <f>IF(SER_hh_emi_in!N14=0,0,1000000*SER_hh_emi_in!N14/SER_hh_num_in!N14)</f>
        <v>0</v>
      </c>
      <c r="O14" s="65">
        <f>IF(SER_hh_emi_in!O14=0,0,1000000*SER_hh_emi_in!O14/SER_hh_num_in!O14)</f>
        <v>0</v>
      </c>
      <c r="P14" s="65">
        <f>IF(SER_hh_emi_in!P14=0,0,1000000*SER_hh_emi_in!P14/SER_hh_num_in!P14)</f>
        <v>0</v>
      </c>
      <c r="Q14" s="65">
        <f>IF(SER_hh_emi_in!Q14=0,0,1000000*SER_hh_emi_in!Q14/SER_hh_num_in!Q14)</f>
        <v>0</v>
      </c>
      <c r="R14" s="65">
        <f>IF(SER_hh_emi_in!R14=0,0,1000000*SER_hh_emi_in!R14/SER_hh_num_in!R14)</f>
        <v>0</v>
      </c>
      <c r="S14" s="65">
        <f>IF(SER_hh_emi_in!S14=0,0,1000000*SER_hh_emi_in!S14/SER_hh_num_in!S14)</f>
        <v>0</v>
      </c>
      <c r="T14" s="65">
        <f>IF(SER_hh_emi_in!T14=0,0,1000000*SER_hh_emi_in!T14/SER_hh_num_in!T14)</f>
        <v>0</v>
      </c>
      <c r="U14" s="65">
        <f>IF(SER_hh_emi_in!U14=0,0,1000000*SER_hh_emi_in!U14/SER_hh_num_in!U14)</f>
        <v>0</v>
      </c>
      <c r="V14" s="65">
        <f>IF(SER_hh_emi_in!V14=0,0,1000000*SER_hh_emi_in!V14/SER_hh_num_in!V14)</f>
        <v>0</v>
      </c>
      <c r="W14" s="65">
        <f>IF(SER_hh_emi_in!W14=0,0,1000000*SER_hh_emi_in!W14/SER_hh_num_in!W14)</f>
        <v>0</v>
      </c>
      <c r="X14" s="65">
        <f>IF(SER_hh_emi_in!X14=0,0,1000000*SER_hh_emi_in!X14/SER_hh_num_in!X14)</f>
        <v>0</v>
      </c>
      <c r="Y14" s="65">
        <f>IF(SER_hh_emi_in!Y14=0,0,1000000*SER_hh_emi_in!Y14/SER_hh_num_in!Y14)</f>
        <v>0</v>
      </c>
      <c r="DA14" s="109" t="s">
        <v>797</v>
      </c>
    </row>
    <row r="15" spans="1:105" ht="12" customHeight="1" x14ac:dyDescent="0.25">
      <c r="A15" s="133" t="s">
        <v>80</v>
      </c>
      <c r="B15" s="134"/>
      <c r="C15" s="134">
        <f>IF(SER_hh_emi_in!C15=0,0,1000000*SER_hh_emi_in!C15/SER_hh_num_in!C15)</f>
        <v>0</v>
      </c>
      <c r="D15" s="134">
        <f>IF(SER_hh_emi_in!D15=0,0,1000000*SER_hh_emi_in!D15/SER_hh_num_in!D15)</f>
        <v>0</v>
      </c>
      <c r="E15" s="134">
        <f>IF(SER_hh_emi_in!E15=0,0,1000000*SER_hh_emi_in!E15/SER_hh_num_in!E15)</f>
        <v>0</v>
      </c>
      <c r="F15" s="134">
        <f>IF(SER_hh_emi_in!F15=0,0,1000000*SER_hh_emi_in!F15/SER_hh_num_in!F15)</f>
        <v>0</v>
      </c>
      <c r="G15" s="134">
        <f>IF(SER_hh_emi_in!G15=0,0,1000000*SER_hh_emi_in!G15/SER_hh_num_in!G15)</f>
        <v>0</v>
      </c>
      <c r="H15" s="134">
        <f>IF(SER_hh_emi_in!H15=0,0,1000000*SER_hh_emi_in!H15/SER_hh_num_in!H15)</f>
        <v>0</v>
      </c>
      <c r="I15" s="134">
        <f>IF(SER_hh_emi_in!I15=0,0,1000000*SER_hh_emi_in!I15/SER_hh_num_in!I15)</f>
        <v>0</v>
      </c>
      <c r="J15" s="134">
        <f>IF(SER_hh_emi_in!J15=0,0,1000000*SER_hh_emi_in!J15/SER_hh_num_in!J15)</f>
        <v>0</v>
      </c>
      <c r="K15" s="134">
        <f>IF(SER_hh_emi_in!K15=0,0,1000000*SER_hh_emi_in!K15/SER_hh_num_in!K15)</f>
        <v>0</v>
      </c>
      <c r="L15" s="134">
        <f>IF(SER_hh_emi_in!L15=0,0,1000000*SER_hh_emi_in!L15/SER_hh_num_in!L15)</f>
        <v>0</v>
      </c>
      <c r="M15" s="134">
        <f>IF(SER_hh_emi_in!M15=0,0,1000000*SER_hh_emi_in!M15/SER_hh_num_in!M15)</f>
        <v>0</v>
      </c>
      <c r="N15" s="134">
        <f>IF(SER_hh_emi_in!N15=0,0,1000000*SER_hh_emi_in!N15/SER_hh_num_in!N15)</f>
        <v>0</v>
      </c>
      <c r="O15" s="134">
        <f>IF(SER_hh_emi_in!O15=0,0,1000000*SER_hh_emi_in!O15/SER_hh_num_in!O15)</f>
        <v>0</v>
      </c>
      <c r="P15" s="134">
        <f>IF(SER_hh_emi_in!P15=0,0,1000000*SER_hh_emi_in!P15/SER_hh_num_in!P15)</f>
        <v>0</v>
      </c>
      <c r="Q15" s="134">
        <f>IF(SER_hh_emi_in!Q15=0,0,1000000*SER_hh_emi_in!Q15/SER_hh_num_in!Q15)</f>
        <v>0</v>
      </c>
      <c r="R15" s="134">
        <f>IF(SER_hh_emi_in!R15=0,0,1000000*SER_hh_emi_in!R15/SER_hh_num_in!R15)</f>
        <v>0</v>
      </c>
      <c r="S15" s="134">
        <f>IF(SER_hh_emi_in!S15=0,0,1000000*SER_hh_emi_in!S15/SER_hh_num_in!S15)</f>
        <v>0</v>
      </c>
      <c r="T15" s="134">
        <f>IF(SER_hh_emi_in!T15=0,0,1000000*SER_hh_emi_in!T15/SER_hh_num_in!T15)</f>
        <v>0</v>
      </c>
      <c r="U15" s="134">
        <f>IF(SER_hh_emi_in!U15=0,0,1000000*SER_hh_emi_in!U15/SER_hh_num_in!U15)</f>
        <v>0</v>
      </c>
      <c r="V15" s="134">
        <f>IF(SER_hh_emi_in!V15=0,0,1000000*SER_hh_emi_in!V15/SER_hh_num_in!V15)</f>
        <v>0</v>
      </c>
      <c r="W15" s="134">
        <f>IF(SER_hh_emi_in!W15=0,0,1000000*SER_hh_emi_in!W15/SER_hh_num_in!W15)</f>
        <v>0</v>
      </c>
      <c r="X15" s="134">
        <f>IF(SER_hh_emi_in!X15=0,0,1000000*SER_hh_emi_in!X15/SER_hh_num_in!X15)</f>
        <v>0</v>
      </c>
      <c r="Y15" s="134">
        <f>IF(SER_hh_emi_in!Y15=0,0,1000000*SER_hh_emi_in!Y15/SER_hh_num_in!Y15)</f>
        <v>0</v>
      </c>
      <c r="DA15" s="157" t="s">
        <v>798</v>
      </c>
    </row>
    <row r="16" spans="1:105" ht="12.95" customHeight="1" x14ac:dyDescent="0.25">
      <c r="A16" s="129" t="s">
        <v>74</v>
      </c>
      <c r="B16" s="130"/>
      <c r="C16" s="130">
        <f>IF(SER_hh_emi_in!C16=0,0,1000000*SER_hh_emi_in!C16/SER_hh_num_in!C16)</f>
        <v>0</v>
      </c>
      <c r="D16" s="130">
        <f>IF(SER_hh_emi_in!D16=0,0,1000000*SER_hh_emi_in!D16/SER_hh_num_in!D16)</f>
        <v>0</v>
      </c>
      <c r="E16" s="130">
        <f>IF(SER_hh_emi_in!E16=0,0,1000000*SER_hh_emi_in!E16/SER_hh_num_in!E16)</f>
        <v>0</v>
      </c>
      <c r="F16" s="130">
        <f>IF(SER_hh_emi_in!F16=0,0,1000000*SER_hh_emi_in!F16/SER_hh_num_in!F16)</f>
        <v>0</v>
      </c>
      <c r="G16" s="130">
        <f>IF(SER_hh_emi_in!G16=0,0,1000000*SER_hh_emi_in!G16/SER_hh_num_in!G16)</f>
        <v>0</v>
      </c>
      <c r="H16" s="130">
        <f>IF(SER_hh_emi_in!H16=0,0,1000000*SER_hh_emi_in!H16/SER_hh_num_in!H16)</f>
        <v>0</v>
      </c>
      <c r="I16" s="130">
        <f>IF(SER_hh_emi_in!I16=0,0,1000000*SER_hh_emi_in!I16/SER_hh_num_in!I16)</f>
        <v>0</v>
      </c>
      <c r="J16" s="130">
        <f>IF(SER_hh_emi_in!J16=0,0,1000000*SER_hh_emi_in!J16/SER_hh_num_in!J16)</f>
        <v>0</v>
      </c>
      <c r="K16" s="130">
        <f>IF(SER_hh_emi_in!K16=0,0,1000000*SER_hh_emi_in!K16/SER_hh_num_in!K16)</f>
        <v>0</v>
      </c>
      <c r="L16" s="130">
        <f>IF(SER_hh_emi_in!L16=0,0,1000000*SER_hh_emi_in!L16/SER_hh_num_in!L16)</f>
        <v>0</v>
      </c>
      <c r="M16" s="130">
        <f>IF(SER_hh_emi_in!M16=0,0,1000000*SER_hh_emi_in!M16/SER_hh_num_in!M16)</f>
        <v>0</v>
      </c>
      <c r="N16" s="130">
        <f>IF(SER_hh_emi_in!N16=0,0,1000000*SER_hh_emi_in!N16/SER_hh_num_in!N16)</f>
        <v>0</v>
      </c>
      <c r="O16" s="130">
        <f>IF(SER_hh_emi_in!O16=0,0,1000000*SER_hh_emi_in!O16/SER_hh_num_in!O16)</f>
        <v>0</v>
      </c>
      <c r="P16" s="130">
        <f>IF(SER_hh_emi_in!P16=0,0,1000000*SER_hh_emi_in!P16/SER_hh_num_in!P16)</f>
        <v>0</v>
      </c>
      <c r="Q16" s="130">
        <f>IF(SER_hh_emi_in!Q16=0,0,1000000*SER_hh_emi_in!Q16/SER_hh_num_in!Q16)</f>
        <v>0</v>
      </c>
      <c r="R16" s="130">
        <f>IF(SER_hh_emi_in!R16=0,0,1000000*SER_hh_emi_in!R16/SER_hh_num_in!R16)</f>
        <v>0</v>
      </c>
      <c r="S16" s="130">
        <f>IF(SER_hh_emi_in!S16=0,0,1000000*SER_hh_emi_in!S16/SER_hh_num_in!S16)</f>
        <v>0</v>
      </c>
      <c r="T16" s="130">
        <f>IF(SER_hh_emi_in!T16=0,0,1000000*SER_hh_emi_in!T16/SER_hh_num_in!T16)</f>
        <v>0</v>
      </c>
      <c r="U16" s="130">
        <f>IF(SER_hh_emi_in!U16=0,0,1000000*SER_hh_emi_in!U16/SER_hh_num_in!U16)</f>
        <v>0</v>
      </c>
      <c r="V16" s="130">
        <f>IF(SER_hh_emi_in!V16=0,0,1000000*SER_hh_emi_in!V16/SER_hh_num_in!V16)</f>
        <v>0</v>
      </c>
      <c r="W16" s="130">
        <f>IF(SER_hh_emi_in!W16=0,0,1000000*SER_hh_emi_in!W16/SER_hh_num_in!W16)</f>
        <v>0</v>
      </c>
      <c r="X16" s="130">
        <f>IF(SER_hh_emi_in!X16=0,0,1000000*SER_hh_emi_in!X16/SER_hh_num_in!X16)</f>
        <v>0</v>
      </c>
      <c r="Y16" s="130">
        <f>IF(SER_hh_emi_in!Y16=0,0,1000000*SER_hh_emi_in!Y16/SER_hh_num_in!Y16)</f>
        <v>0</v>
      </c>
      <c r="DA16" s="155" t="s">
        <v>799</v>
      </c>
    </row>
    <row r="17" spans="1:105" ht="12.95" customHeight="1" x14ac:dyDescent="0.25">
      <c r="A17" s="131" t="s">
        <v>73</v>
      </c>
      <c r="B17" s="132"/>
      <c r="C17" s="132">
        <f>IF(SER_hh_emi_in!C17=0,0,1000000*SER_hh_emi_in!C17/SER_hh_num_in!C17)</f>
        <v>0</v>
      </c>
      <c r="D17" s="132">
        <f>IF(SER_hh_emi_in!D17=0,0,1000000*SER_hh_emi_in!D17/SER_hh_num_in!D17)</f>
        <v>0</v>
      </c>
      <c r="E17" s="132">
        <f>IF(SER_hh_emi_in!E17=0,0,1000000*SER_hh_emi_in!E17/SER_hh_num_in!E17)</f>
        <v>0</v>
      </c>
      <c r="F17" s="132">
        <f>IF(SER_hh_emi_in!F17=0,0,1000000*SER_hh_emi_in!F17/SER_hh_num_in!F17)</f>
        <v>0</v>
      </c>
      <c r="G17" s="132">
        <f>IF(SER_hh_emi_in!G17=0,0,1000000*SER_hh_emi_in!G17/SER_hh_num_in!G17)</f>
        <v>0</v>
      </c>
      <c r="H17" s="132">
        <f>IF(SER_hh_emi_in!H17=0,0,1000000*SER_hh_emi_in!H17/SER_hh_num_in!H17)</f>
        <v>0</v>
      </c>
      <c r="I17" s="132">
        <f>IF(SER_hh_emi_in!I17=0,0,1000000*SER_hh_emi_in!I17/SER_hh_num_in!I17)</f>
        <v>0</v>
      </c>
      <c r="J17" s="132">
        <f>IF(SER_hh_emi_in!J17=0,0,1000000*SER_hh_emi_in!J17/SER_hh_num_in!J17)</f>
        <v>0</v>
      </c>
      <c r="K17" s="132">
        <f>IF(SER_hh_emi_in!K17=0,0,1000000*SER_hh_emi_in!K17/SER_hh_num_in!K17)</f>
        <v>0</v>
      </c>
      <c r="L17" s="132">
        <f>IF(SER_hh_emi_in!L17=0,0,1000000*SER_hh_emi_in!L17/SER_hh_num_in!L17)</f>
        <v>0</v>
      </c>
      <c r="M17" s="132">
        <f>IF(SER_hh_emi_in!M17=0,0,1000000*SER_hh_emi_in!M17/SER_hh_num_in!M17)</f>
        <v>0</v>
      </c>
      <c r="N17" s="132">
        <f>IF(SER_hh_emi_in!N17=0,0,1000000*SER_hh_emi_in!N17/SER_hh_num_in!N17)</f>
        <v>0</v>
      </c>
      <c r="O17" s="132">
        <f>IF(SER_hh_emi_in!O17=0,0,1000000*SER_hh_emi_in!O17/SER_hh_num_in!O17)</f>
        <v>0</v>
      </c>
      <c r="P17" s="132">
        <f>IF(SER_hh_emi_in!P17=0,0,1000000*SER_hh_emi_in!P17/SER_hh_num_in!P17)</f>
        <v>0</v>
      </c>
      <c r="Q17" s="132">
        <f>IF(SER_hh_emi_in!Q17=0,0,1000000*SER_hh_emi_in!Q17/SER_hh_num_in!Q17)</f>
        <v>0</v>
      </c>
      <c r="R17" s="132">
        <f>IF(SER_hh_emi_in!R17=0,0,1000000*SER_hh_emi_in!R17/SER_hh_num_in!R17)</f>
        <v>0</v>
      </c>
      <c r="S17" s="132">
        <f>IF(SER_hh_emi_in!S17=0,0,1000000*SER_hh_emi_in!S17/SER_hh_num_in!S17)</f>
        <v>0</v>
      </c>
      <c r="T17" s="132">
        <f>IF(SER_hh_emi_in!T17=0,0,1000000*SER_hh_emi_in!T17/SER_hh_num_in!T17)</f>
        <v>0</v>
      </c>
      <c r="U17" s="132">
        <f>IF(SER_hh_emi_in!U17=0,0,1000000*SER_hh_emi_in!U17/SER_hh_num_in!U17)</f>
        <v>0</v>
      </c>
      <c r="V17" s="132">
        <f>IF(SER_hh_emi_in!V17=0,0,1000000*SER_hh_emi_in!V17/SER_hh_num_in!V17)</f>
        <v>0</v>
      </c>
      <c r="W17" s="132">
        <f>IF(SER_hh_emi_in!W17=0,0,1000000*SER_hh_emi_in!W17/SER_hh_num_in!W17)</f>
        <v>0</v>
      </c>
      <c r="X17" s="132">
        <f>IF(SER_hh_emi_in!X17=0,0,1000000*SER_hh_emi_in!X17/SER_hh_num_in!X17)</f>
        <v>0</v>
      </c>
      <c r="Y17" s="132">
        <f>IF(SER_hh_emi_in!Y17=0,0,1000000*SER_hh_emi_in!Y17/SER_hh_num_in!Y17)</f>
        <v>0</v>
      </c>
      <c r="DA17" s="156" t="s">
        <v>800</v>
      </c>
    </row>
    <row r="18" spans="1:105" ht="12" customHeight="1" x14ac:dyDescent="0.25">
      <c r="A18" s="131" t="s">
        <v>72</v>
      </c>
      <c r="B18" s="132"/>
      <c r="C18" s="132">
        <f>IF(SER_hh_emi_in!C18=0,0,1000000*SER_hh_emi_in!C18/SER_hh_num_in!C18)</f>
        <v>0</v>
      </c>
      <c r="D18" s="132">
        <f>IF(SER_hh_emi_in!D18=0,0,1000000*SER_hh_emi_in!D18/SER_hh_num_in!D18)</f>
        <v>0</v>
      </c>
      <c r="E18" s="132">
        <f>IF(SER_hh_emi_in!E18=0,0,1000000*SER_hh_emi_in!E18/SER_hh_num_in!E18)</f>
        <v>0</v>
      </c>
      <c r="F18" s="132">
        <f>IF(SER_hh_emi_in!F18=0,0,1000000*SER_hh_emi_in!F18/SER_hh_num_in!F18)</f>
        <v>0</v>
      </c>
      <c r="G18" s="132">
        <f>IF(SER_hh_emi_in!G18=0,0,1000000*SER_hh_emi_in!G18/SER_hh_num_in!G18)</f>
        <v>0</v>
      </c>
      <c r="H18" s="132">
        <f>IF(SER_hh_emi_in!H18=0,0,1000000*SER_hh_emi_in!H18/SER_hh_num_in!H18)</f>
        <v>0</v>
      </c>
      <c r="I18" s="132">
        <f>IF(SER_hh_emi_in!I18=0,0,1000000*SER_hh_emi_in!I18/SER_hh_num_in!I18)</f>
        <v>0</v>
      </c>
      <c r="J18" s="132">
        <f>IF(SER_hh_emi_in!J18=0,0,1000000*SER_hh_emi_in!J18/SER_hh_num_in!J18)</f>
        <v>0</v>
      </c>
      <c r="K18" s="132">
        <f>IF(SER_hh_emi_in!K18=0,0,1000000*SER_hh_emi_in!K18/SER_hh_num_in!K18)</f>
        <v>0</v>
      </c>
      <c r="L18" s="132">
        <f>IF(SER_hh_emi_in!L18=0,0,1000000*SER_hh_emi_in!L18/SER_hh_num_in!L18)</f>
        <v>0</v>
      </c>
      <c r="M18" s="132">
        <f>IF(SER_hh_emi_in!M18=0,0,1000000*SER_hh_emi_in!M18/SER_hh_num_in!M18)</f>
        <v>0</v>
      </c>
      <c r="N18" s="132">
        <f>IF(SER_hh_emi_in!N18=0,0,1000000*SER_hh_emi_in!N18/SER_hh_num_in!N18)</f>
        <v>0</v>
      </c>
      <c r="O18" s="132">
        <f>IF(SER_hh_emi_in!O18=0,0,1000000*SER_hh_emi_in!O18/SER_hh_num_in!O18)</f>
        <v>0</v>
      </c>
      <c r="P18" s="132">
        <f>IF(SER_hh_emi_in!P18=0,0,1000000*SER_hh_emi_in!P18/SER_hh_num_in!P18)</f>
        <v>0</v>
      </c>
      <c r="Q18" s="132">
        <f>IF(SER_hh_emi_in!Q18=0,0,1000000*SER_hh_emi_in!Q18/SER_hh_num_in!Q18)</f>
        <v>0</v>
      </c>
      <c r="R18" s="132">
        <f>IF(SER_hh_emi_in!R18=0,0,1000000*SER_hh_emi_in!R18/SER_hh_num_in!R18)</f>
        <v>0</v>
      </c>
      <c r="S18" s="132">
        <f>IF(SER_hh_emi_in!S18=0,0,1000000*SER_hh_emi_in!S18/SER_hh_num_in!S18)</f>
        <v>0</v>
      </c>
      <c r="T18" s="132">
        <f>IF(SER_hh_emi_in!T18=0,0,1000000*SER_hh_emi_in!T18/SER_hh_num_in!T18)</f>
        <v>0</v>
      </c>
      <c r="U18" s="132">
        <f>IF(SER_hh_emi_in!U18=0,0,1000000*SER_hh_emi_in!U18/SER_hh_num_in!U18)</f>
        <v>0</v>
      </c>
      <c r="V18" s="132">
        <f>IF(SER_hh_emi_in!V18=0,0,1000000*SER_hh_emi_in!V18/SER_hh_num_in!V18)</f>
        <v>0</v>
      </c>
      <c r="W18" s="132">
        <f>IF(SER_hh_emi_in!W18=0,0,1000000*SER_hh_emi_in!W18/SER_hh_num_in!W18)</f>
        <v>0</v>
      </c>
      <c r="X18" s="132">
        <f>IF(SER_hh_emi_in!X18=0,0,1000000*SER_hh_emi_in!X18/SER_hh_num_in!X18)</f>
        <v>0</v>
      </c>
      <c r="Y18" s="132">
        <f>IF(SER_hh_emi_in!Y18=0,0,1000000*SER_hh_emi_in!Y18/SER_hh_num_in!Y18)</f>
        <v>0</v>
      </c>
      <c r="DA18" s="156" t="s">
        <v>801</v>
      </c>
    </row>
    <row r="19" spans="1:105" ht="12.95" customHeight="1" x14ac:dyDescent="0.25">
      <c r="A19" s="129" t="s">
        <v>35</v>
      </c>
      <c r="B19" s="130"/>
      <c r="C19" s="130">
        <f>IF(SER_hh_emi_in!C19=0,0,1000000*SER_hh_emi_in!C19/SER_hh_num_in!C19)</f>
        <v>1969.0185017547901</v>
      </c>
      <c r="D19" s="130">
        <f>IF(SER_hh_emi_in!D19=0,0,1000000*SER_hh_emi_in!D19/SER_hh_num_in!D19)</f>
        <v>5014.9837972974174</v>
      </c>
      <c r="E19" s="130">
        <f>IF(SER_hh_emi_in!E19=0,0,1000000*SER_hh_emi_in!E19/SER_hh_num_in!E19)</f>
        <v>3233.2794355903493</v>
      </c>
      <c r="F19" s="130">
        <f>IF(SER_hh_emi_in!F19=0,0,1000000*SER_hh_emi_in!F19/SER_hh_num_in!F19)</f>
        <v>9191.4303114908489</v>
      </c>
      <c r="G19" s="130">
        <f>IF(SER_hh_emi_in!G19=0,0,1000000*SER_hh_emi_in!G19/SER_hh_num_in!G19)</f>
        <v>5277.8666852202923</v>
      </c>
      <c r="H19" s="130">
        <f>IF(SER_hh_emi_in!H19=0,0,1000000*SER_hh_emi_in!H19/SER_hh_num_in!H19)</f>
        <v>5231.9285293026305</v>
      </c>
      <c r="I19" s="130">
        <f>IF(SER_hh_emi_in!I19=0,0,1000000*SER_hh_emi_in!I19/SER_hh_num_in!I19)</f>
        <v>83.787685107397053</v>
      </c>
      <c r="J19" s="130">
        <f>IF(SER_hh_emi_in!J19=0,0,1000000*SER_hh_emi_in!J19/SER_hh_num_in!J19)</f>
        <v>2644.1234847698001</v>
      </c>
      <c r="K19" s="130">
        <f>IF(SER_hh_emi_in!K19=0,0,1000000*SER_hh_emi_in!K19/SER_hh_num_in!K19)</f>
        <v>5841.3871124700872</v>
      </c>
      <c r="L19" s="130">
        <f>IF(SER_hh_emi_in!L19=0,0,1000000*SER_hh_emi_in!L19/SER_hh_num_in!L19)</f>
        <v>5532.5514039054642</v>
      </c>
      <c r="M19" s="130">
        <f>IF(SER_hh_emi_in!M19=0,0,1000000*SER_hh_emi_in!M19/SER_hh_num_in!M19)</f>
        <v>3335.860362125512</v>
      </c>
      <c r="N19" s="130">
        <f>IF(SER_hh_emi_in!N19=0,0,1000000*SER_hh_emi_in!N19/SER_hh_num_in!N19)</f>
        <v>3682.3765520398301</v>
      </c>
      <c r="O19" s="130">
        <f>IF(SER_hh_emi_in!O19=0,0,1000000*SER_hh_emi_in!O19/SER_hh_num_in!O19)</f>
        <v>6036.9740255039414</v>
      </c>
      <c r="P19" s="130">
        <f>IF(SER_hh_emi_in!P19=0,0,1000000*SER_hh_emi_in!P19/SER_hh_num_in!P19)</f>
        <v>7129.4087384107925</v>
      </c>
      <c r="Q19" s="130">
        <f>IF(SER_hh_emi_in!Q19=0,0,1000000*SER_hh_emi_in!Q19/SER_hh_num_in!Q19)</f>
        <v>7292.031161761628</v>
      </c>
      <c r="R19" s="130">
        <f>IF(SER_hh_emi_in!R19=0,0,1000000*SER_hh_emi_in!R19/SER_hh_num_in!R19)</f>
        <v>7006.595696802985</v>
      </c>
      <c r="S19" s="130">
        <f>IF(SER_hh_emi_in!S19=0,0,1000000*SER_hh_emi_in!S19/SER_hh_num_in!S19)</f>
        <v>7825.6157753483949</v>
      </c>
      <c r="T19" s="130">
        <f>IF(SER_hh_emi_in!T19=0,0,1000000*SER_hh_emi_in!T19/SER_hh_num_in!T19)</f>
        <v>6964.0177603108441</v>
      </c>
      <c r="U19" s="130">
        <f>IF(SER_hh_emi_in!U19=0,0,1000000*SER_hh_emi_in!U19/SER_hh_num_in!U19)</f>
        <v>5655.6515967972709</v>
      </c>
      <c r="V19" s="130">
        <f>IF(SER_hh_emi_in!V19=0,0,1000000*SER_hh_emi_in!V19/SER_hh_num_in!V19)</f>
        <v>4780.3870454400867</v>
      </c>
      <c r="W19" s="130">
        <f>IF(SER_hh_emi_in!W19=0,0,1000000*SER_hh_emi_in!W19/SER_hh_num_in!W19)</f>
        <v>5166.2031762080069</v>
      </c>
      <c r="X19" s="130">
        <f>IF(SER_hh_emi_in!X19=0,0,1000000*SER_hh_emi_in!X19/SER_hh_num_in!X19)</f>
        <v>2148.0411164315351</v>
      </c>
      <c r="Y19" s="130">
        <f>IF(SER_hh_emi_in!Y19=0,0,1000000*SER_hh_emi_in!Y19/SER_hh_num_in!Y19)</f>
        <v>1685.4848440273392</v>
      </c>
      <c r="DA19" s="155" t="s">
        <v>802</v>
      </c>
    </row>
    <row r="20" spans="1:105" ht="12" customHeight="1" x14ac:dyDescent="0.25">
      <c r="A20" s="131" t="s">
        <v>29</v>
      </c>
      <c r="B20" s="132"/>
      <c r="C20" s="132">
        <f>IF(SER_hh_emi_in!C20=0,0,1000000*SER_hh_emi_in!C20/SER_hh_num_in!C20)</f>
        <v>0</v>
      </c>
      <c r="D20" s="132">
        <f>IF(SER_hh_emi_in!D20=0,0,1000000*SER_hh_emi_in!D20/SER_hh_num_in!D20)</f>
        <v>0</v>
      </c>
      <c r="E20" s="132">
        <f>IF(SER_hh_emi_in!E20=0,0,1000000*SER_hh_emi_in!E20/SER_hh_num_in!E20)</f>
        <v>0</v>
      </c>
      <c r="F20" s="132">
        <f>IF(SER_hh_emi_in!F20=0,0,1000000*SER_hh_emi_in!F20/SER_hh_num_in!F20)</f>
        <v>0</v>
      </c>
      <c r="G20" s="132">
        <f>IF(SER_hh_emi_in!G20=0,0,1000000*SER_hh_emi_in!G20/SER_hh_num_in!G20)</f>
        <v>0</v>
      </c>
      <c r="H20" s="132">
        <f>IF(SER_hh_emi_in!H20=0,0,1000000*SER_hh_emi_in!H20/SER_hh_num_in!H20)</f>
        <v>0</v>
      </c>
      <c r="I20" s="132">
        <f>IF(SER_hh_emi_in!I20=0,0,1000000*SER_hh_emi_in!I20/SER_hh_num_in!I20)</f>
        <v>0</v>
      </c>
      <c r="J20" s="132">
        <f>IF(SER_hh_emi_in!J20=0,0,1000000*SER_hh_emi_in!J20/SER_hh_num_in!J20)</f>
        <v>0</v>
      </c>
      <c r="K20" s="132">
        <f>IF(SER_hh_emi_in!K20=0,0,1000000*SER_hh_emi_in!K20/SER_hh_num_in!K20)</f>
        <v>0</v>
      </c>
      <c r="L20" s="132">
        <f>IF(SER_hh_emi_in!L20=0,0,1000000*SER_hh_emi_in!L20/SER_hh_num_in!L20)</f>
        <v>0</v>
      </c>
      <c r="M20" s="132">
        <f>IF(SER_hh_emi_in!M20=0,0,1000000*SER_hh_emi_in!M20/SER_hh_num_in!M20)</f>
        <v>0</v>
      </c>
      <c r="N20" s="132">
        <f>IF(SER_hh_emi_in!N20=0,0,1000000*SER_hh_emi_in!N20/SER_hh_num_in!N20)</f>
        <v>0</v>
      </c>
      <c r="O20" s="132">
        <f>IF(SER_hh_emi_in!O20=0,0,1000000*SER_hh_emi_in!O20/SER_hh_num_in!O20)</f>
        <v>0</v>
      </c>
      <c r="P20" s="132">
        <f>IF(SER_hh_emi_in!P20=0,0,1000000*SER_hh_emi_in!P20/SER_hh_num_in!P20)</f>
        <v>0</v>
      </c>
      <c r="Q20" s="132">
        <f>IF(SER_hh_emi_in!Q20=0,0,1000000*SER_hh_emi_in!Q20/SER_hh_num_in!Q20)</f>
        <v>0</v>
      </c>
      <c r="R20" s="132">
        <f>IF(SER_hh_emi_in!R20=0,0,1000000*SER_hh_emi_in!R20/SER_hh_num_in!R20)</f>
        <v>0</v>
      </c>
      <c r="S20" s="132">
        <f>IF(SER_hh_emi_in!S20=0,0,1000000*SER_hh_emi_in!S20/SER_hh_num_in!S20)</f>
        <v>0</v>
      </c>
      <c r="T20" s="132">
        <f>IF(SER_hh_emi_in!T20=0,0,1000000*SER_hh_emi_in!T20/SER_hh_num_in!T20)</f>
        <v>0</v>
      </c>
      <c r="U20" s="132">
        <f>IF(SER_hh_emi_in!U20=0,0,1000000*SER_hh_emi_in!U20/SER_hh_num_in!U20)</f>
        <v>0</v>
      </c>
      <c r="V20" s="132">
        <f>IF(SER_hh_emi_in!V20=0,0,1000000*SER_hh_emi_in!V20/SER_hh_num_in!V20)</f>
        <v>0</v>
      </c>
      <c r="W20" s="132">
        <f>IF(SER_hh_emi_in!W20=0,0,1000000*SER_hh_emi_in!W20/SER_hh_num_in!W20)</f>
        <v>0</v>
      </c>
      <c r="X20" s="132">
        <f>IF(SER_hh_emi_in!X20=0,0,1000000*SER_hh_emi_in!X20/SER_hh_num_in!X20)</f>
        <v>0</v>
      </c>
      <c r="Y20" s="132">
        <f>IF(SER_hh_emi_in!Y20=0,0,1000000*SER_hh_emi_in!Y20/SER_hh_num_in!Y20)</f>
        <v>0</v>
      </c>
      <c r="DA20" s="156" t="s">
        <v>803</v>
      </c>
    </row>
    <row r="21" spans="1:105" s="2" customFormat="1" ht="12" customHeight="1" x14ac:dyDescent="0.25">
      <c r="A21" s="131" t="s">
        <v>52</v>
      </c>
      <c r="B21" s="132"/>
      <c r="C21" s="132">
        <f>IF(SER_hh_emi_in!C21=0,0,1000000*SER_hh_emi_in!C21/SER_hh_num_in!C21)</f>
        <v>0</v>
      </c>
      <c r="D21" s="132">
        <f>IF(SER_hh_emi_in!D21=0,0,1000000*SER_hh_emi_in!D21/SER_hh_num_in!D21)</f>
        <v>0</v>
      </c>
      <c r="E21" s="132">
        <f>IF(SER_hh_emi_in!E21=0,0,1000000*SER_hh_emi_in!E21/SER_hh_num_in!E21)</f>
        <v>0</v>
      </c>
      <c r="F21" s="132">
        <f>IF(SER_hh_emi_in!F21=0,0,1000000*SER_hh_emi_in!F21/SER_hh_num_in!F21)</f>
        <v>0</v>
      </c>
      <c r="G21" s="132">
        <f>IF(SER_hh_emi_in!G21=0,0,1000000*SER_hh_emi_in!G21/SER_hh_num_in!G21)</f>
        <v>0</v>
      </c>
      <c r="H21" s="132">
        <f>IF(SER_hh_emi_in!H21=0,0,1000000*SER_hh_emi_in!H21/SER_hh_num_in!H21)</f>
        <v>0</v>
      </c>
      <c r="I21" s="132">
        <f>IF(SER_hh_emi_in!I21=0,0,1000000*SER_hh_emi_in!I21/SER_hh_num_in!I21)</f>
        <v>0</v>
      </c>
      <c r="J21" s="132">
        <f>IF(SER_hh_emi_in!J21=0,0,1000000*SER_hh_emi_in!J21/SER_hh_num_in!J21)</f>
        <v>0</v>
      </c>
      <c r="K21" s="132">
        <f>IF(SER_hh_emi_in!K21=0,0,1000000*SER_hh_emi_in!K21/SER_hh_num_in!K21)</f>
        <v>0</v>
      </c>
      <c r="L21" s="132">
        <f>IF(SER_hh_emi_in!L21=0,0,1000000*SER_hh_emi_in!L21/SER_hh_num_in!L21)</f>
        <v>0</v>
      </c>
      <c r="M21" s="132">
        <f>IF(SER_hh_emi_in!M21=0,0,1000000*SER_hh_emi_in!M21/SER_hh_num_in!M21)</f>
        <v>0</v>
      </c>
      <c r="N21" s="132">
        <f>IF(SER_hh_emi_in!N21=0,0,1000000*SER_hh_emi_in!N21/SER_hh_num_in!N21)</f>
        <v>0</v>
      </c>
      <c r="O21" s="132">
        <f>IF(SER_hh_emi_in!O21=0,0,1000000*SER_hh_emi_in!O21/SER_hh_num_in!O21)</f>
        <v>0</v>
      </c>
      <c r="P21" s="132">
        <f>IF(SER_hh_emi_in!P21=0,0,1000000*SER_hh_emi_in!P21/SER_hh_num_in!P21)</f>
        <v>0</v>
      </c>
      <c r="Q21" s="132">
        <f>IF(SER_hh_emi_in!Q21=0,0,1000000*SER_hh_emi_in!Q21/SER_hh_num_in!Q21)</f>
        <v>0</v>
      </c>
      <c r="R21" s="132">
        <f>IF(SER_hh_emi_in!R21=0,0,1000000*SER_hh_emi_in!R21/SER_hh_num_in!R21)</f>
        <v>0</v>
      </c>
      <c r="S21" s="132">
        <f>IF(SER_hh_emi_in!S21=0,0,1000000*SER_hh_emi_in!S21/SER_hh_num_in!S21)</f>
        <v>0</v>
      </c>
      <c r="T21" s="132">
        <f>IF(SER_hh_emi_in!T21=0,0,1000000*SER_hh_emi_in!T21/SER_hh_num_in!T21)</f>
        <v>0</v>
      </c>
      <c r="U21" s="132">
        <f>IF(SER_hh_emi_in!U21=0,0,1000000*SER_hh_emi_in!U21/SER_hh_num_in!U21)</f>
        <v>0</v>
      </c>
      <c r="V21" s="132">
        <f>IF(SER_hh_emi_in!V21=0,0,1000000*SER_hh_emi_in!V21/SER_hh_num_in!V21)</f>
        <v>0</v>
      </c>
      <c r="W21" s="132">
        <f>IF(SER_hh_emi_in!W21=0,0,1000000*SER_hh_emi_in!W21/SER_hh_num_in!W21)</f>
        <v>0</v>
      </c>
      <c r="X21" s="132">
        <f>IF(SER_hh_emi_in!X21=0,0,1000000*SER_hh_emi_in!X21/SER_hh_num_in!X21)</f>
        <v>0</v>
      </c>
      <c r="Y21" s="132">
        <f>IF(SER_hh_emi_in!Y21=0,0,1000000*SER_hh_emi_in!Y21/SER_hh_num_in!Y21)</f>
        <v>0</v>
      </c>
      <c r="DA21" s="156" t="s">
        <v>804</v>
      </c>
    </row>
    <row r="22" spans="1:105" ht="12" customHeight="1" x14ac:dyDescent="0.25">
      <c r="A22" s="131" t="s">
        <v>161</v>
      </c>
      <c r="B22" s="132"/>
      <c r="C22" s="132">
        <f>IF(SER_hh_emi_in!C22=0,0,1000000*SER_hh_emi_in!C22/SER_hh_num_in!C22)</f>
        <v>2832.6292933741179</v>
      </c>
      <c r="D22" s="132">
        <f>IF(SER_hh_emi_in!D22=0,0,1000000*SER_hh_emi_in!D22/SER_hh_num_in!D22)</f>
        <v>8759.8368742696548</v>
      </c>
      <c r="E22" s="132">
        <f>IF(SER_hh_emi_in!E22=0,0,1000000*SER_hh_emi_in!E22/SER_hh_num_in!E22)</f>
        <v>12132.101547076247</v>
      </c>
      <c r="F22" s="132">
        <f>IF(SER_hh_emi_in!F22=0,0,1000000*SER_hh_emi_in!F22/SER_hh_num_in!F22)</f>
        <v>13908.888584857339</v>
      </c>
      <c r="G22" s="132">
        <f>IF(SER_hh_emi_in!G22=0,0,1000000*SER_hh_emi_in!G22/SER_hh_num_in!G22)</f>
        <v>0</v>
      </c>
      <c r="H22" s="132">
        <f>IF(SER_hh_emi_in!H22=0,0,1000000*SER_hh_emi_in!H22/SER_hh_num_in!H22)</f>
        <v>0</v>
      </c>
      <c r="I22" s="132">
        <f>IF(SER_hh_emi_in!I22=0,0,1000000*SER_hh_emi_in!I22/SER_hh_num_in!I22)</f>
        <v>0</v>
      </c>
      <c r="J22" s="132">
        <f>IF(SER_hh_emi_in!J22=0,0,1000000*SER_hh_emi_in!J22/SER_hh_num_in!J22)</f>
        <v>0</v>
      </c>
      <c r="K22" s="132">
        <f>IF(SER_hh_emi_in!K22=0,0,1000000*SER_hh_emi_in!K22/SER_hh_num_in!K22)</f>
        <v>0</v>
      </c>
      <c r="L22" s="132">
        <f>IF(SER_hh_emi_in!L22=0,0,1000000*SER_hh_emi_in!L22/SER_hh_num_in!L22)</f>
        <v>12815.18255598287</v>
      </c>
      <c r="M22" s="132">
        <f>IF(SER_hh_emi_in!M22=0,0,1000000*SER_hh_emi_in!M22/SER_hh_num_in!M22)</f>
        <v>11705.693244830665</v>
      </c>
      <c r="N22" s="132">
        <f>IF(SER_hh_emi_in!N22=0,0,1000000*SER_hh_emi_in!N22/SER_hh_num_in!N22)</f>
        <v>12323.530775507235</v>
      </c>
      <c r="O22" s="132">
        <f>IF(SER_hh_emi_in!O22=0,0,1000000*SER_hh_emi_in!O22/SER_hh_num_in!O22)</f>
        <v>13667.028482490201</v>
      </c>
      <c r="P22" s="132">
        <f>IF(SER_hh_emi_in!P22=0,0,1000000*SER_hh_emi_in!P22/SER_hh_num_in!P22)</f>
        <v>12218.571209652229</v>
      </c>
      <c r="Q22" s="132">
        <f>IF(SER_hh_emi_in!Q22=0,0,1000000*SER_hh_emi_in!Q22/SER_hh_num_in!Q22)</f>
        <v>11590.36127718014</v>
      </c>
      <c r="R22" s="132">
        <f>IF(SER_hh_emi_in!R22=0,0,1000000*SER_hh_emi_in!R22/SER_hh_num_in!R22)</f>
        <v>9570.8581782719302</v>
      </c>
      <c r="S22" s="132">
        <f>IF(SER_hh_emi_in!S22=0,0,1000000*SER_hh_emi_in!S22/SER_hh_num_in!S22)</f>
        <v>11126.110038981726</v>
      </c>
      <c r="T22" s="132">
        <f>IF(SER_hh_emi_in!T22=0,0,1000000*SER_hh_emi_in!T22/SER_hh_num_in!T22)</f>
        <v>10926.421901700847</v>
      </c>
      <c r="U22" s="132">
        <f>IF(SER_hh_emi_in!U22=0,0,1000000*SER_hh_emi_in!U22/SER_hh_num_in!U22)</f>
        <v>9147.4557928435243</v>
      </c>
      <c r="V22" s="132">
        <f>IF(SER_hh_emi_in!V22=0,0,1000000*SER_hh_emi_in!V22/SER_hh_num_in!V22)</f>
        <v>8119.882707447854</v>
      </c>
      <c r="W22" s="132">
        <f>IF(SER_hh_emi_in!W22=0,0,1000000*SER_hh_emi_in!W22/SER_hh_num_in!W22)</f>
        <v>10558.140441690048</v>
      </c>
      <c r="X22" s="132">
        <f>IF(SER_hh_emi_in!X22=0,0,1000000*SER_hh_emi_in!X22/SER_hh_num_in!X22)</f>
        <v>9889.59177337654</v>
      </c>
      <c r="Y22" s="132">
        <f>IF(SER_hh_emi_in!Y22=0,0,1000000*SER_hh_emi_in!Y22/SER_hh_num_in!Y22)</f>
        <v>9901.6769129895692</v>
      </c>
      <c r="DA22" s="156" t="s">
        <v>805</v>
      </c>
    </row>
    <row r="23" spans="1:105" ht="12" customHeight="1" x14ac:dyDescent="0.25">
      <c r="A23" s="131" t="s">
        <v>149</v>
      </c>
      <c r="B23" s="132"/>
      <c r="C23" s="132">
        <f>IF(SER_hh_emi_in!C23=0,0,1000000*SER_hh_emi_in!C23/SER_hh_num_in!C23)</f>
        <v>6435.4886024939678</v>
      </c>
      <c r="D23" s="132">
        <f>IF(SER_hh_emi_in!D23=0,0,1000000*SER_hh_emi_in!D23/SER_hh_num_in!D23)</f>
        <v>3706.4159365723094</v>
      </c>
      <c r="E23" s="132">
        <f>IF(SER_hh_emi_in!E23=0,0,1000000*SER_hh_emi_in!E23/SER_hh_num_in!E23)</f>
        <v>7323.4588438079309</v>
      </c>
      <c r="F23" s="132">
        <f>IF(SER_hh_emi_in!F23=0,0,1000000*SER_hh_emi_in!F23/SER_hh_num_in!F23)</f>
        <v>11093.697805443355</v>
      </c>
      <c r="G23" s="132">
        <f>IF(SER_hh_emi_in!G23=0,0,1000000*SER_hh_emi_in!G23/SER_hh_num_in!G23)</f>
        <v>9454.9864241544892</v>
      </c>
      <c r="H23" s="132">
        <f>IF(SER_hh_emi_in!H23=0,0,1000000*SER_hh_emi_in!H23/SER_hh_num_in!H23)</f>
        <v>10852.161512317971</v>
      </c>
      <c r="I23" s="132">
        <f>IF(SER_hh_emi_in!I23=0,0,1000000*SER_hh_emi_in!I23/SER_hh_num_in!I23)</f>
        <v>9071.2589891690004</v>
      </c>
      <c r="J23" s="132">
        <f>IF(SER_hh_emi_in!J23=0,0,1000000*SER_hh_emi_in!J23/SER_hh_num_in!J23)</f>
        <v>7894.5394836186388</v>
      </c>
      <c r="K23" s="132">
        <f>IF(SER_hh_emi_in!K23=0,0,1000000*SER_hh_emi_in!K23/SER_hh_num_in!K23)</f>
        <v>10537.219229250146</v>
      </c>
      <c r="L23" s="132">
        <f>IF(SER_hh_emi_in!L23=0,0,1000000*SER_hh_emi_in!L23/SER_hh_num_in!L23)</f>
        <v>9698.4079426972385</v>
      </c>
      <c r="M23" s="132">
        <f>IF(SER_hh_emi_in!M23=0,0,1000000*SER_hh_emi_in!M23/SER_hh_num_in!M23)</f>
        <v>8678.9299521722278</v>
      </c>
      <c r="N23" s="132">
        <f>IF(SER_hh_emi_in!N23=0,0,1000000*SER_hh_emi_in!N23/SER_hh_num_in!N23)</f>
        <v>8487.9127275250794</v>
      </c>
      <c r="O23" s="132">
        <f>IF(SER_hh_emi_in!O23=0,0,1000000*SER_hh_emi_in!O23/SER_hh_num_in!O23)</f>
        <v>8261.9432248609137</v>
      </c>
      <c r="P23" s="132">
        <f>IF(SER_hh_emi_in!P23=0,0,1000000*SER_hh_emi_in!P23/SER_hh_num_in!P23)</f>
        <v>8104.4105086599029</v>
      </c>
      <c r="Q23" s="132">
        <f>IF(SER_hh_emi_in!Q23=0,0,1000000*SER_hh_emi_in!Q23/SER_hh_num_in!Q23)</f>
        <v>7876.4735120205241</v>
      </c>
      <c r="R23" s="132">
        <f>IF(SER_hh_emi_in!R23=0,0,1000000*SER_hh_emi_in!R23/SER_hh_num_in!R23)</f>
        <v>7861.9863682955884</v>
      </c>
      <c r="S23" s="132">
        <f>IF(SER_hh_emi_in!S23=0,0,1000000*SER_hh_emi_in!S23/SER_hh_num_in!S23)</f>
        <v>7778.1775940796933</v>
      </c>
      <c r="T23" s="132">
        <f>IF(SER_hh_emi_in!T23=0,0,1000000*SER_hh_emi_in!T23/SER_hh_num_in!T23)</f>
        <v>7156.8505397464769</v>
      </c>
      <c r="U23" s="132">
        <f>IF(SER_hh_emi_in!U23=0,0,1000000*SER_hh_emi_in!U23/SER_hh_num_in!U23)</f>
        <v>6989.6055731553661</v>
      </c>
      <c r="V23" s="132">
        <f>IF(SER_hh_emi_in!V23=0,0,1000000*SER_hh_emi_in!V23/SER_hh_num_in!V23)</f>
        <v>6702.9045354064547</v>
      </c>
      <c r="W23" s="132">
        <f>IF(SER_hh_emi_in!W23=0,0,1000000*SER_hh_emi_in!W23/SER_hh_num_in!W23)</f>
        <v>6154.7898819870716</v>
      </c>
      <c r="X23" s="132">
        <f>IF(SER_hh_emi_in!X23=0,0,1000000*SER_hh_emi_in!X23/SER_hh_num_in!X23)</f>
        <v>0</v>
      </c>
      <c r="Y23" s="132">
        <f>IF(SER_hh_emi_in!Y23=0,0,1000000*SER_hh_emi_in!Y23/SER_hh_num_in!Y23)</f>
        <v>0</v>
      </c>
      <c r="DA23" s="156" t="s">
        <v>806</v>
      </c>
    </row>
    <row r="24" spans="1:105" ht="12" customHeight="1" x14ac:dyDescent="0.25">
      <c r="A24" s="131" t="s">
        <v>128</v>
      </c>
      <c r="B24" s="132"/>
      <c r="C24" s="132">
        <f>IF(SER_hh_emi_in!C24=0,0,1000000*SER_hh_emi_in!C24/SER_hh_num_in!C24)</f>
        <v>0</v>
      </c>
      <c r="D24" s="132">
        <f>IF(SER_hh_emi_in!D24=0,0,1000000*SER_hh_emi_in!D24/SER_hh_num_in!D24)</f>
        <v>0</v>
      </c>
      <c r="E24" s="132">
        <f>IF(SER_hh_emi_in!E24=0,0,1000000*SER_hh_emi_in!E24/SER_hh_num_in!E24)</f>
        <v>37.830235162538791</v>
      </c>
      <c r="F24" s="132">
        <f>IF(SER_hh_emi_in!F24=0,0,1000000*SER_hh_emi_in!F24/SER_hh_num_in!F24)</f>
        <v>0</v>
      </c>
      <c r="G24" s="132">
        <f>IF(SER_hh_emi_in!G24=0,0,1000000*SER_hh_emi_in!G24/SER_hh_num_in!G24)</f>
        <v>0</v>
      </c>
      <c r="H24" s="132">
        <f>IF(SER_hh_emi_in!H24=0,0,1000000*SER_hh_emi_in!H24/SER_hh_num_in!H24)</f>
        <v>0</v>
      </c>
      <c r="I24" s="132">
        <f>IF(SER_hh_emi_in!I24=0,0,1000000*SER_hh_emi_in!I24/SER_hh_num_in!I24)</f>
        <v>0</v>
      </c>
      <c r="J24" s="132">
        <f>IF(SER_hh_emi_in!J24=0,0,1000000*SER_hh_emi_in!J24/SER_hh_num_in!J24)</f>
        <v>0</v>
      </c>
      <c r="K24" s="132">
        <f>IF(SER_hh_emi_in!K24=0,0,1000000*SER_hh_emi_in!K24/SER_hh_num_in!K24)</f>
        <v>0</v>
      </c>
      <c r="L24" s="132">
        <f>IF(SER_hh_emi_in!L24=0,0,1000000*SER_hh_emi_in!L24/SER_hh_num_in!L24)</f>
        <v>0</v>
      </c>
      <c r="M24" s="132">
        <f>IF(SER_hh_emi_in!M24=0,0,1000000*SER_hh_emi_in!M24/SER_hh_num_in!M24)</f>
        <v>0</v>
      </c>
      <c r="N24" s="132">
        <f>IF(SER_hh_emi_in!N24=0,0,1000000*SER_hh_emi_in!N24/SER_hh_num_in!N24)</f>
        <v>0</v>
      </c>
      <c r="O24" s="132">
        <f>IF(SER_hh_emi_in!O24=0,0,1000000*SER_hh_emi_in!O24/SER_hh_num_in!O24)</f>
        <v>12.750993768442575</v>
      </c>
      <c r="P24" s="132">
        <f>IF(SER_hh_emi_in!P24=0,0,1000000*SER_hh_emi_in!P24/SER_hh_num_in!P24)</f>
        <v>1969.6733321585393</v>
      </c>
      <c r="Q24" s="132">
        <f>IF(SER_hh_emi_in!Q24=0,0,1000000*SER_hh_emi_in!Q24/SER_hh_num_in!Q24)</f>
        <v>969.54661465287461</v>
      </c>
      <c r="R24" s="132">
        <f>IF(SER_hh_emi_in!R24=0,0,1000000*SER_hh_emi_in!R24/SER_hh_num_in!R24)</f>
        <v>0</v>
      </c>
      <c r="S24" s="132">
        <f>IF(SER_hh_emi_in!S24=0,0,1000000*SER_hh_emi_in!S24/SER_hh_num_in!S24)</f>
        <v>0</v>
      </c>
      <c r="T24" s="132">
        <f>IF(SER_hh_emi_in!T24=0,0,1000000*SER_hh_emi_in!T24/SER_hh_num_in!T24)</f>
        <v>0</v>
      </c>
      <c r="U24" s="132">
        <f>IF(SER_hh_emi_in!U24=0,0,1000000*SER_hh_emi_in!U24/SER_hh_num_in!U24)</f>
        <v>0</v>
      </c>
      <c r="V24" s="132">
        <f>IF(SER_hh_emi_in!V24=0,0,1000000*SER_hh_emi_in!V24/SER_hh_num_in!V24)</f>
        <v>307.05275351482305</v>
      </c>
      <c r="W24" s="132">
        <f>IF(SER_hh_emi_in!W24=0,0,1000000*SER_hh_emi_in!W24/SER_hh_num_in!W24)</f>
        <v>0</v>
      </c>
      <c r="X24" s="132">
        <f>IF(SER_hh_emi_in!X24=0,0,1000000*SER_hh_emi_in!X24/SER_hh_num_in!X24)</f>
        <v>0</v>
      </c>
      <c r="Y24" s="132">
        <f>IF(SER_hh_emi_in!Y24=0,0,1000000*SER_hh_emi_in!Y24/SER_hh_num_in!Y24)</f>
        <v>414.92843481302265</v>
      </c>
      <c r="DA24" s="156" t="s">
        <v>807</v>
      </c>
    </row>
    <row r="25" spans="1:105" ht="12" customHeight="1" x14ac:dyDescent="0.25">
      <c r="A25" s="131" t="s">
        <v>162</v>
      </c>
      <c r="B25" s="132"/>
      <c r="C25" s="132">
        <f>IF(SER_hh_emi_in!C25=0,0,1000000*SER_hh_emi_in!C25/SER_hh_num_in!C25)</f>
        <v>0</v>
      </c>
      <c r="D25" s="132">
        <f>IF(SER_hh_emi_in!D25=0,0,1000000*SER_hh_emi_in!D25/SER_hh_num_in!D25)</f>
        <v>0</v>
      </c>
      <c r="E25" s="132">
        <f>IF(SER_hh_emi_in!E25=0,0,1000000*SER_hh_emi_in!E25/SER_hh_num_in!E25)</f>
        <v>0</v>
      </c>
      <c r="F25" s="132">
        <f>IF(SER_hh_emi_in!F25=0,0,1000000*SER_hh_emi_in!F25/SER_hh_num_in!F25)</f>
        <v>0</v>
      </c>
      <c r="G25" s="132">
        <f>IF(SER_hh_emi_in!G25=0,0,1000000*SER_hh_emi_in!G25/SER_hh_num_in!G25)</f>
        <v>0</v>
      </c>
      <c r="H25" s="132">
        <f>IF(SER_hh_emi_in!H25=0,0,1000000*SER_hh_emi_in!H25/SER_hh_num_in!H25)</f>
        <v>0</v>
      </c>
      <c r="I25" s="132">
        <f>IF(SER_hh_emi_in!I25=0,0,1000000*SER_hh_emi_in!I25/SER_hh_num_in!I25)</f>
        <v>0</v>
      </c>
      <c r="J25" s="132">
        <f>IF(SER_hh_emi_in!J25=0,0,1000000*SER_hh_emi_in!J25/SER_hh_num_in!J25)</f>
        <v>0</v>
      </c>
      <c r="K25" s="132">
        <f>IF(SER_hh_emi_in!K25=0,0,1000000*SER_hh_emi_in!K25/SER_hh_num_in!K25)</f>
        <v>0</v>
      </c>
      <c r="L25" s="132">
        <f>IF(SER_hh_emi_in!L25=0,0,1000000*SER_hh_emi_in!L25/SER_hh_num_in!L25)</f>
        <v>0</v>
      </c>
      <c r="M25" s="132">
        <f>IF(SER_hh_emi_in!M25=0,0,1000000*SER_hh_emi_in!M25/SER_hh_num_in!M25)</f>
        <v>0</v>
      </c>
      <c r="N25" s="132">
        <f>IF(SER_hh_emi_in!N25=0,0,1000000*SER_hh_emi_in!N25/SER_hh_num_in!N25)</f>
        <v>0</v>
      </c>
      <c r="O25" s="132">
        <f>IF(SER_hh_emi_in!O25=0,0,1000000*SER_hh_emi_in!O25/SER_hh_num_in!O25)</f>
        <v>0</v>
      </c>
      <c r="P25" s="132">
        <f>IF(SER_hh_emi_in!P25=0,0,1000000*SER_hh_emi_in!P25/SER_hh_num_in!P25)</f>
        <v>0</v>
      </c>
      <c r="Q25" s="132">
        <f>IF(SER_hh_emi_in!Q25=0,0,1000000*SER_hh_emi_in!Q25/SER_hh_num_in!Q25)</f>
        <v>0</v>
      </c>
      <c r="R25" s="132">
        <f>IF(SER_hh_emi_in!R25=0,0,1000000*SER_hh_emi_in!R25/SER_hh_num_in!R25)</f>
        <v>0</v>
      </c>
      <c r="S25" s="132">
        <f>IF(SER_hh_emi_in!S25=0,0,1000000*SER_hh_emi_in!S25/SER_hh_num_in!S25)</f>
        <v>0</v>
      </c>
      <c r="T25" s="132">
        <f>IF(SER_hh_emi_in!T25=0,0,1000000*SER_hh_emi_in!T25/SER_hh_num_in!T25)</f>
        <v>0</v>
      </c>
      <c r="U25" s="132">
        <f>IF(SER_hh_emi_in!U25=0,0,1000000*SER_hh_emi_in!U25/SER_hh_num_in!U25)</f>
        <v>0</v>
      </c>
      <c r="V25" s="132">
        <f>IF(SER_hh_emi_in!V25=0,0,1000000*SER_hh_emi_in!V25/SER_hh_num_in!V25)</f>
        <v>0</v>
      </c>
      <c r="W25" s="132">
        <f>IF(SER_hh_emi_in!W25=0,0,1000000*SER_hh_emi_in!W25/SER_hh_num_in!W25)</f>
        <v>0</v>
      </c>
      <c r="X25" s="132">
        <f>IF(SER_hh_emi_in!X25=0,0,1000000*SER_hh_emi_in!X25/SER_hh_num_in!X25)</f>
        <v>0</v>
      </c>
      <c r="Y25" s="132">
        <f>IF(SER_hh_emi_in!Y25=0,0,1000000*SER_hh_emi_in!Y25/SER_hh_num_in!Y25)</f>
        <v>0</v>
      </c>
      <c r="DA25" s="156" t="s">
        <v>808</v>
      </c>
    </row>
    <row r="26" spans="1:105" ht="12" customHeight="1" x14ac:dyDescent="0.25">
      <c r="A26" s="131" t="s">
        <v>24</v>
      </c>
      <c r="B26" s="65"/>
      <c r="C26" s="65">
        <f>IF(SER_hh_emi_in!C26=0,0,1000000*SER_hh_emi_in!C26/SER_hh_num_in!C26)</f>
        <v>0</v>
      </c>
      <c r="D26" s="65">
        <f>IF(SER_hh_emi_in!D26=0,0,1000000*SER_hh_emi_in!D26/SER_hh_num_in!D26)</f>
        <v>0</v>
      </c>
      <c r="E26" s="65">
        <f>IF(SER_hh_emi_in!E26=0,0,1000000*SER_hh_emi_in!E26/SER_hh_num_in!E26)</f>
        <v>0</v>
      </c>
      <c r="F26" s="65">
        <f>IF(SER_hh_emi_in!F26=0,0,1000000*SER_hh_emi_in!F26/SER_hh_num_in!F26)</f>
        <v>0</v>
      </c>
      <c r="G26" s="65">
        <f>IF(SER_hh_emi_in!G26=0,0,1000000*SER_hh_emi_in!G26/SER_hh_num_in!G26)</f>
        <v>0</v>
      </c>
      <c r="H26" s="65">
        <f>IF(SER_hh_emi_in!H26=0,0,1000000*SER_hh_emi_in!H26/SER_hh_num_in!H26)</f>
        <v>0</v>
      </c>
      <c r="I26" s="65">
        <f>IF(SER_hh_emi_in!I26=0,0,1000000*SER_hh_emi_in!I26/SER_hh_num_in!I26)</f>
        <v>0</v>
      </c>
      <c r="J26" s="65">
        <f>IF(SER_hh_emi_in!J26=0,0,1000000*SER_hh_emi_in!J26/SER_hh_num_in!J26)</f>
        <v>0</v>
      </c>
      <c r="K26" s="65">
        <f>IF(SER_hh_emi_in!K26=0,0,1000000*SER_hh_emi_in!K26/SER_hh_num_in!K26)</f>
        <v>0</v>
      </c>
      <c r="L26" s="65">
        <f>IF(SER_hh_emi_in!L26=0,0,1000000*SER_hh_emi_in!L26/SER_hh_num_in!L26)</f>
        <v>0</v>
      </c>
      <c r="M26" s="65">
        <f>IF(SER_hh_emi_in!M26=0,0,1000000*SER_hh_emi_in!M26/SER_hh_num_in!M26)</f>
        <v>0</v>
      </c>
      <c r="N26" s="65">
        <f>IF(SER_hh_emi_in!N26=0,0,1000000*SER_hh_emi_in!N26/SER_hh_num_in!N26)</f>
        <v>0</v>
      </c>
      <c r="O26" s="65">
        <f>IF(SER_hh_emi_in!O26=0,0,1000000*SER_hh_emi_in!O26/SER_hh_num_in!O26)</f>
        <v>0</v>
      </c>
      <c r="P26" s="65">
        <f>IF(SER_hh_emi_in!P26=0,0,1000000*SER_hh_emi_in!P26/SER_hh_num_in!P26)</f>
        <v>0</v>
      </c>
      <c r="Q26" s="65">
        <f>IF(SER_hh_emi_in!Q26=0,0,1000000*SER_hh_emi_in!Q26/SER_hh_num_in!Q26)</f>
        <v>0</v>
      </c>
      <c r="R26" s="65">
        <f>IF(SER_hh_emi_in!R26=0,0,1000000*SER_hh_emi_in!R26/SER_hh_num_in!R26)</f>
        <v>0</v>
      </c>
      <c r="S26" s="65">
        <f>IF(SER_hh_emi_in!S26=0,0,1000000*SER_hh_emi_in!S26/SER_hh_num_in!S26)</f>
        <v>0</v>
      </c>
      <c r="T26" s="65">
        <f>IF(SER_hh_emi_in!T26=0,0,1000000*SER_hh_emi_in!T26/SER_hh_num_in!T26)</f>
        <v>0</v>
      </c>
      <c r="U26" s="65">
        <f>IF(SER_hh_emi_in!U26=0,0,1000000*SER_hh_emi_in!U26/SER_hh_num_in!U26)</f>
        <v>0</v>
      </c>
      <c r="V26" s="65">
        <f>IF(SER_hh_emi_in!V26=0,0,1000000*SER_hh_emi_in!V26/SER_hh_num_in!V26)</f>
        <v>0</v>
      </c>
      <c r="W26" s="65">
        <f>IF(SER_hh_emi_in!W26=0,0,1000000*SER_hh_emi_in!W26/SER_hh_num_in!W26)</f>
        <v>0</v>
      </c>
      <c r="X26" s="65">
        <f>IF(SER_hh_emi_in!X26=0,0,1000000*SER_hh_emi_in!X26/SER_hh_num_in!X26)</f>
        <v>0</v>
      </c>
      <c r="Y26" s="65">
        <f>IF(SER_hh_emi_in!Y26=0,0,1000000*SER_hh_emi_in!Y26/SER_hh_num_in!Y26)</f>
        <v>0</v>
      </c>
      <c r="DA26" s="109" t="s">
        <v>809</v>
      </c>
    </row>
    <row r="27" spans="1:105" ht="12" customHeight="1" x14ac:dyDescent="0.25">
      <c r="A27" s="144" t="s">
        <v>86</v>
      </c>
      <c r="B27" s="147"/>
      <c r="C27" s="145">
        <f>IF(SER_hh_emi_in!C27=0,0,1000000*SER_hh_emi_in!C27/SER_hh_num_in!C19)</f>
        <v>0</v>
      </c>
      <c r="D27" s="145">
        <f>IF(SER_hh_emi_in!D27=0,0,1000000*SER_hh_emi_in!D27/SER_hh_num_in!D19)</f>
        <v>0</v>
      </c>
      <c r="E27" s="145">
        <f>IF(SER_hh_emi_in!E27=0,0,1000000*SER_hh_emi_in!E27/SER_hh_num_in!E19)</f>
        <v>0</v>
      </c>
      <c r="F27" s="145">
        <f>IF(SER_hh_emi_in!F27=0,0,1000000*SER_hh_emi_in!F27/SER_hh_num_in!F19)</f>
        <v>0</v>
      </c>
      <c r="G27" s="145">
        <f>IF(SER_hh_emi_in!G27=0,0,1000000*SER_hh_emi_in!G27/SER_hh_num_in!G19)</f>
        <v>0</v>
      </c>
      <c r="H27" s="145">
        <f>IF(SER_hh_emi_in!H27=0,0,1000000*SER_hh_emi_in!H27/SER_hh_num_in!H19)</f>
        <v>0</v>
      </c>
      <c r="I27" s="145">
        <f>IF(SER_hh_emi_in!I27=0,0,1000000*SER_hh_emi_in!I27/SER_hh_num_in!I19)</f>
        <v>0</v>
      </c>
      <c r="J27" s="145">
        <f>IF(SER_hh_emi_in!J27=0,0,1000000*SER_hh_emi_in!J27/SER_hh_num_in!J19)</f>
        <v>0</v>
      </c>
      <c r="K27" s="145">
        <f>IF(SER_hh_emi_in!K27=0,0,1000000*SER_hh_emi_in!K27/SER_hh_num_in!K19)</f>
        <v>0</v>
      </c>
      <c r="L27" s="145">
        <f>IF(SER_hh_emi_in!L27=0,0,1000000*SER_hh_emi_in!L27/SER_hh_num_in!L19)</f>
        <v>0</v>
      </c>
      <c r="M27" s="145">
        <f>IF(SER_hh_emi_in!M27=0,0,1000000*SER_hh_emi_in!M27/SER_hh_num_in!M19)</f>
        <v>0</v>
      </c>
      <c r="N27" s="145">
        <f>IF(SER_hh_emi_in!N27=0,0,1000000*SER_hh_emi_in!N27/SER_hh_num_in!N19)</f>
        <v>0</v>
      </c>
      <c r="O27" s="145">
        <f>IF(SER_hh_emi_in!O27=0,0,1000000*SER_hh_emi_in!O27/SER_hh_num_in!O19)</f>
        <v>0</v>
      </c>
      <c r="P27" s="145">
        <f>IF(SER_hh_emi_in!P27=0,0,1000000*SER_hh_emi_in!P27/SER_hh_num_in!P19)</f>
        <v>0</v>
      </c>
      <c r="Q27" s="145">
        <f>IF(SER_hh_emi_in!Q27=0,0,1000000*SER_hh_emi_in!Q27/SER_hh_num_in!Q19)</f>
        <v>0</v>
      </c>
      <c r="R27" s="145">
        <f>IF(SER_hh_emi_in!R27=0,0,1000000*SER_hh_emi_in!R27/SER_hh_num_in!R19)</f>
        <v>0</v>
      </c>
      <c r="S27" s="145">
        <f>IF(SER_hh_emi_in!S27=0,0,1000000*SER_hh_emi_in!S27/SER_hh_num_in!S19)</f>
        <v>0</v>
      </c>
      <c r="T27" s="145">
        <f>IF(SER_hh_emi_in!T27=0,0,1000000*SER_hh_emi_in!T27/SER_hh_num_in!T19)</f>
        <v>0</v>
      </c>
      <c r="U27" s="145">
        <f>IF(SER_hh_emi_in!U27=0,0,1000000*SER_hh_emi_in!U27/SER_hh_num_in!U19)</f>
        <v>0</v>
      </c>
      <c r="V27" s="145">
        <f>IF(SER_hh_emi_in!V27=0,0,1000000*SER_hh_emi_in!V27/SER_hh_num_in!V19)</f>
        <v>0</v>
      </c>
      <c r="W27" s="145">
        <f>IF(SER_hh_emi_in!W27=0,0,1000000*SER_hh_emi_in!W27/SER_hh_num_in!W19)</f>
        <v>0</v>
      </c>
      <c r="X27" s="145">
        <f>IF(SER_hh_emi_in!X27=0,0,1000000*SER_hh_emi_in!X27/SER_hh_num_in!X19)</f>
        <v>0</v>
      </c>
      <c r="Y27" s="145">
        <f>IF(SER_hh_emi_in!Y27=0,0,1000000*SER_hh_emi_in!Y27/SER_hh_num_in!Y19)</f>
        <v>0</v>
      </c>
      <c r="DA27" s="158" t="s">
        <v>810</v>
      </c>
    </row>
    <row r="28" spans="1:105" ht="12" customHeight="1" x14ac:dyDescent="0.25">
      <c r="A28" s="78" t="s">
        <v>85</v>
      </c>
      <c r="B28" s="68"/>
      <c r="C28" s="146">
        <f>IF(SER_hh_emi_in!C27=0,0,1000000*SER_hh_emi_in!C27/SER_hh_num_in!C27)</f>
        <v>0</v>
      </c>
      <c r="D28" s="146">
        <f>IF(SER_hh_emi_in!D27=0,0,1000000*SER_hh_emi_in!D27/SER_hh_num_in!D27)</f>
        <v>0</v>
      </c>
      <c r="E28" s="146">
        <f>IF(SER_hh_emi_in!E27=0,0,1000000*SER_hh_emi_in!E27/SER_hh_num_in!E27)</f>
        <v>0</v>
      </c>
      <c r="F28" s="146">
        <f>IF(SER_hh_emi_in!F27=0,0,1000000*SER_hh_emi_in!F27/SER_hh_num_in!F27)</f>
        <v>0</v>
      </c>
      <c r="G28" s="146">
        <f>IF(SER_hh_emi_in!G27=0,0,1000000*SER_hh_emi_in!G27/SER_hh_num_in!G27)</f>
        <v>0</v>
      </c>
      <c r="H28" s="146">
        <f>IF(SER_hh_emi_in!H27=0,0,1000000*SER_hh_emi_in!H27/SER_hh_num_in!H27)</f>
        <v>0</v>
      </c>
      <c r="I28" s="146">
        <f>IF(SER_hh_emi_in!I27=0,0,1000000*SER_hh_emi_in!I27/SER_hh_num_in!I27)</f>
        <v>0</v>
      </c>
      <c r="J28" s="146">
        <f>IF(SER_hh_emi_in!J27=0,0,1000000*SER_hh_emi_in!J27/SER_hh_num_in!J27)</f>
        <v>0</v>
      </c>
      <c r="K28" s="146">
        <f>IF(SER_hh_emi_in!K27=0,0,1000000*SER_hh_emi_in!K27/SER_hh_num_in!K27)</f>
        <v>0</v>
      </c>
      <c r="L28" s="146">
        <f>IF(SER_hh_emi_in!L27=0,0,1000000*SER_hh_emi_in!L27/SER_hh_num_in!L27)</f>
        <v>0</v>
      </c>
      <c r="M28" s="146">
        <f>IF(SER_hh_emi_in!M27=0,0,1000000*SER_hh_emi_in!M27/SER_hh_num_in!M27)</f>
        <v>0</v>
      </c>
      <c r="N28" s="146">
        <f>IF(SER_hh_emi_in!N27=0,0,1000000*SER_hh_emi_in!N27/SER_hh_num_in!N27)</f>
        <v>0</v>
      </c>
      <c r="O28" s="146">
        <f>IF(SER_hh_emi_in!O27=0,0,1000000*SER_hh_emi_in!O27/SER_hh_num_in!O27)</f>
        <v>0</v>
      </c>
      <c r="P28" s="146">
        <f>IF(SER_hh_emi_in!P27=0,0,1000000*SER_hh_emi_in!P27/SER_hh_num_in!P27)</f>
        <v>0</v>
      </c>
      <c r="Q28" s="146">
        <f>IF(SER_hh_emi_in!Q27=0,0,1000000*SER_hh_emi_in!Q27/SER_hh_num_in!Q27)</f>
        <v>0</v>
      </c>
      <c r="R28" s="146">
        <f>IF(SER_hh_emi_in!R27=0,0,1000000*SER_hh_emi_in!R27/SER_hh_num_in!R27)</f>
        <v>0</v>
      </c>
      <c r="S28" s="146">
        <f>IF(SER_hh_emi_in!S27=0,0,1000000*SER_hh_emi_in!S27/SER_hh_num_in!S27)</f>
        <v>0</v>
      </c>
      <c r="T28" s="146">
        <f>IF(SER_hh_emi_in!T27=0,0,1000000*SER_hh_emi_in!T27/SER_hh_num_in!T27)</f>
        <v>0</v>
      </c>
      <c r="U28" s="146">
        <f>IF(SER_hh_emi_in!U27=0,0,1000000*SER_hh_emi_in!U27/SER_hh_num_in!U27)</f>
        <v>0</v>
      </c>
      <c r="V28" s="146">
        <f>IF(SER_hh_emi_in!V27=0,0,1000000*SER_hh_emi_in!V27/SER_hh_num_in!V27)</f>
        <v>0</v>
      </c>
      <c r="W28" s="146">
        <f>IF(SER_hh_emi_in!W27=0,0,1000000*SER_hh_emi_in!W27/SER_hh_num_in!W27)</f>
        <v>0</v>
      </c>
      <c r="X28" s="146">
        <f>IF(SER_hh_emi_in!X27=0,0,1000000*SER_hh_emi_in!X27/SER_hh_num_in!X27)</f>
        <v>0</v>
      </c>
      <c r="Y28" s="146">
        <f>IF(SER_hh_emi_in!Y27=0,0,1000000*SER_hh_emi_in!Y27/SER_hh_num_in!Y27)</f>
        <v>0</v>
      </c>
      <c r="DA28" s="159"/>
    </row>
    <row r="29" spans="1:105" ht="12.95" customHeight="1" x14ac:dyDescent="0.25">
      <c r="A29" s="129" t="s">
        <v>34</v>
      </c>
      <c r="B29" s="130"/>
      <c r="C29" s="130">
        <f>IF(SER_hh_emi_in!C29=0,0,1000000*SER_hh_emi_in!C29/SER_hh_num_in!C29)</f>
        <v>6758.820959167957</v>
      </c>
      <c r="D29" s="130">
        <f>IF(SER_hh_emi_in!D29=0,0,1000000*SER_hh_emi_in!D29/SER_hh_num_in!D29)</f>
        <v>5298.9247843453941</v>
      </c>
      <c r="E29" s="130">
        <f>IF(SER_hh_emi_in!E29=0,0,1000000*SER_hh_emi_in!E29/SER_hh_num_in!E29)</f>
        <v>10754.294742790282</v>
      </c>
      <c r="F29" s="130">
        <f>IF(SER_hh_emi_in!F29=0,0,1000000*SER_hh_emi_in!F29/SER_hh_num_in!F29)</f>
        <v>15123.247504284889</v>
      </c>
      <c r="G29" s="130">
        <f>IF(SER_hh_emi_in!G29=0,0,1000000*SER_hh_emi_in!G29/SER_hh_num_in!G29)</f>
        <v>12711.801688425532</v>
      </c>
      <c r="H29" s="130">
        <f>IF(SER_hh_emi_in!H29=0,0,1000000*SER_hh_emi_in!H29/SER_hh_num_in!H29)</f>
        <v>6333.3425964604576</v>
      </c>
      <c r="I29" s="130">
        <f>IF(SER_hh_emi_in!I29=0,0,1000000*SER_hh_emi_in!I29/SER_hh_num_in!I29)</f>
        <v>2606.7942803690312</v>
      </c>
      <c r="J29" s="130">
        <f>IF(SER_hh_emi_in!J29=0,0,1000000*SER_hh_emi_in!J29/SER_hh_num_in!J29)</f>
        <v>531.97208702930732</v>
      </c>
      <c r="K29" s="130">
        <f>IF(SER_hh_emi_in!K29=0,0,1000000*SER_hh_emi_in!K29/SER_hh_num_in!K29)</f>
        <v>1032.7334343215819</v>
      </c>
      <c r="L29" s="130">
        <f>IF(SER_hh_emi_in!L29=0,0,1000000*SER_hh_emi_in!L29/SER_hh_num_in!L29)</f>
        <v>2614.3267649335589</v>
      </c>
      <c r="M29" s="130">
        <f>IF(SER_hh_emi_in!M29=0,0,1000000*SER_hh_emi_in!M29/SER_hh_num_in!M29)</f>
        <v>3816.1836097416208</v>
      </c>
      <c r="N29" s="130">
        <f>IF(SER_hh_emi_in!N29=0,0,1000000*SER_hh_emi_in!N29/SER_hh_num_in!N29)</f>
        <v>5936.9731955145307</v>
      </c>
      <c r="O29" s="130">
        <f>IF(SER_hh_emi_in!O29=0,0,1000000*SER_hh_emi_in!O29/SER_hh_num_in!O29)</f>
        <v>6871.6388125258727</v>
      </c>
      <c r="P29" s="130">
        <f>IF(SER_hh_emi_in!P29=0,0,1000000*SER_hh_emi_in!P29/SER_hh_num_in!P29)</f>
        <v>8781.0879306723327</v>
      </c>
      <c r="Q29" s="130">
        <f>IF(SER_hh_emi_in!Q29=0,0,1000000*SER_hh_emi_in!Q29/SER_hh_num_in!Q29)</f>
        <v>9702.6885203345118</v>
      </c>
      <c r="R29" s="130">
        <f>IF(SER_hh_emi_in!R29=0,0,1000000*SER_hh_emi_in!R29/SER_hh_num_in!R29)</f>
        <v>8352.2736470620712</v>
      </c>
      <c r="S29" s="130">
        <f>IF(SER_hh_emi_in!S29=0,0,1000000*SER_hh_emi_in!S29/SER_hh_num_in!S29)</f>
        <v>6318.4648406873403</v>
      </c>
      <c r="T29" s="130">
        <f>IF(SER_hh_emi_in!T29=0,0,1000000*SER_hh_emi_in!T29/SER_hh_num_in!T29)</f>
        <v>3815.3918575650582</v>
      </c>
      <c r="U29" s="130">
        <f>IF(SER_hh_emi_in!U29=0,0,1000000*SER_hh_emi_in!U29/SER_hh_num_in!U29)</f>
        <v>3307.2800829952575</v>
      </c>
      <c r="V29" s="130">
        <f>IF(SER_hh_emi_in!V29=0,0,1000000*SER_hh_emi_in!V29/SER_hh_num_in!V29)</f>
        <v>2895.195856518998</v>
      </c>
      <c r="W29" s="130">
        <f>IF(SER_hh_emi_in!W29=0,0,1000000*SER_hh_emi_in!W29/SER_hh_num_in!W29)</f>
        <v>2749.0197127547603</v>
      </c>
      <c r="X29" s="130">
        <f>IF(SER_hh_emi_in!X29=0,0,1000000*SER_hh_emi_in!X29/SER_hh_num_in!X29)</f>
        <v>3028.0572555436238</v>
      </c>
      <c r="Y29" s="130">
        <f>IF(SER_hh_emi_in!Y29=0,0,1000000*SER_hh_emi_in!Y29/SER_hh_num_in!Y29)</f>
        <v>4495.8973549990824</v>
      </c>
      <c r="DA29" s="155" t="s">
        <v>811</v>
      </c>
    </row>
    <row r="30" spans="1:105" s="2" customFormat="1" ht="12" customHeight="1" x14ac:dyDescent="0.25">
      <c r="A30" s="131" t="s">
        <v>52</v>
      </c>
      <c r="B30" s="132"/>
      <c r="C30" s="132">
        <f>IF(SER_hh_emi_in!C30=0,0,1000000*SER_hh_emi_in!C30/SER_hh_num_in!C30)</f>
        <v>8390.1358178060873</v>
      </c>
      <c r="D30" s="132">
        <f>IF(SER_hh_emi_in!D30=0,0,1000000*SER_hh_emi_in!D30/SER_hh_num_in!D30)</f>
        <v>3697.6806458161564</v>
      </c>
      <c r="E30" s="132">
        <f>IF(SER_hh_emi_in!E30=0,0,1000000*SER_hh_emi_in!E30/SER_hh_num_in!E30)</f>
        <v>11135.66697020894</v>
      </c>
      <c r="F30" s="132">
        <f>IF(SER_hh_emi_in!F30=0,0,1000000*SER_hh_emi_in!F30/SER_hh_num_in!F30)</f>
        <v>16995.590164051959</v>
      </c>
      <c r="G30" s="132">
        <f>IF(SER_hh_emi_in!G30=0,0,1000000*SER_hh_emi_in!G30/SER_hh_num_in!G30)</f>
        <v>20508.766750572609</v>
      </c>
      <c r="H30" s="132">
        <f>IF(SER_hh_emi_in!H30=0,0,1000000*SER_hh_emi_in!H30/SER_hh_num_in!H30)</f>
        <v>8502.3720463450281</v>
      </c>
      <c r="I30" s="132">
        <f>IF(SER_hh_emi_in!I30=0,0,1000000*SER_hh_emi_in!I30/SER_hh_num_in!I30)</f>
        <v>26052.105907498084</v>
      </c>
      <c r="J30" s="132">
        <f>IF(SER_hh_emi_in!J30=0,0,1000000*SER_hh_emi_in!J30/SER_hh_num_in!J30)</f>
        <v>0</v>
      </c>
      <c r="K30" s="132">
        <f>IF(SER_hh_emi_in!K30=0,0,1000000*SER_hh_emi_in!K30/SER_hh_num_in!K30)</f>
        <v>0</v>
      </c>
      <c r="L30" s="132">
        <f>IF(SER_hh_emi_in!L30=0,0,1000000*SER_hh_emi_in!L30/SER_hh_num_in!L30)</f>
        <v>0</v>
      </c>
      <c r="M30" s="132">
        <f>IF(SER_hh_emi_in!M30=0,0,1000000*SER_hh_emi_in!M30/SER_hh_num_in!M30)</f>
        <v>0</v>
      </c>
      <c r="N30" s="132">
        <f>IF(SER_hh_emi_in!N30=0,0,1000000*SER_hh_emi_in!N30/SER_hh_num_in!N30)</f>
        <v>15014.471946171459</v>
      </c>
      <c r="O30" s="132">
        <f>IF(SER_hh_emi_in!O30=0,0,1000000*SER_hh_emi_in!O30/SER_hh_num_in!O30)</f>
        <v>15224.298785794515</v>
      </c>
      <c r="P30" s="132">
        <f>IF(SER_hh_emi_in!P30=0,0,1000000*SER_hh_emi_in!P30/SER_hh_num_in!P30)</f>
        <v>16543.369924689476</v>
      </c>
      <c r="Q30" s="132">
        <f>IF(SER_hh_emi_in!Q30=0,0,1000000*SER_hh_emi_in!Q30/SER_hh_num_in!Q30)</f>
        <v>18359.984553394897</v>
      </c>
      <c r="R30" s="132">
        <f>IF(SER_hh_emi_in!R30=0,0,1000000*SER_hh_emi_in!R30/SER_hh_num_in!R30)</f>
        <v>16152.712882990196</v>
      </c>
      <c r="S30" s="132">
        <f>IF(SER_hh_emi_in!S30=0,0,1000000*SER_hh_emi_in!S30/SER_hh_num_in!S30)</f>
        <v>15596.319226856165</v>
      </c>
      <c r="T30" s="132">
        <f>IF(SER_hh_emi_in!T30=0,0,1000000*SER_hh_emi_in!T30/SER_hh_num_in!T30)</f>
        <v>15899.824317097675</v>
      </c>
      <c r="U30" s="132">
        <f>IF(SER_hh_emi_in!U30=0,0,1000000*SER_hh_emi_in!U30/SER_hh_num_in!U30)</f>
        <v>15696.5192099046</v>
      </c>
      <c r="V30" s="132">
        <f>IF(SER_hh_emi_in!V30=0,0,1000000*SER_hh_emi_in!V30/SER_hh_num_in!V30)</f>
        <v>14462.236372149358</v>
      </c>
      <c r="W30" s="132">
        <f>IF(SER_hh_emi_in!W30=0,0,1000000*SER_hh_emi_in!W30/SER_hh_num_in!W30)</f>
        <v>15200.113832269386</v>
      </c>
      <c r="X30" s="132">
        <f>IF(SER_hh_emi_in!X30=0,0,1000000*SER_hh_emi_in!X30/SER_hh_num_in!X30)</f>
        <v>16147.822569913476</v>
      </c>
      <c r="Y30" s="132">
        <f>IF(SER_hh_emi_in!Y30=0,0,1000000*SER_hh_emi_in!Y30/SER_hh_num_in!Y30)</f>
        <v>15444.623462501875</v>
      </c>
      <c r="DA30" s="156" t="s">
        <v>812</v>
      </c>
    </row>
    <row r="31" spans="1:105" ht="12" customHeight="1" x14ac:dyDescent="0.25">
      <c r="A31" s="131" t="s">
        <v>149</v>
      </c>
      <c r="B31" s="132"/>
      <c r="C31" s="132">
        <f>IF(SER_hh_emi_in!C31=0,0,1000000*SER_hh_emi_in!C31/SER_hh_num_in!C31)</f>
        <v>11127.039309479067</v>
      </c>
      <c r="D31" s="132">
        <f>IF(SER_hh_emi_in!D31=0,0,1000000*SER_hh_emi_in!D31/SER_hh_num_in!D31)</f>
        <v>6395.4101135022511</v>
      </c>
      <c r="E31" s="132">
        <f>IF(SER_hh_emi_in!E31=0,0,1000000*SER_hh_emi_in!E31/SER_hh_num_in!E31)</f>
        <v>10555.586641037322</v>
      </c>
      <c r="F31" s="132">
        <f>IF(SER_hh_emi_in!F31=0,0,1000000*SER_hh_emi_in!F31/SER_hh_num_in!F31)</f>
        <v>14099.417821086081</v>
      </c>
      <c r="G31" s="132">
        <f>IF(SER_hh_emi_in!G31=0,0,1000000*SER_hh_emi_in!G31/SER_hh_num_in!G31)</f>
        <v>11481.139591110674</v>
      </c>
      <c r="H31" s="132">
        <f>IF(SER_hh_emi_in!H31=0,0,1000000*SER_hh_emi_in!H31/SER_hh_num_in!H31)</f>
        <v>15731.567169968694</v>
      </c>
      <c r="I31" s="132">
        <f>IF(SER_hh_emi_in!I31=0,0,1000000*SER_hh_emi_in!I31/SER_hh_num_in!I31)</f>
        <v>11936.530440134897</v>
      </c>
      <c r="J31" s="132">
        <f>IF(SER_hh_emi_in!J31=0,0,1000000*SER_hh_emi_in!J31/SER_hh_num_in!J31)</f>
        <v>13005.262380239239</v>
      </c>
      <c r="K31" s="132">
        <f>IF(SER_hh_emi_in!K31=0,0,1000000*SER_hh_emi_in!K31/SER_hh_num_in!K31)</f>
        <v>13569.572728809879</v>
      </c>
      <c r="L31" s="132">
        <f>IF(SER_hh_emi_in!L31=0,0,1000000*SER_hh_emi_in!L31/SER_hh_num_in!L31)</f>
        <v>13605.482790701755</v>
      </c>
      <c r="M31" s="132">
        <f>IF(SER_hh_emi_in!M31=0,0,1000000*SER_hh_emi_in!M31/SER_hh_num_in!M31)</f>
        <v>13692.563607172231</v>
      </c>
      <c r="N31" s="132">
        <f>IF(SER_hh_emi_in!N31=0,0,1000000*SER_hh_emi_in!N31/SER_hh_num_in!N31)</f>
        <v>13687.77321796825</v>
      </c>
      <c r="O31" s="132">
        <f>IF(SER_hh_emi_in!O31=0,0,1000000*SER_hh_emi_in!O31/SER_hh_num_in!O31)</f>
        <v>14108.260231730845</v>
      </c>
      <c r="P31" s="132">
        <f>IF(SER_hh_emi_in!P31=0,0,1000000*SER_hh_emi_in!P31/SER_hh_num_in!P31)</f>
        <v>13946.268010993163</v>
      </c>
      <c r="Q31" s="132">
        <f>IF(SER_hh_emi_in!Q31=0,0,1000000*SER_hh_emi_in!Q31/SER_hh_num_in!Q31)</f>
        <v>14595.861314544214</v>
      </c>
      <c r="R31" s="132">
        <f>IF(SER_hh_emi_in!R31=0,0,1000000*SER_hh_emi_in!R31/SER_hh_num_in!R31)</f>
        <v>13774.45881300938</v>
      </c>
      <c r="S31" s="132">
        <f>IF(SER_hh_emi_in!S31=0,0,1000000*SER_hh_emi_in!S31/SER_hh_num_in!S31)</f>
        <v>14269.629517296062</v>
      </c>
      <c r="T31" s="132">
        <f>IF(SER_hh_emi_in!T31=0,0,1000000*SER_hh_emi_in!T31/SER_hh_num_in!T31)</f>
        <v>13560.918243124783</v>
      </c>
      <c r="U31" s="132">
        <f>IF(SER_hh_emi_in!U31=0,0,1000000*SER_hh_emi_in!U31/SER_hh_num_in!U31)</f>
        <v>13427.255676704413</v>
      </c>
      <c r="V31" s="132">
        <f>IF(SER_hh_emi_in!V31=0,0,1000000*SER_hh_emi_in!V31/SER_hh_num_in!V31)</f>
        <v>12689.416337356422</v>
      </c>
      <c r="W31" s="132">
        <f>IF(SER_hh_emi_in!W31=0,0,1000000*SER_hh_emi_in!W31/SER_hh_num_in!W31)</f>
        <v>13163.951228564656</v>
      </c>
      <c r="X31" s="132">
        <f>IF(SER_hh_emi_in!X31=0,0,1000000*SER_hh_emi_in!X31/SER_hh_num_in!X31)</f>
        <v>13648.23042157684</v>
      </c>
      <c r="Y31" s="132">
        <f>IF(SER_hh_emi_in!Y31=0,0,1000000*SER_hh_emi_in!Y31/SER_hh_num_in!Y31)</f>
        <v>14150.104702331635</v>
      </c>
      <c r="DA31" s="156" t="s">
        <v>813</v>
      </c>
    </row>
    <row r="32" spans="1:105" ht="12" customHeight="1" x14ac:dyDescent="0.25">
      <c r="A32" s="131" t="s">
        <v>128</v>
      </c>
      <c r="B32" s="132"/>
      <c r="C32" s="132">
        <f>IF(SER_hh_emi_in!C32=0,0,1000000*SER_hh_emi_in!C32/SER_hh_num_in!C32)</f>
        <v>0</v>
      </c>
      <c r="D32" s="132">
        <f>IF(SER_hh_emi_in!D32=0,0,1000000*SER_hh_emi_in!D32/SER_hh_num_in!D32)</f>
        <v>0</v>
      </c>
      <c r="E32" s="132">
        <f>IF(SER_hh_emi_in!E32=0,0,1000000*SER_hh_emi_in!E32/SER_hh_num_in!E32)</f>
        <v>0</v>
      </c>
      <c r="F32" s="132">
        <f>IF(SER_hh_emi_in!F32=0,0,1000000*SER_hh_emi_in!F32/SER_hh_num_in!F32)</f>
        <v>0</v>
      </c>
      <c r="G32" s="132">
        <f>IF(SER_hh_emi_in!G32=0,0,1000000*SER_hh_emi_in!G32/SER_hh_num_in!G32)</f>
        <v>0</v>
      </c>
      <c r="H32" s="132">
        <f>IF(SER_hh_emi_in!H32=0,0,1000000*SER_hh_emi_in!H32/SER_hh_num_in!H32)</f>
        <v>0</v>
      </c>
      <c r="I32" s="132">
        <f>IF(SER_hh_emi_in!I32=0,0,1000000*SER_hh_emi_in!I32/SER_hh_num_in!I32)</f>
        <v>0</v>
      </c>
      <c r="J32" s="132">
        <f>IF(SER_hh_emi_in!J32=0,0,1000000*SER_hh_emi_in!J32/SER_hh_num_in!J32)</f>
        <v>0</v>
      </c>
      <c r="K32" s="132">
        <f>IF(SER_hh_emi_in!K32=0,0,1000000*SER_hh_emi_in!K32/SER_hh_num_in!K32)</f>
        <v>0</v>
      </c>
      <c r="L32" s="132">
        <f>IF(SER_hh_emi_in!L32=0,0,1000000*SER_hh_emi_in!L32/SER_hh_num_in!L32)</f>
        <v>0</v>
      </c>
      <c r="M32" s="132">
        <f>IF(SER_hh_emi_in!M32=0,0,1000000*SER_hh_emi_in!M32/SER_hh_num_in!M32)</f>
        <v>0</v>
      </c>
      <c r="N32" s="132">
        <f>IF(SER_hh_emi_in!N32=0,0,1000000*SER_hh_emi_in!N32/SER_hh_num_in!N32)</f>
        <v>0</v>
      </c>
      <c r="O32" s="132">
        <f>IF(SER_hh_emi_in!O32=0,0,1000000*SER_hh_emi_in!O32/SER_hh_num_in!O32)</f>
        <v>0</v>
      </c>
      <c r="P32" s="132">
        <f>IF(SER_hh_emi_in!P32=0,0,1000000*SER_hh_emi_in!P32/SER_hh_num_in!P32)</f>
        <v>0</v>
      </c>
      <c r="Q32" s="132">
        <f>IF(SER_hh_emi_in!Q32=0,0,1000000*SER_hh_emi_in!Q32/SER_hh_num_in!Q32)</f>
        <v>0</v>
      </c>
      <c r="R32" s="132">
        <f>IF(SER_hh_emi_in!R32=0,0,1000000*SER_hh_emi_in!R32/SER_hh_num_in!R32)</f>
        <v>0</v>
      </c>
      <c r="S32" s="132">
        <f>IF(SER_hh_emi_in!S32=0,0,1000000*SER_hh_emi_in!S32/SER_hh_num_in!S32)</f>
        <v>0</v>
      </c>
      <c r="T32" s="132">
        <f>IF(SER_hh_emi_in!T32=0,0,1000000*SER_hh_emi_in!T32/SER_hh_num_in!T32)</f>
        <v>0</v>
      </c>
      <c r="U32" s="132">
        <f>IF(SER_hh_emi_in!U32=0,0,1000000*SER_hh_emi_in!U32/SER_hh_num_in!U32)</f>
        <v>0</v>
      </c>
      <c r="V32" s="132">
        <f>IF(SER_hh_emi_in!V32=0,0,1000000*SER_hh_emi_in!V32/SER_hh_num_in!V32)</f>
        <v>0</v>
      </c>
      <c r="W32" s="132">
        <f>IF(SER_hh_emi_in!W32=0,0,1000000*SER_hh_emi_in!W32/SER_hh_num_in!W32)</f>
        <v>0</v>
      </c>
      <c r="X32" s="132">
        <f>IF(SER_hh_emi_in!X32=0,0,1000000*SER_hh_emi_in!X32/SER_hh_num_in!X32)</f>
        <v>0</v>
      </c>
      <c r="Y32" s="132">
        <f>IF(SER_hh_emi_in!Y32=0,0,1000000*SER_hh_emi_in!Y32/SER_hh_num_in!Y32)</f>
        <v>0</v>
      </c>
      <c r="DA32" s="156" t="s">
        <v>814</v>
      </c>
    </row>
    <row r="33" spans="1:105" ht="12" customHeight="1" x14ac:dyDescent="0.25">
      <c r="A33" s="62" t="s">
        <v>24</v>
      </c>
      <c r="B33" s="68"/>
      <c r="C33" s="68">
        <f>IF(SER_hh_emi_in!C33=0,0,1000000*SER_hh_emi_in!C33/SER_hh_num_in!C33)</f>
        <v>0</v>
      </c>
      <c r="D33" s="68">
        <f>IF(SER_hh_emi_in!D33=0,0,1000000*SER_hh_emi_in!D33/SER_hh_num_in!D33)</f>
        <v>0</v>
      </c>
      <c r="E33" s="68">
        <f>IF(SER_hh_emi_in!E33=0,0,1000000*SER_hh_emi_in!E33/SER_hh_num_in!E33)</f>
        <v>0</v>
      </c>
      <c r="F33" s="68">
        <f>IF(SER_hh_emi_in!F33=0,0,1000000*SER_hh_emi_in!F33/SER_hh_num_in!F33)</f>
        <v>0</v>
      </c>
      <c r="G33" s="68">
        <f>IF(SER_hh_emi_in!G33=0,0,1000000*SER_hh_emi_in!G33/SER_hh_num_in!G33)</f>
        <v>0</v>
      </c>
      <c r="H33" s="68">
        <f>IF(SER_hh_emi_in!H33=0,0,1000000*SER_hh_emi_in!H33/SER_hh_num_in!H33)</f>
        <v>0</v>
      </c>
      <c r="I33" s="68">
        <f>IF(SER_hh_emi_in!I33=0,0,1000000*SER_hh_emi_in!I33/SER_hh_num_in!I33)</f>
        <v>0</v>
      </c>
      <c r="J33" s="68">
        <f>IF(SER_hh_emi_in!J33=0,0,1000000*SER_hh_emi_in!J33/SER_hh_num_in!J33)</f>
        <v>0</v>
      </c>
      <c r="K33" s="68">
        <f>IF(SER_hh_emi_in!K33=0,0,1000000*SER_hh_emi_in!K33/SER_hh_num_in!K33)</f>
        <v>0</v>
      </c>
      <c r="L33" s="68">
        <f>IF(SER_hh_emi_in!L33=0,0,1000000*SER_hh_emi_in!L33/SER_hh_num_in!L33)</f>
        <v>0</v>
      </c>
      <c r="M33" s="68">
        <f>IF(SER_hh_emi_in!M33=0,0,1000000*SER_hh_emi_in!M33/SER_hh_num_in!M33)</f>
        <v>0</v>
      </c>
      <c r="N33" s="68">
        <f>IF(SER_hh_emi_in!N33=0,0,1000000*SER_hh_emi_in!N33/SER_hh_num_in!N33)</f>
        <v>0</v>
      </c>
      <c r="O33" s="68">
        <f>IF(SER_hh_emi_in!O33=0,0,1000000*SER_hh_emi_in!O33/SER_hh_num_in!O33)</f>
        <v>0</v>
      </c>
      <c r="P33" s="68">
        <f>IF(SER_hh_emi_in!P33=0,0,1000000*SER_hh_emi_in!P33/SER_hh_num_in!P33)</f>
        <v>0</v>
      </c>
      <c r="Q33" s="68">
        <f>IF(SER_hh_emi_in!Q33=0,0,1000000*SER_hh_emi_in!Q33/SER_hh_num_in!Q33)</f>
        <v>0</v>
      </c>
      <c r="R33" s="68">
        <f>IF(SER_hh_emi_in!R33=0,0,1000000*SER_hh_emi_in!R33/SER_hh_num_in!R33)</f>
        <v>0</v>
      </c>
      <c r="S33" s="68">
        <f>IF(SER_hh_emi_in!S33=0,0,1000000*SER_hh_emi_in!S33/SER_hh_num_in!S33)</f>
        <v>0</v>
      </c>
      <c r="T33" s="68">
        <f>IF(SER_hh_emi_in!T33=0,0,1000000*SER_hh_emi_in!T33/SER_hh_num_in!T33)</f>
        <v>0</v>
      </c>
      <c r="U33" s="68">
        <f>IF(SER_hh_emi_in!U33=0,0,1000000*SER_hh_emi_in!U33/SER_hh_num_in!U33)</f>
        <v>0</v>
      </c>
      <c r="V33" s="68">
        <f>IF(SER_hh_emi_in!V33=0,0,1000000*SER_hh_emi_in!V33/SER_hh_num_in!V33)</f>
        <v>0</v>
      </c>
      <c r="W33" s="68">
        <f>IF(SER_hh_emi_in!W33=0,0,1000000*SER_hh_emi_in!W33/SER_hh_num_in!W33)</f>
        <v>0</v>
      </c>
      <c r="X33" s="68">
        <f>IF(SER_hh_emi_in!X33=0,0,1000000*SER_hh_emi_in!X33/SER_hh_num_in!X33)</f>
        <v>0</v>
      </c>
      <c r="Y33" s="68">
        <f>IF(SER_hh_emi_in!Y33=0,0,1000000*SER_hh_emi_in!Y33/SER_hh_num_in!Y33)</f>
        <v>0</v>
      </c>
      <c r="DA33" s="111" t="s">
        <v>815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8">
    <tabColor theme="6" tint="0.79998168889431442"/>
    <pageSetUpPr fitToPage="1"/>
  </sheetPr>
  <dimension ref="A1:DA33"/>
  <sheetViews>
    <sheetView showGridLines="0" zoomScaleNormal="100" workbookViewId="0">
      <pane xSplit="1" ySplit="1" topLeftCell="G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40.7109375" style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25.5" customHeight="1" x14ac:dyDescent="0.25">
      <c r="A1" s="28" t="s">
        <v>816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X1" s="27">
        <v>2022</v>
      </c>
      <c r="Y1" s="27">
        <v>2023</v>
      </c>
      <c r="DA1" s="87" t="s">
        <v>150</v>
      </c>
    </row>
    <row r="2" spans="1:105" s="2" customFormat="1" ht="12" customHeight="1" x14ac:dyDescent="0.25">
      <c r="DA2" s="7"/>
    </row>
    <row r="3" spans="1:105" ht="12.95" customHeight="1" x14ac:dyDescent="0.25">
      <c r="A3" s="123" t="s">
        <v>90</v>
      </c>
      <c r="B3" s="125"/>
      <c r="C3" s="125">
        <f>IF(SER_hh_fech_in!C3=0,0,SER_hh_fech_in!C3/SER_summary!C$27)</f>
        <v>475.42283720311207</v>
      </c>
      <c r="D3" s="125">
        <f>IF(SER_hh_fech_in!D3=0,0,SER_hh_fech_in!D3/SER_summary!D$27)</f>
        <v>292.42664409589753</v>
      </c>
      <c r="E3" s="125">
        <f>IF(SER_hh_fech_in!E3=0,0,SER_hh_fech_in!E3/SER_summary!E$27)</f>
        <v>425.94572375634334</v>
      </c>
      <c r="F3" s="125">
        <f>IF(SER_hh_fech_in!F3=0,0,SER_hh_fech_in!F3/SER_summary!F$27)</f>
        <v>489.71409426841473</v>
      </c>
      <c r="G3" s="125">
        <f>IF(SER_hh_fech_in!G3=0,0,SER_hh_fech_in!G3/SER_summary!G$27)</f>
        <v>456.49119683637269</v>
      </c>
      <c r="H3" s="125">
        <f>IF(SER_hh_fech_in!H3=0,0,SER_hh_fech_in!H3/SER_summary!H$27)</f>
        <v>720.39230209164873</v>
      </c>
      <c r="I3" s="125">
        <f>IF(SER_hh_fech_in!I3=0,0,SER_hh_fech_in!I3/SER_summary!I$27)</f>
        <v>426.90475177920274</v>
      </c>
      <c r="J3" s="125">
        <f>IF(SER_hh_fech_in!J3=0,0,SER_hh_fech_in!J3/SER_summary!J$27)</f>
        <v>360.57424525574294</v>
      </c>
      <c r="K3" s="125">
        <f>IF(SER_hh_fech_in!K3=0,0,SER_hh_fech_in!K3/SER_summary!K$27)</f>
        <v>329.33633939228775</v>
      </c>
      <c r="L3" s="125">
        <f>IF(SER_hh_fech_in!L3=0,0,SER_hh_fech_in!L3/SER_summary!L$27)</f>
        <v>335.55318969702034</v>
      </c>
      <c r="M3" s="125">
        <f>IF(SER_hh_fech_in!M3=0,0,SER_hh_fech_in!M3/SER_summary!M$27)</f>
        <v>323.1390645674428</v>
      </c>
      <c r="N3" s="125">
        <f>IF(SER_hh_fech_in!N3=0,0,SER_hh_fech_in!N3/SER_summary!N$27)</f>
        <v>295.30198027295893</v>
      </c>
      <c r="O3" s="125">
        <f>IF(SER_hh_fech_in!O3=0,0,SER_hh_fech_in!O3/SER_summary!O$27)</f>
        <v>272.90813621322206</v>
      </c>
      <c r="P3" s="125">
        <f>IF(SER_hh_fech_in!P3=0,0,SER_hh_fech_in!P3/SER_summary!P$27)</f>
        <v>252.36408424573065</v>
      </c>
      <c r="Q3" s="125">
        <f>IF(SER_hh_fech_in!Q3=0,0,SER_hh_fech_in!Q3/SER_summary!Q$27)</f>
        <v>254.29161407665524</v>
      </c>
      <c r="R3" s="125">
        <f>IF(SER_hh_fech_in!R3=0,0,SER_hh_fech_in!R3/SER_summary!R$27)</f>
        <v>239.12876325187162</v>
      </c>
      <c r="S3" s="125">
        <f>IF(SER_hh_fech_in!S3=0,0,SER_hh_fech_in!S3/SER_summary!S$27)</f>
        <v>230.94295023590021</v>
      </c>
      <c r="T3" s="125">
        <f>IF(SER_hh_fech_in!T3=0,0,SER_hh_fech_in!T3/SER_summary!T$27)</f>
        <v>214.44322676335875</v>
      </c>
      <c r="U3" s="125">
        <f>IF(SER_hh_fech_in!U3=0,0,SER_hh_fech_in!U3/SER_summary!U$27)</f>
        <v>199.62888822031735</v>
      </c>
      <c r="V3" s="125">
        <f>IF(SER_hh_fech_in!V3=0,0,SER_hh_fech_in!V3/SER_summary!V$27)</f>
        <v>171.2552436280809</v>
      </c>
      <c r="W3" s="125">
        <f>IF(SER_hh_fech_in!W3=0,0,SER_hh_fech_in!W3/SER_summary!W$27)</f>
        <v>178.48309427556114</v>
      </c>
      <c r="X3" s="125">
        <f>IF(SER_hh_fech_in!X3=0,0,SER_hh_fech_in!X3/SER_summary!X$27)</f>
        <v>162.01670648241188</v>
      </c>
      <c r="Y3" s="125">
        <f>IF(SER_hh_fech_in!Y3=0,0,SER_hh_fech_in!Y3/SER_summary!Y$27)</f>
        <v>139.23087901391446</v>
      </c>
      <c r="DA3" s="154" t="s">
        <v>817</v>
      </c>
    </row>
    <row r="4" spans="1:105" ht="12.95" customHeight="1" x14ac:dyDescent="0.25">
      <c r="A4" s="129" t="s">
        <v>32</v>
      </c>
      <c r="B4" s="130"/>
      <c r="C4" s="130">
        <f>IF(SER_hh_fech_in!C4=0,0,SER_hh_fech_in!C4/SER_summary!C$27)</f>
        <v>366.16682858460155</v>
      </c>
      <c r="D4" s="130">
        <f>IF(SER_hh_fech_in!D4=0,0,SER_hh_fech_in!D4/SER_summary!D$27)</f>
        <v>235.03464889688337</v>
      </c>
      <c r="E4" s="130">
        <f>IF(SER_hh_fech_in!E4=0,0,SER_hh_fech_in!E4/SER_summary!E$27)</f>
        <v>320.5113175070091</v>
      </c>
      <c r="F4" s="130">
        <f>IF(SER_hh_fech_in!F4=0,0,SER_hh_fech_in!F4/SER_summary!F$27)</f>
        <v>349.15510489390124</v>
      </c>
      <c r="G4" s="130">
        <f>IF(SER_hh_fech_in!G4=0,0,SER_hh_fech_in!G4/SER_summary!G$27)</f>
        <v>337.83431450508937</v>
      </c>
      <c r="H4" s="130">
        <f>IF(SER_hh_fech_in!H4=0,0,SER_hh_fech_in!H4/SER_summary!H$27)</f>
        <v>604.60599846663467</v>
      </c>
      <c r="I4" s="130">
        <f>IF(SER_hh_fech_in!I4=0,0,SER_hh_fech_in!I4/SER_summary!I$27)</f>
        <v>333.5261296358712</v>
      </c>
      <c r="J4" s="130">
        <f>IF(SER_hh_fech_in!J4=0,0,SER_hh_fech_in!J4/SER_summary!J$27)</f>
        <v>241.35926502694528</v>
      </c>
      <c r="K4" s="130">
        <f>IF(SER_hh_fech_in!K4=0,0,SER_hh_fech_in!K4/SER_summary!K$27)</f>
        <v>209.96486850298459</v>
      </c>
      <c r="L4" s="130">
        <f>IF(SER_hh_fech_in!L4=0,0,SER_hh_fech_in!L4/SER_summary!L$27)</f>
        <v>224.41242775240531</v>
      </c>
      <c r="M4" s="130">
        <f>IF(SER_hh_fech_in!M4=0,0,SER_hh_fech_in!M4/SER_summary!M$27)</f>
        <v>209.85333696605178</v>
      </c>
      <c r="N4" s="130">
        <f>IF(SER_hh_fech_in!N4=0,0,SER_hh_fech_in!N4/SER_summary!N$27)</f>
        <v>173.43426694780928</v>
      </c>
      <c r="O4" s="130">
        <f>IF(SER_hh_fech_in!O4=0,0,SER_hh_fech_in!O4/SER_summary!O$27)</f>
        <v>154.02925860951962</v>
      </c>
      <c r="P4" s="130">
        <f>IF(SER_hh_fech_in!P4=0,0,SER_hh_fech_in!P4/SER_summary!P$27)</f>
        <v>131.86275693552861</v>
      </c>
      <c r="Q4" s="130">
        <f>IF(SER_hh_fech_in!Q4=0,0,SER_hh_fech_in!Q4/SER_summary!Q$27)</f>
        <v>132.72041805674479</v>
      </c>
      <c r="R4" s="130">
        <f>IF(SER_hh_fech_in!R4=0,0,SER_hh_fech_in!R4/SER_summary!R$27)</f>
        <v>124.88367643796727</v>
      </c>
      <c r="S4" s="130">
        <f>IF(SER_hh_fech_in!S4=0,0,SER_hh_fech_in!S4/SER_summary!S$27)</f>
        <v>120.21401371405183</v>
      </c>
      <c r="T4" s="130">
        <f>IF(SER_hh_fech_in!T4=0,0,SER_hh_fech_in!T4/SER_summary!T$27)</f>
        <v>109.86763328687432</v>
      </c>
      <c r="U4" s="130">
        <f>IF(SER_hh_fech_in!U4=0,0,SER_hh_fech_in!U4/SER_summary!U$27)</f>
        <v>97.9125018106824</v>
      </c>
      <c r="V4" s="130">
        <f>IF(SER_hh_fech_in!V4=0,0,SER_hh_fech_in!V4/SER_summary!V$27)</f>
        <v>79.640745275507456</v>
      </c>
      <c r="W4" s="130">
        <f>IF(SER_hh_fech_in!W4=0,0,SER_hh_fech_in!W4/SER_summary!W$27)</f>
        <v>79.363601283837724</v>
      </c>
      <c r="X4" s="130">
        <f>IF(SER_hh_fech_in!X4=0,0,SER_hh_fech_in!X4/SER_summary!X$27)</f>
        <v>62.445691341397264</v>
      </c>
      <c r="Y4" s="130">
        <f>IF(SER_hh_fech_in!Y4=0,0,SER_hh_fech_in!Y4/SER_summary!Y$27)</f>
        <v>32.614673772814719</v>
      </c>
      <c r="DA4" s="155" t="s">
        <v>818</v>
      </c>
    </row>
    <row r="5" spans="1:105" ht="12" customHeight="1" x14ac:dyDescent="0.25">
      <c r="A5" s="131" t="s">
        <v>29</v>
      </c>
      <c r="B5" s="132"/>
      <c r="C5" s="132">
        <f>IF(SER_hh_fech_in!C5=0,0,SER_hh_fech_in!C5/SER_summary!C$27)</f>
        <v>406.50052685700484</v>
      </c>
      <c r="D5" s="132">
        <f>IF(SER_hh_fech_in!D5=0,0,SER_hh_fech_in!D5/SER_summary!D$27)</f>
        <v>254.6839140813147</v>
      </c>
      <c r="E5" s="132">
        <f>IF(SER_hh_fech_in!E5=0,0,SER_hh_fech_in!E5/SER_summary!E$27)</f>
        <v>0</v>
      </c>
      <c r="F5" s="132">
        <f>IF(SER_hh_fech_in!F5=0,0,SER_hh_fech_in!F5/SER_summary!F$27)</f>
        <v>0</v>
      </c>
      <c r="G5" s="132">
        <f>IF(SER_hh_fech_in!G5=0,0,SER_hh_fech_in!G5/SER_summary!G$27)</f>
        <v>0</v>
      </c>
      <c r="H5" s="132">
        <f>IF(SER_hh_fech_in!H5=0,0,SER_hh_fech_in!H5/SER_summary!H$27)</f>
        <v>680.90910175091221</v>
      </c>
      <c r="I5" s="132">
        <f>IF(SER_hh_fech_in!I5=0,0,SER_hh_fech_in!I5/SER_summary!I$27)</f>
        <v>0</v>
      </c>
      <c r="J5" s="132">
        <f>IF(SER_hh_fech_in!J5=0,0,SER_hh_fech_in!J5/SER_summary!J$27)</f>
        <v>0</v>
      </c>
      <c r="K5" s="132">
        <f>IF(SER_hh_fech_in!K5=0,0,SER_hh_fech_in!K5/SER_summary!K$27)</f>
        <v>0</v>
      </c>
      <c r="L5" s="132">
        <f>IF(SER_hh_fech_in!L5=0,0,SER_hh_fech_in!L5/SER_summary!L$27)</f>
        <v>234.54270591787363</v>
      </c>
      <c r="M5" s="132">
        <f>IF(SER_hh_fech_in!M5=0,0,SER_hh_fech_in!M5/SER_summary!M$27)</f>
        <v>248.6242605253112</v>
      </c>
      <c r="N5" s="132">
        <f>IF(SER_hh_fech_in!N5=0,0,SER_hh_fech_in!N5/SER_summary!N$27)</f>
        <v>130.14270866490847</v>
      </c>
      <c r="O5" s="132">
        <f>IF(SER_hh_fech_in!O5=0,0,SER_hh_fech_in!O5/SER_summary!O$27)</f>
        <v>191.21108294203478</v>
      </c>
      <c r="P5" s="132">
        <f>IF(SER_hh_fech_in!P5=0,0,SER_hh_fech_in!P5/SER_summary!P$27)</f>
        <v>114.55223272362846</v>
      </c>
      <c r="Q5" s="132">
        <f>IF(SER_hh_fech_in!Q5=0,0,SER_hh_fech_in!Q5/SER_summary!Q$27)</f>
        <v>114.31865480756606</v>
      </c>
      <c r="R5" s="132">
        <f>IF(SER_hh_fech_in!R5=0,0,SER_hh_fech_in!R5/SER_summary!R$27)</f>
        <v>192.03459989893915</v>
      </c>
      <c r="S5" s="132">
        <f>IF(SER_hh_fech_in!S5=0,0,SER_hh_fech_in!S5/SER_summary!S$27)</f>
        <v>0</v>
      </c>
      <c r="T5" s="132">
        <f>IF(SER_hh_fech_in!T5=0,0,SER_hh_fech_in!T5/SER_summary!T$27)</f>
        <v>169.13740341231593</v>
      </c>
      <c r="U5" s="132">
        <f>IF(SER_hh_fech_in!U5=0,0,SER_hh_fech_in!U5/SER_summary!U$27)</f>
        <v>0</v>
      </c>
      <c r="V5" s="132">
        <f>IF(SER_hh_fech_in!V5=0,0,SER_hh_fech_in!V5/SER_summary!V$27)</f>
        <v>0</v>
      </c>
      <c r="W5" s="132">
        <f>IF(SER_hh_fech_in!W5=0,0,SER_hh_fech_in!W5/SER_summary!W$27)</f>
        <v>0</v>
      </c>
      <c r="X5" s="132">
        <f>IF(SER_hh_fech_in!X5=0,0,SER_hh_fech_in!X5/SER_summary!X$27)</f>
        <v>0</v>
      </c>
      <c r="Y5" s="132">
        <f>IF(SER_hh_fech_in!Y5=0,0,SER_hh_fech_in!Y5/SER_summary!Y$27)</f>
        <v>0</v>
      </c>
      <c r="DA5" s="156" t="s">
        <v>819</v>
      </c>
    </row>
    <row r="6" spans="1:105" ht="12" customHeight="1" x14ac:dyDescent="0.25">
      <c r="A6" s="131" t="s">
        <v>52</v>
      </c>
      <c r="B6" s="132"/>
      <c r="C6" s="132">
        <f>IF(SER_hh_fech_in!C6=0,0,SER_hh_fech_in!C6/SER_summary!C$27)</f>
        <v>0</v>
      </c>
      <c r="D6" s="132">
        <f>IF(SER_hh_fech_in!D6=0,0,SER_hh_fech_in!D6/SER_summary!D$27)</f>
        <v>0</v>
      </c>
      <c r="E6" s="132">
        <f>IF(SER_hh_fech_in!E6=0,0,SER_hh_fech_in!E6/SER_summary!E$27)</f>
        <v>0</v>
      </c>
      <c r="F6" s="132">
        <f>IF(SER_hh_fech_in!F6=0,0,SER_hh_fech_in!F6/SER_summary!F$27)</f>
        <v>0</v>
      </c>
      <c r="G6" s="132">
        <f>IF(SER_hh_fech_in!G6=0,0,SER_hh_fech_in!G6/SER_summary!G$27)</f>
        <v>0</v>
      </c>
      <c r="H6" s="132">
        <f>IF(SER_hh_fech_in!H6=0,0,SER_hh_fech_in!H6/SER_summary!H$27)</f>
        <v>0</v>
      </c>
      <c r="I6" s="132">
        <f>IF(SER_hh_fech_in!I6=0,0,SER_hh_fech_in!I6/SER_summary!I$27)</f>
        <v>0</v>
      </c>
      <c r="J6" s="132">
        <f>IF(SER_hh_fech_in!J6=0,0,SER_hh_fech_in!J6/SER_summary!J$27)</f>
        <v>0</v>
      </c>
      <c r="K6" s="132">
        <f>IF(SER_hh_fech_in!K6=0,0,SER_hh_fech_in!K6/SER_summary!K$27)</f>
        <v>0</v>
      </c>
      <c r="L6" s="132">
        <f>IF(SER_hh_fech_in!L6=0,0,SER_hh_fech_in!L6/SER_summary!L$27)</f>
        <v>0</v>
      </c>
      <c r="M6" s="132">
        <f>IF(SER_hh_fech_in!M6=0,0,SER_hh_fech_in!M6/SER_summary!M$27)</f>
        <v>0</v>
      </c>
      <c r="N6" s="132">
        <f>IF(SER_hh_fech_in!N6=0,0,SER_hh_fech_in!N6/SER_summary!N$27)</f>
        <v>0</v>
      </c>
      <c r="O6" s="132">
        <f>IF(SER_hh_fech_in!O6=0,0,SER_hh_fech_in!O6/SER_summary!O$27)</f>
        <v>0</v>
      </c>
      <c r="P6" s="132">
        <f>IF(SER_hh_fech_in!P6=0,0,SER_hh_fech_in!P6/SER_summary!P$27)</f>
        <v>0</v>
      </c>
      <c r="Q6" s="132">
        <f>IF(SER_hh_fech_in!Q6=0,0,SER_hh_fech_in!Q6/SER_summary!Q$27)</f>
        <v>0</v>
      </c>
      <c r="R6" s="132">
        <f>IF(SER_hh_fech_in!R6=0,0,SER_hh_fech_in!R6/SER_summary!R$27)</f>
        <v>0</v>
      </c>
      <c r="S6" s="132">
        <f>IF(SER_hh_fech_in!S6=0,0,SER_hh_fech_in!S6/SER_summary!S$27)</f>
        <v>0</v>
      </c>
      <c r="T6" s="132">
        <f>IF(SER_hh_fech_in!T6=0,0,SER_hh_fech_in!T6/SER_summary!T$27)</f>
        <v>0</v>
      </c>
      <c r="U6" s="132">
        <f>IF(SER_hh_fech_in!U6=0,0,SER_hh_fech_in!U6/SER_summary!U$27)</f>
        <v>0</v>
      </c>
      <c r="V6" s="132">
        <f>IF(SER_hh_fech_in!V6=0,0,SER_hh_fech_in!V6/SER_summary!V$27)</f>
        <v>0</v>
      </c>
      <c r="W6" s="132">
        <f>IF(SER_hh_fech_in!W6=0,0,SER_hh_fech_in!W6/SER_summary!W$27)</f>
        <v>0</v>
      </c>
      <c r="X6" s="132">
        <f>IF(SER_hh_fech_in!X6=0,0,SER_hh_fech_in!X6/SER_summary!X$27)</f>
        <v>0</v>
      </c>
      <c r="Y6" s="132">
        <f>IF(SER_hh_fech_in!Y6=0,0,SER_hh_fech_in!Y6/SER_summary!Y$27)</f>
        <v>0</v>
      </c>
      <c r="DA6" s="156" t="s">
        <v>820</v>
      </c>
    </row>
    <row r="7" spans="1:105" ht="12" customHeight="1" x14ac:dyDescent="0.25">
      <c r="A7" s="131" t="s">
        <v>161</v>
      </c>
      <c r="B7" s="132"/>
      <c r="C7" s="132">
        <f>IF(SER_hh_fech_in!C7=0,0,SER_hh_fech_in!C7/SER_summary!C$27)</f>
        <v>267.34132459113408</v>
      </c>
      <c r="D7" s="132">
        <f>IF(SER_hh_fech_in!D7=0,0,SER_hh_fech_in!D7/SER_summary!D$27)</f>
        <v>278.40974683397303</v>
      </c>
      <c r="E7" s="132">
        <f>IF(SER_hh_fech_in!E7=0,0,SER_hh_fech_in!E7/SER_summary!E$27)</f>
        <v>243.79838183796429</v>
      </c>
      <c r="F7" s="132">
        <f>IF(SER_hh_fech_in!F7=0,0,SER_hh_fech_in!F7/SER_summary!F$27)</f>
        <v>408.7614640001986</v>
      </c>
      <c r="G7" s="132">
        <f>IF(SER_hh_fech_in!G7=0,0,SER_hh_fech_in!G7/SER_summary!G$27)</f>
        <v>0</v>
      </c>
      <c r="H7" s="132">
        <f>IF(SER_hh_fech_in!H7=0,0,SER_hh_fech_in!H7/SER_summary!H$27)</f>
        <v>0</v>
      </c>
      <c r="I7" s="132">
        <f>IF(SER_hh_fech_in!I7=0,0,SER_hh_fech_in!I7/SER_summary!I$27)</f>
        <v>0</v>
      </c>
      <c r="J7" s="132">
        <f>IF(SER_hh_fech_in!J7=0,0,SER_hh_fech_in!J7/SER_summary!J$27)</f>
        <v>0</v>
      </c>
      <c r="K7" s="132">
        <f>IF(SER_hh_fech_in!K7=0,0,SER_hh_fech_in!K7/SER_summary!K$27)</f>
        <v>0</v>
      </c>
      <c r="L7" s="132">
        <f>IF(SER_hh_fech_in!L7=0,0,SER_hh_fech_in!L7/SER_summary!L$27)</f>
        <v>172.8424667621988</v>
      </c>
      <c r="M7" s="132">
        <f>IF(SER_hh_fech_in!M7=0,0,SER_hh_fech_in!M7/SER_summary!M$27)</f>
        <v>288.64708585480184</v>
      </c>
      <c r="N7" s="132">
        <f>IF(SER_hh_fech_in!N7=0,0,SER_hh_fech_in!N7/SER_summary!N$27)</f>
        <v>213.75981033455813</v>
      </c>
      <c r="O7" s="132">
        <f>IF(SER_hh_fech_in!O7=0,0,SER_hh_fech_in!O7/SER_summary!O$27)</f>
        <v>148.92489651342291</v>
      </c>
      <c r="P7" s="132">
        <f>IF(SER_hh_fech_in!P7=0,0,SER_hh_fech_in!P7/SER_summary!P$27)</f>
        <v>124.70821518471746</v>
      </c>
      <c r="Q7" s="132">
        <f>IF(SER_hh_fech_in!Q7=0,0,SER_hh_fech_in!Q7/SER_summary!Q$27)</f>
        <v>117.38853522052133</v>
      </c>
      <c r="R7" s="132">
        <f>IF(SER_hh_fech_in!R7=0,0,SER_hh_fech_in!R7/SER_summary!R$27)</f>
        <v>107.51025099140831</v>
      </c>
      <c r="S7" s="132">
        <f>IF(SER_hh_fech_in!S7=0,0,SER_hh_fech_in!S7/SER_summary!S$27)</f>
        <v>124.41224164134096</v>
      </c>
      <c r="T7" s="132">
        <f>IF(SER_hh_fech_in!T7=0,0,SER_hh_fech_in!T7/SER_summary!T$27)</f>
        <v>118.08601210011329</v>
      </c>
      <c r="U7" s="132">
        <f>IF(SER_hh_fech_in!U7=0,0,SER_hh_fech_in!U7/SER_summary!U$27)</f>
        <v>101.67095682933648</v>
      </c>
      <c r="V7" s="132">
        <f>IF(SER_hh_fech_in!V7=0,0,SER_hh_fech_in!V7/SER_summary!V$27)</f>
        <v>78.012883684688902</v>
      </c>
      <c r="W7" s="132">
        <f>IF(SER_hh_fech_in!W7=0,0,SER_hh_fech_in!W7/SER_summary!W$27)</f>
        <v>92.13592680151676</v>
      </c>
      <c r="X7" s="132">
        <f>IF(SER_hh_fech_in!X7=0,0,SER_hh_fech_in!X7/SER_summary!X$27)</f>
        <v>76.003807078930834</v>
      </c>
      <c r="Y7" s="132">
        <f>IF(SER_hh_fech_in!Y7=0,0,SER_hh_fech_in!Y7/SER_summary!Y$27)</f>
        <v>79.867464631573171</v>
      </c>
      <c r="DA7" s="156" t="s">
        <v>821</v>
      </c>
    </row>
    <row r="8" spans="1:105" ht="12" customHeight="1" x14ac:dyDescent="0.25">
      <c r="A8" s="131" t="s">
        <v>73</v>
      </c>
      <c r="B8" s="132"/>
      <c r="C8" s="132">
        <f>IF(SER_hh_fech_in!C8=0,0,SER_hh_fech_in!C8/SER_summary!C$27)</f>
        <v>0</v>
      </c>
      <c r="D8" s="132">
        <f>IF(SER_hh_fech_in!D8=0,0,SER_hh_fech_in!D8/SER_summary!D$27)</f>
        <v>0</v>
      </c>
      <c r="E8" s="132">
        <f>IF(SER_hh_fech_in!E8=0,0,SER_hh_fech_in!E8/SER_summary!E$27)</f>
        <v>0</v>
      </c>
      <c r="F8" s="132">
        <f>IF(SER_hh_fech_in!F8=0,0,SER_hh_fech_in!F8/SER_summary!F$27)</f>
        <v>0</v>
      </c>
      <c r="G8" s="132">
        <f>IF(SER_hh_fech_in!G8=0,0,SER_hh_fech_in!G8/SER_summary!G$27)</f>
        <v>0</v>
      </c>
      <c r="H8" s="132">
        <f>IF(SER_hh_fech_in!H8=0,0,SER_hh_fech_in!H8/SER_summary!H$27)</f>
        <v>0</v>
      </c>
      <c r="I8" s="132">
        <f>IF(SER_hh_fech_in!I8=0,0,SER_hh_fech_in!I8/SER_summary!I$27)</f>
        <v>0</v>
      </c>
      <c r="J8" s="132">
        <f>IF(SER_hh_fech_in!J8=0,0,SER_hh_fech_in!J8/SER_summary!J$27)</f>
        <v>0</v>
      </c>
      <c r="K8" s="132">
        <f>IF(SER_hh_fech_in!K8=0,0,SER_hh_fech_in!K8/SER_summary!K$27)</f>
        <v>0</v>
      </c>
      <c r="L8" s="132">
        <f>IF(SER_hh_fech_in!L8=0,0,SER_hh_fech_in!L8/SER_summary!L$27)</f>
        <v>0</v>
      </c>
      <c r="M8" s="132">
        <f>IF(SER_hh_fech_in!M8=0,0,SER_hh_fech_in!M8/SER_summary!M$27)</f>
        <v>0</v>
      </c>
      <c r="N8" s="132">
        <f>IF(SER_hh_fech_in!N8=0,0,SER_hh_fech_in!N8/SER_summary!N$27)</f>
        <v>0</v>
      </c>
      <c r="O8" s="132">
        <f>IF(SER_hh_fech_in!O8=0,0,SER_hh_fech_in!O8/SER_summary!O$27)</f>
        <v>0</v>
      </c>
      <c r="P8" s="132">
        <f>IF(SER_hh_fech_in!P8=0,0,SER_hh_fech_in!P8/SER_summary!P$27)</f>
        <v>0</v>
      </c>
      <c r="Q8" s="132">
        <f>IF(SER_hh_fech_in!Q8=0,0,SER_hh_fech_in!Q8/SER_summary!Q$27)</f>
        <v>0</v>
      </c>
      <c r="R8" s="132">
        <f>IF(SER_hh_fech_in!R8=0,0,SER_hh_fech_in!R8/SER_summary!R$27)</f>
        <v>0</v>
      </c>
      <c r="S8" s="132">
        <f>IF(SER_hh_fech_in!S8=0,0,SER_hh_fech_in!S8/SER_summary!S$27)</f>
        <v>0</v>
      </c>
      <c r="T8" s="132">
        <f>IF(SER_hh_fech_in!T8=0,0,SER_hh_fech_in!T8/SER_summary!T$27)</f>
        <v>0</v>
      </c>
      <c r="U8" s="132">
        <f>IF(SER_hh_fech_in!U8=0,0,SER_hh_fech_in!U8/SER_summary!U$27)</f>
        <v>0</v>
      </c>
      <c r="V8" s="132">
        <f>IF(SER_hh_fech_in!V8=0,0,SER_hh_fech_in!V8/SER_summary!V$27)</f>
        <v>0</v>
      </c>
      <c r="W8" s="132">
        <f>IF(SER_hh_fech_in!W8=0,0,SER_hh_fech_in!W8/SER_summary!W$27)</f>
        <v>0</v>
      </c>
      <c r="X8" s="132">
        <f>IF(SER_hh_fech_in!X8=0,0,SER_hh_fech_in!X8/SER_summary!X$27)</f>
        <v>0</v>
      </c>
      <c r="Y8" s="132">
        <f>IF(SER_hh_fech_in!Y8=0,0,SER_hh_fech_in!Y8/SER_summary!Y$27)</f>
        <v>0</v>
      </c>
      <c r="DA8" s="156" t="s">
        <v>822</v>
      </c>
    </row>
    <row r="9" spans="1:105" ht="12" customHeight="1" x14ac:dyDescent="0.25">
      <c r="A9" s="131" t="s">
        <v>78</v>
      </c>
      <c r="B9" s="132"/>
      <c r="C9" s="132">
        <f>IF(SER_hh_fech_in!C9=0,0,SER_hh_fech_in!C9/SER_summary!C$27)</f>
        <v>681.3004400105217</v>
      </c>
      <c r="D9" s="132">
        <f>IF(SER_hh_fech_in!D9=0,0,SER_hh_fech_in!D9/SER_summary!D$27)</f>
        <v>61.31997672020649</v>
      </c>
      <c r="E9" s="132">
        <f>IF(SER_hh_fech_in!E9=0,0,SER_hh_fech_in!E9/SER_summary!E$27)</f>
        <v>332.22488584845945</v>
      </c>
      <c r="F9" s="132">
        <f>IF(SER_hh_fech_in!F9=0,0,SER_hh_fech_in!F9/SER_summary!F$27)</f>
        <v>328.76571677509293</v>
      </c>
      <c r="G9" s="132">
        <f>IF(SER_hh_fech_in!G9=0,0,SER_hh_fech_in!G9/SER_summary!G$27)</f>
        <v>327.023073841837</v>
      </c>
      <c r="H9" s="132">
        <f>IF(SER_hh_fech_in!H9=0,0,SER_hh_fech_in!H9/SER_summary!H$27)</f>
        <v>605.27769387851527</v>
      </c>
      <c r="I9" s="132">
        <f>IF(SER_hh_fech_in!I9=0,0,SER_hh_fech_in!I9/SER_summary!I$27)</f>
        <v>386.72952385972894</v>
      </c>
      <c r="J9" s="132">
        <f>IF(SER_hh_fech_in!J9=0,0,SER_hh_fech_in!J9/SER_summary!J$27)</f>
        <v>257.06980391311191</v>
      </c>
      <c r="K9" s="132">
        <f>IF(SER_hh_fech_in!K9=0,0,SER_hh_fech_in!K9/SER_summary!K$27)</f>
        <v>279.92535428665991</v>
      </c>
      <c r="L9" s="132">
        <f>IF(SER_hh_fech_in!L9=0,0,SER_hh_fech_in!L9/SER_summary!L$27)</f>
        <v>270.22814790759901</v>
      </c>
      <c r="M9" s="132">
        <f>IF(SER_hh_fech_in!M9=0,0,SER_hh_fech_in!M9/SER_summary!M$27)</f>
        <v>195.31818305079665</v>
      </c>
      <c r="N9" s="132">
        <f>IF(SER_hh_fech_in!N9=0,0,SER_hh_fech_in!N9/SER_summary!N$27)</f>
        <v>183.64410365334987</v>
      </c>
      <c r="O9" s="132">
        <f>IF(SER_hh_fech_in!O9=0,0,SER_hh_fech_in!O9/SER_summary!O$27)</f>
        <v>162.40559201723772</v>
      </c>
      <c r="P9" s="132">
        <f>IF(SER_hh_fech_in!P9=0,0,SER_hh_fech_in!P9/SER_summary!P$27)</f>
        <v>137.92023256102001</v>
      </c>
      <c r="Q9" s="132">
        <f>IF(SER_hh_fech_in!Q9=0,0,SER_hh_fech_in!Q9/SER_summary!Q$27)</f>
        <v>114.11211672685511</v>
      </c>
      <c r="R9" s="132">
        <f>IF(SER_hh_fech_in!R9=0,0,SER_hh_fech_in!R9/SER_summary!R$27)</f>
        <v>107.76338090970214</v>
      </c>
      <c r="S9" s="132">
        <f>IF(SER_hh_fech_in!S9=0,0,SER_hh_fech_in!S9/SER_summary!S$27)</f>
        <v>108.42156619104668</v>
      </c>
      <c r="T9" s="132">
        <f>IF(SER_hh_fech_in!T9=0,0,SER_hh_fech_in!T9/SER_summary!T$27)</f>
        <v>101.62446834005867</v>
      </c>
      <c r="U9" s="132">
        <f>IF(SER_hh_fech_in!U9=0,0,SER_hh_fech_in!U9/SER_summary!U$27)</f>
        <v>94.051842769087671</v>
      </c>
      <c r="V9" s="132">
        <f>IF(SER_hh_fech_in!V9=0,0,SER_hh_fech_in!V9/SER_summary!V$27)</f>
        <v>81.724706596660099</v>
      </c>
      <c r="W9" s="132">
        <f>IF(SER_hh_fech_in!W9=0,0,SER_hh_fech_in!W9/SER_summary!W$27)</f>
        <v>68.660062135693849</v>
      </c>
      <c r="X9" s="132">
        <f>IF(SER_hh_fech_in!X9=0,0,SER_hh_fech_in!X9/SER_summary!X$27)</f>
        <v>59.733251235910629</v>
      </c>
      <c r="Y9" s="132">
        <f>IF(SER_hh_fech_in!Y9=0,0,SER_hh_fech_in!Y9/SER_summary!Y$27)</f>
        <v>0</v>
      </c>
      <c r="DA9" s="156" t="s">
        <v>823</v>
      </c>
    </row>
    <row r="10" spans="1:105" ht="12" customHeight="1" x14ac:dyDescent="0.25">
      <c r="A10" s="131" t="s">
        <v>128</v>
      </c>
      <c r="B10" s="132"/>
      <c r="C10" s="132">
        <f>IF(SER_hh_fech_in!C10=0,0,SER_hh_fech_in!C10/SER_summary!C$27)</f>
        <v>366.12135794397972</v>
      </c>
      <c r="D10" s="132">
        <f>IF(SER_hh_fech_in!D10=0,0,SER_hh_fech_in!D10/SER_summary!D$27)</f>
        <v>274.57107770815969</v>
      </c>
      <c r="E10" s="132">
        <f>IF(SER_hh_fech_in!E10=0,0,SER_hh_fech_in!E10/SER_summary!E$27)</f>
        <v>0</v>
      </c>
      <c r="F10" s="132">
        <f>IF(SER_hh_fech_in!F10=0,0,SER_hh_fech_in!F10/SER_summary!F$27)</f>
        <v>0</v>
      </c>
      <c r="G10" s="132">
        <f>IF(SER_hh_fech_in!G10=0,0,SER_hh_fech_in!G10/SER_summary!G$27)</f>
        <v>0</v>
      </c>
      <c r="H10" s="132">
        <f>IF(SER_hh_fech_in!H10=0,0,SER_hh_fech_in!H10/SER_summary!H$27)</f>
        <v>0</v>
      </c>
      <c r="I10" s="132">
        <f>IF(SER_hh_fech_in!I10=0,0,SER_hh_fech_in!I10/SER_summary!I$27)</f>
        <v>0</v>
      </c>
      <c r="J10" s="132">
        <f>IF(SER_hh_fech_in!J10=0,0,SER_hh_fech_in!J10/SER_summary!J$27)</f>
        <v>311.59457552388363</v>
      </c>
      <c r="K10" s="132">
        <f>IF(SER_hh_fech_in!K10=0,0,SER_hh_fech_in!K10/SER_summary!K$27)</f>
        <v>0</v>
      </c>
      <c r="L10" s="132">
        <f>IF(SER_hh_fech_in!L10=0,0,SER_hh_fech_in!L10/SER_summary!L$27)</f>
        <v>0</v>
      </c>
      <c r="M10" s="132">
        <f>IF(SER_hh_fech_in!M10=0,0,SER_hh_fech_in!M10/SER_summary!M$27)</f>
        <v>0</v>
      </c>
      <c r="N10" s="132">
        <f>IF(SER_hh_fech_in!N10=0,0,SER_hh_fech_in!N10/SER_summary!N$27)</f>
        <v>0</v>
      </c>
      <c r="O10" s="132">
        <f>IF(SER_hh_fech_in!O10=0,0,SER_hh_fech_in!O10/SER_summary!O$27)</f>
        <v>141.01991655270481</v>
      </c>
      <c r="P10" s="132">
        <f>IF(SER_hh_fech_in!P10=0,0,SER_hh_fech_in!P10/SER_summary!P$27)</f>
        <v>110.56159534447748</v>
      </c>
      <c r="Q10" s="132">
        <f>IF(SER_hh_fech_in!Q10=0,0,SER_hh_fech_in!Q10/SER_summary!Q$27)</f>
        <v>178.03366213608308</v>
      </c>
      <c r="R10" s="132">
        <f>IF(SER_hh_fech_in!R10=0,0,SER_hh_fech_in!R10/SER_summary!R$27)</f>
        <v>179.18277163170819</v>
      </c>
      <c r="S10" s="132">
        <f>IF(SER_hh_fech_in!S10=0,0,SER_hh_fech_in!S10/SER_summary!S$27)</f>
        <v>147.4089573962078</v>
      </c>
      <c r="T10" s="132">
        <f>IF(SER_hh_fech_in!T10=0,0,SER_hh_fech_in!T10/SER_summary!T$27)</f>
        <v>138.41109277893543</v>
      </c>
      <c r="U10" s="132">
        <f>IF(SER_hh_fech_in!U10=0,0,SER_hh_fech_in!U10/SER_summary!U$27)</f>
        <v>0</v>
      </c>
      <c r="V10" s="132">
        <f>IF(SER_hh_fech_in!V10=0,0,SER_hh_fech_in!V10/SER_summary!V$27)</f>
        <v>0</v>
      </c>
      <c r="W10" s="132">
        <f>IF(SER_hh_fech_in!W10=0,0,SER_hh_fech_in!W10/SER_summary!W$27)</f>
        <v>0</v>
      </c>
      <c r="X10" s="132">
        <f>IF(SER_hh_fech_in!X10=0,0,SER_hh_fech_in!X10/SER_summary!X$27)</f>
        <v>0</v>
      </c>
      <c r="Y10" s="132">
        <f>IF(SER_hh_fech_in!Y10=0,0,SER_hh_fech_in!Y10/SER_summary!Y$27)</f>
        <v>0</v>
      </c>
      <c r="DA10" s="156" t="s">
        <v>824</v>
      </c>
    </row>
    <row r="11" spans="1:105" ht="12" customHeight="1" x14ac:dyDescent="0.25">
      <c r="A11" s="131" t="s">
        <v>25</v>
      </c>
      <c r="B11" s="132"/>
      <c r="C11" s="132">
        <f>IF(SER_hh_fech_in!C11=0,0,SER_hh_fech_in!C11/SER_summary!C$27)</f>
        <v>104.67185028507909</v>
      </c>
      <c r="D11" s="132">
        <f>IF(SER_hh_fech_in!D11=0,0,SER_hh_fech_in!D11/SER_summary!D$27)</f>
        <v>192.83219368449701</v>
      </c>
      <c r="E11" s="132">
        <f>IF(SER_hh_fech_in!E11=0,0,SER_hh_fech_in!E11/SER_summary!E$27)</f>
        <v>229.07003417011518</v>
      </c>
      <c r="F11" s="132">
        <f>IF(SER_hh_fech_in!F11=0,0,SER_hh_fech_in!F11/SER_summary!F$27)</f>
        <v>0</v>
      </c>
      <c r="G11" s="132">
        <f>IF(SER_hh_fech_in!G11=0,0,SER_hh_fech_in!G11/SER_summary!G$27)</f>
        <v>0</v>
      </c>
      <c r="H11" s="132">
        <f>IF(SER_hh_fech_in!H11=0,0,SER_hh_fech_in!H11/SER_summary!H$27)</f>
        <v>0</v>
      </c>
      <c r="I11" s="132">
        <f>IF(SER_hh_fech_in!I11=0,0,SER_hh_fech_in!I11/SER_summary!I$27)</f>
        <v>182.3951460526105</v>
      </c>
      <c r="J11" s="132">
        <f>IF(SER_hh_fech_in!J11=0,0,SER_hh_fech_in!J11/SER_summary!J$27)</f>
        <v>279.78607009657213</v>
      </c>
      <c r="K11" s="132">
        <f>IF(SER_hh_fech_in!K11=0,0,SER_hh_fech_in!K11/SER_summary!K$27)</f>
        <v>233.49223995204977</v>
      </c>
      <c r="L11" s="132">
        <f>IF(SER_hh_fech_in!L11=0,0,SER_hh_fech_in!L11/SER_summary!L$27)</f>
        <v>0</v>
      </c>
      <c r="M11" s="132">
        <f>IF(SER_hh_fech_in!M11=0,0,SER_hh_fech_in!M11/SER_summary!M$27)</f>
        <v>149.02312118801891</v>
      </c>
      <c r="N11" s="132">
        <f>IF(SER_hh_fech_in!N11=0,0,SER_hh_fech_in!N11/SER_summary!N$27)</f>
        <v>121.55206505990466</v>
      </c>
      <c r="O11" s="132">
        <f>IF(SER_hh_fech_in!O11=0,0,SER_hh_fech_in!O11/SER_summary!O$27)</f>
        <v>129.81709089705279</v>
      </c>
      <c r="P11" s="132">
        <f>IF(SER_hh_fech_in!P11=0,0,SER_hh_fech_in!P11/SER_summary!P$27)</f>
        <v>117.11265665818142</v>
      </c>
      <c r="Q11" s="132">
        <f>IF(SER_hh_fech_in!Q11=0,0,SER_hh_fech_in!Q11/SER_summary!Q$27)</f>
        <v>97.160666031653747</v>
      </c>
      <c r="R11" s="132">
        <f>IF(SER_hh_fech_in!R11=0,0,SER_hh_fech_in!R11/SER_summary!R$27)</f>
        <v>101.19747269737768</v>
      </c>
      <c r="S11" s="132">
        <f>IF(SER_hh_fech_in!S11=0,0,SER_hh_fech_in!S11/SER_summary!S$27)</f>
        <v>104.00716148233963</v>
      </c>
      <c r="T11" s="132">
        <f>IF(SER_hh_fech_in!T11=0,0,SER_hh_fech_in!T11/SER_summary!T$27)</f>
        <v>0</v>
      </c>
      <c r="U11" s="132">
        <f>IF(SER_hh_fech_in!U11=0,0,SER_hh_fech_in!U11/SER_summary!U$27)</f>
        <v>0</v>
      </c>
      <c r="V11" s="132">
        <f>IF(SER_hh_fech_in!V11=0,0,SER_hh_fech_in!V11/SER_summary!V$27)</f>
        <v>0</v>
      </c>
      <c r="W11" s="132">
        <f>IF(SER_hh_fech_in!W11=0,0,SER_hh_fech_in!W11/SER_summary!W$27)</f>
        <v>0</v>
      </c>
      <c r="X11" s="132">
        <f>IF(SER_hh_fech_in!X11=0,0,SER_hh_fech_in!X11/SER_summary!X$27)</f>
        <v>0</v>
      </c>
      <c r="Y11" s="132">
        <f>IF(SER_hh_fech_in!Y11=0,0,SER_hh_fech_in!Y11/SER_summary!Y$27)</f>
        <v>0</v>
      </c>
      <c r="DA11" s="156" t="s">
        <v>825</v>
      </c>
    </row>
    <row r="12" spans="1:105" ht="12" customHeight="1" x14ac:dyDescent="0.25">
      <c r="A12" s="131" t="s">
        <v>162</v>
      </c>
      <c r="B12" s="132"/>
      <c r="C12" s="132">
        <f>IF(SER_hh_fech_in!C12=0,0,SER_hh_fech_in!C12/SER_summary!C$27)</f>
        <v>0</v>
      </c>
      <c r="D12" s="132">
        <f>IF(SER_hh_fech_in!D12=0,0,SER_hh_fech_in!D12/SER_summary!D$27)</f>
        <v>0</v>
      </c>
      <c r="E12" s="132">
        <f>IF(SER_hh_fech_in!E12=0,0,SER_hh_fech_in!E12/SER_summary!E$27)</f>
        <v>0</v>
      </c>
      <c r="F12" s="132">
        <f>IF(SER_hh_fech_in!F12=0,0,SER_hh_fech_in!F12/SER_summary!F$27)</f>
        <v>0</v>
      </c>
      <c r="G12" s="132">
        <f>IF(SER_hh_fech_in!G12=0,0,SER_hh_fech_in!G12/SER_summary!G$27)</f>
        <v>375.80498796575546</v>
      </c>
      <c r="H12" s="132">
        <f>IF(SER_hh_fech_in!H12=0,0,SER_hh_fech_in!H12/SER_summary!H$27)</f>
        <v>297.830851468574</v>
      </c>
      <c r="I12" s="132">
        <f>IF(SER_hh_fech_in!I12=0,0,SER_hh_fech_in!I12/SER_summary!I$27)</f>
        <v>242.17516810203472</v>
      </c>
      <c r="J12" s="132">
        <f>IF(SER_hh_fech_in!J12=0,0,SER_hh_fech_in!J12/SER_summary!J$27)</f>
        <v>232.41626821373967</v>
      </c>
      <c r="K12" s="132">
        <f>IF(SER_hh_fech_in!K12=0,0,SER_hh_fech_in!K12/SER_summary!K$27)</f>
        <v>173.13869682438559</v>
      </c>
      <c r="L12" s="132">
        <f>IF(SER_hh_fech_in!L12=0,0,SER_hh_fech_in!L12/SER_summary!L$27)</f>
        <v>175.63182256653803</v>
      </c>
      <c r="M12" s="132">
        <f>IF(SER_hh_fech_in!M12=0,0,SER_hh_fech_in!M12/SER_summary!M$27)</f>
        <v>162.35543573376444</v>
      </c>
      <c r="N12" s="132">
        <f>IF(SER_hh_fech_in!N12=0,0,SER_hh_fech_in!N12/SER_summary!N$27)</f>
        <v>150.83257424971345</v>
      </c>
      <c r="O12" s="132">
        <f>IF(SER_hh_fech_in!O12=0,0,SER_hh_fech_in!O12/SER_summary!O$27)</f>
        <v>132.06484571849745</v>
      </c>
      <c r="P12" s="132">
        <f>IF(SER_hh_fech_in!P12=0,0,SER_hh_fech_in!P12/SER_summary!P$27)</f>
        <v>102.76397253940794</v>
      </c>
      <c r="Q12" s="132">
        <f>IF(SER_hh_fech_in!Q12=0,0,SER_hh_fech_in!Q12/SER_summary!Q$27)</f>
        <v>96.566786157982719</v>
      </c>
      <c r="R12" s="132">
        <f>IF(SER_hh_fech_in!R12=0,0,SER_hh_fech_in!R12/SER_summary!R$27)</f>
        <v>97.875097853384972</v>
      </c>
      <c r="S12" s="132">
        <f>IF(SER_hh_fech_in!S12=0,0,SER_hh_fech_in!S12/SER_summary!S$27)</f>
        <v>0</v>
      </c>
      <c r="T12" s="132">
        <f>IF(SER_hh_fech_in!T12=0,0,SER_hh_fech_in!T12/SER_summary!T$27)</f>
        <v>0</v>
      </c>
      <c r="U12" s="132">
        <f>IF(SER_hh_fech_in!U12=0,0,SER_hh_fech_in!U12/SER_summary!U$27)</f>
        <v>0</v>
      </c>
      <c r="V12" s="132">
        <f>IF(SER_hh_fech_in!V12=0,0,SER_hh_fech_in!V12/SER_summary!V$27)</f>
        <v>67.442838443347128</v>
      </c>
      <c r="W12" s="132">
        <f>IF(SER_hh_fech_in!W12=0,0,SER_hh_fech_in!W12/SER_summary!W$27)</f>
        <v>62.58509129884704</v>
      </c>
      <c r="X12" s="132">
        <f>IF(SER_hh_fech_in!X12=0,0,SER_hh_fech_in!X12/SER_summary!X$27)</f>
        <v>47.848317260826725</v>
      </c>
      <c r="Y12" s="132">
        <f>IF(SER_hh_fech_in!Y12=0,0,SER_hh_fech_in!Y12/SER_summary!Y$27)</f>
        <v>0</v>
      </c>
      <c r="DA12" s="156" t="s">
        <v>826</v>
      </c>
    </row>
    <row r="13" spans="1:105" ht="12" customHeight="1" x14ac:dyDescent="0.25">
      <c r="A13" s="131" t="s">
        <v>77</v>
      </c>
      <c r="B13" s="132"/>
      <c r="C13" s="132">
        <f>IF(SER_hh_fech_in!C13=0,0,SER_hh_fech_in!C13/SER_summary!C$27)</f>
        <v>0</v>
      </c>
      <c r="D13" s="132">
        <f>IF(SER_hh_fech_in!D13=0,0,SER_hh_fech_in!D13/SER_summary!D$27)</f>
        <v>0</v>
      </c>
      <c r="E13" s="132">
        <f>IF(SER_hh_fech_in!E13=0,0,SER_hh_fech_in!E13/SER_summary!E$27)</f>
        <v>0</v>
      </c>
      <c r="F13" s="132">
        <f>IF(SER_hh_fech_in!F13=0,0,SER_hh_fech_in!F13/SER_summary!F$27)</f>
        <v>0</v>
      </c>
      <c r="G13" s="132">
        <f>IF(SER_hh_fech_in!G13=0,0,SER_hh_fech_in!G13/SER_summary!G$27)</f>
        <v>0</v>
      </c>
      <c r="H13" s="132">
        <f>IF(SER_hh_fech_in!H13=0,0,SER_hh_fech_in!H13/SER_summary!H$27)</f>
        <v>0</v>
      </c>
      <c r="I13" s="132">
        <f>IF(SER_hh_fech_in!I13=0,0,SER_hh_fech_in!I13/SER_summary!I$27)</f>
        <v>0</v>
      </c>
      <c r="J13" s="132">
        <f>IF(SER_hh_fech_in!J13=0,0,SER_hh_fech_in!J13/SER_summary!J$27)</f>
        <v>0</v>
      </c>
      <c r="K13" s="132">
        <f>IF(SER_hh_fech_in!K13=0,0,SER_hh_fech_in!K13/SER_summary!K$27)</f>
        <v>0</v>
      </c>
      <c r="L13" s="132">
        <f>IF(SER_hh_fech_in!L13=0,0,SER_hh_fech_in!L13/SER_summary!L$27)</f>
        <v>0</v>
      </c>
      <c r="M13" s="132">
        <f>IF(SER_hh_fech_in!M13=0,0,SER_hh_fech_in!M13/SER_summary!M$27)</f>
        <v>0</v>
      </c>
      <c r="N13" s="132">
        <f>IF(SER_hh_fech_in!N13=0,0,SER_hh_fech_in!N13/SER_summary!N$27)</f>
        <v>0</v>
      </c>
      <c r="O13" s="132">
        <f>IF(SER_hh_fech_in!O13=0,0,SER_hh_fech_in!O13/SER_summary!O$27)</f>
        <v>0</v>
      </c>
      <c r="P13" s="132">
        <f>IF(SER_hh_fech_in!P13=0,0,SER_hh_fech_in!P13/SER_summary!P$27)</f>
        <v>0</v>
      </c>
      <c r="Q13" s="132">
        <f>IF(SER_hh_fech_in!Q13=0,0,SER_hh_fech_in!Q13/SER_summary!Q$27)</f>
        <v>0</v>
      </c>
      <c r="R13" s="132">
        <f>IF(SER_hh_fech_in!R13=0,0,SER_hh_fech_in!R13/SER_summary!R$27)</f>
        <v>0</v>
      </c>
      <c r="S13" s="132">
        <f>IF(SER_hh_fech_in!S13=0,0,SER_hh_fech_in!S13/SER_summary!S$27)</f>
        <v>0</v>
      </c>
      <c r="T13" s="132">
        <f>IF(SER_hh_fech_in!T13=0,0,SER_hh_fech_in!T13/SER_summary!T$27)</f>
        <v>0</v>
      </c>
      <c r="U13" s="132">
        <f>IF(SER_hh_fech_in!U13=0,0,SER_hh_fech_in!U13/SER_summary!U$27)</f>
        <v>0</v>
      </c>
      <c r="V13" s="132">
        <f>IF(SER_hh_fech_in!V13=0,0,SER_hh_fech_in!V13/SER_summary!V$27)</f>
        <v>0</v>
      </c>
      <c r="W13" s="132">
        <f>IF(SER_hh_fech_in!W13=0,0,SER_hh_fech_in!W13/SER_summary!W$27)</f>
        <v>0</v>
      </c>
      <c r="X13" s="132">
        <f>IF(SER_hh_fech_in!X13=0,0,SER_hh_fech_in!X13/SER_summary!X$27)</f>
        <v>0</v>
      </c>
      <c r="Y13" s="132">
        <f>IF(SER_hh_fech_in!Y13=0,0,SER_hh_fech_in!Y13/SER_summary!Y$27)</f>
        <v>26.306370057142363</v>
      </c>
      <c r="DA13" s="156" t="s">
        <v>827</v>
      </c>
    </row>
    <row r="14" spans="1:105" ht="12" customHeight="1" x14ac:dyDescent="0.25">
      <c r="A14" s="60" t="s">
        <v>76</v>
      </c>
      <c r="B14" s="65"/>
      <c r="C14" s="65">
        <f>IF(SER_hh_fech_in!C14=0,0,SER_hh_fech_in!C14/SER_summary!C$27)</f>
        <v>0</v>
      </c>
      <c r="D14" s="65">
        <f>IF(SER_hh_fech_in!D14=0,0,SER_hh_fech_in!D14/SER_summary!D$27)</f>
        <v>0</v>
      </c>
      <c r="E14" s="65">
        <f>IF(SER_hh_fech_in!E14=0,0,SER_hh_fech_in!E14/SER_summary!E$27)</f>
        <v>0</v>
      </c>
      <c r="F14" s="65">
        <f>IF(SER_hh_fech_in!F14=0,0,SER_hh_fech_in!F14/SER_summary!F$27)</f>
        <v>0</v>
      </c>
      <c r="G14" s="65">
        <f>IF(SER_hh_fech_in!G14=0,0,SER_hh_fech_in!G14/SER_summary!G$27)</f>
        <v>259.93056893630558</v>
      </c>
      <c r="H14" s="65">
        <f>IF(SER_hh_fech_in!H14=0,0,SER_hh_fech_in!H14/SER_summary!H$27)</f>
        <v>284.40605626950145</v>
      </c>
      <c r="I14" s="65">
        <f>IF(SER_hh_fech_in!I14=0,0,SER_hh_fech_in!I14/SER_summary!I$27)</f>
        <v>383.98851597294168</v>
      </c>
      <c r="J14" s="65">
        <f>IF(SER_hh_fech_in!J14=0,0,SER_hh_fech_in!J14/SER_summary!J$27)</f>
        <v>197.72605909266719</v>
      </c>
      <c r="K14" s="65">
        <f>IF(SER_hh_fech_in!K14=0,0,SER_hh_fech_in!K14/SER_summary!K$27)</f>
        <v>160.4397441593751</v>
      </c>
      <c r="L14" s="65">
        <f>IF(SER_hh_fech_in!L14=0,0,SER_hh_fech_in!L14/SER_summary!L$27)</f>
        <v>263.60750034068536</v>
      </c>
      <c r="M14" s="65">
        <f>IF(SER_hh_fech_in!M14=0,0,SER_hh_fech_in!M14/SER_summary!M$27)</f>
        <v>209.56699372313989</v>
      </c>
      <c r="N14" s="65">
        <f>IF(SER_hh_fech_in!N14=0,0,SER_hh_fech_in!N14/SER_summary!N$27)</f>
        <v>0</v>
      </c>
      <c r="O14" s="65">
        <f>IF(SER_hh_fech_in!O14=0,0,SER_hh_fech_in!O14/SER_summary!O$27)</f>
        <v>0</v>
      </c>
      <c r="P14" s="65">
        <f>IF(SER_hh_fech_in!P14=0,0,SER_hh_fech_in!P14/SER_summary!P$27)</f>
        <v>0</v>
      </c>
      <c r="Q14" s="65">
        <f>IF(SER_hh_fech_in!Q14=0,0,SER_hh_fech_in!Q14/SER_summary!Q$27)</f>
        <v>0</v>
      </c>
      <c r="R14" s="65">
        <f>IF(SER_hh_fech_in!R14=0,0,SER_hh_fech_in!R14/SER_summary!R$27)</f>
        <v>0</v>
      </c>
      <c r="S14" s="65">
        <f>IF(SER_hh_fech_in!S14=0,0,SER_hh_fech_in!S14/SER_summary!S$27)</f>
        <v>0</v>
      </c>
      <c r="T14" s="65">
        <f>IF(SER_hh_fech_in!T14=0,0,SER_hh_fech_in!T14/SER_summary!T$27)</f>
        <v>0</v>
      </c>
      <c r="U14" s="65">
        <f>IF(SER_hh_fech_in!U14=0,0,SER_hh_fech_in!U14/SER_summary!U$27)</f>
        <v>0</v>
      </c>
      <c r="V14" s="65">
        <f>IF(SER_hh_fech_in!V14=0,0,SER_hh_fech_in!V14/SER_summary!V$27)</f>
        <v>54.632276505532055</v>
      </c>
      <c r="W14" s="65">
        <f>IF(SER_hh_fech_in!W14=0,0,SER_hh_fech_in!W14/SER_summary!W$27)</f>
        <v>40.841574797357218</v>
      </c>
      <c r="X14" s="65">
        <f>IF(SER_hh_fech_in!X14=0,0,SER_hh_fech_in!X14/SER_summary!X$27)</f>
        <v>54.015434909885407</v>
      </c>
      <c r="Y14" s="65">
        <f>IF(SER_hh_fech_in!Y14=0,0,SER_hh_fech_in!Y14/SER_summary!Y$27)</f>
        <v>78.009936292676372</v>
      </c>
      <c r="DA14" s="109" t="s">
        <v>828</v>
      </c>
    </row>
    <row r="15" spans="1:105" ht="12" customHeight="1" x14ac:dyDescent="0.25">
      <c r="A15" s="133" t="s">
        <v>80</v>
      </c>
      <c r="B15" s="134"/>
      <c r="C15" s="134">
        <f>IF(SER_hh_fech_in!C15=0,0,SER_hh_fech_in!C15/SER_summary!C$27)</f>
        <v>2.7283684404488699</v>
      </c>
      <c r="D15" s="134">
        <f>IF(SER_hh_fech_in!D15=0,0,SER_hh_fech_in!D15/SER_summary!D$27)</f>
        <v>1.8524381660172997</v>
      </c>
      <c r="E15" s="134">
        <f>IF(SER_hh_fech_in!E15=0,0,SER_hh_fech_in!E15/SER_summary!E$27)</f>
        <v>3.1170008398229583</v>
      </c>
      <c r="F15" s="134">
        <f>IF(SER_hh_fech_in!F15=0,0,SER_hh_fech_in!F15/SER_summary!F$27)</f>
        <v>3.3428093256023015</v>
      </c>
      <c r="G15" s="134">
        <f>IF(SER_hh_fech_in!G15=0,0,SER_hh_fech_in!G15/SER_summary!G$27)</f>
        <v>2.7630763551152739</v>
      </c>
      <c r="H15" s="134">
        <f>IF(SER_hh_fech_in!H15=0,0,SER_hh_fech_in!H15/SER_summary!H$27)</f>
        <v>5.8169387571552882</v>
      </c>
      <c r="I15" s="134">
        <f>IF(SER_hh_fech_in!I15=0,0,SER_hh_fech_in!I15/SER_summary!I$27)</f>
        <v>2.1097437066050073</v>
      </c>
      <c r="J15" s="134">
        <f>IF(SER_hh_fech_in!J15=0,0,SER_hh_fech_in!J15/SER_summary!J$27)</f>
        <v>1.4429276655098842</v>
      </c>
      <c r="K15" s="134">
        <f>IF(SER_hh_fech_in!K15=0,0,SER_hh_fech_in!K15/SER_summary!K$27)</f>
        <v>1.5031126487643436</v>
      </c>
      <c r="L15" s="134">
        <f>IF(SER_hh_fech_in!L15=0,0,SER_hh_fech_in!L15/SER_summary!L$27)</f>
        <v>1.438436234686058</v>
      </c>
      <c r="M15" s="134">
        <f>IF(SER_hh_fech_in!M15=0,0,SER_hh_fech_in!M15/SER_summary!M$27)</f>
        <v>1.5196184554718799</v>
      </c>
      <c r="N15" s="134">
        <f>IF(SER_hh_fech_in!N15=0,0,SER_hh_fech_in!N15/SER_summary!N$27)</f>
        <v>1.2628451944573129</v>
      </c>
      <c r="O15" s="134">
        <f>IF(SER_hh_fech_in!O15=0,0,SER_hh_fech_in!O15/SER_summary!O$27)</f>
        <v>1.2919473771743424</v>
      </c>
      <c r="P15" s="134">
        <f>IF(SER_hh_fech_in!P15=0,0,SER_hh_fech_in!P15/SER_summary!P$27)</f>
        <v>1.2314701471580198</v>
      </c>
      <c r="Q15" s="134">
        <f>IF(SER_hh_fech_in!Q15=0,0,SER_hh_fech_in!Q15/SER_summary!Q$27)</f>
        <v>1.0877329687590551</v>
      </c>
      <c r="R15" s="134">
        <f>IF(SER_hh_fech_in!R15=0,0,SER_hh_fech_in!R15/SER_summary!R$27)</f>
        <v>1.0606994873749453</v>
      </c>
      <c r="S15" s="134">
        <f>IF(SER_hh_fech_in!S15=0,0,SER_hh_fech_in!S15/SER_summary!S$27)</f>
        <v>1.201564843609026</v>
      </c>
      <c r="T15" s="134">
        <f>IF(SER_hh_fech_in!T15=0,0,SER_hh_fech_in!T15/SER_summary!T$27)</f>
        <v>1.2154578778574592</v>
      </c>
      <c r="U15" s="134">
        <f>IF(SER_hh_fech_in!U15=0,0,SER_hh_fech_in!U15/SER_summary!U$27)</f>
        <v>1.1019948028407625</v>
      </c>
      <c r="V15" s="134">
        <f>IF(SER_hh_fech_in!V15=0,0,SER_hh_fech_in!V15/SER_summary!V$27)</f>
        <v>0.85565417138337652</v>
      </c>
      <c r="W15" s="134">
        <f>IF(SER_hh_fech_in!W15=0,0,SER_hh_fech_in!W15/SER_summary!W$27)</f>
        <v>0.86701079298293726</v>
      </c>
      <c r="X15" s="134">
        <f>IF(SER_hh_fech_in!X15=0,0,SER_hh_fech_in!X15/SER_summary!X$27)</f>
        <v>0.68675317286949111</v>
      </c>
      <c r="Y15" s="134">
        <f>IF(SER_hh_fech_in!Y15=0,0,SER_hh_fech_in!Y15/SER_summary!Y$27)</f>
        <v>0.86638183074676201</v>
      </c>
      <c r="DA15" s="157" t="s">
        <v>829</v>
      </c>
    </row>
    <row r="16" spans="1:105" ht="12.95" customHeight="1" x14ac:dyDescent="0.25">
      <c r="A16" s="129" t="s">
        <v>74</v>
      </c>
      <c r="B16" s="130"/>
      <c r="C16" s="130">
        <f>IF(SER_hh_fech_in!C16=0,0,SER_hh_fech_in!C16/SER_summary!C$27)</f>
        <v>14.713471059675095</v>
      </c>
      <c r="D16" s="130">
        <f>IF(SER_hh_fech_in!D16=0,0,SER_hh_fech_in!D16/SER_summary!D$27)</f>
        <v>13.514672964802921</v>
      </c>
      <c r="E16" s="130">
        <f>IF(SER_hh_fech_in!E16=0,0,SER_hh_fech_in!E16/SER_summary!E$27)</f>
        <v>13.107555181715121</v>
      </c>
      <c r="F16" s="130">
        <f>IF(SER_hh_fech_in!F16=0,0,SER_hh_fech_in!F16/SER_summary!F$27)</f>
        <v>10.997197248508385</v>
      </c>
      <c r="G16" s="130">
        <f>IF(SER_hh_fech_in!G16=0,0,SER_hh_fech_in!G16/SER_summary!G$27)</f>
        <v>10.641994362950367</v>
      </c>
      <c r="H16" s="130">
        <f>IF(SER_hh_fech_in!H16=0,0,SER_hh_fech_in!H16/SER_summary!H$27)</f>
        <v>10.946120865837825</v>
      </c>
      <c r="I16" s="130">
        <f>IF(SER_hh_fech_in!I16=0,0,SER_hh_fech_in!I16/SER_summary!I$27)</f>
        <v>13.949264704389931</v>
      </c>
      <c r="J16" s="130">
        <f>IF(SER_hh_fech_in!J16=0,0,SER_hh_fech_in!J16/SER_summary!J$27)</f>
        <v>10.616025803573585</v>
      </c>
      <c r="K16" s="130">
        <f>IF(SER_hh_fech_in!K16=0,0,SER_hh_fech_in!K16/SER_summary!K$27)</f>
        <v>9.6957532808410587</v>
      </c>
      <c r="L16" s="130">
        <f>IF(SER_hh_fech_in!L16=0,0,SER_hh_fech_in!L16/SER_summary!L$27)</f>
        <v>11.006316250513324</v>
      </c>
      <c r="M16" s="130">
        <f>IF(SER_hh_fech_in!M16=0,0,SER_hh_fech_in!M16/SER_summary!M$27)</f>
        <v>9.0678351119106413</v>
      </c>
      <c r="N16" s="130">
        <f>IF(SER_hh_fech_in!N16=0,0,SER_hh_fech_in!N16/SER_summary!N$27)</f>
        <v>13.183323645265196</v>
      </c>
      <c r="O16" s="130">
        <f>IF(SER_hh_fech_in!O16=0,0,SER_hh_fech_in!O16/SER_summary!O$27)</f>
        <v>8.5286690618927601</v>
      </c>
      <c r="P16" s="130">
        <f>IF(SER_hh_fech_in!P16=0,0,SER_hh_fech_in!P16/SER_summary!P$27)</f>
        <v>7.6230233639996889</v>
      </c>
      <c r="Q16" s="130">
        <f>IF(SER_hh_fech_in!Q16=0,0,SER_hh_fech_in!Q16/SER_summary!Q$27)</f>
        <v>9.6044961369926689</v>
      </c>
      <c r="R16" s="130">
        <f>IF(SER_hh_fech_in!R16=0,0,SER_hh_fech_in!R16/SER_summary!R$27)</f>
        <v>7.8586067692120531</v>
      </c>
      <c r="S16" s="130">
        <f>IF(SER_hh_fech_in!S16=0,0,SER_hh_fech_in!S16/SER_summary!S$27)</f>
        <v>8.2394197273233463</v>
      </c>
      <c r="T16" s="130">
        <f>IF(SER_hh_fech_in!T16=0,0,SER_hh_fech_in!T16/SER_summary!T$27)</f>
        <v>7.0470881247077202</v>
      </c>
      <c r="U16" s="130">
        <f>IF(SER_hh_fech_in!U16=0,0,SER_hh_fech_in!U16/SER_summary!U$27)</f>
        <v>7.7325353989267276</v>
      </c>
      <c r="V16" s="130">
        <f>IF(SER_hh_fech_in!V16=0,0,SER_hh_fech_in!V16/SER_summary!V$27)</f>
        <v>6.7102009901447541</v>
      </c>
      <c r="W16" s="130">
        <f>IF(SER_hh_fech_in!W16=0,0,SER_hh_fech_in!W16/SER_summary!W$27)</f>
        <v>7.1739221787349123</v>
      </c>
      <c r="X16" s="130">
        <f>IF(SER_hh_fech_in!X16=0,0,SER_hh_fech_in!X16/SER_summary!X$27)</f>
        <v>6.9713535172544647</v>
      </c>
      <c r="Y16" s="130">
        <f>IF(SER_hh_fech_in!Y16=0,0,SER_hh_fech_in!Y16/SER_summary!Y$27)</f>
        <v>7.6465807135824466</v>
      </c>
      <c r="DA16" s="155" t="s">
        <v>830</v>
      </c>
    </row>
    <row r="17" spans="1:105" ht="12.95" customHeight="1" x14ac:dyDescent="0.25">
      <c r="A17" s="131" t="s">
        <v>73</v>
      </c>
      <c r="B17" s="132"/>
      <c r="C17" s="132">
        <f>IF(SER_hh_fech_in!C17=0,0,SER_hh_fech_in!C17/SER_summary!C$27)</f>
        <v>0</v>
      </c>
      <c r="D17" s="132">
        <f>IF(SER_hh_fech_in!D17=0,0,SER_hh_fech_in!D17/SER_summary!D$27)</f>
        <v>0</v>
      </c>
      <c r="E17" s="132">
        <f>IF(SER_hh_fech_in!E17=0,0,SER_hh_fech_in!E17/SER_summary!E$27)</f>
        <v>0</v>
      </c>
      <c r="F17" s="132">
        <f>IF(SER_hh_fech_in!F17=0,0,SER_hh_fech_in!F17/SER_summary!F$27)</f>
        <v>0</v>
      </c>
      <c r="G17" s="132">
        <f>IF(SER_hh_fech_in!G17=0,0,SER_hh_fech_in!G17/SER_summary!G$27)</f>
        <v>0</v>
      </c>
      <c r="H17" s="132">
        <f>IF(SER_hh_fech_in!H17=0,0,SER_hh_fech_in!H17/SER_summary!H$27)</f>
        <v>0</v>
      </c>
      <c r="I17" s="132">
        <f>IF(SER_hh_fech_in!I17=0,0,SER_hh_fech_in!I17/SER_summary!I$27)</f>
        <v>0</v>
      </c>
      <c r="J17" s="132">
        <f>IF(SER_hh_fech_in!J17=0,0,SER_hh_fech_in!J17/SER_summary!J$27)</f>
        <v>0</v>
      </c>
      <c r="K17" s="132">
        <f>IF(SER_hh_fech_in!K17=0,0,SER_hh_fech_in!K17/SER_summary!K$27)</f>
        <v>0</v>
      </c>
      <c r="L17" s="132">
        <f>IF(SER_hh_fech_in!L17=0,0,SER_hh_fech_in!L17/SER_summary!L$27)</f>
        <v>0</v>
      </c>
      <c r="M17" s="132">
        <f>IF(SER_hh_fech_in!M17=0,0,SER_hh_fech_in!M17/SER_summary!M$27)</f>
        <v>0</v>
      </c>
      <c r="N17" s="132">
        <f>IF(SER_hh_fech_in!N17=0,0,SER_hh_fech_in!N17/SER_summary!N$27)</f>
        <v>0</v>
      </c>
      <c r="O17" s="132">
        <f>IF(SER_hh_fech_in!O17=0,0,SER_hh_fech_in!O17/SER_summary!O$27)</f>
        <v>0</v>
      </c>
      <c r="P17" s="132">
        <f>IF(SER_hh_fech_in!P17=0,0,SER_hh_fech_in!P17/SER_summary!P$27)</f>
        <v>0</v>
      </c>
      <c r="Q17" s="132">
        <f>IF(SER_hh_fech_in!Q17=0,0,SER_hh_fech_in!Q17/SER_summary!Q$27)</f>
        <v>0</v>
      </c>
      <c r="R17" s="132">
        <f>IF(SER_hh_fech_in!R17=0,0,SER_hh_fech_in!R17/SER_summary!R$27)</f>
        <v>0</v>
      </c>
      <c r="S17" s="132">
        <f>IF(SER_hh_fech_in!S17=0,0,SER_hh_fech_in!S17/SER_summary!S$27)</f>
        <v>0</v>
      </c>
      <c r="T17" s="132">
        <f>IF(SER_hh_fech_in!T17=0,0,SER_hh_fech_in!T17/SER_summary!T$27)</f>
        <v>0</v>
      </c>
      <c r="U17" s="132">
        <f>IF(SER_hh_fech_in!U17=0,0,SER_hh_fech_in!U17/SER_summary!U$27)</f>
        <v>0</v>
      </c>
      <c r="V17" s="132">
        <f>IF(SER_hh_fech_in!V17=0,0,SER_hh_fech_in!V17/SER_summary!V$27)</f>
        <v>0</v>
      </c>
      <c r="W17" s="132">
        <f>IF(SER_hh_fech_in!W17=0,0,SER_hh_fech_in!W17/SER_summary!W$27)</f>
        <v>0</v>
      </c>
      <c r="X17" s="132">
        <f>IF(SER_hh_fech_in!X17=0,0,SER_hh_fech_in!X17/SER_summary!X$27)</f>
        <v>0</v>
      </c>
      <c r="Y17" s="132">
        <f>IF(SER_hh_fech_in!Y17=0,0,SER_hh_fech_in!Y17/SER_summary!Y$27)</f>
        <v>0</v>
      </c>
      <c r="DA17" s="156" t="s">
        <v>831</v>
      </c>
    </row>
    <row r="18" spans="1:105" ht="12" customHeight="1" x14ac:dyDescent="0.25">
      <c r="A18" s="131" t="s">
        <v>72</v>
      </c>
      <c r="B18" s="132"/>
      <c r="C18" s="132">
        <f>IF(SER_hh_fech_in!C18=0,0,SER_hh_fech_in!C18/SER_summary!C$27)</f>
        <v>14.713471059675095</v>
      </c>
      <c r="D18" s="132">
        <f>IF(SER_hh_fech_in!D18=0,0,SER_hh_fech_in!D18/SER_summary!D$27)</f>
        <v>13.514672964802921</v>
      </c>
      <c r="E18" s="132">
        <f>IF(SER_hh_fech_in!E18=0,0,SER_hh_fech_in!E18/SER_summary!E$27)</f>
        <v>13.107555181715121</v>
      </c>
      <c r="F18" s="132">
        <f>IF(SER_hh_fech_in!F18=0,0,SER_hh_fech_in!F18/SER_summary!F$27)</f>
        <v>10.997197248508385</v>
      </c>
      <c r="G18" s="132">
        <f>IF(SER_hh_fech_in!G18=0,0,SER_hh_fech_in!G18/SER_summary!G$27)</f>
        <v>10.641994362950367</v>
      </c>
      <c r="H18" s="132">
        <f>IF(SER_hh_fech_in!H18=0,0,SER_hh_fech_in!H18/SER_summary!H$27)</f>
        <v>10.946120865837825</v>
      </c>
      <c r="I18" s="132">
        <f>IF(SER_hh_fech_in!I18=0,0,SER_hh_fech_in!I18/SER_summary!I$27)</f>
        <v>13.949264704389931</v>
      </c>
      <c r="J18" s="132">
        <f>IF(SER_hh_fech_in!J18=0,0,SER_hh_fech_in!J18/SER_summary!J$27)</f>
        <v>10.616025803573585</v>
      </c>
      <c r="K18" s="132">
        <f>IF(SER_hh_fech_in!K18=0,0,SER_hh_fech_in!K18/SER_summary!K$27)</f>
        <v>9.6957532808410587</v>
      </c>
      <c r="L18" s="132">
        <f>IF(SER_hh_fech_in!L18=0,0,SER_hh_fech_in!L18/SER_summary!L$27)</f>
        <v>11.006316250513324</v>
      </c>
      <c r="M18" s="132">
        <f>IF(SER_hh_fech_in!M18=0,0,SER_hh_fech_in!M18/SER_summary!M$27)</f>
        <v>9.0678351119106413</v>
      </c>
      <c r="N18" s="132">
        <f>IF(SER_hh_fech_in!N18=0,0,SER_hh_fech_in!N18/SER_summary!N$27)</f>
        <v>13.183323645265196</v>
      </c>
      <c r="O18" s="132">
        <f>IF(SER_hh_fech_in!O18=0,0,SER_hh_fech_in!O18/SER_summary!O$27)</f>
        <v>8.5286690618927601</v>
      </c>
      <c r="P18" s="132">
        <f>IF(SER_hh_fech_in!P18=0,0,SER_hh_fech_in!P18/SER_summary!P$27)</f>
        <v>7.6230233639996889</v>
      </c>
      <c r="Q18" s="132">
        <f>IF(SER_hh_fech_in!Q18=0,0,SER_hh_fech_in!Q18/SER_summary!Q$27)</f>
        <v>9.6044961369926689</v>
      </c>
      <c r="R18" s="132">
        <f>IF(SER_hh_fech_in!R18=0,0,SER_hh_fech_in!R18/SER_summary!R$27)</f>
        <v>7.8586067692120531</v>
      </c>
      <c r="S18" s="132">
        <f>IF(SER_hh_fech_in!S18=0,0,SER_hh_fech_in!S18/SER_summary!S$27)</f>
        <v>8.2394197273233463</v>
      </c>
      <c r="T18" s="132">
        <f>IF(SER_hh_fech_in!T18=0,0,SER_hh_fech_in!T18/SER_summary!T$27)</f>
        <v>7.0470881247077202</v>
      </c>
      <c r="U18" s="132">
        <f>IF(SER_hh_fech_in!U18=0,0,SER_hh_fech_in!U18/SER_summary!U$27)</f>
        <v>7.7325353989267276</v>
      </c>
      <c r="V18" s="132">
        <f>IF(SER_hh_fech_in!V18=0,0,SER_hh_fech_in!V18/SER_summary!V$27)</f>
        <v>6.7102009901447541</v>
      </c>
      <c r="W18" s="132">
        <f>IF(SER_hh_fech_in!W18=0,0,SER_hh_fech_in!W18/SER_summary!W$27)</f>
        <v>7.1739221787349123</v>
      </c>
      <c r="X18" s="132">
        <f>IF(SER_hh_fech_in!X18=0,0,SER_hh_fech_in!X18/SER_summary!X$27)</f>
        <v>6.9713535172544647</v>
      </c>
      <c r="Y18" s="132">
        <f>IF(SER_hh_fech_in!Y18=0,0,SER_hh_fech_in!Y18/SER_summary!Y$27)</f>
        <v>7.6465807135824466</v>
      </c>
      <c r="DA18" s="156" t="s">
        <v>832</v>
      </c>
    </row>
    <row r="19" spans="1:105" ht="12.95" customHeight="1" x14ac:dyDescent="0.25">
      <c r="A19" s="129" t="s">
        <v>35</v>
      </c>
      <c r="B19" s="130"/>
      <c r="C19" s="130">
        <f>IF(SER_hh_fech_in!C19=0,0,SER_hh_fech_in!C19/SER_summary!C$27)</f>
        <v>53.77429377389835</v>
      </c>
      <c r="D19" s="130">
        <f>IF(SER_hh_fech_in!D19=0,0,SER_hh_fech_in!D19/SER_summary!D$27)</f>
        <v>24.579149069871136</v>
      </c>
      <c r="E19" s="130">
        <f>IF(SER_hh_fech_in!E19=0,0,SER_hh_fech_in!E19/SER_summary!E$27)</f>
        <v>46.397516543371381</v>
      </c>
      <c r="F19" s="130">
        <f>IF(SER_hh_fech_in!F19=0,0,SER_hh_fech_in!F19/SER_summary!F$27)</f>
        <v>58.627586921903493</v>
      </c>
      <c r="G19" s="130">
        <f>IF(SER_hh_fech_in!G19=0,0,SER_hh_fech_in!G19/SER_summary!G$27)</f>
        <v>48.691597840551999</v>
      </c>
      <c r="H19" s="130">
        <f>IF(SER_hh_fech_in!H19=0,0,SER_hh_fech_in!H19/SER_summary!H$27)</f>
        <v>51.791486562730491</v>
      </c>
      <c r="I19" s="130">
        <f>IF(SER_hh_fech_in!I19=0,0,SER_hh_fech_in!I19/SER_summary!I$27)</f>
        <v>49.899195539494507</v>
      </c>
      <c r="J19" s="130">
        <f>IF(SER_hh_fech_in!J19=0,0,SER_hh_fech_in!J19/SER_summary!J$27)</f>
        <v>47.092230450448533</v>
      </c>
      <c r="K19" s="130">
        <f>IF(SER_hh_fech_in!K19=0,0,SER_hh_fech_in!K19/SER_summary!K$27)</f>
        <v>50.303030758502537</v>
      </c>
      <c r="L19" s="130">
        <f>IF(SER_hh_fech_in!L19=0,0,SER_hh_fech_in!L19/SER_summary!L$27)</f>
        <v>47.261879645346397</v>
      </c>
      <c r="M19" s="130">
        <f>IF(SER_hh_fech_in!M19=0,0,SER_hh_fech_in!M19/SER_summary!M$27)</f>
        <v>46.00320705549926</v>
      </c>
      <c r="N19" s="130">
        <f>IF(SER_hh_fech_in!N19=0,0,SER_hh_fech_in!N19/SER_summary!N$27)</f>
        <v>45.620089462365712</v>
      </c>
      <c r="O19" s="130">
        <f>IF(SER_hh_fech_in!O19=0,0,SER_hh_fech_in!O19/SER_summary!O$27)</f>
        <v>47.025520819455316</v>
      </c>
      <c r="P19" s="130">
        <f>IF(SER_hh_fech_in!P19=0,0,SER_hh_fech_in!P19/SER_summary!P$27)</f>
        <v>45.453852317716752</v>
      </c>
      <c r="Q19" s="130">
        <f>IF(SER_hh_fech_in!Q19=0,0,SER_hh_fech_in!Q19/SER_summary!Q$27)</f>
        <v>43.97159377588153</v>
      </c>
      <c r="R19" s="130">
        <f>IF(SER_hh_fech_in!R19=0,0,SER_hh_fech_in!R19/SER_summary!R$27)</f>
        <v>42.525487536550933</v>
      </c>
      <c r="S19" s="130">
        <f>IF(SER_hh_fech_in!S19=0,0,SER_hh_fech_in!S19/SER_summary!S$27)</f>
        <v>43.299857891465727</v>
      </c>
      <c r="T19" s="130">
        <f>IF(SER_hh_fech_in!T19=0,0,SER_hh_fech_in!T19/SER_summary!T$27)</f>
        <v>40.87309651672031</v>
      </c>
      <c r="U19" s="130">
        <f>IF(SER_hh_fech_in!U19=0,0,SER_hh_fech_in!U19/SER_summary!U$27)</f>
        <v>37.742349835857262</v>
      </c>
      <c r="V19" s="130">
        <f>IF(SER_hh_fech_in!V19=0,0,SER_hh_fech_in!V19/SER_summary!V$27)</f>
        <v>34.190163895831269</v>
      </c>
      <c r="W19" s="130">
        <f>IF(SER_hh_fech_in!W19=0,0,SER_hh_fech_in!W19/SER_summary!W$27)</f>
        <v>38.185297199421832</v>
      </c>
      <c r="X19" s="130">
        <f>IF(SER_hh_fech_in!X19=0,0,SER_hh_fech_in!X19/SER_summary!X$27)</f>
        <v>35.336632550714477</v>
      </c>
      <c r="Y19" s="130">
        <f>IF(SER_hh_fech_in!Y19=0,0,SER_hh_fech_in!Y19/SER_summary!Y$27)</f>
        <v>37.995240049344361</v>
      </c>
      <c r="DA19" s="155" t="s">
        <v>833</v>
      </c>
    </row>
    <row r="20" spans="1:105" ht="12" customHeight="1" x14ac:dyDescent="0.25">
      <c r="A20" s="131" t="s">
        <v>29</v>
      </c>
      <c r="B20" s="132"/>
      <c r="C20" s="132">
        <f>IF(SER_hh_fech_in!C20=0,0,SER_hh_fech_in!C20/SER_summary!C$27)</f>
        <v>0</v>
      </c>
      <c r="D20" s="132">
        <f>IF(SER_hh_fech_in!D20=0,0,SER_hh_fech_in!D20/SER_summary!D$27)</f>
        <v>0</v>
      </c>
      <c r="E20" s="132">
        <f>IF(SER_hh_fech_in!E20=0,0,SER_hh_fech_in!E20/SER_summary!E$27)</f>
        <v>0</v>
      </c>
      <c r="F20" s="132">
        <f>IF(SER_hh_fech_in!F20=0,0,SER_hh_fech_in!F20/SER_summary!F$27)</f>
        <v>0</v>
      </c>
      <c r="G20" s="132">
        <f>IF(SER_hh_fech_in!G20=0,0,SER_hh_fech_in!G20/SER_summary!G$27)</f>
        <v>0</v>
      </c>
      <c r="H20" s="132">
        <f>IF(SER_hh_fech_in!H20=0,0,SER_hh_fech_in!H20/SER_summary!H$27)</f>
        <v>0</v>
      </c>
      <c r="I20" s="132">
        <f>IF(SER_hh_fech_in!I20=0,0,SER_hh_fech_in!I20/SER_summary!I$27)</f>
        <v>0</v>
      </c>
      <c r="J20" s="132">
        <f>IF(SER_hh_fech_in!J20=0,0,SER_hh_fech_in!J20/SER_summary!J$27)</f>
        <v>0</v>
      </c>
      <c r="K20" s="132">
        <f>IF(SER_hh_fech_in!K20=0,0,SER_hh_fech_in!K20/SER_summary!K$27)</f>
        <v>0</v>
      </c>
      <c r="L20" s="132">
        <f>IF(SER_hh_fech_in!L20=0,0,SER_hh_fech_in!L20/SER_summary!L$27)</f>
        <v>0</v>
      </c>
      <c r="M20" s="132">
        <f>IF(SER_hh_fech_in!M20=0,0,SER_hh_fech_in!M20/SER_summary!M$27)</f>
        <v>0</v>
      </c>
      <c r="N20" s="132">
        <f>IF(SER_hh_fech_in!N20=0,0,SER_hh_fech_in!N20/SER_summary!N$27)</f>
        <v>0</v>
      </c>
      <c r="O20" s="132">
        <f>IF(SER_hh_fech_in!O20=0,0,SER_hh_fech_in!O20/SER_summary!O$27)</f>
        <v>0</v>
      </c>
      <c r="P20" s="132">
        <f>IF(SER_hh_fech_in!P20=0,0,SER_hh_fech_in!P20/SER_summary!P$27)</f>
        <v>0</v>
      </c>
      <c r="Q20" s="132">
        <f>IF(SER_hh_fech_in!Q20=0,0,SER_hh_fech_in!Q20/SER_summary!Q$27)</f>
        <v>0</v>
      </c>
      <c r="R20" s="132">
        <f>IF(SER_hh_fech_in!R20=0,0,SER_hh_fech_in!R20/SER_summary!R$27)</f>
        <v>0</v>
      </c>
      <c r="S20" s="132">
        <f>IF(SER_hh_fech_in!S20=0,0,SER_hh_fech_in!S20/SER_summary!S$27)</f>
        <v>0</v>
      </c>
      <c r="T20" s="132">
        <f>IF(SER_hh_fech_in!T20=0,0,SER_hh_fech_in!T20/SER_summary!T$27)</f>
        <v>0</v>
      </c>
      <c r="U20" s="132">
        <f>IF(SER_hh_fech_in!U20=0,0,SER_hh_fech_in!U20/SER_summary!U$27)</f>
        <v>0</v>
      </c>
      <c r="V20" s="132">
        <f>IF(SER_hh_fech_in!V20=0,0,SER_hh_fech_in!V20/SER_summary!V$27)</f>
        <v>0</v>
      </c>
      <c r="W20" s="132">
        <f>IF(SER_hh_fech_in!W20=0,0,SER_hh_fech_in!W20/SER_summary!W$27)</f>
        <v>0</v>
      </c>
      <c r="X20" s="132">
        <f>IF(SER_hh_fech_in!X20=0,0,SER_hh_fech_in!X20/SER_summary!X$27)</f>
        <v>0</v>
      </c>
      <c r="Y20" s="132">
        <f>IF(SER_hh_fech_in!Y20=0,0,SER_hh_fech_in!Y20/SER_summary!Y$27)</f>
        <v>0</v>
      </c>
      <c r="DA20" s="156" t="s">
        <v>834</v>
      </c>
    </row>
    <row r="21" spans="1:105" s="2" customFormat="1" ht="12" customHeight="1" x14ac:dyDescent="0.25">
      <c r="A21" s="131" t="s">
        <v>52</v>
      </c>
      <c r="B21" s="132"/>
      <c r="C21" s="132">
        <f>IF(SER_hh_fech_in!C21=0,0,SER_hh_fech_in!C21/SER_summary!C$27)</f>
        <v>0</v>
      </c>
      <c r="D21" s="132">
        <f>IF(SER_hh_fech_in!D21=0,0,SER_hh_fech_in!D21/SER_summary!D$27)</f>
        <v>0</v>
      </c>
      <c r="E21" s="132">
        <f>IF(SER_hh_fech_in!E21=0,0,SER_hh_fech_in!E21/SER_summary!E$27)</f>
        <v>0</v>
      </c>
      <c r="F21" s="132">
        <f>IF(SER_hh_fech_in!F21=0,0,SER_hh_fech_in!F21/SER_summary!F$27)</f>
        <v>0</v>
      </c>
      <c r="G21" s="132">
        <f>IF(SER_hh_fech_in!G21=0,0,SER_hh_fech_in!G21/SER_summary!G$27)</f>
        <v>0</v>
      </c>
      <c r="H21" s="132">
        <f>IF(SER_hh_fech_in!H21=0,0,SER_hh_fech_in!H21/SER_summary!H$27)</f>
        <v>0</v>
      </c>
      <c r="I21" s="132">
        <f>IF(SER_hh_fech_in!I21=0,0,SER_hh_fech_in!I21/SER_summary!I$27)</f>
        <v>0</v>
      </c>
      <c r="J21" s="132">
        <f>IF(SER_hh_fech_in!J21=0,0,SER_hh_fech_in!J21/SER_summary!J$27)</f>
        <v>0</v>
      </c>
      <c r="K21" s="132">
        <f>IF(SER_hh_fech_in!K21=0,0,SER_hh_fech_in!K21/SER_summary!K$27)</f>
        <v>0</v>
      </c>
      <c r="L21" s="132">
        <f>IF(SER_hh_fech_in!L21=0,0,SER_hh_fech_in!L21/SER_summary!L$27)</f>
        <v>0</v>
      </c>
      <c r="M21" s="132">
        <f>IF(SER_hh_fech_in!M21=0,0,SER_hh_fech_in!M21/SER_summary!M$27)</f>
        <v>0</v>
      </c>
      <c r="N21" s="132">
        <f>IF(SER_hh_fech_in!N21=0,0,SER_hh_fech_in!N21/SER_summary!N$27)</f>
        <v>0</v>
      </c>
      <c r="O21" s="132">
        <f>IF(SER_hh_fech_in!O21=0,0,SER_hh_fech_in!O21/SER_summary!O$27)</f>
        <v>0</v>
      </c>
      <c r="P21" s="132">
        <f>IF(SER_hh_fech_in!P21=0,0,SER_hh_fech_in!P21/SER_summary!P$27)</f>
        <v>0</v>
      </c>
      <c r="Q21" s="132">
        <f>IF(SER_hh_fech_in!Q21=0,0,SER_hh_fech_in!Q21/SER_summary!Q$27)</f>
        <v>0</v>
      </c>
      <c r="R21" s="132">
        <f>IF(SER_hh_fech_in!R21=0,0,SER_hh_fech_in!R21/SER_summary!R$27)</f>
        <v>0</v>
      </c>
      <c r="S21" s="132">
        <f>IF(SER_hh_fech_in!S21=0,0,SER_hh_fech_in!S21/SER_summary!S$27)</f>
        <v>0</v>
      </c>
      <c r="T21" s="132">
        <f>IF(SER_hh_fech_in!T21=0,0,SER_hh_fech_in!T21/SER_summary!T$27)</f>
        <v>0</v>
      </c>
      <c r="U21" s="132">
        <f>IF(SER_hh_fech_in!U21=0,0,SER_hh_fech_in!U21/SER_summary!U$27)</f>
        <v>0</v>
      </c>
      <c r="V21" s="132">
        <f>IF(SER_hh_fech_in!V21=0,0,SER_hh_fech_in!V21/SER_summary!V$27)</f>
        <v>0</v>
      </c>
      <c r="W21" s="132">
        <f>IF(SER_hh_fech_in!W21=0,0,SER_hh_fech_in!W21/SER_summary!W$27)</f>
        <v>0</v>
      </c>
      <c r="X21" s="132">
        <f>IF(SER_hh_fech_in!X21=0,0,SER_hh_fech_in!X21/SER_summary!X$27)</f>
        <v>0</v>
      </c>
      <c r="Y21" s="132">
        <f>IF(SER_hh_fech_in!Y21=0,0,SER_hh_fech_in!Y21/SER_summary!Y$27)</f>
        <v>0</v>
      </c>
      <c r="DA21" s="156" t="s">
        <v>835</v>
      </c>
    </row>
    <row r="22" spans="1:105" ht="12" customHeight="1" x14ac:dyDescent="0.25">
      <c r="A22" s="131" t="s">
        <v>161</v>
      </c>
      <c r="B22" s="132"/>
      <c r="C22" s="132">
        <f>IF(SER_hh_fech_in!C22=0,0,SER_hh_fech_in!C22/SER_summary!C$27)</f>
        <v>12.324050620510077</v>
      </c>
      <c r="D22" s="132">
        <f>IF(SER_hh_fech_in!D22=0,0,SER_hh_fech_in!D22/SER_summary!D$27)</f>
        <v>36.826288200479702</v>
      </c>
      <c r="E22" s="132">
        <f>IF(SER_hh_fech_in!E22=0,0,SER_hh_fech_in!E22/SER_summary!E$27)</f>
        <v>51.3163924829758</v>
      </c>
      <c r="F22" s="132">
        <f>IF(SER_hh_fech_in!F22=0,0,SER_hh_fech_in!F22/SER_summary!F$27)</f>
        <v>58.476406075623778</v>
      </c>
      <c r="G22" s="132">
        <f>IF(SER_hh_fech_in!G22=0,0,SER_hh_fech_in!G22/SER_summary!G$27)</f>
        <v>0</v>
      </c>
      <c r="H22" s="132">
        <f>IF(SER_hh_fech_in!H22=0,0,SER_hh_fech_in!H22/SER_summary!H$27)</f>
        <v>0</v>
      </c>
      <c r="I22" s="132">
        <f>IF(SER_hh_fech_in!I22=0,0,SER_hh_fech_in!I22/SER_summary!I$27)</f>
        <v>0</v>
      </c>
      <c r="J22" s="132">
        <f>IF(SER_hh_fech_in!J22=0,0,SER_hh_fech_in!J22/SER_summary!J$27)</f>
        <v>0</v>
      </c>
      <c r="K22" s="132">
        <f>IF(SER_hh_fech_in!K22=0,0,SER_hh_fech_in!K22/SER_summary!K$27)</f>
        <v>0</v>
      </c>
      <c r="L22" s="132">
        <f>IF(SER_hh_fech_in!L22=0,0,SER_hh_fech_in!L22/SER_summary!L$27)</f>
        <v>53.87551848334936</v>
      </c>
      <c r="M22" s="132">
        <f>IF(SER_hh_fech_in!M22=0,0,SER_hh_fech_in!M22/SER_summary!M$27)</f>
        <v>49.173007561146257</v>
      </c>
      <c r="N22" s="132">
        <f>IF(SER_hh_fech_in!N22=0,0,SER_hh_fech_in!N22/SER_summary!N$27)</f>
        <v>51.664319889622114</v>
      </c>
      <c r="O22" s="132">
        <f>IF(SER_hh_fech_in!O22=0,0,SER_hh_fech_in!O22/SER_summary!O$27)</f>
        <v>57.496873353833699</v>
      </c>
      <c r="P22" s="132">
        <f>IF(SER_hh_fech_in!P22=0,0,SER_hh_fech_in!P22/SER_summary!P$27)</f>
        <v>51.442026696482451</v>
      </c>
      <c r="Q22" s="132">
        <f>IF(SER_hh_fech_in!Q22=0,0,SER_hh_fech_in!Q22/SER_summary!Q$27)</f>
        <v>48.780011322382514</v>
      </c>
      <c r="R22" s="132">
        <f>IF(SER_hh_fech_in!R22=0,0,SER_hh_fech_in!R22/SER_summary!R$27)</f>
        <v>40.435118599968213</v>
      </c>
      <c r="S22" s="132">
        <f>IF(SER_hh_fech_in!S22=0,0,SER_hh_fech_in!S22/SER_summary!S$27)</f>
        <v>46.833421306966208</v>
      </c>
      <c r="T22" s="132">
        <f>IF(SER_hh_fech_in!T22=0,0,SER_hh_fech_in!T22/SER_summary!T$27)</f>
        <v>46.107287989829516</v>
      </c>
      <c r="U22" s="132">
        <f>IF(SER_hh_fech_in!U22=0,0,SER_hh_fech_in!U22/SER_summary!U$27)</f>
        <v>38.620925239015449</v>
      </c>
      <c r="V22" s="132">
        <f>IF(SER_hh_fech_in!V22=0,0,SER_hh_fech_in!V22/SER_summary!V$27)</f>
        <v>34.183104950883781</v>
      </c>
      <c r="W22" s="132">
        <f>IF(SER_hh_fech_in!W22=0,0,SER_hh_fech_in!W22/SER_summary!W$27)</f>
        <v>44.3145537878898</v>
      </c>
      <c r="X22" s="132">
        <f>IF(SER_hh_fech_in!X22=0,0,SER_hh_fech_in!X22/SER_summary!X$27)</f>
        <v>41.474324171773141</v>
      </c>
      <c r="Y22" s="132">
        <f>IF(SER_hh_fech_in!Y22=0,0,SER_hh_fech_in!Y22/SER_summary!Y$27)</f>
        <v>41.564939967563767</v>
      </c>
      <c r="DA22" s="156" t="s">
        <v>836</v>
      </c>
    </row>
    <row r="23" spans="1:105" ht="12" customHeight="1" x14ac:dyDescent="0.25">
      <c r="A23" s="131" t="s">
        <v>149</v>
      </c>
      <c r="B23" s="132"/>
      <c r="C23" s="132">
        <f>IF(SER_hh_fech_in!C23=0,0,SER_hh_fech_in!C23/SER_summary!C$27)</f>
        <v>35.405738223707488</v>
      </c>
      <c r="D23" s="132">
        <f>IF(SER_hh_fech_in!D23=0,0,SER_hh_fech_in!D23/SER_summary!D$27)</f>
        <v>20.391364277702451</v>
      </c>
      <c r="E23" s="132">
        <f>IF(SER_hh_fech_in!E23=0,0,SER_hh_fech_in!E23/SER_summary!E$27)</f>
        <v>40.29103036799328</v>
      </c>
      <c r="F23" s="132">
        <f>IF(SER_hh_fech_in!F23=0,0,SER_hh_fech_in!F23/SER_summary!F$27)</f>
        <v>61.033525920662804</v>
      </c>
      <c r="G23" s="132">
        <f>IF(SER_hh_fech_in!G23=0,0,SER_hh_fech_in!G23/SER_summary!G$27)</f>
        <v>52.017926674998833</v>
      </c>
      <c r="H23" s="132">
        <f>IF(SER_hh_fech_in!H23=0,0,SER_hh_fech_in!H23/SER_summary!H$27)</f>
        <v>59.704680312481955</v>
      </c>
      <c r="I23" s="132">
        <f>IF(SER_hh_fech_in!I23=0,0,SER_hh_fech_in!I23/SER_summary!I$27)</f>
        <v>49.909487916795641</v>
      </c>
      <c r="J23" s="132">
        <f>IF(SER_hh_fech_in!J23=0,0,SER_hh_fech_in!J23/SER_summary!J$27)</f>
        <v>43.43291016713232</v>
      </c>
      <c r="K23" s="132">
        <f>IF(SER_hh_fech_in!K23=0,0,SER_hh_fech_in!K23/SER_summary!K$27)</f>
        <v>57.971981411336373</v>
      </c>
      <c r="L23" s="132">
        <f>IF(SER_hh_fech_in!L23=0,0,SER_hh_fech_in!L23/SER_summary!L$27)</f>
        <v>53.357144113780713</v>
      </c>
      <c r="M23" s="132">
        <f>IF(SER_hh_fech_in!M23=0,0,SER_hh_fech_in!M23/SER_summary!M$27)</f>
        <v>47.748343743382762</v>
      </c>
      <c r="N23" s="132">
        <f>IF(SER_hh_fech_in!N23=0,0,SER_hh_fech_in!N23/SER_summary!N$27)</f>
        <v>46.697435837267442</v>
      </c>
      <c r="O23" s="132">
        <f>IF(SER_hh_fech_in!O23=0,0,SER_hh_fech_in!O23/SER_summary!O$27)</f>
        <v>45.45423309819828</v>
      </c>
      <c r="P23" s="132">
        <f>IF(SER_hh_fech_in!P23=0,0,SER_hh_fech_in!P23/SER_summary!P$27)</f>
        <v>44.587544886005489</v>
      </c>
      <c r="Q23" s="132">
        <f>IF(SER_hh_fech_in!Q23=0,0,SER_hh_fech_in!Q23/SER_summary!Q$27)</f>
        <v>43.333517704388775</v>
      </c>
      <c r="R23" s="132">
        <f>IF(SER_hh_fech_in!R23=0,0,SER_hh_fech_in!R23/SER_summary!R$27)</f>
        <v>43.253814662395129</v>
      </c>
      <c r="S23" s="132">
        <f>IF(SER_hh_fech_in!S23=0,0,SER_hh_fech_in!S23/SER_summary!S$27)</f>
        <v>42.792729000680524</v>
      </c>
      <c r="T23" s="132">
        <f>IF(SER_hh_fech_in!T23=0,0,SER_hh_fech_in!T23/SER_summary!T$27)</f>
        <v>39.577471764476016</v>
      </c>
      <c r="U23" s="132">
        <f>IF(SER_hh_fech_in!U23=0,0,SER_hh_fech_in!U23/SER_summary!U$27)</f>
        <v>38.633081694729263</v>
      </c>
      <c r="V23" s="132">
        <f>IF(SER_hh_fech_in!V23=0,0,SER_hh_fech_in!V23/SER_summary!V$27)</f>
        <v>36.962713306006684</v>
      </c>
      <c r="W23" s="132">
        <f>IF(SER_hh_fech_in!W23=0,0,SER_hh_fech_in!W23/SER_summary!W$27)</f>
        <v>33.906028356358732</v>
      </c>
      <c r="X23" s="132">
        <f>IF(SER_hh_fech_in!X23=0,0,SER_hh_fech_in!X23/SER_summary!X$27)</f>
        <v>0</v>
      </c>
      <c r="Y23" s="132">
        <f>IF(SER_hh_fech_in!Y23=0,0,SER_hh_fech_in!Y23/SER_summary!Y$27)</f>
        <v>0</v>
      </c>
      <c r="DA23" s="156" t="s">
        <v>837</v>
      </c>
    </row>
    <row r="24" spans="1:105" ht="12" customHeight="1" x14ac:dyDescent="0.25">
      <c r="A24" s="131" t="s">
        <v>128</v>
      </c>
      <c r="B24" s="132"/>
      <c r="C24" s="132">
        <f>IF(SER_hh_fech_in!C24=0,0,SER_hh_fech_in!C24/SER_summary!C$27)</f>
        <v>23.580179750723396</v>
      </c>
      <c r="D24" s="132">
        <f>IF(SER_hh_fech_in!D24=0,0,SER_hh_fech_in!D24/SER_summary!D$27)</f>
        <v>0</v>
      </c>
      <c r="E24" s="132">
        <f>IF(SER_hh_fech_in!E24=0,0,SER_hh_fech_in!E24/SER_summary!E$27)</f>
        <v>42.047327952424084</v>
      </c>
      <c r="F24" s="132">
        <f>IF(SER_hh_fech_in!F24=0,0,SER_hh_fech_in!F24/SER_summary!F$27)</f>
        <v>0</v>
      </c>
      <c r="G24" s="132">
        <f>IF(SER_hh_fech_in!G24=0,0,SER_hh_fech_in!G24/SER_summary!G$27)</f>
        <v>0</v>
      </c>
      <c r="H24" s="132">
        <f>IF(SER_hh_fech_in!H24=0,0,SER_hh_fech_in!H24/SER_summary!H$27)</f>
        <v>0</v>
      </c>
      <c r="I24" s="132">
        <f>IF(SER_hh_fech_in!I24=0,0,SER_hh_fech_in!I24/SER_summary!I$27)</f>
        <v>0</v>
      </c>
      <c r="J24" s="132">
        <f>IF(SER_hh_fech_in!J24=0,0,SER_hh_fech_in!J24/SER_summary!J$27)</f>
        <v>46.966850247243507</v>
      </c>
      <c r="K24" s="132">
        <f>IF(SER_hh_fech_in!K24=0,0,SER_hh_fech_in!K24/SER_summary!K$27)</f>
        <v>46.380564057692105</v>
      </c>
      <c r="L24" s="132">
        <f>IF(SER_hh_fech_in!L24=0,0,SER_hh_fech_in!L24/SER_summary!L$27)</f>
        <v>45.949953993034597</v>
      </c>
      <c r="M24" s="132">
        <f>IF(SER_hh_fech_in!M24=0,0,SER_hh_fech_in!M24/SER_summary!M$27)</f>
        <v>46.725273846690399</v>
      </c>
      <c r="N24" s="132">
        <f>IF(SER_hh_fech_in!N24=0,0,SER_hh_fech_in!N24/SER_summary!N$27)</f>
        <v>46.923102435228294</v>
      </c>
      <c r="O24" s="132">
        <f>IF(SER_hh_fech_in!O24=0,0,SER_hh_fech_in!O24/SER_summary!O$27)</f>
        <v>46.630559957033071</v>
      </c>
      <c r="P24" s="132">
        <f>IF(SER_hh_fech_in!P24=0,0,SER_hh_fech_in!P24/SER_summary!P$27)</f>
        <v>46.839499833864195</v>
      </c>
      <c r="Q24" s="132">
        <f>IF(SER_hh_fech_in!Q24=0,0,SER_hh_fech_in!Q24/SER_summary!Q$27)</f>
        <v>49.509695957410671</v>
      </c>
      <c r="R24" s="132">
        <f>IF(SER_hh_fech_in!R24=0,0,SER_hh_fech_in!R24/SER_summary!R$27)</f>
        <v>0</v>
      </c>
      <c r="S24" s="132">
        <f>IF(SER_hh_fech_in!S24=0,0,SER_hh_fech_in!S24/SER_summary!S$27)</f>
        <v>0</v>
      </c>
      <c r="T24" s="132">
        <f>IF(SER_hh_fech_in!T24=0,0,SER_hh_fech_in!T24/SER_summary!T$27)</f>
        <v>0</v>
      </c>
      <c r="U24" s="132">
        <f>IF(SER_hh_fech_in!U24=0,0,SER_hh_fech_in!U24/SER_summary!U$27)</f>
        <v>0</v>
      </c>
      <c r="V24" s="132">
        <f>IF(SER_hh_fech_in!V24=0,0,SER_hh_fech_in!V24/SER_summary!V$27)</f>
        <v>36.313913261928761</v>
      </c>
      <c r="W24" s="132">
        <f>IF(SER_hh_fech_in!W24=0,0,SER_hh_fech_in!W24/SER_summary!W$27)</f>
        <v>0</v>
      </c>
      <c r="X24" s="132">
        <f>IF(SER_hh_fech_in!X24=0,0,SER_hh_fech_in!X24/SER_summary!X$27)</f>
        <v>0</v>
      </c>
      <c r="Y24" s="132">
        <f>IF(SER_hh_fech_in!Y24=0,0,SER_hh_fech_in!Y24/SER_summary!Y$27)</f>
        <v>39.108373373526412</v>
      </c>
      <c r="DA24" s="156" t="s">
        <v>838</v>
      </c>
    </row>
    <row r="25" spans="1:105" ht="12" customHeight="1" x14ac:dyDescent="0.25">
      <c r="A25" s="131" t="s">
        <v>162</v>
      </c>
      <c r="B25" s="132"/>
      <c r="C25" s="132">
        <f>IF(SER_hh_fech_in!C25=0,0,SER_hh_fech_in!C25/SER_summary!C$27)</f>
        <v>0</v>
      </c>
      <c r="D25" s="132">
        <f>IF(SER_hh_fech_in!D25=0,0,SER_hh_fech_in!D25/SER_summary!D$27)</f>
        <v>0</v>
      </c>
      <c r="E25" s="132">
        <f>IF(SER_hh_fech_in!E25=0,0,SER_hh_fech_in!E25/SER_summary!E$27)</f>
        <v>0</v>
      </c>
      <c r="F25" s="132">
        <f>IF(SER_hh_fech_in!F25=0,0,SER_hh_fech_in!F25/SER_summary!F$27)</f>
        <v>0</v>
      </c>
      <c r="G25" s="132">
        <f>IF(SER_hh_fech_in!G25=0,0,SER_hh_fech_in!G25/SER_summary!G$27)</f>
        <v>42.81278322155044</v>
      </c>
      <c r="H25" s="132">
        <f>IF(SER_hh_fech_in!H25=0,0,SER_hh_fech_in!H25/SER_summary!H$27)</f>
        <v>39.24696429034298</v>
      </c>
      <c r="I25" s="132">
        <f>IF(SER_hh_fech_in!I25=0,0,SER_hh_fech_in!I25/SER_summary!I$27)</f>
        <v>37.187137830192412</v>
      </c>
      <c r="J25" s="132">
        <f>IF(SER_hh_fech_in!J25=0,0,SER_hh_fech_in!J25/SER_summary!J$27)</f>
        <v>42.949380625570903</v>
      </c>
      <c r="K25" s="132">
        <f>IF(SER_hh_fech_in!K25=0,0,SER_hh_fech_in!K25/SER_summary!K$27)</f>
        <v>39.699192639430059</v>
      </c>
      <c r="L25" s="132">
        <f>IF(SER_hh_fech_in!L25=0,0,SER_hh_fech_in!L25/SER_summary!L$27)</f>
        <v>37.616467795500533</v>
      </c>
      <c r="M25" s="132">
        <f>IF(SER_hh_fech_in!M25=0,0,SER_hh_fech_in!M25/SER_summary!M$27)</f>
        <v>39.452520704402865</v>
      </c>
      <c r="N25" s="132">
        <f>IF(SER_hh_fech_in!N25=0,0,SER_hh_fech_in!N25/SER_summary!N$27)</f>
        <v>40.249492627152449</v>
      </c>
      <c r="O25" s="132">
        <f>IF(SER_hh_fech_in!O25=0,0,SER_hh_fech_in!O25/SER_summary!O$27)</f>
        <v>40.772721701496486</v>
      </c>
      <c r="P25" s="132">
        <f>IF(SER_hh_fech_in!P25=0,0,SER_hh_fech_in!P25/SER_summary!P$27)</f>
        <v>37.878873301415467</v>
      </c>
      <c r="Q25" s="132">
        <f>IF(SER_hh_fech_in!Q25=0,0,SER_hh_fech_in!Q25/SER_summary!Q$27)</f>
        <v>39.166121887051617</v>
      </c>
      <c r="R25" s="132">
        <f>IF(SER_hh_fech_in!R25=0,0,SER_hh_fech_in!R25/SER_summary!R$27)</f>
        <v>39.658839033571468</v>
      </c>
      <c r="S25" s="132">
        <f>IF(SER_hh_fech_in!S25=0,0,SER_hh_fech_in!S25/SER_summary!S$27)</f>
        <v>0</v>
      </c>
      <c r="T25" s="132">
        <f>IF(SER_hh_fech_in!T25=0,0,SER_hh_fech_in!T25/SER_summary!T$27)</f>
        <v>36.355557115498158</v>
      </c>
      <c r="U25" s="132">
        <f>IF(SER_hh_fech_in!U25=0,0,SER_hh_fech_in!U25/SER_summary!U$27)</f>
        <v>33.694058583401983</v>
      </c>
      <c r="V25" s="132">
        <f>IF(SER_hh_fech_in!V25=0,0,SER_hh_fech_in!V25/SER_summary!V$27)</f>
        <v>33.96343457789083</v>
      </c>
      <c r="W25" s="132">
        <f>IF(SER_hh_fech_in!W25=0,0,SER_hh_fech_in!W25/SER_summary!W$27)</f>
        <v>34.405065762340875</v>
      </c>
      <c r="X25" s="132">
        <f>IF(SER_hh_fech_in!X25=0,0,SER_hh_fech_in!X25/SER_summary!X$27)</f>
        <v>32.83852033430616</v>
      </c>
      <c r="Y25" s="132">
        <f>IF(SER_hh_fech_in!Y25=0,0,SER_hh_fech_in!Y25/SER_summary!Y$27)</f>
        <v>36.396114083805472</v>
      </c>
      <c r="DA25" s="156" t="s">
        <v>839</v>
      </c>
    </row>
    <row r="26" spans="1:105" ht="12" customHeight="1" x14ac:dyDescent="0.25">
      <c r="A26" s="131" t="s">
        <v>24</v>
      </c>
      <c r="B26" s="65"/>
      <c r="C26" s="65">
        <f>IF(SER_hh_fech_in!C26=0,0,SER_hh_fech_in!C26/SER_summary!C$27)</f>
        <v>85.122742365998064</v>
      </c>
      <c r="D26" s="65">
        <f>IF(SER_hh_fech_in!D26=0,0,SER_hh_fech_in!D26/SER_summary!D$27)</f>
        <v>7.3862487444948899</v>
      </c>
      <c r="E26" s="65">
        <f>IF(SER_hh_fech_in!E26=0,0,SER_hh_fech_in!E26/SER_summary!E$27)</f>
        <v>50.34017592376626</v>
      </c>
      <c r="F26" s="65">
        <f>IF(SER_hh_fech_in!F26=0,0,SER_hh_fech_in!F26/SER_summary!F$27)</f>
        <v>47.600376194602809</v>
      </c>
      <c r="G26" s="65">
        <f>IF(SER_hh_fech_in!G26=0,0,SER_hh_fech_in!G26/SER_summary!G$27)</f>
        <v>44.645543534215257</v>
      </c>
      <c r="H26" s="65">
        <f>IF(SER_hh_fech_in!H26=0,0,SER_hh_fech_in!H26/SER_summary!H$27)</f>
        <v>45.519924278077127</v>
      </c>
      <c r="I26" s="65">
        <f>IF(SER_hh_fech_in!I26=0,0,SER_hh_fech_in!I26/SER_summary!I$27)</f>
        <v>53.659766841751846</v>
      </c>
      <c r="J26" s="65">
        <f>IF(SER_hh_fech_in!J26=0,0,SER_hh_fech_in!J26/SER_summary!J$27)</f>
        <v>56.096018150921466</v>
      </c>
      <c r="K26" s="65">
        <f>IF(SER_hh_fech_in!K26=0,0,SER_hh_fech_in!K26/SER_summary!K$27)</f>
        <v>0</v>
      </c>
      <c r="L26" s="65">
        <f>IF(SER_hh_fech_in!L26=0,0,SER_hh_fech_in!L26/SER_summary!L$27)</f>
        <v>0</v>
      </c>
      <c r="M26" s="65">
        <f>IF(SER_hh_fech_in!M26=0,0,SER_hh_fech_in!M26/SER_summary!M$27)</f>
        <v>50.539286056798758</v>
      </c>
      <c r="N26" s="65">
        <f>IF(SER_hh_fech_in!N26=0,0,SER_hh_fech_in!N26/SER_summary!N$27)</f>
        <v>43.512140374242243</v>
      </c>
      <c r="O26" s="65">
        <f>IF(SER_hh_fech_in!O26=0,0,SER_hh_fech_in!O26/SER_summary!O$27)</f>
        <v>43.142451019151459</v>
      </c>
      <c r="P26" s="65">
        <f>IF(SER_hh_fech_in!P26=0,0,SER_hh_fech_in!P26/SER_summary!P$27)</f>
        <v>43.494783015463469</v>
      </c>
      <c r="Q26" s="65">
        <f>IF(SER_hh_fech_in!Q26=0,0,SER_hh_fech_in!Q26/SER_summary!Q$27)</f>
        <v>42.340874596693261</v>
      </c>
      <c r="R26" s="65">
        <f>IF(SER_hh_fech_in!R26=0,0,SER_hh_fech_in!R26/SER_summary!R$27)</f>
        <v>41.99820965734834</v>
      </c>
      <c r="S26" s="65">
        <f>IF(SER_hh_fech_in!S26=0,0,SER_hh_fech_in!S26/SER_summary!S$27)</f>
        <v>36.2914384762068</v>
      </c>
      <c r="T26" s="65">
        <f>IF(SER_hh_fech_in!T26=0,0,SER_hh_fech_in!T26/SER_summary!T$27)</f>
        <v>37.11593269431755</v>
      </c>
      <c r="U26" s="65">
        <f>IF(SER_hh_fech_in!U26=0,0,SER_hh_fech_in!U26/SER_summary!U$27)</f>
        <v>35.193982585812954</v>
      </c>
      <c r="V26" s="65">
        <f>IF(SER_hh_fech_in!V26=0,0,SER_hh_fech_in!V26/SER_summary!V$27)</f>
        <v>30.69225136315147</v>
      </c>
      <c r="W26" s="65">
        <f>IF(SER_hh_fech_in!W26=0,0,SER_hh_fech_in!W26/SER_summary!W$27)</f>
        <v>27.824479102959959</v>
      </c>
      <c r="X26" s="65">
        <f>IF(SER_hh_fech_in!X26=0,0,SER_hh_fech_in!X26/SER_summary!X$27)</f>
        <v>33.662600525246866</v>
      </c>
      <c r="Y26" s="65">
        <f>IF(SER_hh_fech_in!Y26=0,0,SER_hh_fech_in!Y26/SER_summary!Y$27)</f>
        <v>37.303151097480985</v>
      </c>
      <c r="DA26" s="109" t="s">
        <v>840</v>
      </c>
    </row>
    <row r="27" spans="1:105" ht="12" customHeight="1" x14ac:dyDescent="0.25">
      <c r="A27" s="144" t="s">
        <v>86</v>
      </c>
      <c r="B27" s="147"/>
      <c r="C27" s="145">
        <f>IF(SER_hh_fech_in!C27=0,0,SER_hh_fech_in!C27/SER_summary!C$27)</f>
        <v>0</v>
      </c>
      <c r="D27" s="145">
        <f>IF(SER_hh_fech_in!D27=0,0,SER_hh_fech_in!D27/SER_summary!D$27)</f>
        <v>0</v>
      </c>
      <c r="E27" s="145">
        <f>IF(SER_hh_fech_in!E27=0,0,SER_hh_fech_in!E27/SER_summary!E$27)</f>
        <v>0</v>
      </c>
      <c r="F27" s="145">
        <f>IF(SER_hh_fech_in!F27=0,0,SER_hh_fech_in!F27/SER_summary!F$27)</f>
        <v>0</v>
      </c>
      <c r="G27" s="145">
        <f>IF(SER_hh_fech_in!G27=0,0,SER_hh_fech_in!G27/SER_summary!G$27)</f>
        <v>0</v>
      </c>
      <c r="H27" s="145">
        <f>IF(SER_hh_fech_in!H27=0,0,SER_hh_fech_in!H27/SER_summary!H$27)</f>
        <v>0</v>
      </c>
      <c r="I27" s="145">
        <f>IF(SER_hh_fech_in!I27=0,0,SER_hh_fech_in!I27/SER_summary!I$27)</f>
        <v>0.19414982462082309</v>
      </c>
      <c r="J27" s="145">
        <f>IF(SER_hh_fech_in!J27=0,0,SER_hh_fech_in!J27/SER_summary!J$27)</f>
        <v>0</v>
      </c>
      <c r="K27" s="145">
        <f>IF(SER_hh_fech_in!K27=0,0,SER_hh_fech_in!K27/SER_summary!K$27)</f>
        <v>0</v>
      </c>
      <c r="L27" s="145">
        <f>IF(SER_hh_fech_in!L27=0,0,SER_hh_fech_in!L27/SER_summary!L$27)</f>
        <v>0.22109735853286069</v>
      </c>
      <c r="M27" s="145">
        <f>IF(SER_hh_fech_in!M27=0,0,SER_hh_fech_in!M27/SER_summary!M$27)</f>
        <v>0</v>
      </c>
      <c r="N27" s="145">
        <f>IF(SER_hh_fech_in!N27=0,0,SER_hh_fech_in!N27/SER_summary!N$27)</f>
        <v>0.47417427796756967</v>
      </c>
      <c r="O27" s="145">
        <f>IF(SER_hh_fech_in!O27=0,0,SER_hh_fech_in!O27/SER_summary!O$27)</f>
        <v>3.813097506530042E-17</v>
      </c>
      <c r="P27" s="145">
        <f>IF(SER_hh_fech_in!P27=0,0,SER_hh_fech_in!P27/SER_summary!P$27)</f>
        <v>0</v>
      </c>
      <c r="Q27" s="145">
        <f>IF(SER_hh_fech_in!Q27=0,0,SER_hh_fech_in!Q27/SER_summary!Q$27)</f>
        <v>0</v>
      </c>
      <c r="R27" s="145">
        <f>IF(SER_hh_fech_in!R27=0,0,SER_hh_fech_in!R27/SER_summary!R$27)</f>
        <v>5.815256896668889E-8</v>
      </c>
      <c r="S27" s="145">
        <f>IF(SER_hh_fech_in!S27=0,0,SER_hh_fech_in!S27/SER_summary!S$27)</f>
        <v>0.14053237956433717</v>
      </c>
      <c r="T27" s="145">
        <f>IF(SER_hh_fech_in!T27=0,0,SER_hh_fech_in!T27/SER_summary!T$27)</f>
        <v>6.0910175017497901E-9</v>
      </c>
      <c r="U27" s="145">
        <f>IF(SER_hh_fech_in!U27=0,0,SER_hh_fech_in!U27/SER_summary!U$27)</f>
        <v>6.7588865279863533E-2</v>
      </c>
      <c r="V27" s="145">
        <f>IF(SER_hh_fech_in!V27=0,0,SER_hh_fech_in!V27/SER_summary!V$27)</f>
        <v>5.1990610622069711E-17</v>
      </c>
      <c r="W27" s="145">
        <f>IF(SER_hh_fech_in!W27=0,0,SER_hh_fech_in!W27/SER_summary!W$27)</f>
        <v>2.4121556712068402</v>
      </c>
      <c r="X27" s="145">
        <f>IF(SER_hh_fech_in!X27=0,0,SER_hh_fech_in!X27/SER_summary!X$27)</f>
        <v>0</v>
      </c>
      <c r="Y27" s="145">
        <f>IF(SER_hh_fech_in!Y27=0,0,SER_hh_fech_in!Y27/SER_summary!Y$27)</f>
        <v>9.7028971021003177E-2</v>
      </c>
      <c r="DA27" s="158" t="s">
        <v>841</v>
      </c>
    </row>
    <row r="28" spans="1:105" ht="12" customHeight="1" x14ac:dyDescent="0.25">
      <c r="A28" s="78" t="s">
        <v>85</v>
      </c>
      <c r="B28" s="68"/>
      <c r="C28" s="146">
        <f>IF(SER_hh_fech_in!C28=0,0,SER_hh_fech_in!C28/SER_summary!C$27)</f>
        <v>0</v>
      </c>
      <c r="D28" s="146">
        <f>IF(SER_hh_fech_in!D28=0,0,SER_hh_fech_in!D28/SER_summary!D$27)</f>
        <v>0</v>
      </c>
      <c r="E28" s="146">
        <f>IF(SER_hh_fech_in!E28=0,0,SER_hh_fech_in!E28/SER_summary!E$27)</f>
        <v>0</v>
      </c>
      <c r="F28" s="146">
        <f>IF(SER_hh_fech_in!F28=0,0,SER_hh_fech_in!F28/SER_summary!F$27)</f>
        <v>0</v>
      </c>
      <c r="G28" s="146">
        <f>IF(SER_hh_fech_in!G28=0,0,SER_hh_fech_in!G28/SER_summary!G$27)</f>
        <v>0</v>
      </c>
      <c r="H28" s="146">
        <f>IF(SER_hh_fech_in!H28=0,0,SER_hh_fech_in!H28/SER_summary!H$27)</f>
        <v>0</v>
      </c>
      <c r="I28" s="146">
        <f>IF(SER_hh_fech_in!I28=0,0,SER_hh_fech_in!I28/SER_summary!I$27)</f>
        <v>25.365671716594481</v>
      </c>
      <c r="J28" s="146">
        <f>IF(SER_hh_fech_in!J28=0,0,SER_hh_fech_in!J28/SER_summary!J$27)</f>
        <v>0</v>
      </c>
      <c r="K28" s="146">
        <f>IF(SER_hh_fech_in!K28=0,0,SER_hh_fech_in!K28/SER_summary!K$27)</f>
        <v>0</v>
      </c>
      <c r="L28" s="146">
        <f>IF(SER_hh_fech_in!L28=0,0,SER_hh_fech_in!L28/SER_summary!L$27)</f>
        <v>23.967598267305718</v>
      </c>
      <c r="M28" s="146">
        <f>IF(SER_hh_fech_in!M28=0,0,SER_hh_fech_in!M28/SER_summary!M$27)</f>
        <v>0</v>
      </c>
      <c r="N28" s="146">
        <f>IF(SER_hh_fech_in!N28=0,0,SER_hh_fech_in!N28/SER_summary!N$27)</f>
        <v>33.828426333671331</v>
      </c>
      <c r="O28" s="146">
        <f>IF(SER_hh_fech_in!O28=0,0,SER_hh_fech_in!O28/SER_summary!O$27)</f>
        <v>33.636740739639613</v>
      </c>
      <c r="P28" s="146">
        <f>IF(SER_hh_fech_in!P28=0,0,SER_hh_fech_in!P28/SER_summary!P$27)</f>
        <v>0</v>
      </c>
      <c r="Q28" s="146">
        <f>IF(SER_hh_fech_in!Q28=0,0,SER_hh_fech_in!Q28/SER_summary!Q$27)</f>
        <v>0</v>
      </c>
      <c r="R28" s="146">
        <f>IF(SER_hh_fech_in!R28=0,0,SER_hh_fech_in!R28/SER_summary!R$27)</f>
        <v>31.93890826669298</v>
      </c>
      <c r="S28" s="146">
        <f>IF(SER_hh_fech_in!S28=0,0,SER_hh_fech_in!S28/SER_summary!S$27)</f>
        <v>26.14536308065744</v>
      </c>
      <c r="T28" s="146">
        <f>IF(SER_hh_fech_in!T28=0,0,SER_hh_fech_in!T28/SER_summary!T$27)</f>
        <v>26.174946170583979</v>
      </c>
      <c r="U28" s="146">
        <f>IF(SER_hh_fech_in!U28=0,0,SER_hh_fech_in!U28/SER_summary!U$27)</f>
        <v>24.437399714869514</v>
      </c>
      <c r="V28" s="146">
        <f>IF(SER_hh_fech_in!V28=0,0,SER_hh_fech_in!V28/SER_summary!V$27)</f>
        <v>23.396594739786121</v>
      </c>
      <c r="W28" s="146">
        <f>IF(SER_hh_fech_in!W28=0,0,SER_hh_fech_in!W28/SER_summary!W$27)</f>
        <v>26.090252938741415</v>
      </c>
      <c r="X28" s="146">
        <f>IF(SER_hh_fech_in!X28=0,0,SER_hh_fech_in!X28/SER_summary!X$27)</f>
        <v>0</v>
      </c>
      <c r="Y28" s="146">
        <f>IF(SER_hh_fech_in!Y28=0,0,SER_hh_fech_in!Y28/SER_summary!Y$27)</f>
        <v>28.645966728311365</v>
      </c>
      <c r="DA28" s="159"/>
    </row>
    <row r="29" spans="1:105" ht="12.95" customHeight="1" x14ac:dyDescent="0.25">
      <c r="A29" s="129" t="s">
        <v>34</v>
      </c>
      <c r="B29" s="130"/>
      <c r="C29" s="130">
        <f>IF(SER_hh_fech_in!C29=0,0,SER_hh_fech_in!C29/SER_summary!C$27)</f>
        <v>53.508815851755557</v>
      </c>
      <c r="D29" s="130">
        <f>IF(SER_hh_fech_in!D29=0,0,SER_hh_fech_in!D29/SER_summary!D$27)</f>
        <v>28.235509228345016</v>
      </c>
      <c r="E29" s="130">
        <f>IF(SER_hh_fech_in!E29=0,0,SER_hh_fech_in!E29/SER_summary!E$27)</f>
        <v>56.838137357790679</v>
      </c>
      <c r="F29" s="130">
        <f>IF(SER_hh_fech_in!F29=0,0,SER_hh_fech_in!F29/SER_summary!F$27)</f>
        <v>79.535744626408913</v>
      </c>
      <c r="G29" s="130">
        <f>IF(SER_hh_fech_in!G29=0,0,SER_hh_fech_in!G29/SER_summary!G$27)</f>
        <v>68.229410162675222</v>
      </c>
      <c r="H29" s="130">
        <f>IF(SER_hh_fech_in!H29=0,0,SER_hh_fech_in!H29/SER_summary!H$27)</f>
        <v>60.950603396601259</v>
      </c>
      <c r="I29" s="130">
        <f>IF(SER_hh_fech_in!I29=0,0,SER_hh_fech_in!I29/SER_summary!I$27)</f>
        <v>35.433703761379086</v>
      </c>
      <c r="J29" s="130">
        <f>IF(SER_hh_fech_in!J29=0,0,SER_hh_fech_in!J29/SER_summary!J$27)</f>
        <v>65.890805197444038</v>
      </c>
      <c r="K29" s="130">
        <f>IF(SER_hh_fech_in!K29=0,0,SER_hh_fech_in!K29/SER_summary!K$27)</f>
        <v>61.861629252623992</v>
      </c>
      <c r="L29" s="130">
        <f>IF(SER_hh_fech_in!L29=0,0,SER_hh_fech_in!L29/SER_summary!L$27)</f>
        <v>59.094728936643484</v>
      </c>
      <c r="M29" s="130">
        <f>IF(SER_hh_fech_in!M29=0,0,SER_hh_fech_in!M29/SER_summary!M$27)</f>
        <v>61.888708105010423</v>
      </c>
      <c r="N29" s="130">
        <f>IF(SER_hh_fech_in!N29=0,0,SER_hh_fech_in!N29/SER_summary!N$27)</f>
        <v>64.907773470460867</v>
      </c>
      <c r="O29" s="130">
        <f>IF(SER_hh_fech_in!O29=0,0,SER_hh_fech_in!O29/SER_summary!O$27)</f>
        <v>67.860842585043358</v>
      </c>
      <c r="P29" s="130">
        <f>IF(SER_hh_fech_in!P29=0,0,SER_hh_fech_in!P29/SER_summary!P$27)</f>
        <v>70.656456334951713</v>
      </c>
      <c r="Q29" s="130">
        <f>IF(SER_hh_fech_in!Q29=0,0,SER_hh_fech_in!Q29/SER_summary!Q$27)</f>
        <v>73.429445178213726</v>
      </c>
      <c r="R29" s="130">
        <f>IF(SER_hh_fech_in!R29=0,0,SER_hh_fech_in!R29/SER_summary!R$27)</f>
        <v>68.24656563089502</v>
      </c>
      <c r="S29" s="130">
        <f>IF(SER_hh_fech_in!S29=0,0,SER_hh_fech_in!S29/SER_summary!S$27)</f>
        <v>63.648340052609498</v>
      </c>
      <c r="T29" s="130">
        <f>IF(SER_hh_fech_in!T29=0,0,SER_hh_fech_in!T29/SER_summary!T$27)</f>
        <v>59.24054206403359</v>
      </c>
      <c r="U29" s="130">
        <f>IF(SER_hh_fech_in!U29=0,0,SER_hh_fech_in!U29/SER_summary!U$27)</f>
        <v>57.933454571155806</v>
      </c>
      <c r="V29" s="130">
        <f>IF(SER_hh_fech_in!V29=0,0,SER_hh_fech_in!V29/SER_summary!V$27)</f>
        <v>51.186927242349206</v>
      </c>
      <c r="W29" s="130">
        <f>IF(SER_hh_fech_in!W29=0,0,SER_hh_fech_in!W29/SER_summary!W$27)</f>
        <v>53.760273613566639</v>
      </c>
      <c r="X29" s="130">
        <f>IF(SER_hh_fech_in!X29=0,0,SER_hh_fech_in!X29/SER_summary!X$27)</f>
        <v>57.280921369650841</v>
      </c>
      <c r="Y29" s="130">
        <f>IF(SER_hh_fech_in!Y29=0,0,SER_hh_fech_in!Y29/SER_summary!Y$27)</f>
        <v>61.096572480308602</v>
      </c>
      <c r="DA29" s="155" t="s">
        <v>842</v>
      </c>
    </row>
    <row r="30" spans="1:105" s="2" customFormat="1" ht="12" customHeight="1" x14ac:dyDescent="0.25">
      <c r="A30" s="131" t="s">
        <v>52</v>
      </c>
      <c r="B30" s="132"/>
      <c r="C30" s="132">
        <f>IF(SER_hh_fech_in!C30=0,0,SER_hh_fech_in!C30/SER_summary!C$27)</f>
        <v>41.038797019262425</v>
      </c>
      <c r="D30" s="132">
        <f>IF(SER_hh_fech_in!D30=0,0,SER_hh_fech_in!D30/SER_summary!D$27)</f>
        <v>18.086520738276278</v>
      </c>
      <c r="E30" s="132">
        <f>IF(SER_hh_fech_in!E30=0,0,SER_hh_fech_in!E30/SER_summary!E$27)</f>
        <v>54.468054676140845</v>
      </c>
      <c r="F30" s="132">
        <f>IF(SER_hh_fech_in!F30=0,0,SER_hh_fech_in!F30/SER_summary!F$27)</f>
        <v>83.13078478239494</v>
      </c>
      <c r="G30" s="132">
        <f>IF(SER_hh_fech_in!G30=0,0,SER_hh_fech_in!G30/SER_summary!G$27)</f>
        <v>100.31483805136176</v>
      </c>
      <c r="H30" s="132">
        <f>IF(SER_hh_fech_in!H30=0,0,SER_hh_fech_in!H30/SER_summary!H$27)</f>
        <v>41.587779765339299</v>
      </c>
      <c r="I30" s="132">
        <f>IF(SER_hh_fech_in!I30=0,0,SER_hh_fech_in!I30/SER_summary!I$27)</f>
        <v>127.42905591505779</v>
      </c>
      <c r="J30" s="132">
        <f>IF(SER_hh_fech_in!J30=0,0,SER_hh_fech_in!J30/SER_summary!J$27)</f>
        <v>0</v>
      </c>
      <c r="K30" s="132">
        <f>IF(SER_hh_fech_in!K30=0,0,SER_hh_fech_in!K30/SER_summary!K$27)</f>
        <v>0</v>
      </c>
      <c r="L30" s="132">
        <f>IF(SER_hh_fech_in!L30=0,0,SER_hh_fech_in!L30/SER_summary!L$27)</f>
        <v>0</v>
      </c>
      <c r="M30" s="132">
        <f>IF(SER_hh_fech_in!M30=0,0,SER_hh_fech_in!M30/SER_summary!M$27)</f>
        <v>0</v>
      </c>
      <c r="N30" s="132">
        <f>IF(SER_hh_fech_in!N30=0,0,SER_hh_fech_in!N30/SER_summary!N$27)</f>
        <v>73.440511563907251</v>
      </c>
      <c r="O30" s="132">
        <f>IF(SER_hh_fech_in!O30=0,0,SER_hh_fech_in!O30/SER_summary!O$27)</f>
        <v>74.466840727996498</v>
      </c>
      <c r="P30" s="132">
        <f>IF(SER_hh_fech_in!P30=0,0,SER_hh_fech_in!P30/SER_summary!P$27)</f>
        <v>80.918833150835795</v>
      </c>
      <c r="Q30" s="132">
        <f>IF(SER_hh_fech_in!Q30=0,0,SER_hh_fech_in!Q30/SER_summary!Q$27)</f>
        <v>89.804467499143499</v>
      </c>
      <c r="R30" s="132">
        <f>IF(SER_hh_fech_in!R30=0,0,SER_hh_fech_in!R30/SER_summary!R$27)</f>
        <v>79.00800651029229</v>
      </c>
      <c r="S30" s="132">
        <f>IF(SER_hh_fech_in!S30=0,0,SER_hh_fech_in!S30/SER_summary!S$27)</f>
        <v>76.286509884644019</v>
      </c>
      <c r="T30" s="132">
        <f>IF(SER_hh_fech_in!T30=0,0,SER_hh_fech_in!T30/SER_summary!T$27)</f>
        <v>77.771048879388374</v>
      </c>
      <c r="U30" s="132">
        <f>IF(SER_hh_fech_in!U30=0,0,SER_hh_fech_in!U30/SER_summary!U$27)</f>
        <v>76.776619562836757</v>
      </c>
      <c r="V30" s="132">
        <f>IF(SER_hh_fech_in!V30=0,0,SER_hh_fech_in!V30/SER_summary!V$27)</f>
        <v>70.739353427585826</v>
      </c>
      <c r="W30" s="132">
        <f>IF(SER_hh_fech_in!W30=0,0,SER_hh_fech_in!W30/SER_summary!W$27)</f>
        <v>74.348544502501341</v>
      </c>
      <c r="X30" s="132">
        <f>IF(SER_hh_fech_in!X30=0,0,SER_hh_fech_in!X30/SER_summary!X$27)</f>
        <v>78.984086448677758</v>
      </c>
      <c r="Y30" s="132">
        <f>IF(SER_hh_fech_in!Y30=0,0,SER_hh_fech_in!Y30/SER_summary!Y$27)</f>
        <v>75.54451811988551</v>
      </c>
      <c r="DA30" s="156" t="s">
        <v>843</v>
      </c>
    </row>
    <row r="31" spans="1:105" ht="12" customHeight="1" x14ac:dyDescent="0.25">
      <c r="A31" s="131" t="s">
        <v>149</v>
      </c>
      <c r="B31" s="132"/>
      <c r="C31" s="132">
        <f>IF(SER_hh_fech_in!C31=0,0,SER_hh_fech_in!C31/SER_summary!C$27)</f>
        <v>61.216958855873905</v>
      </c>
      <c r="D31" s="132">
        <f>IF(SER_hh_fech_in!D31=0,0,SER_hh_fech_in!D31/SER_summary!D$27)</f>
        <v>35.185240826028533</v>
      </c>
      <c r="E31" s="132">
        <f>IF(SER_hh_fech_in!E31=0,0,SER_hh_fech_in!E31/SER_summary!E$27)</f>
        <v>58.073032289327472</v>
      </c>
      <c r="F31" s="132">
        <f>IF(SER_hh_fech_in!F31=0,0,SER_hh_fech_in!F31/SER_summary!F$27)</f>
        <v>77.569913850300836</v>
      </c>
      <c r="G31" s="132">
        <f>IF(SER_hh_fech_in!G31=0,0,SER_hh_fech_in!G31/SER_summary!G$27)</f>
        <v>63.165090948211258</v>
      </c>
      <c r="H31" s="132">
        <f>IF(SER_hh_fech_in!H31=0,0,SER_hh_fech_in!H31/SER_summary!H$27)</f>
        <v>86.549411159353298</v>
      </c>
      <c r="I31" s="132">
        <f>IF(SER_hh_fech_in!I31=0,0,SER_hh_fech_in!I31/SER_summary!I$27)</f>
        <v>65.674028542420771</v>
      </c>
      <c r="J31" s="132">
        <f>IF(SER_hh_fech_in!J31=0,0,SER_hh_fech_in!J31/SER_summary!J$27)</f>
        <v>71.550265070306764</v>
      </c>
      <c r="K31" s="132">
        <f>IF(SER_hh_fech_in!K31=0,0,SER_hh_fech_in!K31/SER_summary!K$27)</f>
        <v>74.654897167810319</v>
      </c>
      <c r="L31" s="132">
        <f>IF(SER_hh_fech_in!L31=0,0,SER_hh_fech_in!L31/SER_summary!L$27)</f>
        <v>74.852461382351592</v>
      </c>
      <c r="M31" s="132">
        <f>IF(SER_hh_fech_in!M31=0,0,SER_hh_fech_in!M31/SER_summary!M$27)</f>
        <v>75.331548640942245</v>
      </c>
      <c r="N31" s="132">
        <f>IF(SER_hh_fech_in!N31=0,0,SER_hh_fech_in!N31/SER_summary!N$27)</f>
        <v>75.305193646532032</v>
      </c>
      <c r="O31" s="132">
        <f>IF(SER_hh_fech_in!O31=0,0,SER_hh_fech_in!O31/SER_summary!O$27)</f>
        <v>77.618561605878185</v>
      </c>
      <c r="P31" s="132">
        <f>IF(SER_hh_fech_in!P31=0,0,SER_hh_fech_in!P31/SER_summary!P$27)</f>
        <v>76.727338807426989</v>
      </c>
      <c r="Q31" s="132">
        <f>IF(SER_hh_fech_in!Q31=0,0,SER_hh_fech_in!Q31/SER_summary!Q$27)</f>
        <v>80.301166977752516</v>
      </c>
      <c r="R31" s="132">
        <f>IF(SER_hh_fech_in!R31=0,0,SER_hh_fech_in!R31/SER_summary!R$27)</f>
        <v>75.782106539300301</v>
      </c>
      <c r="S31" s="132">
        <f>IF(SER_hh_fech_in!S31=0,0,SER_hh_fech_in!S31/SER_summary!S$27)</f>
        <v>78.506357239585739</v>
      </c>
      <c r="T31" s="132">
        <f>IF(SER_hh_fech_in!T31=0,0,SER_hh_fech_in!T31/SER_summary!T$27)</f>
        <v>74.992045158267473</v>
      </c>
      <c r="U31" s="132">
        <f>IF(SER_hh_fech_in!U31=0,0,SER_hh_fech_in!U31/SER_summary!U$27)</f>
        <v>74.215384554233466</v>
      </c>
      <c r="V31" s="132">
        <f>IF(SER_hh_fech_in!V31=0,0,SER_hh_fech_in!V31/SER_summary!V$27)</f>
        <v>69.974927379720029</v>
      </c>
      <c r="W31" s="132">
        <f>IF(SER_hh_fech_in!W31=0,0,SER_hh_fech_in!W31/SER_summary!W$27)</f>
        <v>72.518690677599011</v>
      </c>
      <c r="X31" s="132">
        <f>IF(SER_hh_fech_in!X31=0,0,SER_hh_fech_in!X31/SER_summary!X$27)</f>
        <v>75.234860222271735</v>
      </c>
      <c r="Y31" s="132">
        <f>IF(SER_hh_fech_in!Y31=0,0,SER_hh_fech_in!Y31/SER_summary!Y$27)</f>
        <v>78.073368904686774</v>
      </c>
      <c r="DA31" s="156" t="s">
        <v>844</v>
      </c>
    </row>
    <row r="32" spans="1:105" ht="12" customHeight="1" x14ac:dyDescent="0.25">
      <c r="A32" s="131" t="s">
        <v>128</v>
      </c>
      <c r="B32" s="132"/>
      <c r="C32" s="132">
        <f>IF(SER_hh_fech_in!C32=0,0,SER_hh_fech_in!C32/SER_summary!C$27)</f>
        <v>0</v>
      </c>
      <c r="D32" s="132">
        <f>IF(SER_hh_fech_in!D32=0,0,SER_hh_fech_in!D32/SER_summary!D$27)</f>
        <v>0</v>
      </c>
      <c r="E32" s="132">
        <f>IF(SER_hh_fech_in!E32=0,0,SER_hh_fech_in!E32/SER_summary!E$27)</f>
        <v>0</v>
      </c>
      <c r="F32" s="132">
        <f>IF(SER_hh_fech_in!F32=0,0,SER_hh_fech_in!F32/SER_summary!F$27)</f>
        <v>0</v>
      </c>
      <c r="G32" s="132">
        <f>IF(SER_hh_fech_in!G32=0,0,SER_hh_fech_in!G32/SER_summary!G$27)</f>
        <v>0</v>
      </c>
      <c r="H32" s="132">
        <f>IF(SER_hh_fech_in!H32=0,0,SER_hh_fech_in!H32/SER_summary!H$27)</f>
        <v>0</v>
      </c>
      <c r="I32" s="132">
        <f>IF(SER_hh_fech_in!I32=0,0,SER_hh_fech_in!I32/SER_summary!I$27)</f>
        <v>0</v>
      </c>
      <c r="J32" s="132">
        <f>IF(SER_hh_fech_in!J32=0,0,SER_hh_fech_in!J32/SER_summary!J$27)</f>
        <v>0</v>
      </c>
      <c r="K32" s="132">
        <f>IF(SER_hh_fech_in!K32=0,0,SER_hh_fech_in!K32/SER_summary!K$27)</f>
        <v>0</v>
      </c>
      <c r="L32" s="132">
        <f>IF(SER_hh_fech_in!L32=0,0,SER_hh_fech_in!L32/SER_summary!L$27)</f>
        <v>0</v>
      </c>
      <c r="M32" s="132">
        <f>IF(SER_hh_fech_in!M32=0,0,SER_hh_fech_in!M32/SER_summary!M$27)</f>
        <v>0</v>
      </c>
      <c r="N32" s="132">
        <f>IF(SER_hh_fech_in!N32=0,0,SER_hh_fech_in!N32/SER_summary!N$27)</f>
        <v>0</v>
      </c>
      <c r="O32" s="132">
        <f>IF(SER_hh_fech_in!O32=0,0,SER_hh_fech_in!O32/SER_summary!O$27)</f>
        <v>0</v>
      </c>
      <c r="P32" s="132">
        <f>IF(SER_hh_fech_in!P32=0,0,SER_hh_fech_in!P32/SER_summary!P$27)</f>
        <v>0</v>
      </c>
      <c r="Q32" s="132">
        <f>IF(SER_hh_fech_in!Q32=0,0,SER_hh_fech_in!Q32/SER_summary!Q$27)</f>
        <v>0</v>
      </c>
      <c r="R32" s="132">
        <f>IF(SER_hh_fech_in!R32=0,0,SER_hh_fech_in!R32/SER_summary!R$27)</f>
        <v>0</v>
      </c>
      <c r="S32" s="132">
        <f>IF(SER_hh_fech_in!S32=0,0,SER_hh_fech_in!S32/SER_summary!S$27)</f>
        <v>0</v>
      </c>
      <c r="T32" s="132">
        <f>IF(SER_hh_fech_in!T32=0,0,SER_hh_fech_in!T32/SER_summary!T$27)</f>
        <v>0</v>
      </c>
      <c r="U32" s="132">
        <f>IF(SER_hh_fech_in!U32=0,0,SER_hh_fech_in!U32/SER_summary!U$27)</f>
        <v>0</v>
      </c>
      <c r="V32" s="132">
        <f>IF(SER_hh_fech_in!V32=0,0,SER_hh_fech_in!V32/SER_summary!V$27)</f>
        <v>0</v>
      </c>
      <c r="W32" s="132">
        <f>IF(SER_hh_fech_in!W32=0,0,SER_hh_fech_in!W32/SER_summary!W$27)</f>
        <v>0</v>
      </c>
      <c r="X32" s="132">
        <f>IF(SER_hh_fech_in!X32=0,0,SER_hh_fech_in!X32/SER_summary!X$27)</f>
        <v>0</v>
      </c>
      <c r="Y32" s="132">
        <f>IF(SER_hh_fech_in!Y32=0,0,SER_hh_fech_in!Y32/SER_summary!Y$27)</f>
        <v>0</v>
      </c>
      <c r="DA32" s="156" t="s">
        <v>845</v>
      </c>
    </row>
    <row r="33" spans="1:105" ht="12" customHeight="1" x14ac:dyDescent="0.25">
      <c r="A33" s="62" t="s">
        <v>24</v>
      </c>
      <c r="B33" s="68"/>
      <c r="C33" s="68">
        <f>IF(SER_hh_fech_in!C33=0,0,SER_hh_fech_in!C33/SER_summary!C$27)</f>
        <v>51.852295160455746</v>
      </c>
      <c r="D33" s="68">
        <f>IF(SER_hh_fech_in!D33=0,0,SER_hh_fech_in!D33/SER_summary!D$27)</f>
        <v>0</v>
      </c>
      <c r="E33" s="68">
        <f>IF(SER_hh_fech_in!E33=0,0,SER_hh_fech_in!E33/SER_summary!E$27)</f>
        <v>0</v>
      </c>
      <c r="F33" s="68">
        <f>IF(SER_hh_fech_in!F33=0,0,SER_hh_fech_in!F33/SER_summary!F$27)</f>
        <v>0</v>
      </c>
      <c r="G33" s="68">
        <f>IF(SER_hh_fech_in!G33=0,0,SER_hh_fech_in!G33/SER_summary!G$27)</f>
        <v>0</v>
      </c>
      <c r="H33" s="68">
        <f>IF(SER_hh_fech_in!H33=0,0,SER_hh_fech_in!H33/SER_summary!H$27)</f>
        <v>45.297261551076289</v>
      </c>
      <c r="I33" s="68">
        <f>IF(SER_hh_fech_in!I33=0,0,SER_hh_fech_in!I33/SER_summary!I$27)</f>
        <v>26.308583538246527</v>
      </c>
      <c r="J33" s="68">
        <f>IF(SER_hh_fech_in!J33=0,0,SER_hh_fech_in!J33/SER_summary!J$27)</f>
        <v>65.649435469869871</v>
      </c>
      <c r="K33" s="68">
        <f>IF(SER_hh_fech_in!K33=0,0,SER_hh_fech_in!K33/SER_summary!K$27)</f>
        <v>60.807772279594509</v>
      </c>
      <c r="L33" s="68">
        <f>IF(SER_hh_fech_in!L33=0,0,SER_hh_fech_in!L33/SER_summary!L$27)</f>
        <v>55.346637144397519</v>
      </c>
      <c r="M33" s="68">
        <f>IF(SER_hh_fech_in!M33=0,0,SER_hh_fech_in!M33/SER_summary!M$27)</f>
        <v>56.694462061931958</v>
      </c>
      <c r="N33" s="68">
        <f>IF(SER_hh_fech_in!N33=0,0,SER_hh_fech_in!N33/SER_summary!N$27)</f>
        <v>57.214792865204629</v>
      </c>
      <c r="O33" s="68">
        <f>IF(SER_hh_fech_in!O33=0,0,SER_hh_fech_in!O33/SER_summary!O$27)</f>
        <v>59.398656901472165</v>
      </c>
      <c r="P33" s="68">
        <f>IF(SER_hh_fech_in!P33=0,0,SER_hh_fech_in!P33/SER_summary!P$27)</f>
        <v>59.910003551054963</v>
      </c>
      <c r="Q33" s="68">
        <f>IF(SER_hh_fech_in!Q33=0,0,SER_hh_fech_in!Q33/SER_summary!Q$27)</f>
        <v>58.197884031333025</v>
      </c>
      <c r="R33" s="68">
        <f>IF(SER_hh_fech_in!R33=0,0,SER_hh_fech_in!R33/SER_summary!R$27)</f>
        <v>56.662245251701847</v>
      </c>
      <c r="S33" s="68">
        <f>IF(SER_hh_fech_in!S33=0,0,SER_hh_fech_in!S33/SER_summary!S$27)</f>
        <v>52.12757991453536</v>
      </c>
      <c r="T33" s="68">
        <f>IF(SER_hh_fech_in!T33=0,0,SER_hh_fech_in!T33/SER_summary!T$27)</f>
        <v>53.095167983156216</v>
      </c>
      <c r="U33" s="68">
        <f>IF(SER_hh_fech_in!U33=0,0,SER_hh_fech_in!U33/SER_summary!U$27)</f>
        <v>52.631220573256414</v>
      </c>
      <c r="V33" s="68">
        <f>IF(SER_hh_fech_in!V33=0,0,SER_hh_fech_in!V33/SER_summary!V$27)</f>
        <v>45.662833967794477</v>
      </c>
      <c r="W33" s="68">
        <f>IF(SER_hh_fech_in!W33=0,0,SER_hh_fech_in!W33/SER_summary!W$27)</f>
        <v>48.813995362568392</v>
      </c>
      <c r="X33" s="68">
        <f>IF(SER_hh_fech_in!X33=0,0,SER_hh_fech_in!X33/SER_summary!X$27)</f>
        <v>52.166193932168014</v>
      </c>
      <c r="Y33" s="68">
        <f>IF(SER_hh_fech_in!Y33=0,0,SER_hh_fech_in!Y33/SER_summary!Y$27)</f>
        <v>53.360002807145648</v>
      </c>
      <c r="DA33" s="111" t="s">
        <v>846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9">
    <tabColor theme="6" tint="0.79998168889431442"/>
    <pageSetUpPr fitToPage="1"/>
  </sheetPr>
  <dimension ref="A1:DA33"/>
  <sheetViews>
    <sheetView showGridLines="0" zoomScaleNormal="100" workbookViewId="0">
      <pane xSplit="1" ySplit="1" topLeftCell="G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40.7109375" style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25.5" customHeight="1" x14ac:dyDescent="0.25">
      <c r="A1" s="28" t="s">
        <v>847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X1" s="27">
        <v>2022</v>
      </c>
      <c r="Y1" s="27">
        <v>2023</v>
      </c>
      <c r="DA1" s="87" t="s">
        <v>150</v>
      </c>
    </row>
    <row r="2" spans="1:105" s="2" customFormat="1" ht="12" customHeight="1" x14ac:dyDescent="0.25">
      <c r="DA2" s="7"/>
    </row>
    <row r="3" spans="1:105" ht="12.95" customHeight="1" x14ac:dyDescent="0.25">
      <c r="A3" s="123" t="s">
        <v>91</v>
      </c>
      <c r="B3" s="125"/>
      <c r="C3" s="125">
        <f>IF(SER_hh_tesh_in!C3=0,0,SER_hh_tesh_in!C3/SER_summary!C$27)</f>
        <v>265.20382261287796</v>
      </c>
      <c r="D3" s="125">
        <f>IF(SER_hh_tesh_in!D3=0,0,SER_hh_tesh_in!D3/SER_summary!D$27)</f>
        <v>161.92030107851517</v>
      </c>
      <c r="E3" s="125">
        <f>IF(SER_hh_tesh_in!E3=0,0,SER_hh_tesh_in!E3/SER_summary!E$27)</f>
        <v>236.60928886559864</v>
      </c>
      <c r="F3" s="125">
        <f>IF(SER_hh_tesh_in!F3=0,0,SER_hh_tesh_in!F3/SER_summary!F$27)</f>
        <v>271.75321583085662</v>
      </c>
      <c r="G3" s="125">
        <f>IF(SER_hh_tesh_in!G3=0,0,SER_hh_tesh_in!G3/SER_summary!G$27)</f>
        <v>279.243089080912</v>
      </c>
      <c r="H3" s="125">
        <f>IF(SER_hh_tesh_in!H3=0,0,SER_hh_tesh_in!H3/SER_summary!H$27)</f>
        <v>412.53315274886262</v>
      </c>
      <c r="I3" s="125">
        <f>IF(SER_hh_tesh_in!I3=0,0,SER_hh_tesh_in!I3/SER_summary!I$27)</f>
        <v>307.39847321230928</v>
      </c>
      <c r="J3" s="125">
        <f>IF(SER_hh_tesh_in!J3=0,0,SER_hh_tesh_in!J3/SER_summary!J$27)</f>
        <v>268.29451686025976</v>
      </c>
      <c r="K3" s="125">
        <f>IF(SER_hh_tesh_in!K3=0,0,SER_hh_tesh_in!K3/SER_summary!K$27)</f>
        <v>244.00518168502029</v>
      </c>
      <c r="L3" s="125">
        <f>IF(SER_hh_tesh_in!L3=0,0,SER_hh_tesh_in!L3/SER_summary!L$27)</f>
        <v>243.8453142348778</v>
      </c>
      <c r="M3" s="125">
        <f>IF(SER_hh_tesh_in!M3=0,0,SER_hh_tesh_in!M3/SER_summary!M$27)</f>
        <v>229.92466325044043</v>
      </c>
      <c r="N3" s="125">
        <f>IF(SER_hh_tesh_in!N3=0,0,SER_hh_tesh_in!N3/SER_summary!N$27)</f>
        <v>230.3366827488411</v>
      </c>
      <c r="O3" s="125">
        <f>IF(SER_hh_tesh_in!O3=0,0,SER_hh_tesh_in!O3/SER_summary!O$27)</f>
        <v>197.36500490081301</v>
      </c>
      <c r="P3" s="125">
        <f>IF(SER_hh_tesh_in!P3=0,0,SER_hh_tesh_in!P3/SER_summary!P$27)</f>
        <v>181.85726585159372</v>
      </c>
      <c r="Q3" s="125">
        <f>IF(SER_hh_tesh_in!Q3=0,0,SER_hh_tesh_in!Q3/SER_summary!Q$27)</f>
        <v>181.64832752175792</v>
      </c>
      <c r="R3" s="125">
        <f>IF(SER_hh_tesh_in!R3=0,0,SER_hh_tesh_in!R3/SER_summary!R$27)</f>
        <v>173.42100532937522</v>
      </c>
      <c r="S3" s="125">
        <f>IF(SER_hh_tesh_in!S3=0,0,SER_hh_tesh_in!S3/SER_summary!S$27)</f>
        <v>175.85844109024947</v>
      </c>
      <c r="T3" s="125">
        <f>IF(SER_hh_tesh_in!T3=0,0,SER_hh_tesh_in!T3/SER_summary!T$27)</f>
        <v>173.40251546888308</v>
      </c>
      <c r="U3" s="125">
        <f>IF(SER_hh_tesh_in!U3=0,0,SER_hh_tesh_in!U3/SER_summary!U$27)</f>
        <v>170.54633322530148</v>
      </c>
      <c r="V3" s="125">
        <f>IF(SER_hh_tesh_in!V3=0,0,SER_hh_tesh_in!V3/SER_summary!V$27)</f>
        <v>152.25079991627524</v>
      </c>
      <c r="W3" s="125">
        <f>IF(SER_hh_tesh_in!W3=0,0,SER_hh_tesh_in!W3/SER_summary!W$27)</f>
        <v>161.67314849906671</v>
      </c>
      <c r="X3" s="125">
        <f>IF(SER_hh_tesh_in!X3=0,0,SER_hh_tesh_in!X3/SER_summary!X$27)</f>
        <v>152.91280911848906</v>
      </c>
      <c r="Y3" s="125">
        <f>IF(SER_hh_tesh_in!Y3=0,0,SER_hh_tesh_in!Y3/SER_summary!Y$27)</f>
        <v>205.9266697551441</v>
      </c>
      <c r="DA3" s="154" t="s">
        <v>848</v>
      </c>
    </row>
    <row r="4" spans="1:105" ht="12.95" customHeight="1" x14ac:dyDescent="0.25">
      <c r="A4" s="129" t="s">
        <v>32</v>
      </c>
      <c r="B4" s="130"/>
      <c r="C4" s="130">
        <f>IF(SER_hh_tesh_in!C4=0,0,SER_hh_tesh_in!C4/SER_summary!C$27)</f>
        <v>192.19666920042971</v>
      </c>
      <c r="D4" s="130">
        <f>IF(SER_hh_tesh_in!D4=0,0,SER_hh_tesh_in!D4/SER_summary!D$27)</f>
        <v>121.70731937703624</v>
      </c>
      <c r="E4" s="130">
        <f>IF(SER_hh_tesh_in!E4=0,0,SER_hh_tesh_in!E4/SER_summary!E$27)</f>
        <v>168.94898735024162</v>
      </c>
      <c r="F4" s="130">
        <f>IF(SER_hh_tesh_in!F4=0,0,SER_hh_tesh_in!F4/SER_summary!F$27)</f>
        <v>184.04920643910253</v>
      </c>
      <c r="G4" s="130">
        <f>IF(SER_hh_tesh_in!G4=0,0,SER_hh_tesh_in!G4/SER_summary!G$27)</f>
        <v>203.92961317868455</v>
      </c>
      <c r="H4" s="130">
        <f>IF(SER_hh_tesh_in!H4=0,0,SER_hh_tesh_in!H4/SER_summary!H$27)</f>
        <v>330.38343540871705</v>
      </c>
      <c r="I4" s="130">
        <f>IF(SER_hh_tesh_in!I4=0,0,SER_hh_tesh_in!I4/SER_summary!I$27)</f>
        <v>226.89032100212216</v>
      </c>
      <c r="J4" s="130">
        <f>IF(SER_hh_tesh_in!J4=0,0,SER_hh_tesh_in!J4/SER_summary!J$27)</f>
        <v>166.68267338712073</v>
      </c>
      <c r="K4" s="130">
        <f>IF(SER_hh_tesh_in!K4=0,0,SER_hh_tesh_in!K4/SER_summary!K$27)</f>
        <v>141.51730654631595</v>
      </c>
      <c r="L4" s="130">
        <f>IF(SER_hh_tesh_in!L4=0,0,SER_hh_tesh_in!L4/SER_summary!L$27)</f>
        <v>153.56073839276073</v>
      </c>
      <c r="M4" s="130">
        <f>IF(SER_hh_tesh_in!M4=0,0,SER_hh_tesh_in!M4/SER_summary!M$27)</f>
        <v>136.35265502286498</v>
      </c>
      <c r="N4" s="130">
        <f>IF(SER_hh_tesh_in!N4=0,0,SER_hh_tesh_in!N4/SER_summary!N$27)</f>
        <v>117.2932104277599</v>
      </c>
      <c r="O4" s="130">
        <f>IF(SER_hh_tesh_in!O4=0,0,SER_hh_tesh_in!O4/SER_summary!O$27)</f>
        <v>104.08550071884966</v>
      </c>
      <c r="P4" s="130">
        <f>IF(SER_hh_tesh_in!P4=0,0,SER_hh_tesh_in!P4/SER_summary!P$27)</f>
        <v>86.429340876526865</v>
      </c>
      <c r="Q4" s="130">
        <f>IF(SER_hh_tesh_in!Q4=0,0,SER_hh_tesh_in!Q4/SER_summary!Q$27)</f>
        <v>84.773373114993518</v>
      </c>
      <c r="R4" s="130">
        <f>IF(SER_hh_tesh_in!R4=0,0,SER_hh_tesh_in!R4/SER_summary!R$27)</f>
        <v>81.180448826711256</v>
      </c>
      <c r="S4" s="130">
        <f>IF(SER_hh_tesh_in!S4=0,0,SER_hh_tesh_in!S4/SER_summary!S$27)</f>
        <v>82.13369746814989</v>
      </c>
      <c r="T4" s="130">
        <f>IF(SER_hh_tesh_in!T4=0,0,SER_hh_tesh_in!T4/SER_summary!T$27)</f>
        <v>77.868302917160534</v>
      </c>
      <c r="U4" s="130">
        <f>IF(SER_hh_tesh_in!U4=0,0,SER_hh_tesh_in!U4/SER_summary!U$27)</f>
        <v>70.319866082504177</v>
      </c>
      <c r="V4" s="130">
        <f>IF(SER_hh_tesh_in!V4=0,0,SER_hh_tesh_in!V4/SER_summary!V$27)</f>
        <v>58.456136312134333</v>
      </c>
      <c r="W4" s="130">
        <f>IF(SER_hh_tesh_in!W4=0,0,SER_hh_tesh_in!W4/SER_summary!W$27)</f>
        <v>57.364229932477386</v>
      </c>
      <c r="X4" s="130">
        <f>IF(SER_hh_tesh_in!X4=0,0,SER_hh_tesh_in!X4/SER_summary!X$27)</f>
        <v>47.144637864640643</v>
      </c>
      <c r="Y4" s="130">
        <f>IF(SER_hh_tesh_in!Y4=0,0,SER_hh_tesh_in!Y4/SER_summary!Y$27)</f>
        <v>93.671433080215081</v>
      </c>
      <c r="DA4" s="155" t="s">
        <v>849</v>
      </c>
    </row>
    <row r="5" spans="1:105" ht="12" customHeight="1" x14ac:dyDescent="0.25">
      <c r="A5" s="131" t="s">
        <v>29</v>
      </c>
      <c r="B5" s="132"/>
      <c r="C5" s="132">
        <f>IF(SER_hh_tesh_in!C5=0,0,SER_hh_tesh_in!C5/SER_summary!C$27)</f>
        <v>235.12966615129432</v>
      </c>
      <c r="D5" s="132">
        <f>IF(SER_hh_tesh_in!D5=0,0,SER_hh_tesh_in!D5/SER_summary!D$27)</f>
        <v>149.08081802682324</v>
      </c>
      <c r="E5" s="132">
        <f>IF(SER_hh_tesh_in!E5=0,0,SER_hh_tesh_in!E5/SER_summary!E$27)</f>
        <v>0</v>
      </c>
      <c r="F5" s="132">
        <f>IF(SER_hh_tesh_in!F5=0,0,SER_hh_tesh_in!F5/SER_summary!F$27)</f>
        <v>0</v>
      </c>
      <c r="G5" s="132">
        <f>IF(SER_hh_tesh_in!G5=0,0,SER_hh_tesh_in!G5/SER_summary!G$27)</f>
        <v>0</v>
      </c>
      <c r="H5" s="132">
        <f>IF(SER_hh_tesh_in!H5=0,0,SER_hh_tesh_in!H5/SER_summary!H$27)</f>
        <v>417.35800386623771</v>
      </c>
      <c r="I5" s="132">
        <f>IF(SER_hh_tesh_in!I5=0,0,SER_hh_tesh_in!I5/SER_summary!I$27)</f>
        <v>0</v>
      </c>
      <c r="J5" s="132">
        <f>IF(SER_hh_tesh_in!J5=0,0,SER_hh_tesh_in!J5/SER_summary!J$27)</f>
        <v>0</v>
      </c>
      <c r="K5" s="132">
        <f>IF(SER_hh_tesh_in!K5=0,0,SER_hh_tesh_in!K5/SER_summary!K$27)</f>
        <v>0</v>
      </c>
      <c r="L5" s="132">
        <f>IF(SER_hh_tesh_in!L5=0,0,SER_hh_tesh_in!L5/SER_summary!L$27)</f>
        <v>150.12906733534933</v>
      </c>
      <c r="M5" s="132">
        <f>IF(SER_hh_tesh_in!M5=0,0,SER_hh_tesh_in!M5/SER_summary!M$27)</f>
        <v>160.68515728249693</v>
      </c>
      <c r="N5" s="132">
        <f>IF(SER_hh_tesh_in!N5=0,0,SER_hh_tesh_in!N5/SER_summary!N$27)</f>
        <v>84.832096015603341</v>
      </c>
      <c r="O5" s="132">
        <f>IF(SER_hh_tesh_in!O5=0,0,SER_hh_tesh_in!O5/SER_summary!O$27)</f>
        <v>125.57262284201613</v>
      </c>
      <c r="P5" s="132">
        <f>IF(SER_hh_tesh_in!P5=0,0,SER_hh_tesh_in!P5/SER_summary!P$27)</f>
        <v>75.772696172725446</v>
      </c>
      <c r="Q5" s="132">
        <f>IF(SER_hh_tesh_in!Q5=0,0,SER_hh_tesh_in!Q5/SER_summary!Q$27)</f>
        <v>76.318882676500891</v>
      </c>
      <c r="R5" s="132">
        <f>IF(SER_hh_tesh_in!R5=0,0,SER_hh_tesh_in!R5/SER_summary!R$27)</f>
        <v>130.00709324697883</v>
      </c>
      <c r="S5" s="132">
        <f>IF(SER_hh_tesh_in!S5=0,0,SER_hh_tesh_in!S5/SER_summary!S$27)</f>
        <v>0</v>
      </c>
      <c r="T5" s="132">
        <f>IF(SER_hh_tesh_in!T5=0,0,SER_hh_tesh_in!T5/SER_summary!T$27)</f>
        <v>118.41159096797155</v>
      </c>
      <c r="U5" s="132">
        <f>IF(SER_hh_tesh_in!U5=0,0,SER_hh_tesh_in!U5/SER_summary!U$27)</f>
        <v>0</v>
      </c>
      <c r="V5" s="132">
        <f>IF(SER_hh_tesh_in!V5=0,0,SER_hh_tesh_in!V5/SER_summary!V$27)</f>
        <v>0</v>
      </c>
      <c r="W5" s="132">
        <f>IF(SER_hh_tesh_in!W5=0,0,SER_hh_tesh_in!W5/SER_summary!W$27)</f>
        <v>0</v>
      </c>
      <c r="X5" s="132">
        <f>IF(SER_hh_tesh_in!X5=0,0,SER_hh_tesh_in!X5/SER_summary!X$27)</f>
        <v>0</v>
      </c>
      <c r="Y5" s="132">
        <f>IF(SER_hh_tesh_in!Y5=0,0,SER_hh_tesh_in!Y5/SER_summary!Y$27)</f>
        <v>0</v>
      </c>
      <c r="DA5" s="156" t="s">
        <v>850</v>
      </c>
    </row>
    <row r="6" spans="1:105" ht="12" customHeight="1" x14ac:dyDescent="0.25">
      <c r="A6" s="131" t="s">
        <v>52</v>
      </c>
      <c r="B6" s="132"/>
      <c r="C6" s="132">
        <f>IF(SER_hh_tesh_in!C6=0,0,SER_hh_tesh_in!C6/SER_summary!C$27)</f>
        <v>0</v>
      </c>
      <c r="D6" s="132">
        <f>IF(SER_hh_tesh_in!D6=0,0,SER_hh_tesh_in!D6/SER_summary!D$27)</f>
        <v>0</v>
      </c>
      <c r="E6" s="132">
        <f>IF(SER_hh_tesh_in!E6=0,0,SER_hh_tesh_in!E6/SER_summary!E$27)</f>
        <v>0</v>
      </c>
      <c r="F6" s="132">
        <f>IF(SER_hh_tesh_in!F6=0,0,SER_hh_tesh_in!F6/SER_summary!F$27)</f>
        <v>0</v>
      </c>
      <c r="G6" s="132">
        <f>IF(SER_hh_tesh_in!G6=0,0,SER_hh_tesh_in!G6/SER_summary!G$27)</f>
        <v>0</v>
      </c>
      <c r="H6" s="132">
        <f>IF(SER_hh_tesh_in!H6=0,0,SER_hh_tesh_in!H6/SER_summary!H$27)</f>
        <v>0</v>
      </c>
      <c r="I6" s="132">
        <f>IF(SER_hh_tesh_in!I6=0,0,SER_hh_tesh_in!I6/SER_summary!I$27)</f>
        <v>0</v>
      </c>
      <c r="J6" s="132">
        <f>IF(SER_hh_tesh_in!J6=0,0,SER_hh_tesh_in!J6/SER_summary!J$27)</f>
        <v>0</v>
      </c>
      <c r="K6" s="132">
        <f>IF(SER_hh_tesh_in!K6=0,0,SER_hh_tesh_in!K6/SER_summary!K$27)</f>
        <v>0</v>
      </c>
      <c r="L6" s="132">
        <f>IF(SER_hh_tesh_in!L6=0,0,SER_hh_tesh_in!L6/SER_summary!L$27)</f>
        <v>0</v>
      </c>
      <c r="M6" s="132">
        <f>IF(SER_hh_tesh_in!M6=0,0,SER_hh_tesh_in!M6/SER_summary!M$27)</f>
        <v>0</v>
      </c>
      <c r="N6" s="132">
        <f>IF(SER_hh_tesh_in!N6=0,0,SER_hh_tesh_in!N6/SER_summary!N$27)</f>
        <v>0</v>
      </c>
      <c r="O6" s="132">
        <f>IF(SER_hh_tesh_in!O6=0,0,SER_hh_tesh_in!O6/SER_summary!O$27)</f>
        <v>0</v>
      </c>
      <c r="P6" s="132">
        <f>IF(SER_hh_tesh_in!P6=0,0,SER_hh_tesh_in!P6/SER_summary!P$27)</f>
        <v>0</v>
      </c>
      <c r="Q6" s="132">
        <f>IF(SER_hh_tesh_in!Q6=0,0,SER_hh_tesh_in!Q6/SER_summary!Q$27)</f>
        <v>0</v>
      </c>
      <c r="R6" s="132">
        <f>IF(SER_hh_tesh_in!R6=0,0,SER_hh_tesh_in!R6/SER_summary!R$27)</f>
        <v>0</v>
      </c>
      <c r="S6" s="132">
        <f>IF(SER_hh_tesh_in!S6=0,0,SER_hh_tesh_in!S6/SER_summary!S$27)</f>
        <v>0</v>
      </c>
      <c r="T6" s="132">
        <f>IF(SER_hh_tesh_in!T6=0,0,SER_hh_tesh_in!T6/SER_summary!T$27)</f>
        <v>0</v>
      </c>
      <c r="U6" s="132">
        <f>IF(SER_hh_tesh_in!U6=0,0,SER_hh_tesh_in!U6/SER_summary!U$27)</f>
        <v>0</v>
      </c>
      <c r="V6" s="132">
        <f>IF(SER_hh_tesh_in!V6=0,0,SER_hh_tesh_in!V6/SER_summary!V$27)</f>
        <v>0</v>
      </c>
      <c r="W6" s="132">
        <f>IF(SER_hh_tesh_in!W6=0,0,SER_hh_tesh_in!W6/SER_summary!W$27)</f>
        <v>0</v>
      </c>
      <c r="X6" s="132">
        <f>IF(SER_hh_tesh_in!X6=0,0,SER_hh_tesh_in!X6/SER_summary!X$27)</f>
        <v>0</v>
      </c>
      <c r="Y6" s="132">
        <f>IF(SER_hh_tesh_in!Y6=0,0,SER_hh_tesh_in!Y6/SER_summary!Y$27)</f>
        <v>0</v>
      </c>
      <c r="DA6" s="156" t="s">
        <v>851</v>
      </c>
    </row>
    <row r="7" spans="1:105" ht="12" customHeight="1" x14ac:dyDescent="0.25">
      <c r="A7" s="131" t="s">
        <v>161</v>
      </c>
      <c r="B7" s="132"/>
      <c r="C7" s="132">
        <f>IF(SER_hh_tesh_in!C7=0,0,SER_hh_tesh_in!C7/SER_summary!C$27)</f>
        <v>129.47918301163546</v>
      </c>
      <c r="D7" s="132">
        <f>IF(SER_hh_tesh_in!D7=0,0,SER_hh_tesh_in!D7/SER_summary!D$27)</f>
        <v>136.1426296935671</v>
      </c>
      <c r="E7" s="132">
        <f>IF(SER_hh_tesh_in!E7=0,0,SER_hh_tesh_in!E7/SER_summary!E$27)</f>
        <v>120.41918360037945</v>
      </c>
      <c r="F7" s="132">
        <f>IF(SER_hh_tesh_in!F7=0,0,SER_hh_tesh_in!F7/SER_summary!F$27)</f>
        <v>203.90284371939856</v>
      </c>
      <c r="G7" s="132">
        <f>IF(SER_hh_tesh_in!G7=0,0,SER_hh_tesh_in!G7/SER_summary!G$27)</f>
        <v>0</v>
      </c>
      <c r="H7" s="132">
        <f>IF(SER_hh_tesh_in!H7=0,0,SER_hh_tesh_in!H7/SER_summary!H$27)</f>
        <v>0</v>
      </c>
      <c r="I7" s="132">
        <f>IF(SER_hh_tesh_in!I7=0,0,SER_hh_tesh_in!I7/SER_summary!I$27)</f>
        <v>0</v>
      </c>
      <c r="J7" s="132">
        <f>IF(SER_hh_tesh_in!J7=0,0,SER_hh_tesh_in!J7/SER_summary!J$27)</f>
        <v>0</v>
      </c>
      <c r="K7" s="132">
        <f>IF(SER_hh_tesh_in!K7=0,0,SER_hh_tesh_in!K7/SER_summary!K$27)</f>
        <v>0</v>
      </c>
      <c r="L7" s="132">
        <f>IF(SER_hh_tesh_in!L7=0,0,SER_hh_tesh_in!L7/SER_summary!L$27)</f>
        <v>92.473971252786299</v>
      </c>
      <c r="M7" s="132">
        <f>IF(SER_hh_tesh_in!M7=0,0,SER_hh_tesh_in!M7/SER_summary!M$27)</f>
        <v>158.3247161434463</v>
      </c>
      <c r="N7" s="132">
        <f>IF(SER_hh_tesh_in!N7=0,0,SER_hh_tesh_in!N7/SER_summary!N$27)</f>
        <v>121.76042174683018</v>
      </c>
      <c r="O7" s="132">
        <f>IF(SER_hh_tesh_in!O7=0,0,SER_hh_tesh_in!O7/SER_summary!O$27)</f>
        <v>89.227971924700157</v>
      </c>
      <c r="P7" s="132">
        <f>IF(SER_hh_tesh_in!P7=0,0,SER_hh_tesh_in!P7/SER_summary!P$27)</f>
        <v>78.963277971388337</v>
      </c>
      <c r="Q7" s="132">
        <f>IF(SER_hh_tesh_in!Q7=0,0,SER_hh_tesh_in!Q7/SER_summary!Q$27)</f>
        <v>77.519050282772369</v>
      </c>
      <c r="R7" s="132">
        <f>IF(SER_hh_tesh_in!R7=0,0,SER_hh_tesh_in!R7/SER_summary!R$27)</f>
        <v>72.109008803532092</v>
      </c>
      <c r="S7" s="132">
        <f>IF(SER_hh_tesh_in!S7=0,0,SER_hh_tesh_in!S7/SER_summary!S$27)</f>
        <v>84.051826269089204</v>
      </c>
      <c r="T7" s="132">
        <f>IF(SER_hh_tesh_in!T7=0,0,SER_hh_tesh_in!T7/SER_summary!T$27)</f>
        <v>79.968924472177832</v>
      </c>
      <c r="U7" s="132">
        <f>IF(SER_hh_tesh_in!U7=0,0,SER_hh_tesh_in!U7/SER_summary!U$27)</f>
        <v>68.900708769062561</v>
      </c>
      <c r="V7" s="132">
        <f>IF(SER_hh_tesh_in!V7=0,0,SER_hh_tesh_in!V7/SER_summary!V$27)</f>
        <v>52.974259095363678</v>
      </c>
      <c r="W7" s="132">
        <f>IF(SER_hh_tesh_in!W7=0,0,SER_hh_tesh_in!W7/SER_summary!W$27)</f>
        <v>62.738045785142916</v>
      </c>
      <c r="X7" s="132">
        <f>IF(SER_hh_tesh_in!X7=0,0,SER_hh_tesh_in!X7/SER_summary!X$27)</f>
        <v>51.836490422913258</v>
      </c>
      <c r="Y7" s="132">
        <f>IF(SER_hh_tesh_in!Y7=0,0,SER_hh_tesh_in!Y7/SER_summary!Y$27)</f>
        <v>54.527683017206144</v>
      </c>
      <c r="DA7" s="156" t="s">
        <v>852</v>
      </c>
    </row>
    <row r="8" spans="1:105" ht="12" customHeight="1" x14ac:dyDescent="0.25">
      <c r="A8" s="131" t="s">
        <v>73</v>
      </c>
      <c r="B8" s="132"/>
      <c r="C8" s="132">
        <f>IF(SER_hh_tesh_in!C8=0,0,SER_hh_tesh_in!C8/SER_summary!C$27)</f>
        <v>0</v>
      </c>
      <c r="D8" s="132">
        <f>IF(SER_hh_tesh_in!D8=0,0,SER_hh_tesh_in!D8/SER_summary!D$27)</f>
        <v>0</v>
      </c>
      <c r="E8" s="132">
        <f>IF(SER_hh_tesh_in!E8=0,0,SER_hh_tesh_in!E8/SER_summary!E$27)</f>
        <v>0</v>
      </c>
      <c r="F8" s="132">
        <f>IF(SER_hh_tesh_in!F8=0,0,SER_hh_tesh_in!F8/SER_summary!F$27)</f>
        <v>0</v>
      </c>
      <c r="G8" s="132">
        <f>IF(SER_hh_tesh_in!G8=0,0,SER_hh_tesh_in!G8/SER_summary!G$27)</f>
        <v>0</v>
      </c>
      <c r="H8" s="132">
        <f>IF(SER_hh_tesh_in!H8=0,0,SER_hh_tesh_in!H8/SER_summary!H$27)</f>
        <v>0</v>
      </c>
      <c r="I8" s="132">
        <f>IF(SER_hh_tesh_in!I8=0,0,SER_hh_tesh_in!I8/SER_summary!I$27)</f>
        <v>0</v>
      </c>
      <c r="J8" s="132">
        <f>IF(SER_hh_tesh_in!J8=0,0,SER_hh_tesh_in!J8/SER_summary!J$27)</f>
        <v>0</v>
      </c>
      <c r="K8" s="132">
        <f>IF(SER_hh_tesh_in!K8=0,0,SER_hh_tesh_in!K8/SER_summary!K$27)</f>
        <v>0</v>
      </c>
      <c r="L8" s="132">
        <f>IF(SER_hh_tesh_in!L8=0,0,SER_hh_tesh_in!L8/SER_summary!L$27)</f>
        <v>0</v>
      </c>
      <c r="M8" s="132">
        <f>IF(SER_hh_tesh_in!M8=0,0,SER_hh_tesh_in!M8/SER_summary!M$27)</f>
        <v>0</v>
      </c>
      <c r="N8" s="132">
        <f>IF(SER_hh_tesh_in!N8=0,0,SER_hh_tesh_in!N8/SER_summary!N$27)</f>
        <v>0</v>
      </c>
      <c r="O8" s="132">
        <f>IF(SER_hh_tesh_in!O8=0,0,SER_hh_tesh_in!O8/SER_summary!O$27)</f>
        <v>0</v>
      </c>
      <c r="P8" s="132">
        <f>IF(SER_hh_tesh_in!P8=0,0,SER_hh_tesh_in!P8/SER_summary!P$27)</f>
        <v>0</v>
      </c>
      <c r="Q8" s="132">
        <f>IF(SER_hh_tesh_in!Q8=0,0,SER_hh_tesh_in!Q8/SER_summary!Q$27)</f>
        <v>0</v>
      </c>
      <c r="R8" s="132">
        <f>IF(SER_hh_tesh_in!R8=0,0,SER_hh_tesh_in!R8/SER_summary!R$27)</f>
        <v>0</v>
      </c>
      <c r="S8" s="132">
        <f>IF(SER_hh_tesh_in!S8=0,0,SER_hh_tesh_in!S8/SER_summary!S$27)</f>
        <v>0</v>
      </c>
      <c r="T8" s="132">
        <f>IF(SER_hh_tesh_in!T8=0,0,SER_hh_tesh_in!T8/SER_summary!T$27)</f>
        <v>0</v>
      </c>
      <c r="U8" s="132">
        <f>IF(SER_hh_tesh_in!U8=0,0,SER_hh_tesh_in!U8/SER_summary!U$27)</f>
        <v>0</v>
      </c>
      <c r="V8" s="132">
        <f>IF(SER_hh_tesh_in!V8=0,0,SER_hh_tesh_in!V8/SER_summary!V$27)</f>
        <v>0</v>
      </c>
      <c r="W8" s="132">
        <f>IF(SER_hh_tesh_in!W8=0,0,SER_hh_tesh_in!W8/SER_summary!W$27)</f>
        <v>0</v>
      </c>
      <c r="X8" s="132">
        <f>IF(SER_hh_tesh_in!X8=0,0,SER_hh_tesh_in!X8/SER_summary!X$27)</f>
        <v>0</v>
      </c>
      <c r="Y8" s="132">
        <f>IF(SER_hh_tesh_in!Y8=0,0,SER_hh_tesh_in!Y8/SER_summary!Y$27)</f>
        <v>0</v>
      </c>
      <c r="DA8" s="156" t="s">
        <v>853</v>
      </c>
    </row>
    <row r="9" spans="1:105" ht="12" customHeight="1" x14ac:dyDescent="0.25">
      <c r="A9" s="131" t="s">
        <v>78</v>
      </c>
      <c r="B9" s="132"/>
      <c r="C9" s="132">
        <f>IF(SER_hh_tesh_in!C9=0,0,SER_hh_tesh_in!C9/SER_summary!C$27)</f>
        <v>352.51919318987734</v>
      </c>
      <c r="D9" s="132">
        <f>IF(SER_hh_tesh_in!D9=0,0,SER_hh_tesh_in!D9/SER_summary!D$27)</f>
        <v>31.986012705070234</v>
      </c>
      <c r="E9" s="132">
        <f>IF(SER_hh_tesh_in!E9=0,0,SER_hh_tesh_in!E9/SER_summary!E$27)</f>
        <v>174.78110215833149</v>
      </c>
      <c r="F9" s="132">
        <f>IF(SER_hh_tesh_in!F9=0,0,SER_hh_tesh_in!F9/SER_summary!F$27)</f>
        <v>174.42482001502566</v>
      </c>
      <c r="G9" s="132">
        <f>IF(SER_hh_tesh_in!G9=0,0,SER_hh_tesh_in!G9/SER_summary!G$27)</f>
        <v>175.03352390042454</v>
      </c>
      <c r="H9" s="132">
        <f>IF(SER_hh_tesh_in!H9=0,0,SER_hh_tesh_in!H9/SER_summary!H$27)</f>
        <v>326.92618090817086</v>
      </c>
      <c r="I9" s="132">
        <f>IF(SER_hh_tesh_in!I9=0,0,SER_hh_tesh_in!I9/SER_summary!I$27)</f>
        <v>210.8775563324796</v>
      </c>
      <c r="J9" s="132">
        <f>IF(SER_hh_tesh_in!J9=0,0,SER_hh_tesh_in!J9/SER_summary!J$27)</f>
        <v>141.63545497417144</v>
      </c>
      <c r="K9" s="132">
        <f>IF(SER_hh_tesh_in!K9=0,0,SER_hh_tesh_in!K9/SER_summary!K$27)</f>
        <v>156.02172771499502</v>
      </c>
      <c r="L9" s="132">
        <f>IF(SER_hh_tesh_in!L9=0,0,SER_hh_tesh_in!L9/SER_summary!L$27)</f>
        <v>152.56038957163966</v>
      </c>
      <c r="M9" s="132">
        <f>IF(SER_hh_tesh_in!M9=0,0,SER_hh_tesh_in!M9/SER_summary!M$27)</f>
        <v>112.8675483523583</v>
      </c>
      <c r="N9" s="132">
        <f>IF(SER_hh_tesh_in!N9=0,0,SER_hh_tesh_in!N9/SER_summary!N$27)</f>
        <v>109.99113795184174</v>
      </c>
      <c r="O9" s="132">
        <f>IF(SER_hh_tesh_in!O9=0,0,SER_hh_tesh_in!O9/SER_summary!O$27)</f>
        <v>102.13318983266704</v>
      </c>
      <c r="P9" s="132">
        <f>IF(SER_hh_tesh_in!P9=0,0,SER_hh_tesh_in!P9/SER_summary!P$27)</f>
        <v>91.597833155454424</v>
      </c>
      <c r="Q9" s="132">
        <f>IF(SER_hh_tesh_in!Q9=0,0,SER_hh_tesh_in!Q9/SER_summary!Q$27)</f>
        <v>79.177242613052684</v>
      </c>
      <c r="R9" s="132">
        <f>IF(SER_hh_tesh_in!R9=0,0,SER_hh_tesh_in!R9/SER_summary!R$27)</f>
        <v>76.395606742842602</v>
      </c>
      <c r="S9" s="132">
        <f>IF(SER_hh_tesh_in!S9=0,0,SER_hh_tesh_in!S9/SER_summary!S$27)</f>
        <v>78.1100983767369</v>
      </c>
      <c r="T9" s="132">
        <f>IF(SER_hh_tesh_in!T9=0,0,SER_hh_tesh_in!T9/SER_summary!T$27)</f>
        <v>74.161660301102202</v>
      </c>
      <c r="U9" s="132">
        <f>IF(SER_hh_tesh_in!U9=0,0,SER_hh_tesh_in!U9/SER_summary!U$27)</f>
        <v>69.397884428240474</v>
      </c>
      <c r="V9" s="132">
        <f>IF(SER_hh_tesh_in!V9=0,0,SER_hh_tesh_in!V9/SER_summary!V$27)</f>
        <v>60.902816416748209</v>
      </c>
      <c r="W9" s="132">
        <f>IF(SER_hh_tesh_in!W9=0,0,SER_hh_tesh_in!W9/SER_summary!W$27)</f>
        <v>51.542184080928266</v>
      </c>
      <c r="X9" s="132">
        <f>IF(SER_hh_tesh_in!X9=0,0,SER_hh_tesh_in!X9/SER_summary!X$27)</f>
        <v>45.050537117081731</v>
      </c>
      <c r="Y9" s="132">
        <f>IF(SER_hh_tesh_in!Y9=0,0,SER_hh_tesh_in!Y9/SER_summary!Y$27)</f>
        <v>0</v>
      </c>
      <c r="DA9" s="156" t="s">
        <v>854</v>
      </c>
    </row>
    <row r="10" spans="1:105" ht="12" customHeight="1" x14ac:dyDescent="0.25">
      <c r="A10" s="131" t="s">
        <v>128</v>
      </c>
      <c r="B10" s="132"/>
      <c r="C10" s="132">
        <f>IF(SER_hh_tesh_in!C10=0,0,SER_hh_tesh_in!C10/SER_summary!C$27)</f>
        <v>197.81364580317791</v>
      </c>
      <c r="D10" s="132">
        <f>IF(SER_hh_tesh_in!D10=0,0,SER_hh_tesh_in!D10/SER_summary!D$27)</f>
        <v>148.4243908083109</v>
      </c>
      <c r="E10" s="132">
        <f>IF(SER_hh_tesh_in!E10=0,0,SER_hh_tesh_in!E10/SER_summary!E$27)</f>
        <v>0</v>
      </c>
      <c r="F10" s="132">
        <f>IF(SER_hh_tesh_in!F10=0,0,SER_hh_tesh_in!F10/SER_summary!F$27)</f>
        <v>0</v>
      </c>
      <c r="G10" s="132">
        <f>IF(SER_hh_tesh_in!G10=0,0,SER_hh_tesh_in!G10/SER_summary!G$27)</f>
        <v>0</v>
      </c>
      <c r="H10" s="132">
        <f>IF(SER_hh_tesh_in!H10=0,0,SER_hh_tesh_in!H10/SER_summary!H$27)</f>
        <v>0</v>
      </c>
      <c r="I10" s="132">
        <f>IF(SER_hh_tesh_in!I10=0,0,SER_hh_tesh_in!I10/SER_summary!I$27)</f>
        <v>0</v>
      </c>
      <c r="J10" s="132">
        <f>IF(SER_hh_tesh_in!J10=0,0,SER_hh_tesh_in!J10/SER_summary!J$27)</f>
        <v>168.96191841519382</v>
      </c>
      <c r="K10" s="132">
        <f>IF(SER_hh_tesh_in!K10=0,0,SER_hh_tesh_in!K10/SER_summary!K$27)</f>
        <v>0</v>
      </c>
      <c r="L10" s="132">
        <f>IF(SER_hh_tesh_in!L10=0,0,SER_hh_tesh_in!L10/SER_summary!L$27)</f>
        <v>0</v>
      </c>
      <c r="M10" s="132">
        <f>IF(SER_hh_tesh_in!M10=0,0,SER_hh_tesh_in!M10/SER_summary!M$27)</f>
        <v>0</v>
      </c>
      <c r="N10" s="132">
        <f>IF(SER_hh_tesh_in!N10=0,0,SER_hh_tesh_in!N10/SER_summary!N$27)</f>
        <v>0</v>
      </c>
      <c r="O10" s="132">
        <f>IF(SER_hh_tesh_in!O10=0,0,SER_hh_tesh_in!O10/SER_summary!O$27)</f>
        <v>76.640929159053755</v>
      </c>
      <c r="P10" s="132">
        <f>IF(SER_hh_tesh_in!P10=0,0,SER_hh_tesh_in!P10/SER_summary!P$27)</f>
        <v>60.104968470088707</v>
      </c>
      <c r="Q10" s="132">
        <f>IF(SER_hh_tesh_in!Q10=0,0,SER_hh_tesh_in!Q10/SER_summary!Q$27)</f>
        <v>96.818471180173859</v>
      </c>
      <c r="R10" s="132">
        <f>IF(SER_hh_tesh_in!R10=0,0,SER_hh_tesh_in!R10/SER_summary!R$27)</f>
        <v>97.493790640324335</v>
      </c>
      <c r="S10" s="132">
        <f>IF(SER_hh_tesh_in!S10=0,0,SER_hh_tesh_in!S10/SER_summary!S$27)</f>
        <v>80.25225402594117</v>
      </c>
      <c r="T10" s="132">
        <f>IF(SER_hh_tesh_in!T10=0,0,SER_hh_tesh_in!T10/SER_summary!T$27)</f>
        <v>75.397850493995634</v>
      </c>
      <c r="U10" s="132">
        <f>IF(SER_hh_tesh_in!U10=0,0,SER_hh_tesh_in!U10/SER_summary!U$27)</f>
        <v>0</v>
      </c>
      <c r="V10" s="132">
        <f>IF(SER_hh_tesh_in!V10=0,0,SER_hh_tesh_in!V10/SER_summary!V$27)</f>
        <v>0</v>
      </c>
      <c r="W10" s="132">
        <f>IF(SER_hh_tesh_in!W10=0,0,SER_hh_tesh_in!W10/SER_summary!W$27)</f>
        <v>0</v>
      </c>
      <c r="X10" s="132">
        <f>IF(SER_hh_tesh_in!X10=0,0,SER_hh_tesh_in!X10/SER_summary!X$27)</f>
        <v>0</v>
      </c>
      <c r="Y10" s="132">
        <f>IF(SER_hh_tesh_in!Y10=0,0,SER_hh_tesh_in!Y10/SER_summary!Y$27)</f>
        <v>0</v>
      </c>
      <c r="DA10" s="156" t="s">
        <v>855</v>
      </c>
    </row>
    <row r="11" spans="1:105" ht="12" customHeight="1" x14ac:dyDescent="0.25">
      <c r="A11" s="131" t="s">
        <v>25</v>
      </c>
      <c r="B11" s="132"/>
      <c r="C11" s="132">
        <f>IF(SER_hh_tesh_in!C11=0,0,SER_hh_tesh_in!C11/SER_summary!C$27)</f>
        <v>80.102065081640816</v>
      </c>
      <c r="D11" s="132">
        <f>IF(SER_hh_tesh_in!D11=0,0,SER_hh_tesh_in!D11/SER_summary!D$27)</f>
        <v>148.35838339838014</v>
      </c>
      <c r="E11" s="132">
        <f>IF(SER_hh_tesh_in!E11=0,0,SER_hh_tesh_in!E11/SER_summary!E$27)</f>
        <v>177.17710703067743</v>
      </c>
      <c r="F11" s="132">
        <f>IF(SER_hh_tesh_in!F11=0,0,SER_hh_tesh_in!F11/SER_summary!F$27)</f>
        <v>0</v>
      </c>
      <c r="G11" s="132">
        <f>IF(SER_hh_tesh_in!G11=0,0,SER_hh_tesh_in!G11/SER_summary!G$27)</f>
        <v>0</v>
      </c>
      <c r="H11" s="132">
        <f>IF(SER_hh_tesh_in!H11=0,0,SER_hh_tesh_in!H11/SER_summary!H$27)</f>
        <v>0</v>
      </c>
      <c r="I11" s="132">
        <f>IF(SER_hh_tesh_in!I11=0,0,SER_hh_tesh_in!I11/SER_summary!I$27)</f>
        <v>144.06588286215518</v>
      </c>
      <c r="J11" s="132">
        <f>IF(SER_hh_tesh_in!J11=0,0,SER_hh_tesh_in!J11/SER_summary!J$27)</f>
        <v>222.13789411745046</v>
      </c>
      <c r="K11" s="132">
        <f>IF(SER_hh_tesh_in!K11=0,0,SER_hh_tesh_in!K11/SER_summary!K$27)</f>
        <v>186.34037587659532</v>
      </c>
      <c r="L11" s="132">
        <f>IF(SER_hh_tesh_in!L11=0,0,SER_hh_tesh_in!L11/SER_summary!L$27)</f>
        <v>0</v>
      </c>
      <c r="M11" s="132">
        <f>IF(SER_hh_tesh_in!M11=0,0,SER_hh_tesh_in!M11/SER_summary!M$27)</f>
        <v>120.15868998079529</v>
      </c>
      <c r="N11" s="132">
        <f>IF(SER_hh_tesh_in!N11=0,0,SER_hh_tesh_in!N11/SER_summary!N$27)</f>
        <v>98.519901129575231</v>
      </c>
      <c r="O11" s="132">
        <f>IF(SER_hh_tesh_in!O11=0,0,SER_hh_tesh_in!O11/SER_summary!O$27)</f>
        <v>105.77023471997711</v>
      </c>
      <c r="P11" s="132">
        <f>IF(SER_hh_tesh_in!P11=0,0,SER_hh_tesh_in!P11/SER_summary!P$27)</f>
        <v>95.910902313872469</v>
      </c>
      <c r="Q11" s="132">
        <f>IF(SER_hh_tesh_in!Q11=0,0,SER_hh_tesh_in!Q11/SER_summary!Q$27)</f>
        <v>79.950269144749285</v>
      </c>
      <c r="R11" s="132">
        <f>IF(SER_hh_tesh_in!R11=0,0,SER_hh_tesh_in!R11/SER_summary!R$27)</f>
        <v>83.616689550782866</v>
      </c>
      <c r="S11" s="132">
        <f>IF(SER_hh_tesh_in!S11=0,0,SER_hh_tesh_in!S11/SER_summary!S$27)</f>
        <v>86.264466515476371</v>
      </c>
      <c r="T11" s="132">
        <f>IF(SER_hh_tesh_in!T11=0,0,SER_hh_tesh_in!T11/SER_summary!T$27)</f>
        <v>0</v>
      </c>
      <c r="U11" s="132">
        <f>IF(SER_hh_tesh_in!U11=0,0,SER_hh_tesh_in!U11/SER_summary!U$27)</f>
        <v>0</v>
      </c>
      <c r="V11" s="132">
        <f>IF(SER_hh_tesh_in!V11=0,0,SER_hh_tesh_in!V11/SER_summary!V$27)</f>
        <v>0</v>
      </c>
      <c r="W11" s="132">
        <f>IF(SER_hh_tesh_in!W11=0,0,SER_hh_tesh_in!W11/SER_summary!W$27)</f>
        <v>0</v>
      </c>
      <c r="X11" s="132">
        <f>IF(SER_hh_tesh_in!X11=0,0,SER_hh_tesh_in!X11/SER_summary!X$27)</f>
        <v>0</v>
      </c>
      <c r="Y11" s="132">
        <f>IF(SER_hh_tesh_in!Y11=0,0,SER_hh_tesh_in!Y11/SER_summary!Y$27)</f>
        <v>0</v>
      </c>
      <c r="DA11" s="156" t="s">
        <v>856</v>
      </c>
    </row>
    <row r="12" spans="1:105" ht="12" customHeight="1" x14ac:dyDescent="0.25">
      <c r="A12" s="131" t="s">
        <v>162</v>
      </c>
      <c r="B12" s="132"/>
      <c r="C12" s="132">
        <f>IF(SER_hh_tesh_in!C12=0,0,SER_hh_tesh_in!C12/SER_summary!C$27)</f>
        <v>0</v>
      </c>
      <c r="D12" s="132">
        <f>IF(SER_hh_tesh_in!D12=0,0,SER_hh_tesh_in!D12/SER_summary!D$27)</f>
        <v>0</v>
      </c>
      <c r="E12" s="132">
        <f>IF(SER_hh_tesh_in!E12=0,0,SER_hh_tesh_in!E12/SER_summary!E$27)</f>
        <v>0</v>
      </c>
      <c r="F12" s="132">
        <f>IF(SER_hh_tesh_in!F12=0,0,SER_hh_tesh_in!F12/SER_summary!F$27)</f>
        <v>0</v>
      </c>
      <c r="G12" s="132">
        <f>IF(SER_hh_tesh_in!G12=0,0,SER_hh_tesh_in!G12/SER_summary!G$27)</f>
        <v>293.27715541197921</v>
      </c>
      <c r="H12" s="132">
        <f>IF(SER_hh_tesh_in!H12=0,0,SER_hh_tesh_in!H12/SER_summary!H$27)</f>
        <v>233.27048007435138</v>
      </c>
      <c r="I12" s="132">
        <f>IF(SER_hh_tesh_in!I12=0,0,SER_hh_tesh_in!I12/SER_summary!I$27)</f>
        <v>190.38308689637219</v>
      </c>
      <c r="J12" s="132">
        <f>IF(SER_hh_tesh_in!J12=0,0,SER_hh_tesh_in!J12/SER_summary!J$27)</f>
        <v>183.41663576028563</v>
      </c>
      <c r="K12" s="132">
        <f>IF(SER_hh_tesh_in!K12=0,0,SER_hh_tesh_in!K12/SER_summary!K$27)</f>
        <v>137.19238714997559</v>
      </c>
      <c r="L12" s="132">
        <f>IF(SER_hh_tesh_in!L12=0,0,SER_hh_tesh_in!L12/SER_summary!L$27)</f>
        <v>139.76512839530275</v>
      </c>
      <c r="M12" s="132">
        <f>IF(SER_hh_tesh_in!M12=0,0,SER_hh_tesh_in!M12/SER_summary!M$27)</f>
        <v>129.9644082244757</v>
      </c>
      <c r="N12" s="132">
        <f>IF(SER_hh_tesh_in!N12=0,0,SER_hh_tesh_in!N12/SER_summary!N$27)</f>
        <v>121.70123775148011</v>
      </c>
      <c r="O12" s="132">
        <f>IF(SER_hh_tesh_in!O12=0,0,SER_hh_tesh_in!O12/SER_summary!O$27)</f>
        <v>107.65989622353152</v>
      </c>
      <c r="P12" s="132">
        <f>IF(SER_hh_tesh_in!P12=0,0,SER_hh_tesh_in!P12/SER_summary!P$27)</f>
        <v>84.772904881788818</v>
      </c>
      <c r="Q12" s="132">
        <f>IF(SER_hh_tesh_in!Q12=0,0,SER_hh_tesh_in!Q12/SER_summary!Q$27)</f>
        <v>80.546560814425604</v>
      </c>
      <c r="R12" s="132">
        <f>IF(SER_hh_tesh_in!R12=0,0,SER_hh_tesh_in!R12/SER_summary!R$27)</f>
        <v>82.325851323459062</v>
      </c>
      <c r="S12" s="132">
        <f>IF(SER_hh_tesh_in!S12=0,0,SER_hh_tesh_in!S12/SER_summary!S$27)</f>
        <v>0</v>
      </c>
      <c r="T12" s="132">
        <f>IF(SER_hh_tesh_in!T12=0,0,SER_hh_tesh_in!T12/SER_summary!T$27)</f>
        <v>0</v>
      </c>
      <c r="U12" s="132">
        <f>IF(SER_hh_tesh_in!U12=0,0,SER_hh_tesh_in!U12/SER_summary!U$27)</f>
        <v>0</v>
      </c>
      <c r="V12" s="132">
        <f>IF(SER_hh_tesh_in!V12=0,0,SER_hh_tesh_in!V12/SER_summary!V$27)</f>
        <v>58.465087196730885</v>
      </c>
      <c r="W12" s="132">
        <f>IF(SER_hh_tesh_in!W12=0,0,SER_hh_tesh_in!W12/SER_summary!W$27)</f>
        <v>54.599417396179135</v>
      </c>
      <c r="X12" s="132">
        <f>IF(SER_hh_tesh_in!X12=0,0,SER_hh_tesh_in!X12/SER_summary!X$27)</f>
        <v>41.965200251901216</v>
      </c>
      <c r="Y12" s="132">
        <f>IF(SER_hh_tesh_in!Y12=0,0,SER_hh_tesh_in!Y12/SER_summary!Y$27)</f>
        <v>0</v>
      </c>
      <c r="DA12" s="156" t="s">
        <v>857</v>
      </c>
    </row>
    <row r="13" spans="1:105" ht="12" customHeight="1" x14ac:dyDescent="0.25">
      <c r="A13" s="131" t="s">
        <v>77</v>
      </c>
      <c r="B13" s="132"/>
      <c r="C13" s="132">
        <f>IF(SER_hh_tesh_in!C13=0,0,SER_hh_tesh_in!C13/SER_summary!C$27)</f>
        <v>0</v>
      </c>
      <c r="D13" s="132">
        <f>IF(SER_hh_tesh_in!D13=0,0,SER_hh_tesh_in!D13/SER_summary!D$27)</f>
        <v>0</v>
      </c>
      <c r="E13" s="132">
        <f>IF(SER_hh_tesh_in!E13=0,0,SER_hh_tesh_in!E13/SER_summary!E$27)</f>
        <v>0</v>
      </c>
      <c r="F13" s="132">
        <f>IF(SER_hh_tesh_in!F13=0,0,SER_hh_tesh_in!F13/SER_summary!F$27)</f>
        <v>0</v>
      </c>
      <c r="G13" s="132">
        <f>IF(SER_hh_tesh_in!G13=0,0,SER_hh_tesh_in!G13/SER_summary!G$27)</f>
        <v>0</v>
      </c>
      <c r="H13" s="132">
        <f>IF(SER_hh_tesh_in!H13=0,0,SER_hh_tesh_in!H13/SER_summary!H$27)</f>
        <v>0</v>
      </c>
      <c r="I13" s="132">
        <f>IF(SER_hh_tesh_in!I13=0,0,SER_hh_tesh_in!I13/SER_summary!I$27)</f>
        <v>0</v>
      </c>
      <c r="J13" s="132">
        <f>IF(SER_hh_tesh_in!J13=0,0,SER_hh_tesh_in!J13/SER_summary!J$27)</f>
        <v>0</v>
      </c>
      <c r="K13" s="132">
        <f>IF(SER_hh_tesh_in!K13=0,0,SER_hh_tesh_in!K13/SER_summary!K$27)</f>
        <v>0</v>
      </c>
      <c r="L13" s="132">
        <f>IF(SER_hh_tesh_in!L13=0,0,SER_hh_tesh_in!L13/SER_summary!L$27)</f>
        <v>0</v>
      </c>
      <c r="M13" s="132">
        <f>IF(SER_hh_tesh_in!M13=0,0,SER_hh_tesh_in!M13/SER_summary!M$27)</f>
        <v>0</v>
      </c>
      <c r="N13" s="132">
        <f>IF(SER_hh_tesh_in!N13=0,0,SER_hh_tesh_in!N13/SER_summary!N$27)</f>
        <v>0</v>
      </c>
      <c r="O13" s="132">
        <f>IF(SER_hh_tesh_in!O13=0,0,SER_hh_tesh_in!O13/SER_summary!O$27)</f>
        <v>0</v>
      </c>
      <c r="P13" s="132">
        <f>IF(SER_hh_tesh_in!P13=0,0,SER_hh_tesh_in!P13/SER_summary!P$27)</f>
        <v>0</v>
      </c>
      <c r="Q13" s="132">
        <f>IF(SER_hh_tesh_in!Q13=0,0,SER_hh_tesh_in!Q13/SER_summary!Q$27)</f>
        <v>0</v>
      </c>
      <c r="R13" s="132">
        <f>IF(SER_hh_tesh_in!R13=0,0,SER_hh_tesh_in!R13/SER_summary!R$27)</f>
        <v>0</v>
      </c>
      <c r="S13" s="132">
        <f>IF(SER_hh_tesh_in!S13=0,0,SER_hh_tesh_in!S13/SER_summary!S$27)</f>
        <v>0</v>
      </c>
      <c r="T13" s="132">
        <f>IF(SER_hh_tesh_in!T13=0,0,SER_hh_tesh_in!T13/SER_summary!T$27)</f>
        <v>0</v>
      </c>
      <c r="U13" s="132">
        <f>IF(SER_hh_tesh_in!U13=0,0,SER_hh_tesh_in!U13/SER_summary!U$27)</f>
        <v>0</v>
      </c>
      <c r="V13" s="132">
        <f>IF(SER_hh_tesh_in!V13=0,0,SER_hh_tesh_in!V13/SER_summary!V$27)</f>
        <v>0</v>
      </c>
      <c r="W13" s="132">
        <f>IF(SER_hh_tesh_in!W13=0,0,SER_hh_tesh_in!W13/SER_summary!W$27)</f>
        <v>0</v>
      </c>
      <c r="X13" s="132">
        <f>IF(SER_hh_tesh_in!X13=0,0,SER_hh_tesh_in!X13/SER_summary!X$27)</f>
        <v>0</v>
      </c>
      <c r="Y13" s="132">
        <f>IF(SER_hh_tesh_in!Y13=0,0,SER_hh_tesh_in!Y13/SER_summary!Y$27)</f>
        <v>97.269725591470859</v>
      </c>
      <c r="DA13" s="156" t="s">
        <v>858</v>
      </c>
    </row>
    <row r="14" spans="1:105" ht="12" customHeight="1" x14ac:dyDescent="0.25">
      <c r="A14" s="60" t="s">
        <v>76</v>
      </c>
      <c r="B14" s="65"/>
      <c r="C14" s="65">
        <f>IF(SER_hh_tesh_in!C14=0,0,SER_hh_tesh_in!C14/SER_summary!C$27)</f>
        <v>0</v>
      </c>
      <c r="D14" s="65">
        <f>IF(SER_hh_tesh_in!D14=0,0,SER_hh_tesh_in!D14/SER_summary!D$27)</f>
        <v>0</v>
      </c>
      <c r="E14" s="65">
        <f>IF(SER_hh_tesh_in!E14=0,0,SER_hh_tesh_in!E14/SER_summary!E$27)</f>
        <v>0</v>
      </c>
      <c r="F14" s="65">
        <f>IF(SER_hh_tesh_in!F14=0,0,SER_hh_tesh_in!F14/SER_summary!F$27)</f>
        <v>0</v>
      </c>
      <c r="G14" s="65">
        <f>IF(SER_hh_tesh_in!G14=0,0,SER_hh_tesh_in!G14/SER_summary!G$27)</f>
        <v>185.28330776627249</v>
      </c>
      <c r="H14" s="65">
        <f>IF(SER_hh_tesh_in!H14=0,0,SER_hh_tesh_in!H14/SER_summary!H$27)</f>
        <v>203.81904269319278</v>
      </c>
      <c r="I14" s="65">
        <f>IF(SER_hh_tesh_in!I14=0,0,SER_hh_tesh_in!I14/SER_summary!I$27)</f>
        <v>276.65097254554342</v>
      </c>
      <c r="J14" s="65">
        <f>IF(SER_hh_tesh_in!J14=0,0,SER_hh_tesh_in!J14/SER_summary!J$27)</f>
        <v>143.20638773032459</v>
      </c>
      <c r="K14" s="65">
        <f>IF(SER_hh_tesh_in!K14=0,0,SER_hh_tesh_in!K14/SER_summary!K$27)</f>
        <v>116.80667650062031</v>
      </c>
      <c r="L14" s="65">
        <f>IF(SER_hh_tesh_in!L14=0,0,SER_hh_tesh_in!L14/SER_summary!L$27)</f>
        <v>192.90467294934081</v>
      </c>
      <c r="M14" s="65">
        <f>IF(SER_hh_tesh_in!M14=0,0,SER_hh_tesh_in!M14/SER_summary!M$27)</f>
        <v>153.99348872472981</v>
      </c>
      <c r="N14" s="65">
        <f>IF(SER_hh_tesh_in!N14=0,0,SER_hh_tesh_in!N14/SER_summary!N$27)</f>
        <v>0</v>
      </c>
      <c r="O14" s="65">
        <f>IF(SER_hh_tesh_in!O14=0,0,SER_hh_tesh_in!O14/SER_summary!O$27)</f>
        <v>0</v>
      </c>
      <c r="P14" s="65">
        <f>IF(SER_hh_tesh_in!P14=0,0,SER_hh_tesh_in!P14/SER_summary!P$27)</f>
        <v>0</v>
      </c>
      <c r="Q14" s="65">
        <f>IF(SER_hh_tesh_in!Q14=0,0,SER_hh_tesh_in!Q14/SER_summary!Q$27)</f>
        <v>0</v>
      </c>
      <c r="R14" s="65">
        <f>IF(SER_hh_tesh_in!R14=0,0,SER_hh_tesh_in!R14/SER_summary!R$27)</f>
        <v>0</v>
      </c>
      <c r="S14" s="65">
        <f>IF(SER_hh_tesh_in!S14=0,0,SER_hh_tesh_in!S14/SER_summary!S$27)</f>
        <v>0</v>
      </c>
      <c r="T14" s="65">
        <f>IF(SER_hh_tesh_in!T14=0,0,SER_hh_tesh_in!T14/SER_summary!T$27)</f>
        <v>0</v>
      </c>
      <c r="U14" s="65">
        <f>IF(SER_hh_tesh_in!U14=0,0,SER_hh_tesh_in!U14/SER_summary!U$27)</f>
        <v>0</v>
      </c>
      <c r="V14" s="65">
        <f>IF(SER_hh_tesh_in!V14=0,0,SER_hh_tesh_in!V14/SER_summary!V$27)</f>
        <v>46.747595113537436</v>
      </c>
      <c r="W14" s="65">
        <f>IF(SER_hh_tesh_in!W14=0,0,SER_hh_tesh_in!W14/SER_summary!W$27)</f>
        <v>35.641571718151582</v>
      </c>
      <c r="X14" s="65">
        <f>IF(SER_hh_tesh_in!X14=0,0,SER_hh_tesh_in!X14/SER_summary!X$27)</f>
        <v>47.919193496893797</v>
      </c>
      <c r="Y14" s="65">
        <f>IF(SER_hh_tesh_in!Y14=0,0,SER_hh_tesh_in!Y14/SER_summary!Y$27)</f>
        <v>70.269648221525784</v>
      </c>
      <c r="DA14" s="109" t="s">
        <v>859</v>
      </c>
    </row>
    <row r="15" spans="1:105" ht="12" customHeight="1" x14ac:dyDescent="0.25">
      <c r="A15" s="133" t="s">
        <v>80</v>
      </c>
      <c r="B15" s="134"/>
      <c r="C15" s="134">
        <f>IF(SER_hh_tesh_in!C15=0,0,SER_hh_tesh_in!C15/SER_summary!C$27)</f>
        <v>2.7283684404488699</v>
      </c>
      <c r="D15" s="134">
        <f>IF(SER_hh_tesh_in!D15=0,0,SER_hh_tesh_in!D15/SER_summary!D$27)</f>
        <v>1.8524381660172997</v>
      </c>
      <c r="E15" s="134">
        <f>IF(SER_hh_tesh_in!E15=0,0,SER_hh_tesh_in!E15/SER_summary!E$27)</f>
        <v>3.1170008398229583</v>
      </c>
      <c r="F15" s="134">
        <f>IF(SER_hh_tesh_in!F15=0,0,SER_hh_tesh_in!F15/SER_summary!F$27)</f>
        <v>3.3428093256023015</v>
      </c>
      <c r="G15" s="134">
        <f>IF(SER_hh_tesh_in!G15=0,0,SER_hh_tesh_in!G15/SER_summary!G$27)</f>
        <v>2.7630763551152739</v>
      </c>
      <c r="H15" s="134">
        <f>IF(SER_hh_tesh_in!H15=0,0,SER_hh_tesh_in!H15/SER_summary!H$27)</f>
        <v>5.8169387571552882</v>
      </c>
      <c r="I15" s="134">
        <f>IF(SER_hh_tesh_in!I15=0,0,SER_hh_tesh_in!I15/SER_summary!I$27)</f>
        <v>2.1097437066050073</v>
      </c>
      <c r="J15" s="134">
        <f>IF(SER_hh_tesh_in!J15=0,0,SER_hh_tesh_in!J15/SER_summary!J$27)</f>
        <v>1.4429276655098842</v>
      </c>
      <c r="K15" s="134">
        <f>IF(SER_hh_tesh_in!K15=0,0,SER_hh_tesh_in!K15/SER_summary!K$27)</f>
        <v>1.5031126487643436</v>
      </c>
      <c r="L15" s="134">
        <f>IF(SER_hh_tesh_in!L15=0,0,SER_hh_tesh_in!L15/SER_summary!L$27)</f>
        <v>1.438436234686058</v>
      </c>
      <c r="M15" s="134">
        <f>IF(SER_hh_tesh_in!M15=0,0,SER_hh_tesh_in!M15/SER_summary!M$27)</f>
        <v>1.5196184554718799</v>
      </c>
      <c r="N15" s="134">
        <f>IF(SER_hh_tesh_in!N15=0,0,SER_hh_tesh_in!N15/SER_summary!N$27)</f>
        <v>1.2628451944573129</v>
      </c>
      <c r="O15" s="134">
        <f>IF(SER_hh_tesh_in!O15=0,0,SER_hh_tesh_in!O15/SER_summary!O$27)</f>
        <v>1.2919473771743424</v>
      </c>
      <c r="P15" s="134">
        <f>IF(SER_hh_tesh_in!P15=0,0,SER_hh_tesh_in!P15/SER_summary!P$27)</f>
        <v>1.2314701471580198</v>
      </c>
      <c r="Q15" s="134">
        <f>IF(SER_hh_tesh_in!Q15=0,0,SER_hh_tesh_in!Q15/SER_summary!Q$27)</f>
        <v>1.0877329687590551</v>
      </c>
      <c r="R15" s="134">
        <f>IF(SER_hh_tesh_in!R15=0,0,SER_hh_tesh_in!R15/SER_summary!R$27)</f>
        <v>1.0606994873749453</v>
      </c>
      <c r="S15" s="134">
        <f>IF(SER_hh_tesh_in!S15=0,0,SER_hh_tesh_in!S15/SER_summary!S$27)</f>
        <v>1.201564843609026</v>
      </c>
      <c r="T15" s="134">
        <f>IF(SER_hh_tesh_in!T15=0,0,SER_hh_tesh_in!T15/SER_summary!T$27)</f>
        <v>1.2154578778574592</v>
      </c>
      <c r="U15" s="134">
        <f>IF(SER_hh_tesh_in!U15=0,0,SER_hh_tesh_in!U15/SER_summary!U$27)</f>
        <v>1.1019948028407625</v>
      </c>
      <c r="V15" s="134">
        <f>IF(SER_hh_tesh_in!V15=0,0,SER_hh_tesh_in!V15/SER_summary!V$27)</f>
        <v>0.85565417138337652</v>
      </c>
      <c r="W15" s="134">
        <f>IF(SER_hh_tesh_in!W15=0,0,SER_hh_tesh_in!W15/SER_summary!W$27)</f>
        <v>0.86701079298293726</v>
      </c>
      <c r="X15" s="134">
        <f>IF(SER_hh_tesh_in!X15=0,0,SER_hh_tesh_in!X15/SER_summary!X$27)</f>
        <v>0.68675317286949111</v>
      </c>
      <c r="Y15" s="134">
        <f>IF(SER_hh_tesh_in!Y15=0,0,SER_hh_tesh_in!Y15/SER_summary!Y$27)</f>
        <v>0.86638183074676201</v>
      </c>
      <c r="DA15" s="157" t="s">
        <v>860</v>
      </c>
    </row>
    <row r="16" spans="1:105" ht="12.95" customHeight="1" x14ac:dyDescent="0.25">
      <c r="A16" s="129" t="s">
        <v>74</v>
      </c>
      <c r="B16" s="130"/>
      <c r="C16" s="130">
        <f>IF(SER_hh_tesh_in!C16=0,0,SER_hh_tesh_in!C16/SER_summary!C$27)</f>
        <v>30.855610003825056</v>
      </c>
      <c r="D16" s="130">
        <f>IF(SER_hh_tesh_in!D16=0,0,SER_hh_tesh_in!D16/SER_summary!D$27)</f>
        <v>29.438073339602731</v>
      </c>
      <c r="E16" s="130">
        <f>IF(SER_hh_tesh_in!E16=0,0,SER_hh_tesh_in!E16/SER_summary!E$27)</f>
        <v>29.630651871642783</v>
      </c>
      <c r="F16" s="130">
        <f>IF(SER_hh_tesh_in!F16=0,0,SER_hh_tesh_in!F16/SER_summary!F$27)</f>
        <v>25.772888447836959</v>
      </c>
      <c r="G16" s="130">
        <f>IF(SER_hh_tesh_in!G16=0,0,SER_hh_tesh_in!G16/SER_summary!G$27)</f>
        <v>25.835976132057699</v>
      </c>
      <c r="H16" s="130">
        <f>IF(SER_hh_tesh_in!H16=0,0,SER_hh_tesh_in!H16/SER_summary!H$27)</f>
        <v>27.507121019838404</v>
      </c>
      <c r="I16" s="130">
        <f>IF(SER_hh_tesh_in!I16=0,0,SER_hh_tesh_in!I16/SER_summary!I$27)</f>
        <v>36.258902365756768</v>
      </c>
      <c r="J16" s="130">
        <f>IF(SER_hh_tesh_in!J16=0,0,SER_hh_tesh_in!J16/SER_summary!J$27)</f>
        <v>28.528936413457224</v>
      </c>
      <c r="K16" s="130">
        <f>IF(SER_hh_tesh_in!K16=0,0,SER_hh_tesh_in!K16/SER_summary!K$27)</f>
        <v>26.928287589409273</v>
      </c>
      <c r="L16" s="130">
        <f>IF(SER_hh_tesh_in!L16=0,0,SER_hh_tesh_in!L16/SER_summary!L$27)</f>
        <v>31.580803504650863</v>
      </c>
      <c r="M16" s="130">
        <f>IF(SER_hh_tesh_in!M16=0,0,SER_hh_tesh_in!M16/SER_summary!M$27)</f>
        <v>26.974698616030317</v>
      </c>
      <c r="N16" s="130">
        <f>IF(SER_hh_tesh_in!N16=0,0,SER_hh_tesh_in!N16/SER_summary!N$27)</f>
        <v>40.828893629683797</v>
      </c>
      <c r="O16" s="130">
        <f>IF(SER_hh_tesh_in!O16=0,0,SER_hh_tesh_in!O16/SER_summary!O$27)</f>
        <v>27.597466139384018</v>
      </c>
      <c r="P16" s="130">
        <f>IF(SER_hh_tesh_in!P16=0,0,SER_hh_tesh_in!P16/SER_summary!P$27)</f>
        <v>25.74877415232708</v>
      </c>
      <c r="Q16" s="130">
        <f>IF(SER_hh_tesh_in!Q16=0,0,SER_hh_tesh_in!Q16/SER_summary!Q$27)</f>
        <v>33.487836935522502</v>
      </c>
      <c r="R16" s="130">
        <f>IF(SER_hh_tesh_in!R16=0,0,SER_hh_tesh_in!R16/SER_summary!R$27)</f>
        <v>28.224545567073854</v>
      </c>
      <c r="S16" s="130">
        <f>IF(SER_hh_tesh_in!S16=0,0,SER_hh_tesh_in!S16/SER_summary!S$27)</f>
        <v>30.042088457469852</v>
      </c>
      <c r="T16" s="130">
        <f>IF(SER_hh_tesh_in!T16=0,0,SER_hh_tesh_in!T16/SER_summary!T$27)</f>
        <v>25.941439668042101</v>
      </c>
      <c r="U16" s="130">
        <f>IF(SER_hh_tesh_in!U16=0,0,SER_hh_tesh_in!U16/SER_summary!U$27)</f>
        <v>28.656061038685486</v>
      </c>
      <c r="V16" s="130">
        <f>IF(SER_hh_tesh_in!V16=0,0,SER_hh_tesh_in!V16/SER_summary!V$27)</f>
        <v>25.02782611004762</v>
      </c>
      <c r="W16" s="130">
        <f>IF(SER_hh_tesh_in!W16=0,0,SER_hh_tesh_in!W16/SER_summary!W$27)</f>
        <v>26.919589278493259</v>
      </c>
      <c r="X16" s="130">
        <f>IF(SER_hh_tesh_in!X16=0,0,SER_hh_tesh_in!X16/SER_summary!X$27)</f>
        <v>26.289318660505586</v>
      </c>
      <c r="Y16" s="130">
        <f>IF(SER_hh_tesh_in!Y16=0,0,SER_hh_tesh_in!Y16/SER_summary!Y$27)</f>
        <v>28.959546224148745</v>
      </c>
      <c r="DA16" s="155" t="s">
        <v>861</v>
      </c>
    </row>
    <row r="17" spans="1:105" ht="12.95" customHeight="1" x14ac:dyDescent="0.25">
      <c r="A17" s="131" t="s">
        <v>73</v>
      </c>
      <c r="B17" s="132"/>
      <c r="C17" s="132">
        <f>IF(SER_hh_tesh_in!C17=0,0,SER_hh_tesh_in!C17/SER_summary!C$27)</f>
        <v>0</v>
      </c>
      <c r="D17" s="132">
        <f>IF(SER_hh_tesh_in!D17=0,0,SER_hh_tesh_in!D17/SER_summary!D$27)</f>
        <v>0</v>
      </c>
      <c r="E17" s="132">
        <f>IF(SER_hh_tesh_in!E17=0,0,SER_hh_tesh_in!E17/SER_summary!E$27)</f>
        <v>0</v>
      </c>
      <c r="F17" s="132">
        <f>IF(SER_hh_tesh_in!F17=0,0,SER_hh_tesh_in!F17/SER_summary!F$27)</f>
        <v>0</v>
      </c>
      <c r="G17" s="132">
        <f>IF(SER_hh_tesh_in!G17=0,0,SER_hh_tesh_in!G17/SER_summary!G$27)</f>
        <v>0</v>
      </c>
      <c r="H17" s="132">
        <f>IF(SER_hh_tesh_in!H17=0,0,SER_hh_tesh_in!H17/SER_summary!H$27)</f>
        <v>0</v>
      </c>
      <c r="I17" s="132">
        <f>IF(SER_hh_tesh_in!I17=0,0,SER_hh_tesh_in!I17/SER_summary!I$27)</f>
        <v>0</v>
      </c>
      <c r="J17" s="132">
        <f>IF(SER_hh_tesh_in!J17=0,0,SER_hh_tesh_in!J17/SER_summary!J$27)</f>
        <v>0</v>
      </c>
      <c r="K17" s="132">
        <f>IF(SER_hh_tesh_in!K17=0,0,SER_hh_tesh_in!K17/SER_summary!K$27)</f>
        <v>0</v>
      </c>
      <c r="L17" s="132">
        <f>IF(SER_hh_tesh_in!L17=0,0,SER_hh_tesh_in!L17/SER_summary!L$27)</f>
        <v>0</v>
      </c>
      <c r="M17" s="132">
        <f>IF(SER_hh_tesh_in!M17=0,0,SER_hh_tesh_in!M17/SER_summary!M$27)</f>
        <v>0</v>
      </c>
      <c r="N17" s="132">
        <f>IF(SER_hh_tesh_in!N17=0,0,SER_hh_tesh_in!N17/SER_summary!N$27)</f>
        <v>0</v>
      </c>
      <c r="O17" s="132">
        <f>IF(SER_hh_tesh_in!O17=0,0,SER_hh_tesh_in!O17/SER_summary!O$27)</f>
        <v>0</v>
      </c>
      <c r="P17" s="132">
        <f>IF(SER_hh_tesh_in!P17=0,0,SER_hh_tesh_in!P17/SER_summary!P$27)</f>
        <v>0</v>
      </c>
      <c r="Q17" s="132">
        <f>IF(SER_hh_tesh_in!Q17=0,0,SER_hh_tesh_in!Q17/SER_summary!Q$27)</f>
        <v>0</v>
      </c>
      <c r="R17" s="132">
        <f>IF(SER_hh_tesh_in!R17=0,0,SER_hh_tesh_in!R17/SER_summary!R$27)</f>
        <v>0</v>
      </c>
      <c r="S17" s="132">
        <f>IF(SER_hh_tesh_in!S17=0,0,SER_hh_tesh_in!S17/SER_summary!S$27)</f>
        <v>0</v>
      </c>
      <c r="T17" s="132">
        <f>IF(SER_hh_tesh_in!T17=0,0,SER_hh_tesh_in!T17/SER_summary!T$27)</f>
        <v>0</v>
      </c>
      <c r="U17" s="132">
        <f>IF(SER_hh_tesh_in!U17=0,0,SER_hh_tesh_in!U17/SER_summary!U$27)</f>
        <v>0</v>
      </c>
      <c r="V17" s="132">
        <f>IF(SER_hh_tesh_in!V17=0,0,SER_hh_tesh_in!V17/SER_summary!V$27)</f>
        <v>0</v>
      </c>
      <c r="W17" s="132">
        <f>IF(SER_hh_tesh_in!W17=0,0,SER_hh_tesh_in!W17/SER_summary!W$27)</f>
        <v>0</v>
      </c>
      <c r="X17" s="132">
        <f>IF(SER_hh_tesh_in!X17=0,0,SER_hh_tesh_in!X17/SER_summary!X$27)</f>
        <v>0</v>
      </c>
      <c r="Y17" s="132">
        <f>IF(SER_hh_tesh_in!Y17=0,0,SER_hh_tesh_in!Y17/SER_summary!Y$27)</f>
        <v>0</v>
      </c>
      <c r="DA17" s="156" t="s">
        <v>862</v>
      </c>
    </row>
    <row r="18" spans="1:105" ht="12" customHeight="1" x14ac:dyDescent="0.25">
      <c r="A18" s="131" t="s">
        <v>72</v>
      </c>
      <c r="B18" s="132"/>
      <c r="C18" s="132">
        <f>IF(SER_hh_tesh_in!C18=0,0,SER_hh_tesh_in!C18/SER_summary!C$27)</f>
        <v>30.855610003825056</v>
      </c>
      <c r="D18" s="132">
        <f>IF(SER_hh_tesh_in!D18=0,0,SER_hh_tesh_in!D18/SER_summary!D$27)</f>
        <v>29.438073339602731</v>
      </c>
      <c r="E18" s="132">
        <f>IF(SER_hh_tesh_in!E18=0,0,SER_hh_tesh_in!E18/SER_summary!E$27)</f>
        <v>29.630651871642783</v>
      </c>
      <c r="F18" s="132">
        <f>IF(SER_hh_tesh_in!F18=0,0,SER_hh_tesh_in!F18/SER_summary!F$27)</f>
        <v>25.772888447836959</v>
      </c>
      <c r="G18" s="132">
        <f>IF(SER_hh_tesh_in!G18=0,0,SER_hh_tesh_in!G18/SER_summary!G$27)</f>
        <v>25.835976132057699</v>
      </c>
      <c r="H18" s="132">
        <f>IF(SER_hh_tesh_in!H18=0,0,SER_hh_tesh_in!H18/SER_summary!H$27)</f>
        <v>27.507121019838404</v>
      </c>
      <c r="I18" s="132">
        <f>IF(SER_hh_tesh_in!I18=0,0,SER_hh_tesh_in!I18/SER_summary!I$27)</f>
        <v>36.258902365756768</v>
      </c>
      <c r="J18" s="132">
        <f>IF(SER_hh_tesh_in!J18=0,0,SER_hh_tesh_in!J18/SER_summary!J$27)</f>
        <v>28.528936413457224</v>
      </c>
      <c r="K18" s="132">
        <f>IF(SER_hh_tesh_in!K18=0,0,SER_hh_tesh_in!K18/SER_summary!K$27)</f>
        <v>26.928287589409273</v>
      </c>
      <c r="L18" s="132">
        <f>IF(SER_hh_tesh_in!L18=0,0,SER_hh_tesh_in!L18/SER_summary!L$27)</f>
        <v>31.580803504650863</v>
      </c>
      <c r="M18" s="132">
        <f>IF(SER_hh_tesh_in!M18=0,0,SER_hh_tesh_in!M18/SER_summary!M$27)</f>
        <v>26.974698616030317</v>
      </c>
      <c r="N18" s="132">
        <f>IF(SER_hh_tesh_in!N18=0,0,SER_hh_tesh_in!N18/SER_summary!N$27)</f>
        <v>40.828893629683797</v>
      </c>
      <c r="O18" s="132">
        <f>IF(SER_hh_tesh_in!O18=0,0,SER_hh_tesh_in!O18/SER_summary!O$27)</f>
        <v>27.597466139384018</v>
      </c>
      <c r="P18" s="132">
        <f>IF(SER_hh_tesh_in!P18=0,0,SER_hh_tesh_in!P18/SER_summary!P$27)</f>
        <v>25.74877415232708</v>
      </c>
      <c r="Q18" s="132">
        <f>IF(SER_hh_tesh_in!Q18=0,0,SER_hh_tesh_in!Q18/SER_summary!Q$27)</f>
        <v>33.487836935522502</v>
      </c>
      <c r="R18" s="132">
        <f>IF(SER_hh_tesh_in!R18=0,0,SER_hh_tesh_in!R18/SER_summary!R$27)</f>
        <v>28.224545567073854</v>
      </c>
      <c r="S18" s="132">
        <f>IF(SER_hh_tesh_in!S18=0,0,SER_hh_tesh_in!S18/SER_summary!S$27)</f>
        <v>30.042088457469852</v>
      </c>
      <c r="T18" s="132">
        <f>IF(SER_hh_tesh_in!T18=0,0,SER_hh_tesh_in!T18/SER_summary!T$27)</f>
        <v>25.941439668042101</v>
      </c>
      <c r="U18" s="132">
        <f>IF(SER_hh_tesh_in!U18=0,0,SER_hh_tesh_in!U18/SER_summary!U$27)</f>
        <v>28.656061038685486</v>
      </c>
      <c r="V18" s="132">
        <f>IF(SER_hh_tesh_in!V18=0,0,SER_hh_tesh_in!V18/SER_summary!V$27)</f>
        <v>25.02782611004762</v>
      </c>
      <c r="W18" s="132">
        <f>IF(SER_hh_tesh_in!W18=0,0,SER_hh_tesh_in!W18/SER_summary!W$27)</f>
        <v>26.919589278493259</v>
      </c>
      <c r="X18" s="132">
        <f>IF(SER_hh_tesh_in!X18=0,0,SER_hh_tesh_in!X18/SER_summary!X$27)</f>
        <v>26.289318660505586</v>
      </c>
      <c r="Y18" s="132">
        <f>IF(SER_hh_tesh_in!Y18=0,0,SER_hh_tesh_in!Y18/SER_summary!Y$27)</f>
        <v>28.959546224148745</v>
      </c>
      <c r="DA18" s="156" t="s">
        <v>863</v>
      </c>
    </row>
    <row r="19" spans="1:105" ht="12.95" customHeight="1" x14ac:dyDescent="0.25">
      <c r="A19" s="129" t="s">
        <v>35</v>
      </c>
      <c r="B19" s="130"/>
      <c r="C19" s="130">
        <f>IF(SER_hh_tesh_in!C19=0,0,SER_hh_tesh_in!C19/SER_summary!C$27)</f>
        <v>32.950391041871704</v>
      </c>
      <c r="D19" s="130">
        <f>IF(SER_hh_tesh_in!D19=0,0,SER_hh_tesh_in!D19/SER_summary!D$27)</f>
        <v>13.067285256661854</v>
      </c>
      <c r="E19" s="130">
        <f>IF(SER_hh_tesh_in!E19=0,0,SER_hh_tesh_in!E19/SER_summary!E$27)</f>
        <v>28.120464390494799</v>
      </c>
      <c r="F19" s="130">
        <f>IF(SER_hh_tesh_in!F19=0,0,SER_hh_tesh_in!F19/SER_summary!F$27)</f>
        <v>33.705811260298269</v>
      </c>
      <c r="G19" s="130">
        <f>IF(SER_hh_tesh_in!G19=0,0,SER_hh_tesh_in!G19/SER_summary!G$27)</f>
        <v>29.472101156569561</v>
      </c>
      <c r="H19" s="130">
        <f>IF(SER_hh_tesh_in!H19=0,0,SER_hh_tesh_in!H19/SER_summary!H$27)</f>
        <v>32.015211004481863</v>
      </c>
      <c r="I19" s="130">
        <f>IF(SER_hh_tesh_in!I19=0,0,SER_hh_tesh_in!I19/SER_summary!I$27)</f>
        <v>33.630071219066622</v>
      </c>
      <c r="J19" s="130">
        <f>IF(SER_hh_tesh_in!J19=0,0,SER_hh_tesh_in!J19/SER_summary!J$27)</f>
        <v>31.899301348875873</v>
      </c>
      <c r="K19" s="130">
        <f>IF(SER_hh_tesh_in!K19=0,0,SER_hh_tesh_in!K19/SER_summary!K$27)</f>
        <v>33.2217528196323</v>
      </c>
      <c r="L19" s="130">
        <f>IF(SER_hh_tesh_in!L19=0,0,SER_hh_tesh_in!L19/SER_summary!L$27)</f>
        <v>31.210133464877369</v>
      </c>
      <c r="M19" s="130">
        <f>IF(SER_hh_tesh_in!M19=0,0,SER_hh_tesh_in!M19/SER_summary!M$27)</f>
        <v>31.108548928131608</v>
      </c>
      <c r="N19" s="130">
        <f>IF(SER_hh_tesh_in!N19=0,0,SER_hh_tesh_in!N19/SER_summary!N$27)</f>
        <v>31.233175504862192</v>
      </c>
      <c r="O19" s="130">
        <f>IF(SER_hh_tesh_in!O19=0,0,SER_hh_tesh_in!O19/SER_summary!O$27)</f>
        <v>32.070972345056752</v>
      </c>
      <c r="P19" s="130">
        <f>IF(SER_hh_tesh_in!P19=0,0,SER_hh_tesh_in!P19/SER_summary!P$27)</f>
        <v>31.951987058730296</v>
      </c>
      <c r="Q19" s="130">
        <f>IF(SER_hh_tesh_in!Q19=0,0,SER_hh_tesh_in!Q19/SER_summary!Q$27)</f>
        <v>32.205388716883739</v>
      </c>
      <c r="R19" s="130">
        <f>IF(SER_hh_tesh_in!R19=0,0,SER_hh_tesh_in!R19/SER_summary!R$27)</f>
        <v>31.913620656530096</v>
      </c>
      <c r="S19" s="130">
        <f>IF(SER_hh_tesh_in!S19=0,0,SER_hh_tesh_in!S19/SER_summary!S$27)</f>
        <v>32.8482941080496</v>
      </c>
      <c r="T19" s="130">
        <f>IF(SER_hh_tesh_in!T19=0,0,SER_hh_tesh_in!T19/SER_summary!T$27)</f>
        <v>31.68367357025781</v>
      </c>
      <c r="U19" s="130">
        <f>IF(SER_hh_tesh_in!U19=0,0,SER_hh_tesh_in!U19/SER_summary!U$27)</f>
        <v>30.081571903015284</v>
      </c>
      <c r="V19" s="130">
        <f>IF(SER_hh_tesh_in!V19=0,0,SER_hh_tesh_in!V19/SER_summary!V$27)</f>
        <v>27.733906785673458</v>
      </c>
      <c r="W19" s="130">
        <f>IF(SER_hh_tesh_in!W19=0,0,SER_hh_tesh_in!W19/SER_summary!W$27)</f>
        <v>31.554808504523635</v>
      </c>
      <c r="X19" s="130">
        <f>IF(SER_hh_tesh_in!X19=0,0,SER_hh_tesh_in!X19/SER_summary!X$27)</f>
        <v>30.684302640182128</v>
      </c>
      <c r="Y19" s="130">
        <f>IF(SER_hh_tesh_in!Y19=0,0,SER_hh_tesh_in!Y19/SER_summary!Y$27)</f>
        <v>33.560778167777912</v>
      </c>
      <c r="DA19" s="155" t="s">
        <v>864</v>
      </c>
    </row>
    <row r="20" spans="1:105" ht="12" customHeight="1" x14ac:dyDescent="0.25">
      <c r="A20" s="131" t="s">
        <v>29</v>
      </c>
      <c r="B20" s="132"/>
      <c r="C20" s="132">
        <f>IF(SER_hh_tesh_in!C20=0,0,SER_hh_tesh_in!C20/SER_summary!C$27)</f>
        <v>0</v>
      </c>
      <c r="D20" s="132">
        <f>IF(SER_hh_tesh_in!D20=0,0,SER_hh_tesh_in!D20/SER_summary!D$27)</f>
        <v>0</v>
      </c>
      <c r="E20" s="132">
        <f>IF(SER_hh_tesh_in!E20=0,0,SER_hh_tesh_in!E20/SER_summary!E$27)</f>
        <v>0</v>
      </c>
      <c r="F20" s="132">
        <f>IF(SER_hh_tesh_in!F20=0,0,SER_hh_tesh_in!F20/SER_summary!F$27)</f>
        <v>0</v>
      </c>
      <c r="G20" s="132">
        <f>IF(SER_hh_tesh_in!G20=0,0,SER_hh_tesh_in!G20/SER_summary!G$27)</f>
        <v>0</v>
      </c>
      <c r="H20" s="132">
        <f>IF(SER_hh_tesh_in!H20=0,0,SER_hh_tesh_in!H20/SER_summary!H$27)</f>
        <v>0</v>
      </c>
      <c r="I20" s="132">
        <f>IF(SER_hh_tesh_in!I20=0,0,SER_hh_tesh_in!I20/SER_summary!I$27)</f>
        <v>0</v>
      </c>
      <c r="J20" s="132">
        <f>IF(SER_hh_tesh_in!J20=0,0,SER_hh_tesh_in!J20/SER_summary!J$27)</f>
        <v>0</v>
      </c>
      <c r="K20" s="132">
        <f>IF(SER_hh_tesh_in!K20=0,0,SER_hh_tesh_in!K20/SER_summary!K$27)</f>
        <v>0</v>
      </c>
      <c r="L20" s="132">
        <f>IF(SER_hh_tesh_in!L20=0,0,SER_hh_tesh_in!L20/SER_summary!L$27)</f>
        <v>0</v>
      </c>
      <c r="M20" s="132">
        <f>IF(SER_hh_tesh_in!M20=0,0,SER_hh_tesh_in!M20/SER_summary!M$27)</f>
        <v>0</v>
      </c>
      <c r="N20" s="132">
        <f>IF(SER_hh_tesh_in!N20=0,0,SER_hh_tesh_in!N20/SER_summary!N$27)</f>
        <v>0</v>
      </c>
      <c r="O20" s="132">
        <f>IF(SER_hh_tesh_in!O20=0,0,SER_hh_tesh_in!O20/SER_summary!O$27)</f>
        <v>0</v>
      </c>
      <c r="P20" s="132">
        <f>IF(SER_hh_tesh_in!P20=0,0,SER_hh_tesh_in!P20/SER_summary!P$27)</f>
        <v>0</v>
      </c>
      <c r="Q20" s="132">
        <f>IF(SER_hh_tesh_in!Q20=0,0,SER_hh_tesh_in!Q20/SER_summary!Q$27)</f>
        <v>0</v>
      </c>
      <c r="R20" s="132">
        <f>IF(SER_hh_tesh_in!R20=0,0,SER_hh_tesh_in!R20/SER_summary!R$27)</f>
        <v>0</v>
      </c>
      <c r="S20" s="132">
        <f>IF(SER_hh_tesh_in!S20=0,0,SER_hh_tesh_in!S20/SER_summary!S$27)</f>
        <v>0</v>
      </c>
      <c r="T20" s="132">
        <f>IF(SER_hh_tesh_in!T20=0,0,SER_hh_tesh_in!T20/SER_summary!T$27)</f>
        <v>0</v>
      </c>
      <c r="U20" s="132">
        <f>IF(SER_hh_tesh_in!U20=0,0,SER_hh_tesh_in!U20/SER_summary!U$27)</f>
        <v>0</v>
      </c>
      <c r="V20" s="132">
        <f>IF(SER_hh_tesh_in!V20=0,0,SER_hh_tesh_in!V20/SER_summary!V$27)</f>
        <v>0</v>
      </c>
      <c r="W20" s="132">
        <f>IF(SER_hh_tesh_in!W20=0,0,SER_hh_tesh_in!W20/SER_summary!W$27)</f>
        <v>0</v>
      </c>
      <c r="X20" s="132">
        <f>IF(SER_hh_tesh_in!X20=0,0,SER_hh_tesh_in!X20/SER_summary!X$27)</f>
        <v>0</v>
      </c>
      <c r="Y20" s="132">
        <f>IF(SER_hh_tesh_in!Y20=0,0,SER_hh_tesh_in!Y20/SER_summary!Y$27)</f>
        <v>0</v>
      </c>
      <c r="DA20" s="156" t="s">
        <v>865</v>
      </c>
    </row>
    <row r="21" spans="1:105" s="2" customFormat="1" ht="12" customHeight="1" x14ac:dyDescent="0.25">
      <c r="A21" s="131" t="s">
        <v>52</v>
      </c>
      <c r="B21" s="132"/>
      <c r="C21" s="132">
        <f>IF(SER_hh_tesh_in!C21=0,0,SER_hh_tesh_in!C21/SER_summary!C$27)</f>
        <v>0</v>
      </c>
      <c r="D21" s="132">
        <f>IF(SER_hh_tesh_in!D21=0,0,SER_hh_tesh_in!D21/SER_summary!D$27)</f>
        <v>0</v>
      </c>
      <c r="E21" s="132">
        <f>IF(SER_hh_tesh_in!E21=0,0,SER_hh_tesh_in!E21/SER_summary!E$27)</f>
        <v>0</v>
      </c>
      <c r="F21" s="132">
        <f>IF(SER_hh_tesh_in!F21=0,0,SER_hh_tesh_in!F21/SER_summary!F$27)</f>
        <v>0</v>
      </c>
      <c r="G21" s="132">
        <f>IF(SER_hh_tesh_in!G21=0,0,SER_hh_tesh_in!G21/SER_summary!G$27)</f>
        <v>0</v>
      </c>
      <c r="H21" s="132">
        <f>IF(SER_hh_tesh_in!H21=0,0,SER_hh_tesh_in!H21/SER_summary!H$27)</f>
        <v>0</v>
      </c>
      <c r="I21" s="132">
        <f>IF(SER_hh_tesh_in!I21=0,0,SER_hh_tesh_in!I21/SER_summary!I$27)</f>
        <v>0</v>
      </c>
      <c r="J21" s="132">
        <f>IF(SER_hh_tesh_in!J21=0,0,SER_hh_tesh_in!J21/SER_summary!J$27)</f>
        <v>0</v>
      </c>
      <c r="K21" s="132">
        <f>IF(SER_hh_tesh_in!K21=0,0,SER_hh_tesh_in!K21/SER_summary!K$27)</f>
        <v>0</v>
      </c>
      <c r="L21" s="132">
        <f>IF(SER_hh_tesh_in!L21=0,0,SER_hh_tesh_in!L21/SER_summary!L$27)</f>
        <v>0</v>
      </c>
      <c r="M21" s="132">
        <f>IF(SER_hh_tesh_in!M21=0,0,SER_hh_tesh_in!M21/SER_summary!M$27)</f>
        <v>0</v>
      </c>
      <c r="N21" s="132">
        <f>IF(SER_hh_tesh_in!N21=0,0,SER_hh_tesh_in!N21/SER_summary!N$27)</f>
        <v>0</v>
      </c>
      <c r="O21" s="132">
        <f>IF(SER_hh_tesh_in!O21=0,0,SER_hh_tesh_in!O21/SER_summary!O$27)</f>
        <v>0</v>
      </c>
      <c r="P21" s="132">
        <f>IF(SER_hh_tesh_in!P21=0,0,SER_hh_tesh_in!P21/SER_summary!P$27)</f>
        <v>0</v>
      </c>
      <c r="Q21" s="132">
        <f>IF(SER_hh_tesh_in!Q21=0,0,SER_hh_tesh_in!Q21/SER_summary!Q$27)</f>
        <v>0</v>
      </c>
      <c r="R21" s="132">
        <f>IF(SER_hh_tesh_in!R21=0,0,SER_hh_tesh_in!R21/SER_summary!R$27)</f>
        <v>0</v>
      </c>
      <c r="S21" s="132">
        <f>IF(SER_hh_tesh_in!S21=0,0,SER_hh_tesh_in!S21/SER_summary!S$27)</f>
        <v>0</v>
      </c>
      <c r="T21" s="132">
        <f>IF(SER_hh_tesh_in!T21=0,0,SER_hh_tesh_in!T21/SER_summary!T$27)</f>
        <v>0</v>
      </c>
      <c r="U21" s="132">
        <f>IF(SER_hh_tesh_in!U21=0,0,SER_hh_tesh_in!U21/SER_summary!U$27)</f>
        <v>0</v>
      </c>
      <c r="V21" s="132">
        <f>IF(SER_hh_tesh_in!V21=0,0,SER_hh_tesh_in!V21/SER_summary!V$27)</f>
        <v>0</v>
      </c>
      <c r="W21" s="132">
        <f>IF(SER_hh_tesh_in!W21=0,0,SER_hh_tesh_in!W21/SER_summary!W$27)</f>
        <v>0</v>
      </c>
      <c r="X21" s="132">
        <f>IF(SER_hh_tesh_in!X21=0,0,SER_hh_tesh_in!X21/SER_summary!X$27)</f>
        <v>0</v>
      </c>
      <c r="Y21" s="132">
        <f>IF(SER_hh_tesh_in!Y21=0,0,SER_hh_tesh_in!Y21/SER_summary!Y$27)</f>
        <v>0</v>
      </c>
      <c r="DA21" s="156" t="s">
        <v>866</v>
      </c>
    </row>
    <row r="22" spans="1:105" ht="12" customHeight="1" x14ac:dyDescent="0.25">
      <c r="A22" s="131" t="s">
        <v>161</v>
      </c>
      <c r="B22" s="132"/>
      <c r="C22" s="132">
        <f>IF(SER_hh_tesh_in!C22=0,0,SER_hh_tesh_in!C22/SER_summary!C$27)</f>
        <v>6.1920966167330977</v>
      </c>
      <c r="D22" s="132">
        <f>IF(SER_hh_tesh_in!D22=0,0,SER_hh_tesh_in!D22/SER_summary!D$27)</f>
        <v>18.593546381488956</v>
      </c>
      <c r="E22" s="132">
        <f>IF(SER_hh_tesh_in!E22=0,0,SER_hh_tesh_in!E22/SER_summary!E$27)</f>
        <v>26.053290929534047</v>
      </c>
      <c r="F22" s="132">
        <f>IF(SER_hh_tesh_in!F22=0,0,SER_hh_tesh_in!F22/SER_summary!F$27)</f>
        <v>29.854909808382121</v>
      </c>
      <c r="G22" s="132">
        <f>IF(SER_hh_tesh_in!G22=0,0,SER_hh_tesh_in!G22/SER_summary!G$27)</f>
        <v>0</v>
      </c>
      <c r="H22" s="132">
        <f>IF(SER_hh_tesh_in!H22=0,0,SER_hh_tesh_in!H22/SER_summary!H$27)</f>
        <v>0</v>
      </c>
      <c r="I22" s="132">
        <f>IF(SER_hh_tesh_in!I22=0,0,SER_hh_tesh_in!I22/SER_summary!I$27)</f>
        <v>0</v>
      </c>
      <c r="J22" s="132">
        <f>IF(SER_hh_tesh_in!J22=0,0,SER_hh_tesh_in!J22/SER_summary!J$27)</f>
        <v>0</v>
      </c>
      <c r="K22" s="132">
        <f>IF(SER_hh_tesh_in!K22=0,0,SER_hh_tesh_in!K22/SER_summary!K$27)</f>
        <v>0</v>
      </c>
      <c r="L22" s="132">
        <f>IF(SER_hh_tesh_in!L22=0,0,SER_hh_tesh_in!L22/SER_summary!L$27)</f>
        <v>28.919449611644804</v>
      </c>
      <c r="M22" s="132">
        <f>IF(SER_hh_tesh_in!M22=0,0,SER_hh_tesh_in!M22/SER_summary!M$27)</f>
        <v>27.013677519740568</v>
      </c>
      <c r="N22" s="132">
        <f>IF(SER_hh_tesh_in!N22=0,0,SER_hh_tesh_in!N22/SER_summary!N$27)</f>
        <v>29.453407480211549</v>
      </c>
      <c r="O22" s="132">
        <f>IF(SER_hh_tesh_in!O22=0,0,SER_hh_tesh_in!O22/SER_summary!O$27)</f>
        <v>34.521166215738923</v>
      </c>
      <c r="P22" s="132">
        <f>IF(SER_hh_tesh_in!P22=0,0,SER_hh_tesh_in!P22/SER_summary!P$27)</f>
        <v>32.776471416571482</v>
      </c>
      <c r="Q22" s="132">
        <f>IF(SER_hh_tesh_in!Q22=0,0,SER_hh_tesh_in!Q22/SER_summary!Q$27)</f>
        <v>32.694529854973567</v>
      </c>
      <c r="R22" s="132">
        <f>IF(SER_hh_tesh_in!R22=0,0,SER_hh_tesh_in!R22/SER_summary!R$27)</f>
        <v>27.969497563358029</v>
      </c>
      <c r="S22" s="132">
        <f>IF(SER_hh_tesh_in!S22=0,0,SER_hh_tesh_in!S22/SER_summary!S$27)</f>
        <v>33.331454696384739</v>
      </c>
      <c r="T22" s="132">
        <f>IF(SER_hh_tesh_in!T22=0,0,SER_hh_tesh_in!T22/SER_summary!T$27)</f>
        <v>33.640935359179132</v>
      </c>
      <c r="U22" s="132">
        <f>IF(SER_hh_tesh_in!U22=0,0,SER_hh_tesh_in!U22/SER_summary!U$27)</f>
        <v>28.768166617325008</v>
      </c>
      <c r="V22" s="132">
        <f>IF(SER_hh_tesh_in!V22=0,0,SER_hh_tesh_in!V22/SER_summary!V$27)</f>
        <v>25.873210385525958</v>
      </c>
      <c r="W22" s="132">
        <f>IF(SER_hh_tesh_in!W22=0,0,SER_hh_tesh_in!W22/SER_summary!W$27)</f>
        <v>33.868976207446238</v>
      </c>
      <c r="X22" s="132">
        <f>IF(SER_hh_tesh_in!X22=0,0,SER_hh_tesh_in!X22/SER_summary!X$27)</f>
        <v>31.836123298331113</v>
      </c>
      <c r="Y22" s="132">
        <f>IF(SER_hh_tesh_in!Y22=0,0,SER_hh_tesh_in!Y22/SER_summary!Y$27)</f>
        <v>31.97565950421901</v>
      </c>
      <c r="DA22" s="156" t="s">
        <v>867</v>
      </c>
    </row>
    <row r="23" spans="1:105" ht="12" customHeight="1" x14ac:dyDescent="0.25">
      <c r="A23" s="131" t="s">
        <v>149</v>
      </c>
      <c r="B23" s="132"/>
      <c r="C23" s="132">
        <f>IF(SER_hh_tesh_in!C23=0,0,SER_hh_tesh_in!C23/SER_summary!C$27)</f>
        <v>19.306080486857173</v>
      </c>
      <c r="D23" s="132">
        <f>IF(SER_hh_tesh_in!D23=0,0,SER_hh_tesh_in!D23/SER_summary!D$27)</f>
        <v>11.24895677692035</v>
      </c>
      <c r="E23" s="132">
        <f>IF(SER_hh_tesh_in!E23=0,0,SER_hh_tesh_in!E23/SER_summary!E$27)</f>
        <v>22.495023828100862</v>
      </c>
      <c r="F23" s="132">
        <f>IF(SER_hh_tesh_in!F23=0,0,SER_hh_tesh_in!F23/SER_summary!F$27)</f>
        <v>34.485481483132027</v>
      </c>
      <c r="G23" s="132">
        <f>IF(SER_hh_tesh_in!G23=0,0,SER_hh_tesh_in!G23/SER_summary!G$27)</f>
        <v>29.75429193610789</v>
      </c>
      <c r="H23" s="132">
        <f>IF(SER_hh_tesh_in!H23=0,0,SER_hh_tesh_in!H23/SER_summary!H$27)</f>
        <v>34.581653045590521</v>
      </c>
      <c r="I23" s="132">
        <f>IF(SER_hh_tesh_in!I23=0,0,SER_hh_tesh_in!I23/SER_summary!I$27)</f>
        <v>29.282315927894683</v>
      </c>
      <c r="J23" s="132">
        <f>IF(SER_hh_tesh_in!J23=0,0,SER_hh_tesh_in!J23/SER_summary!J$27)</f>
        <v>25.829591923480287</v>
      </c>
      <c r="K23" s="132">
        <f>IF(SER_hh_tesh_in!K23=0,0,SER_hh_tesh_in!K23/SER_summary!K$27)</f>
        <v>34.97827394312192</v>
      </c>
      <c r="L23" s="132">
        <f>IF(SER_hh_tesh_in!L23=0,0,SER_hh_tesh_in!L23/SER_summary!L$27)</f>
        <v>32.694210374826582</v>
      </c>
      <c r="M23" s="132">
        <f>IF(SER_hh_tesh_in!M23=0,0,SER_hh_tesh_in!M23/SER_summary!M$27)</f>
        <v>29.948288752717367</v>
      </c>
      <c r="N23" s="132">
        <f>IF(SER_hh_tesh_in!N23=0,0,SER_hh_tesh_in!N23/SER_summary!N$27)</f>
        <v>30.265593698405091</v>
      </c>
      <c r="O23" s="132">
        <f>IF(SER_hh_tesh_in!O23=0,0,SER_hh_tesh_in!O23/SER_summary!O$27)</f>
        <v>30.746953930552305</v>
      </c>
      <c r="P23" s="132">
        <f>IF(SER_hh_tesh_in!P23=0,0,SER_hh_tesh_in!P23/SER_summary!P$27)</f>
        <v>31.628720527834677</v>
      </c>
      <c r="Q23" s="132">
        <f>IF(SER_hh_tesh_in!Q23=0,0,SER_hh_tesh_in!Q23/SER_summary!Q$27)</f>
        <v>31.988305900126917</v>
      </c>
      <c r="R23" s="132">
        <f>IF(SER_hh_tesh_in!R23=0,0,SER_hh_tesh_in!R23/SER_summary!R$27)</f>
        <v>32.691634387071552</v>
      </c>
      <c r="S23" s="132">
        <f>IF(SER_hh_tesh_in!S23=0,0,SER_hh_tesh_in!S23/SER_summary!S$27)</f>
        <v>32.985291608354416</v>
      </c>
      <c r="T23" s="132">
        <f>IF(SER_hh_tesh_in!T23=0,0,SER_hh_tesh_in!T23/SER_summary!T$27)</f>
        <v>31.006663088264254</v>
      </c>
      <c r="U23" s="132">
        <f>IF(SER_hh_tesh_in!U23=0,0,SER_hh_tesh_in!U23/SER_summary!U$27)</f>
        <v>30.671355881909445</v>
      </c>
      <c r="V23" s="132">
        <f>IF(SER_hh_tesh_in!V23=0,0,SER_hh_tesh_in!V23/SER_summary!V$27)</f>
        <v>29.659924618927278</v>
      </c>
      <c r="W23" s="132">
        <f>IF(SER_hh_tesh_in!W23=0,0,SER_hh_tesh_in!W23/SER_summary!W$27)</f>
        <v>27.398200236374755</v>
      </c>
      <c r="X23" s="132">
        <f>IF(SER_hh_tesh_in!X23=0,0,SER_hh_tesh_in!X23/SER_summary!X$27)</f>
        <v>0</v>
      </c>
      <c r="Y23" s="132">
        <f>IF(SER_hh_tesh_in!Y23=0,0,SER_hh_tesh_in!Y23/SER_summary!Y$27)</f>
        <v>0</v>
      </c>
      <c r="DA23" s="156" t="s">
        <v>868</v>
      </c>
    </row>
    <row r="24" spans="1:105" ht="12" customHeight="1" x14ac:dyDescent="0.25">
      <c r="A24" s="131" t="s">
        <v>128</v>
      </c>
      <c r="B24" s="132"/>
      <c r="C24" s="132">
        <f>IF(SER_hh_tesh_in!C24=0,0,SER_hh_tesh_in!C24/SER_summary!C$27)</f>
        <v>13.056305272363396</v>
      </c>
      <c r="D24" s="132">
        <f>IF(SER_hh_tesh_in!D24=0,0,SER_hh_tesh_in!D24/SER_summary!D$27)</f>
        <v>0</v>
      </c>
      <c r="E24" s="132">
        <f>IF(SER_hh_tesh_in!E24=0,0,SER_hh_tesh_in!E24/SER_summary!E$27)</f>
        <v>24.255951724311739</v>
      </c>
      <c r="F24" s="132">
        <f>IF(SER_hh_tesh_in!F24=0,0,SER_hh_tesh_in!F24/SER_summary!F$27)</f>
        <v>0</v>
      </c>
      <c r="G24" s="132">
        <f>IF(SER_hh_tesh_in!G24=0,0,SER_hh_tesh_in!G24/SER_summary!G$27)</f>
        <v>0</v>
      </c>
      <c r="H24" s="132">
        <f>IF(SER_hh_tesh_in!H24=0,0,SER_hh_tesh_in!H24/SER_summary!H$27)</f>
        <v>0</v>
      </c>
      <c r="I24" s="132">
        <f>IF(SER_hh_tesh_in!I24=0,0,SER_hh_tesh_in!I24/SER_summary!I$27)</f>
        <v>0</v>
      </c>
      <c r="J24" s="132">
        <f>IF(SER_hh_tesh_in!J24=0,0,SER_hh_tesh_in!J24/SER_summary!J$27)</f>
        <v>29.883518286204843</v>
      </c>
      <c r="K24" s="132">
        <f>IF(SER_hh_tesh_in!K24=0,0,SER_hh_tesh_in!K24/SER_summary!K$27)</f>
        <v>30.064120144068774</v>
      </c>
      <c r="L24" s="132">
        <f>IF(SER_hh_tesh_in!L24=0,0,SER_hh_tesh_in!L24/SER_summary!L$27)</f>
        <v>30.32978491405602</v>
      </c>
      <c r="M24" s="132">
        <f>IF(SER_hh_tesh_in!M24=0,0,SER_hh_tesh_in!M24/SER_summary!M$27)</f>
        <v>31.350420377420715</v>
      </c>
      <c r="N24" s="132">
        <f>IF(SER_hh_tesh_in!N24=0,0,SER_hh_tesh_in!N24/SER_summary!N$27)</f>
        <v>31.926178242959434</v>
      </c>
      <c r="O24" s="132">
        <f>IF(SER_hh_tesh_in!O24=0,0,SER_hh_tesh_in!O24/SER_summary!O$27)</f>
        <v>32.086777761334417</v>
      </c>
      <c r="P24" s="132">
        <f>IF(SER_hh_tesh_in!P24=0,0,SER_hh_tesh_in!P24/SER_summary!P$27)</f>
        <v>32.542121159450012</v>
      </c>
      <c r="Q24" s="132">
        <f>IF(SER_hh_tesh_in!Q24=0,0,SER_hh_tesh_in!Q24/SER_summary!Q$27)</f>
        <v>34.790216613159529</v>
      </c>
      <c r="R24" s="132">
        <f>IF(SER_hh_tesh_in!R24=0,0,SER_hh_tesh_in!R24/SER_summary!R$27)</f>
        <v>0</v>
      </c>
      <c r="S24" s="132">
        <f>IF(SER_hh_tesh_in!S24=0,0,SER_hh_tesh_in!S24/SER_summary!S$27)</f>
        <v>0</v>
      </c>
      <c r="T24" s="132">
        <f>IF(SER_hh_tesh_in!T24=0,0,SER_hh_tesh_in!T24/SER_summary!T$27)</f>
        <v>0</v>
      </c>
      <c r="U24" s="132">
        <f>IF(SER_hh_tesh_in!U24=0,0,SER_hh_tesh_in!U24/SER_summary!U$27)</f>
        <v>0</v>
      </c>
      <c r="V24" s="132">
        <f>IF(SER_hh_tesh_in!V24=0,0,SER_hh_tesh_in!V24/SER_summary!V$27)</f>
        <v>27.757835976277651</v>
      </c>
      <c r="W24" s="132">
        <f>IF(SER_hh_tesh_in!W24=0,0,SER_hh_tesh_in!W24/SER_summary!W$27)</f>
        <v>0</v>
      </c>
      <c r="X24" s="132">
        <f>IF(SER_hh_tesh_in!X24=0,0,SER_hh_tesh_in!X24/SER_summary!X$27)</f>
        <v>0</v>
      </c>
      <c r="Y24" s="132">
        <f>IF(SER_hh_tesh_in!Y24=0,0,SER_hh_tesh_in!Y24/SER_summary!Y$27)</f>
        <v>30.786958132811531</v>
      </c>
      <c r="DA24" s="156" t="s">
        <v>869</v>
      </c>
    </row>
    <row r="25" spans="1:105" ht="12" customHeight="1" x14ac:dyDescent="0.25">
      <c r="A25" s="131" t="s">
        <v>162</v>
      </c>
      <c r="B25" s="132"/>
      <c r="C25" s="132">
        <f>IF(SER_hh_tesh_in!C25=0,0,SER_hh_tesh_in!C25/SER_summary!C$27)</f>
        <v>0</v>
      </c>
      <c r="D25" s="132">
        <f>IF(SER_hh_tesh_in!D25=0,0,SER_hh_tesh_in!D25/SER_summary!D$27)</f>
        <v>0</v>
      </c>
      <c r="E25" s="132">
        <f>IF(SER_hh_tesh_in!E25=0,0,SER_hh_tesh_in!E25/SER_summary!E$27)</f>
        <v>0</v>
      </c>
      <c r="F25" s="132">
        <f>IF(SER_hh_tesh_in!F25=0,0,SER_hh_tesh_in!F25/SER_summary!F$27)</f>
        <v>0</v>
      </c>
      <c r="G25" s="132">
        <f>IF(SER_hh_tesh_in!G25=0,0,SER_hh_tesh_in!G25/SER_summary!G$27)</f>
        <v>33.125093218809766</v>
      </c>
      <c r="H25" s="132">
        <f>IF(SER_hh_tesh_in!H25=0,0,SER_hh_tesh_in!H25/SER_summary!H$27)</f>
        <v>30.48416971055665</v>
      </c>
      <c r="I25" s="132">
        <f>IF(SER_hh_tesh_in!I25=0,0,SER_hh_tesh_in!I25/SER_summary!I$27)</f>
        <v>28.998926042572748</v>
      </c>
      <c r="J25" s="132">
        <f>IF(SER_hh_tesh_in!J25=0,0,SER_hh_tesh_in!J25/SER_summary!J$27)</f>
        <v>33.630689076985803</v>
      </c>
      <c r="K25" s="132">
        <f>IF(SER_hh_tesh_in!K25=0,0,SER_hh_tesh_in!K25/SER_summary!K$27)</f>
        <v>31.220956856091888</v>
      </c>
      <c r="L25" s="132">
        <f>IF(SER_hh_tesh_in!L25=0,0,SER_hh_tesh_in!L25/SER_summary!L$27)</f>
        <v>29.718738976765152</v>
      </c>
      <c r="M25" s="132">
        <f>IF(SER_hh_tesh_in!M25=0,0,SER_hh_tesh_in!M25/SER_summary!M$27)</f>
        <v>31.366393427184878</v>
      </c>
      <c r="N25" s="132">
        <f>IF(SER_hh_tesh_in!N25=0,0,SER_hh_tesh_in!N25/SER_summary!N$27)</f>
        <v>32.272048629177327</v>
      </c>
      <c r="O25" s="132">
        <f>IF(SER_hh_tesh_in!O25=0,0,SER_hh_tesh_in!O25/SER_summary!O$27)</f>
        <v>33.05243628732827</v>
      </c>
      <c r="P25" s="132">
        <f>IF(SER_hh_tesh_in!P25=0,0,SER_hh_tesh_in!P25/SER_summary!P$27)</f>
        <v>31.097318407298193</v>
      </c>
      <c r="Q25" s="132">
        <f>IF(SER_hh_tesh_in!Q25=0,0,SER_hh_tesh_in!Q25/SER_summary!Q$27)</f>
        <v>32.535331157583293</v>
      </c>
      <c r="R25" s="132">
        <f>IF(SER_hh_tesh_in!R25=0,0,SER_hh_tesh_in!R25/SER_summary!R$27)</f>
        <v>33.240425612364312</v>
      </c>
      <c r="S25" s="132">
        <f>IF(SER_hh_tesh_in!S25=0,0,SER_hh_tesh_in!S25/SER_summary!S$27)</f>
        <v>0</v>
      </c>
      <c r="T25" s="132">
        <f>IF(SER_hh_tesh_in!T25=0,0,SER_hh_tesh_in!T25/SER_summary!T$27)</f>
        <v>30.990199884239612</v>
      </c>
      <c r="U25" s="132">
        <f>IF(SER_hh_tesh_in!U25=0,0,SER_hh_tesh_in!U25/SER_summary!U$27)</f>
        <v>28.947409117708805</v>
      </c>
      <c r="V25" s="132">
        <f>IF(SER_hh_tesh_in!V25=0,0,SER_hh_tesh_in!V25/SER_summary!V$27)</f>
        <v>29.394744962598097</v>
      </c>
      <c r="W25" s="132">
        <f>IF(SER_hh_tesh_in!W25=0,0,SER_hh_tesh_in!W25/SER_summary!W$27)</f>
        <v>29.978448138722484</v>
      </c>
      <c r="X25" s="132">
        <f>IF(SER_hh_tesh_in!X25=0,0,SER_hh_tesh_in!X25/SER_summary!X$27)</f>
        <v>28.76575966074553</v>
      </c>
      <c r="Y25" s="132">
        <f>IF(SER_hh_tesh_in!Y25=0,0,SER_hh_tesh_in!Y25/SER_summary!Y$27)</f>
        <v>32.044336573453407</v>
      </c>
      <c r="DA25" s="156" t="s">
        <v>870</v>
      </c>
    </row>
    <row r="26" spans="1:105" ht="12" customHeight="1" x14ac:dyDescent="0.25">
      <c r="A26" s="131" t="s">
        <v>24</v>
      </c>
      <c r="B26" s="65"/>
      <c r="C26" s="65">
        <f>IF(SER_hh_tesh_in!C26=0,0,SER_hh_tesh_in!C26/SER_summary!C$27)</f>
        <v>53.885501995734529</v>
      </c>
      <c r="D26" s="65">
        <f>IF(SER_hh_tesh_in!D26=0,0,SER_hh_tesh_in!D26/SER_summary!D$27)</f>
        <v>4.6937272220425026</v>
      </c>
      <c r="E26" s="65">
        <f>IF(SER_hh_tesh_in!E26=0,0,SER_hh_tesh_in!E26/SER_summary!E$27)</f>
        <v>32.123801510085741</v>
      </c>
      <c r="F26" s="65">
        <f>IF(SER_hh_tesh_in!F26=0,0,SER_hh_tesh_in!F26/SER_summary!F$27)</f>
        <v>30.503880934900735</v>
      </c>
      <c r="G26" s="65">
        <f>IF(SER_hh_tesh_in!G26=0,0,SER_hh_tesh_in!G26/SER_summary!G$27)</f>
        <v>28.740362576766728</v>
      </c>
      <c r="H26" s="65">
        <f>IF(SER_hh_tesh_in!H26=0,0,SER_hh_tesh_in!H26/SER_summary!H$27)</f>
        <v>29.444642793074014</v>
      </c>
      <c r="I26" s="65">
        <f>IF(SER_hh_tesh_in!I26=0,0,SER_hh_tesh_in!I26/SER_summary!I$27)</f>
        <v>34.889532868583849</v>
      </c>
      <c r="J26" s="65">
        <f>IF(SER_hh_tesh_in!J26=0,0,SER_hh_tesh_in!J26/SER_summary!J$27)</f>
        <v>36.685499185358857</v>
      </c>
      <c r="K26" s="65">
        <f>IF(SER_hh_tesh_in!K26=0,0,SER_hh_tesh_in!K26/SER_summary!K$27)</f>
        <v>0</v>
      </c>
      <c r="L26" s="65">
        <f>IF(SER_hh_tesh_in!L26=0,0,SER_hh_tesh_in!L26/SER_summary!L$27)</f>
        <v>0</v>
      </c>
      <c r="M26" s="65">
        <f>IF(SER_hh_tesh_in!M26=0,0,SER_hh_tesh_in!M26/SER_summary!M$27)</f>
        <v>34.010276372436721</v>
      </c>
      <c r="N26" s="65">
        <f>IF(SER_hh_tesh_in!N26=0,0,SER_hh_tesh_in!N26/SER_summary!N$27)</f>
        <v>29.967580710929354</v>
      </c>
      <c r="O26" s="65">
        <f>IF(SER_hh_tesh_in!O26=0,0,SER_hh_tesh_in!O26/SER_summary!O$27)</f>
        <v>30.750449416663972</v>
      </c>
      <c r="P26" s="65">
        <f>IF(SER_hh_tesh_in!P26=0,0,SER_hh_tesh_in!P26/SER_summary!P$27)</f>
        <v>32.357967418543033</v>
      </c>
      <c r="Q26" s="65">
        <f>IF(SER_hh_tesh_in!Q26=0,0,SER_hh_tesh_in!Q26/SER_summary!Q$27)</f>
        <v>32.773424788025068</v>
      </c>
      <c r="R26" s="65">
        <f>IF(SER_hh_tesh_in!R26=0,0,SER_hh_tesh_in!R26/SER_summary!R$27)</f>
        <v>33.363316052560478</v>
      </c>
      <c r="S26" s="65">
        <f>IF(SER_hh_tesh_in!S26=0,0,SER_hh_tesh_in!S26/SER_summary!S$27)</f>
        <v>29.545762221911236</v>
      </c>
      <c r="T26" s="65">
        <f>IF(SER_hh_tesh_in!T26=0,0,SER_hh_tesh_in!T26/SER_summary!T$27)</f>
        <v>30.943482554414384</v>
      </c>
      <c r="U26" s="65">
        <f>IF(SER_hh_tesh_in!U26=0,0,SER_hh_tesh_in!U26/SER_summary!U$27)</f>
        <v>30.031553888462057</v>
      </c>
      <c r="V26" s="65">
        <f>IF(SER_hh_tesh_in!V26=0,0,SER_hh_tesh_in!V26/SER_summary!V$27)</f>
        <v>26.781640097511655</v>
      </c>
      <c r="W26" s="65">
        <f>IF(SER_hh_tesh_in!W26=0,0,SER_hh_tesh_in!W26/SER_summary!W$27)</f>
        <v>24.769003515168098</v>
      </c>
      <c r="X26" s="65">
        <f>IF(SER_hh_tesh_in!X26=0,0,SER_hh_tesh_in!X26/SER_summary!X$27)</f>
        <v>30.423003023354504</v>
      </c>
      <c r="Y26" s="65">
        <f>IF(SER_hh_tesh_in!Y26=0,0,SER_hh_tesh_in!Y26/SER_summary!Y$27)</f>
        <v>34.185635441761505</v>
      </c>
      <c r="DA26" s="109" t="s">
        <v>871</v>
      </c>
    </row>
    <row r="27" spans="1:105" ht="12" customHeight="1" x14ac:dyDescent="0.25">
      <c r="A27" s="144" t="s">
        <v>86</v>
      </c>
      <c r="B27" s="147"/>
      <c r="C27" s="145">
        <f>IF(SER_hh_tesh_in!C27=0,0,SER_hh_tesh_in!C27/SER_summary!C$27)</f>
        <v>0</v>
      </c>
      <c r="D27" s="145">
        <f>IF(SER_hh_tesh_in!D27=0,0,SER_hh_tesh_in!D27/SER_summary!D$27)</f>
        <v>0</v>
      </c>
      <c r="E27" s="145">
        <f>IF(SER_hh_tesh_in!E27=0,0,SER_hh_tesh_in!E27/SER_summary!E$27)</f>
        <v>0</v>
      </c>
      <c r="F27" s="145">
        <f>IF(SER_hh_tesh_in!F27=0,0,SER_hh_tesh_in!F27/SER_summary!F$27)</f>
        <v>0</v>
      </c>
      <c r="G27" s="145">
        <f>IF(SER_hh_tesh_in!G27=0,0,SER_hh_tesh_in!G27/SER_summary!G$27)</f>
        <v>0</v>
      </c>
      <c r="H27" s="145">
        <f>IF(SER_hh_tesh_in!H27=0,0,SER_hh_tesh_in!H27/SER_summary!H$27)</f>
        <v>0</v>
      </c>
      <c r="I27" s="145">
        <f>IF(SER_hh_tesh_in!I27=0,0,SER_hh_tesh_in!I27/SER_summary!I$27)</f>
        <v>0.19414982462082309</v>
      </c>
      <c r="J27" s="145">
        <f>IF(SER_hh_tesh_in!J27=0,0,SER_hh_tesh_in!J27/SER_summary!J$27)</f>
        <v>0</v>
      </c>
      <c r="K27" s="145">
        <f>IF(SER_hh_tesh_in!K27=0,0,SER_hh_tesh_in!K27/SER_summary!K$27)</f>
        <v>0</v>
      </c>
      <c r="L27" s="145">
        <f>IF(SER_hh_tesh_in!L27=0,0,SER_hh_tesh_in!L27/SER_summary!L$27)</f>
        <v>0.22109735853286069</v>
      </c>
      <c r="M27" s="145">
        <f>IF(SER_hh_tesh_in!M27=0,0,SER_hh_tesh_in!M27/SER_summary!M$27)</f>
        <v>0</v>
      </c>
      <c r="N27" s="145">
        <f>IF(SER_hh_tesh_in!N27=0,0,SER_hh_tesh_in!N27/SER_summary!N$27)</f>
        <v>0.47417427796756967</v>
      </c>
      <c r="O27" s="145">
        <f>IF(SER_hh_tesh_in!O27=0,0,SER_hh_tesh_in!O27/SER_summary!O$27)</f>
        <v>3.813097506530042E-17</v>
      </c>
      <c r="P27" s="145">
        <f>IF(SER_hh_tesh_in!P27=0,0,SER_hh_tesh_in!P27/SER_summary!P$27)</f>
        <v>0</v>
      </c>
      <c r="Q27" s="145">
        <f>IF(SER_hh_tesh_in!Q27=0,0,SER_hh_tesh_in!Q27/SER_summary!Q$27)</f>
        <v>0</v>
      </c>
      <c r="R27" s="145">
        <f>IF(SER_hh_tesh_in!R27=0,0,SER_hh_tesh_in!R27/SER_summary!R$27)</f>
        <v>5.815256896668889E-8</v>
      </c>
      <c r="S27" s="145">
        <f>IF(SER_hh_tesh_in!S27=0,0,SER_hh_tesh_in!S27/SER_summary!S$27)</f>
        <v>0.14053237956433717</v>
      </c>
      <c r="T27" s="145">
        <f>IF(SER_hh_tesh_in!T27=0,0,SER_hh_tesh_in!T27/SER_summary!T$27)</f>
        <v>6.0910175017497901E-9</v>
      </c>
      <c r="U27" s="145">
        <f>IF(SER_hh_tesh_in!U27=0,0,SER_hh_tesh_in!U27/SER_summary!U$27)</f>
        <v>6.7588865279863533E-2</v>
      </c>
      <c r="V27" s="145">
        <f>IF(SER_hh_tesh_in!V27=0,0,SER_hh_tesh_in!V27/SER_summary!V$27)</f>
        <v>5.1990610622069711E-17</v>
      </c>
      <c r="W27" s="145">
        <f>IF(SER_hh_tesh_in!W27=0,0,SER_hh_tesh_in!W27/SER_summary!W$27)</f>
        <v>2.4121556712068402</v>
      </c>
      <c r="X27" s="145">
        <f>IF(SER_hh_tesh_in!X27=0,0,SER_hh_tesh_in!X27/SER_summary!X$27)</f>
        <v>0</v>
      </c>
      <c r="Y27" s="145">
        <f>IF(SER_hh_tesh_in!Y27=0,0,SER_hh_tesh_in!Y27/SER_summary!Y$27)</f>
        <v>9.7028971021003177E-2</v>
      </c>
      <c r="DA27" s="158" t="s">
        <v>872</v>
      </c>
    </row>
    <row r="28" spans="1:105" ht="12" customHeight="1" x14ac:dyDescent="0.25">
      <c r="A28" s="78" t="s">
        <v>85</v>
      </c>
      <c r="B28" s="68"/>
      <c r="C28" s="146">
        <f>IF(SER_hh_tesh_in!C28=0,0,SER_hh_tesh_in!C28/SER_summary!C$27)</f>
        <v>0</v>
      </c>
      <c r="D28" s="146">
        <f>IF(SER_hh_tesh_in!D28=0,0,SER_hh_tesh_in!D28/SER_summary!D$27)</f>
        <v>0</v>
      </c>
      <c r="E28" s="146">
        <f>IF(SER_hh_tesh_in!E28=0,0,SER_hh_tesh_in!E28/SER_summary!E$27)</f>
        <v>0</v>
      </c>
      <c r="F28" s="146">
        <f>IF(SER_hh_tesh_in!F28=0,0,SER_hh_tesh_in!F28/SER_summary!F$27)</f>
        <v>0</v>
      </c>
      <c r="G28" s="146">
        <f>IF(SER_hh_tesh_in!G28=0,0,SER_hh_tesh_in!G28/SER_summary!G$27)</f>
        <v>0</v>
      </c>
      <c r="H28" s="146">
        <f>IF(SER_hh_tesh_in!H28=0,0,SER_hh_tesh_in!H28/SER_summary!H$27)</f>
        <v>0</v>
      </c>
      <c r="I28" s="146">
        <f>IF(SER_hh_tesh_in!I28=0,0,SER_hh_tesh_in!I28/SER_summary!I$27)</f>
        <v>25.365671716594481</v>
      </c>
      <c r="J28" s="146">
        <f>IF(SER_hh_tesh_in!J28=0,0,SER_hh_tesh_in!J28/SER_summary!J$27)</f>
        <v>0</v>
      </c>
      <c r="K28" s="146">
        <f>IF(SER_hh_tesh_in!K28=0,0,SER_hh_tesh_in!K28/SER_summary!K$27)</f>
        <v>0</v>
      </c>
      <c r="L28" s="146">
        <f>IF(SER_hh_tesh_in!L28=0,0,SER_hh_tesh_in!L28/SER_summary!L$27)</f>
        <v>23.967598267305718</v>
      </c>
      <c r="M28" s="146">
        <f>IF(SER_hh_tesh_in!M28=0,0,SER_hh_tesh_in!M28/SER_summary!M$27)</f>
        <v>0</v>
      </c>
      <c r="N28" s="146">
        <f>IF(SER_hh_tesh_in!N28=0,0,SER_hh_tesh_in!N28/SER_summary!N$27)</f>
        <v>33.828426333671331</v>
      </c>
      <c r="O28" s="146">
        <f>IF(SER_hh_tesh_in!O28=0,0,SER_hh_tesh_in!O28/SER_summary!O$27)</f>
        <v>33.636740739639613</v>
      </c>
      <c r="P28" s="146">
        <f>IF(SER_hh_tesh_in!P28=0,0,SER_hh_tesh_in!P28/SER_summary!P$27)</f>
        <v>0</v>
      </c>
      <c r="Q28" s="146">
        <f>IF(SER_hh_tesh_in!Q28=0,0,SER_hh_tesh_in!Q28/SER_summary!Q$27)</f>
        <v>0</v>
      </c>
      <c r="R28" s="146">
        <f>IF(SER_hh_tesh_in!R28=0,0,SER_hh_tesh_in!R28/SER_summary!R$27)</f>
        <v>31.93890826669298</v>
      </c>
      <c r="S28" s="146">
        <f>IF(SER_hh_tesh_in!S28=0,0,SER_hh_tesh_in!S28/SER_summary!S$27)</f>
        <v>26.14536308065744</v>
      </c>
      <c r="T28" s="146">
        <f>IF(SER_hh_tesh_in!T28=0,0,SER_hh_tesh_in!T28/SER_summary!T$27)</f>
        <v>26.174946170583979</v>
      </c>
      <c r="U28" s="146">
        <f>IF(SER_hh_tesh_in!U28=0,0,SER_hh_tesh_in!U28/SER_summary!U$27)</f>
        <v>24.437399714869514</v>
      </c>
      <c r="V28" s="146">
        <f>IF(SER_hh_tesh_in!V28=0,0,SER_hh_tesh_in!V28/SER_summary!V$27)</f>
        <v>23.396594739786121</v>
      </c>
      <c r="W28" s="146">
        <f>IF(SER_hh_tesh_in!W28=0,0,SER_hh_tesh_in!W28/SER_summary!W$27)</f>
        <v>26.090252938741415</v>
      </c>
      <c r="X28" s="146">
        <f>IF(SER_hh_tesh_in!X28=0,0,SER_hh_tesh_in!X28/SER_summary!X$27)</f>
        <v>0</v>
      </c>
      <c r="Y28" s="146">
        <f>IF(SER_hh_tesh_in!Y28=0,0,SER_hh_tesh_in!Y28/SER_summary!Y$27)</f>
        <v>28.645966728311365</v>
      </c>
      <c r="DA28" s="159"/>
    </row>
    <row r="29" spans="1:105" ht="12.95" customHeight="1" x14ac:dyDescent="0.25">
      <c r="A29" s="129" t="s">
        <v>34</v>
      </c>
      <c r="B29" s="130"/>
      <c r="C29" s="130">
        <f>IF(SER_hh_tesh_in!C29=0,0,SER_hh_tesh_in!C29/SER_summary!C$27)</f>
        <v>35.919397254376072</v>
      </c>
      <c r="D29" s="130">
        <f>IF(SER_hh_tesh_in!D29=0,0,SER_hh_tesh_in!D29/SER_summary!D$27)</f>
        <v>17.175201432714687</v>
      </c>
      <c r="E29" s="130">
        <f>IF(SER_hh_tesh_in!E29=0,0,SER_hh_tesh_in!E29/SER_summary!E$27)</f>
        <v>34.569385772383342</v>
      </c>
      <c r="F29" s="130">
        <f>IF(SER_hh_tesh_in!F29=0,0,SER_hh_tesh_in!F29/SER_summary!F$27)</f>
        <v>48.383765606637368</v>
      </c>
      <c r="G29" s="130">
        <f>IF(SER_hh_tesh_in!G29=0,0,SER_hh_tesh_in!G29/SER_summary!G$27)</f>
        <v>41.62712634650012</v>
      </c>
      <c r="H29" s="130">
        <f>IF(SER_hh_tesh_in!H29=0,0,SER_hh_tesh_in!H29/SER_summary!H$27)</f>
        <v>42.484531085206868</v>
      </c>
      <c r="I29" s="130">
        <f>IF(SER_hh_tesh_in!I29=0,0,SER_hh_tesh_in!I29/SER_summary!I$27)</f>
        <v>25.964499867750185</v>
      </c>
      <c r="J29" s="130">
        <f>IF(SER_hh_tesh_in!J29=0,0,SER_hh_tesh_in!J29/SER_summary!J$27)</f>
        <v>52.965149647034821</v>
      </c>
      <c r="K29" s="130">
        <f>IF(SER_hh_tesh_in!K29=0,0,SER_hh_tesh_in!K29/SER_summary!K$27)</f>
        <v>49.250444288825641</v>
      </c>
      <c r="L29" s="130">
        <f>IF(SER_hh_tesh_in!L29=0,0,SER_hh_tesh_in!L29/SER_summary!L$27)</f>
        <v>45.347105833177302</v>
      </c>
      <c r="M29" s="130">
        <f>IF(SER_hh_tesh_in!M29=0,0,SER_hh_tesh_in!M29/SER_summary!M$27)</f>
        <v>46.418122878068438</v>
      </c>
      <c r="N29" s="130">
        <f>IF(SER_hh_tesh_in!N29=0,0,SER_hh_tesh_in!N29/SER_summary!N$27)</f>
        <v>46.690659469610075</v>
      </c>
      <c r="O29" s="130">
        <f>IF(SER_hh_tesh_in!O29=0,0,SER_hh_tesh_in!O29/SER_summary!O$27)</f>
        <v>48.289367706614691</v>
      </c>
      <c r="P29" s="130">
        <f>IF(SER_hh_tesh_in!P29=0,0,SER_hh_tesh_in!P29/SER_summary!P$27)</f>
        <v>48.644113020529858</v>
      </c>
      <c r="Q29" s="130">
        <f>IF(SER_hh_tesh_in!Q29=0,0,SER_hh_tesh_in!Q29/SER_summary!Q$27)</f>
        <v>50.129548408009583</v>
      </c>
      <c r="R29" s="130">
        <f>IF(SER_hh_tesh_in!R29=0,0,SER_hh_tesh_in!R29/SER_summary!R$27)</f>
        <v>47.853376691287082</v>
      </c>
      <c r="S29" s="130">
        <f>IF(SER_hh_tesh_in!S29=0,0,SER_hh_tesh_in!S29/SER_summary!S$27)</f>
        <v>47.091342486260764</v>
      </c>
      <c r="T29" s="130">
        <f>IF(SER_hh_tesh_in!T29=0,0,SER_hh_tesh_in!T29/SER_summary!T$27)</f>
        <v>47.425381287850783</v>
      </c>
      <c r="U29" s="130">
        <f>IF(SER_hh_tesh_in!U29=0,0,SER_hh_tesh_in!U29/SER_summary!U$27)</f>
        <v>47.759057006135635</v>
      </c>
      <c r="V29" s="130">
        <f>IF(SER_hh_tesh_in!V29=0,0,SER_hh_tesh_in!V29/SER_summary!V$27)</f>
        <v>42.796365279576108</v>
      </c>
      <c r="W29" s="130">
        <f>IF(SER_hh_tesh_in!W29=0,0,SER_hh_tesh_in!W29/SER_summary!W$27)</f>
        <v>45.83452078357243</v>
      </c>
      <c r="X29" s="130">
        <f>IF(SER_hh_tesh_in!X29=0,0,SER_hh_tesh_in!X29/SER_summary!X$27)</f>
        <v>48.862022687954145</v>
      </c>
      <c r="Y29" s="130">
        <f>IF(SER_hh_tesh_in!Y29=0,0,SER_hh_tesh_in!Y29/SER_summary!Y$27)</f>
        <v>50.197669328069431</v>
      </c>
      <c r="DA29" s="155" t="s">
        <v>873</v>
      </c>
    </row>
    <row r="30" spans="1:105" s="2" customFormat="1" ht="12" customHeight="1" x14ac:dyDescent="0.25">
      <c r="A30" s="131" t="s">
        <v>52</v>
      </c>
      <c r="B30" s="132"/>
      <c r="C30" s="132">
        <f>IF(SER_hh_tesh_in!C30=0,0,SER_hh_tesh_in!C30/SER_summary!C$27)</f>
        <v>24.715959433232339</v>
      </c>
      <c r="D30" s="132">
        <f>IF(SER_hh_tesh_in!D30=0,0,SER_hh_tesh_in!D30/SER_summary!D$27)</f>
        <v>10.899593055399395</v>
      </c>
      <c r="E30" s="132">
        <f>IF(SER_hh_tesh_in!E30=0,0,SER_hh_tesh_in!E30/SER_summary!E$27)</f>
        <v>32.845008015091544</v>
      </c>
      <c r="F30" s="132">
        <f>IF(SER_hh_tesh_in!F30=0,0,SER_hh_tesh_in!F30/SER_summary!F$27)</f>
        <v>50.160455916192831</v>
      </c>
      <c r="G30" s="132">
        <f>IF(SER_hh_tesh_in!G30=0,0,SER_hh_tesh_in!G30/SER_summary!G$27)</f>
        <v>60.567090366109696</v>
      </c>
      <c r="H30" s="132">
        <f>IF(SER_hh_tesh_in!H30=0,0,SER_hh_tesh_in!H30/SER_summary!H$27)</f>
        <v>25.125172917587562</v>
      </c>
      <c r="I30" s="132">
        <f>IF(SER_hh_tesh_in!I30=0,0,SER_hh_tesh_in!I30/SER_summary!I$27)</f>
        <v>77.034174668394897</v>
      </c>
      <c r="J30" s="132">
        <f>IF(SER_hh_tesh_in!J30=0,0,SER_hh_tesh_in!J30/SER_summary!J$27)</f>
        <v>0</v>
      </c>
      <c r="K30" s="132">
        <f>IF(SER_hh_tesh_in!K30=0,0,SER_hh_tesh_in!K30/SER_summary!K$27)</f>
        <v>0</v>
      </c>
      <c r="L30" s="132">
        <f>IF(SER_hh_tesh_in!L30=0,0,SER_hh_tesh_in!L30/SER_summary!L$27)</f>
        <v>0</v>
      </c>
      <c r="M30" s="132">
        <f>IF(SER_hh_tesh_in!M30=0,0,SER_hh_tesh_in!M30/SER_summary!M$27)</f>
        <v>0</v>
      </c>
      <c r="N30" s="132">
        <f>IF(SER_hh_tesh_in!N30=0,0,SER_hh_tesh_in!N30/SER_summary!N$27)</f>
        <v>44.512899586060875</v>
      </c>
      <c r="O30" s="132">
        <f>IF(SER_hh_tesh_in!O30=0,0,SER_hh_tesh_in!O30/SER_summary!O$27)</f>
        <v>45.142112191184793</v>
      </c>
      <c r="P30" s="132">
        <f>IF(SER_hh_tesh_in!P30=0,0,SER_hh_tesh_in!P30/SER_summary!P$27)</f>
        <v>49.075004617092304</v>
      </c>
      <c r="Q30" s="132">
        <f>IF(SER_hh_tesh_in!Q30=0,0,SER_hh_tesh_in!Q30/SER_summary!Q$27)</f>
        <v>54.561768761112994</v>
      </c>
      <c r="R30" s="132">
        <f>IF(SER_hh_tesh_in!R30=0,0,SER_hh_tesh_in!R30/SER_summary!R$27)</f>
        <v>48.228438066576437</v>
      </c>
      <c r="S30" s="132">
        <f>IF(SER_hh_tesh_in!S30=0,0,SER_hh_tesh_in!S30/SER_summary!S$27)</f>
        <v>46.875241775375223</v>
      </c>
      <c r="T30" s="132">
        <f>IF(SER_hh_tesh_in!T30=0,0,SER_hh_tesh_in!T30/SER_summary!T$27)</f>
        <v>48.132029824236042</v>
      </c>
      <c r="U30" s="132">
        <f>IF(SER_hh_tesh_in!U30=0,0,SER_hh_tesh_in!U30/SER_summary!U$27)</f>
        <v>47.826790037126557</v>
      </c>
      <c r="V30" s="132">
        <f>IF(SER_hh_tesh_in!V30=0,0,SER_hh_tesh_in!V30/SER_summary!V$27)</f>
        <v>44.268770436700898</v>
      </c>
      <c r="W30" s="132">
        <f>IF(SER_hh_tesh_in!W30=0,0,SER_hh_tesh_in!W30/SER_summary!W$27)</f>
        <v>46.629846832423539</v>
      </c>
      <c r="X30" s="132">
        <f>IF(SER_hh_tesh_in!X30=0,0,SER_hh_tesh_in!X30/SER_summary!X$27)</f>
        <v>49.567480668442727</v>
      </c>
      <c r="Y30" s="132">
        <f>IF(SER_hh_tesh_in!Y30=0,0,SER_hh_tesh_in!Y30/SER_summary!Y$27)</f>
        <v>47.411835154291616</v>
      </c>
      <c r="DA30" s="156" t="s">
        <v>874</v>
      </c>
    </row>
    <row r="31" spans="1:105" ht="12" customHeight="1" x14ac:dyDescent="0.25">
      <c r="A31" s="131" t="s">
        <v>149</v>
      </c>
      <c r="B31" s="132"/>
      <c r="C31" s="132">
        <f>IF(SER_hh_tesh_in!C31=0,0,SER_hh_tesh_in!C31/SER_summary!C$27)</f>
        <v>37.32996704246095</v>
      </c>
      <c r="D31" s="132">
        <f>IF(SER_hh_tesh_in!D31=0,0,SER_hh_tesh_in!D31/SER_summary!D$27)</f>
        <v>21.472555191386661</v>
      </c>
      <c r="E31" s="132">
        <f>IF(SER_hh_tesh_in!E31=0,0,SER_hh_tesh_in!E31/SER_summary!E$27)</f>
        <v>35.467846137931495</v>
      </c>
      <c r="F31" s="132">
        <f>IF(SER_hh_tesh_in!F31=0,0,SER_hh_tesh_in!F31/SER_summary!F$27)</f>
        <v>47.412240299939043</v>
      </c>
      <c r="G31" s="132">
        <f>IF(SER_hh_tesh_in!G31=0,0,SER_hh_tesh_in!G31/SER_summary!G$27)</f>
        <v>38.637668825829621</v>
      </c>
      <c r="H31" s="132">
        <f>IF(SER_hh_tesh_in!H31=0,0,SER_hh_tesh_in!H31/SER_summary!H$27)</f>
        <v>52.982725331328083</v>
      </c>
      <c r="I31" s="132">
        <f>IF(SER_hh_tesh_in!I31=0,0,SER_hh_tesh_in!I31/SER_summary!I$27)</f>
        <v>40.23462802696131</v>
      </c>
      <c r="J31" s="132">
        <f>IF(SER_hh_tesh_in!J31=0,0,SER_hh_tesh_in!J31/SER_summary!J$27)</f>
        <v>43.868575461773396</v>
      </c>
      <c r="K31" s="132">
        <f>IF(SER_hh_tesh_in!K31=0,0,SER_hh_tesh_in!K31/SER_summary!K$27)</f>
        <v>45.807475014796729</v>
      </c>
      <c r="L31" s="132">
        <f>IF(SER_hh_tesh_in!L31=0,0,SER_hh_tesh_in!L31/SER_summary!L$27)</f>
        <v>45.964202114713608</v>
      </c>
      <c r="M31" s="132">
        <f>IF(SER_hh_tesh_in!M31=0,0,SER_hh_tesh_in!M31/SER_summary!M$27)</f>
        <v>46.285527990340157</v>
      </c>
      <c r="N31" s="132">
        <f>IF(SER_hh_tesh_in!N31=0,0,SER_hh_tesh_in!N31/SER_summary!N$27)</f>
        <v>46.284497080905254</v>
      </c>
      <c r="O31" s="132">
        <f>IF(SER_hh_tesh_in!O31=0,0,SER_hh_tesh_in!O31/SER_summary!O$27)</f>
        <v>47.715692623478724</v>
      </c>
      <c r="P31" s="132">
        <f>IF(SER_hh_tesh_in!P31=0,0,SER_hh_tesh_in!P31/SER_summary!P$27)</f>
        <v>47.193580804283393</v>
      </c>
      <c r="Q31" s="132">
        <f>IF(SER_hh_tesh_in!Q31=0,0,SER_hh_tesh_in!Q31/SER_summary!Q$27)</f>
        <v>49.501525916713057</v>
      </c>
      <c r="R31" s="132">
        <f>IF(SER_hh_tesh_in!R31=0,0,SER_hh_tesh_in!R31/SER_summary!R$27)</f>
        <v>46.987817744117883</v>
      </c>
      <c r="S31" s="132">
        <f>IF(SER_hh_tesh_in!S31=0,0,SER_hh_tesh_in!S31/SER_summary!S$27)</f>
        <v>49.074524703497929</v>
      </c>
      <c r="T31" s="132">
        <f>IF(SER_hh_tesh_in!T31=0,0,SER_hh_tesh_in!T31/SER_summary!T$27)</f>
        <v>47.294401276303454</v>
      </c>
      <c r="U31" s="132">
        <f>IF(SER_hh_tesh_in!U31=0,0,SER_hh_tesh_in!U31/SER_summary!U$27)</f>
        <v>47.18061776492511</v>
      </c>
      <c r="V31" s="132">
        <f>IF(SER_hh_tesh_in!V31=0,0,SER_hh_tesh_in!V31/SER_summary!V$27)</f>
        <v>44.736416029974549</v>
      </c>
      <c r="W31" s="132">
        <f>IF(SER_hh_tesh_in!W31=0,0,SER_hh_tesh_in!W31/SER_summary!W$27)</f>
        <v>46.48799580945618</v>
      </c>
      <c r="X31" s="132">
        <f>IF(SER_hh_tesh_in!X31=0,0,SER_hh_tesh_in!X31/SER_summary!X$27)</f>
        <v>48.258967471248354</v>
      </c>
      <c r="Y31" s="132">
        <f>IF(SER_hh_tesh_in!Y31=0,0,SER_hh_tesh_in!Y31/SER_summary!Y$27)</f>
        <v>50.082802376705516</v>
      </c>
      <c r="DA31" s="156" t="s">
        <v>875</v>
      </c>
    </row>
    <row r="32" spans="1:105" ht="12" customHeight="1" x14ac:dyDescent="0.25">
      <c r="A32" s="131" t="s">
        <v>128</v>
      </c>
      <c r="B32" s="132"/>
      <c r="C32" s="132">
        <f>IF(SER_hh_tesh_in!C32=0,0,SER_hh_tesh_in!C32/SER_summary!C$27)</f>
        <v>0</v>
      </c>
      <c r="D32" s="132">
        <f>IF(SER_hh_tesh_in!D32=0,0,SER_hh_tesh_in!D32/SER_summary!D$27)</f>
        <v>0</v>
      </c>
      <c r="E32" s="132">
        <f>IF(SER_hh_tesh_in!E32=0,0,SER_hh_tesh_in!E32/SER_summary!E$27)</f>
        <v>0</v>
      </c>
      <c r="F32" s="132">
        <f>IF(SER_hh_tesh_in!F32=0,0,SER_hh_tesh_in!F32/SER_summary!F$27)</f>
        <v>0</v>
      </c>
      <c r="G32" s="132">
        <f>IF(SER_hh_tesh_in!G32=0,0,SER_hh_tesh_in!G32/SER_summary!G$27)</f>
        <v>0</v>
      </c>
      <c r="H32" s="132">
        <f>IF(SER_hh_tesh_in!H32=0,0,SER_hh_tesh_in!H32/SER_summary!H$27)</f>
        <v>0</v>
      </c>
      <c r="I32" s="132">
        <f>IF(SER_hh_tesh_in!I32=0,0,SER_hh_tesh_in!I32/SER_summary!I$27)</f>
        <v>0</v>
      </c>
      <c r="J32" s="132">
        <f>IF(SER_hh_tesh_in!J32=0,0,SER_hh_tesh_in!J32/SER_summary!J$27)</f>
        <v>0</v>
      </c>
      <c r="K32" s="132">
        <f>IF(SER_hh_tesh_in!K32=0,0,SER_hh_tesh_in!K32/SER_summary!K$27)</f>
        <v>0</v>
      </c>
      <c r="L32" s="132">
        <f>IF(SER_hh_tesh_in!L32=0,0,SER_hh_tesh_in!L32/SER_summary!L$27)</f>
        <v>0</v>
      </c>
      <c r="M32" s="132">
        <f>IF(SER_hh_tesh_in!M32=0,0,SER_hh_tesh_in!M32/SER_summary!M$27)</f>
        <v>0</v>
      </c>
      <c r="N32" s="132">
        <f>IF(SER_hh_tesh_in!N32=0,0,SER_hh_tesh_in!N32/SER_summary!N$27)</f>
        <v>0</v>
      </c>
      <c r="O32" s="132">
        <f>IF(SER_hh_tesh_in!O32=0,0,SER_hh_tesh_in!O32/SER_summary!O$27)</f>
        <v>0</v>
      </c>
      <c r="P32" s="132">
        <f>IF(SER_hh_tesh_in!P32=0,0,SER_hh_tesh_in!P32/SER_summary!P$27)</f>
        <v>0</v>
      </c>
      <c r="Q32" s="132">
        <f>IF(SER_hh_tesh_in!Q32=0,0,SER_hh_tesh_in!Q32/SER_summary!Q$27)</f>
        <v>0</v>
      </c>
      <c r="R32" s="132">
        <f>IF(SER_hh_tesh_in!R32=0,0,SER_hh_tesh_in!R32/SER_summary!R$27)</f>
        <v>0</v>
      </c>
      <c r="S32" s="132">
        <f>IF(SER_hh_tesh_in!S32=0,0,SER_hh_tesh_in!S32/SER_summary!S$27)</f>
        <v>0</v>
      </c>
      <c r="T32" s="132">
        <f>IF(SER_hh_tesh_in!T32=0,0,SER_hh_tesh_in!T32/SER_summary!T$27)</f>
        <v>0</v>
      </c>
      <c r="U32" s="132">
        <f>IF(SER_hh_tesh_in!U32=0,0,SER_hh_tesh_in!U32/SER_summary!U$27)</f>
        <v>0</v>
      </c>
      <c r="V32" s="132">
        <f>IF(SER_hh_tesh_in!V32=0,0,SER_hh_tesh_in!V32/SER_summary!V$27)</f>
        <v>0</v>
      </c>
      <c r="W32" s="132">
        <f>IF(SER_hh_tesh_in!W32=0,0,SER_hh_tesh_in!W32/SER_summary!W$27)</f>
        <v>0</v>
      </c>
      <c r="X32" s="132">
        <f>IF(SER_hh_tesh_in!X32=0,0,SER_hh_tesh_in!X32/SER_summary!X$27)</f>
        <v>0</v>
      </c>
      <c r="Y32" s="132">
        <f>IF(SER_hh_tesh_in!Y32=0,0,SER_hh_tesh_in!Y32/SER_summary!Y$27)</f>
        <v>0</v>
      </c>
      <c r="DA32" s="156" t="s">
        <v>876</v>
      </c>
    </row>
    <row r="33" spans="1:105" ht="12" customHeight="1" x14ac:dyDescent="0.25">
      <c r="A33" s="62" t="s">
        <v>24</v>
      </c>
      <c r="B33" s="68"/>
      <c r="C33" s="68">
        <f>IF(SER_hh_tesh_in!C33=0,0,SER_hh_tesh_in!C33/SER_summary!C$27)</f>
        <v>41.585781084456443</v>
      </c>
      <c r="D33" s="68">
        <f>IF(SER_hh_tesh_in!D33=0,0,SER_hh_tesh_in!D33/SER_summary!D$27)</f>
        <v>0</v>
      </c>
      <c r="E33" s="68">
        <f>IF(SER_hh_tesh_in!E33=0,0,SER_hh_tesh_in!E33/SER_summary!E$27)</f>
        <v>0</v>
      </c>
      <c r="F33" s="68">
        <f>IF(SER_hh_tesh_in!F33=0,0,SER_hh_tesh_in!F33/SER_summary!F$27)</f>
        <v>0</v>
      </c>
      <c r="G33" s="68">
        <f>IF(SER_hh_tesh_in!G33=0,0,SER_hh_tesh_in!G33/SER_summary!G$27)</f>
        <v>0</v>
      </c>
      <c r="H33" s="68">
        <f>IF(SER_hh_tesh_in!H33=0,0,SER_hh_tesh_in!H33/SER_summary!H$27)</f>
        <v>36.660367204697017</v>
      </c>
      <c r="I33" s="68">
        <f>IF(SER_hh_tesh_in!I33=0,0,SER_hh_tesh_in!I33/SER_summary!I$27)</f>
        <v>21.335057555481633</v>
      </c>
      <c r="J33" s="68">
        <f>IF(SER_hh_tesh_in!J33=0,0,SER_hh_tesh_in!J33/SER_summary!J$27)</f>
        <v>53.353108512770881</v>
      </c>
      <c r="K33" s="68">
        <f>IF(SER_hh_tesh_in!K33=0,0,SER_hh_tesh_in!K33/SER_summary!K$27)</f>
        <v>49.53406198536856</v>
      </c>
      <c r="L33" s="68">
        <f>IF(SER_hh_tesh_in!L33=0,0,SER_hh_tesh_in!L33/SER_summary!L$27)</f>
        <v>45.200324973950202</v>
      </c>
      <c r="M33" s="68">
        <f>IF(SER_hh_tesh_in!M33=0,0,SER_hh_tesh_in!M33/SER_summary!M$27)</f>
        <v>46.469356876498608</v>
      </c>
      <c r="N33" s="68">
        <f>IF(SER_hh_tesh_in!N33=0,0,SER_hh_tesh_in!N33/SER_summary!N$27)</f>
        <v>47.128459477109374</v>
      </c>
      <c r="O33" s="68">
        <f>IF(SER_hh_tesh_in!O33=0,0,SER_hh_tesh_in!O33/SER_summary!O$27)</f>
        <v>49.262865197163222</v>
      </c>
      <c r="P33" s="68">
        <f>IF(SER_hh_tesh_in!P33=0,0,SER_hh_tesh_in!P33/SER_summary!P$27)</f>
        <v>50.134503585684833</v>
      </c>
      <c r="Q33" s="68">
        <f>IF(SER_hh_tesh_in!Q33=0,0,SER_hh_tesh_in!Q33/SER_summary!Q$27)</f>
        <v>49.264331084125004</v>
      </c>
      <c r="R33" s="68">
        <f>IF(SER_hh_tesh_in!R33=0,0,SER_hh_tesh_in!R33/SER_summary!R$27)</f>
        <v>48.709755791352656</v>
      </c>
      <c r="S33" s="68">
        <f>IF(SER_hh_tesh_in!S33=0,0,SER_hh_tesh_in!S33/SER_summary!S$27)</f>
        <v>45.669546988560413</v>
      </c>
      <c r="T33" s="68">
        <f>IF(SER_hh_tesh_in!T33=0,0,SER_hh_tesh_in!T33/SER_summary!T$27)</f>
        <v>47.458113818678683</v>
      </c>
      <c r="U33" s="68">
        <f>IF(SER_hh_tesh_in!U33=0,0,SER_hh_tesh_in!U33/SER_summary!U$27)</f>
        <v>47.934698138207878</v>
      </c>
      <c r="V33" s="68">
        <f>IF(SER_hh_tesh_in!V33=0,0,SER_hh_tesh_in!V33/SER_summary!V$27)</f>
        <v>42.232101581166113</v>
      </c>
      <c r="W33" s="68">
        <f>IF(SER_hh_tesh_in!W33=0,0,SER_hh_tesh_in!W33/SER_summary!W$27)</f>
        <v>45.661997765899457</v>
      </c>
      <c r="X33" s="68">
        <f>IF(SER_hh_tesh_in!X33=0,0,SER_hh_tesh_in!X33/SER_summary!X$27)</f>
        <v>49.020706431081408</v>
      </c>
      <c r="Y33" s="68">
        <f>IF(SER_hh_tesh_in!Y33=0,0,SER_hh_tesh_in!Y33/SER_summary!Y$27)</f>
        <v>50.344782727712143</v>
      </c>
      <c r="DA33" s="111" t="s">
        <v>877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0">
    <tabColor theme="6" tint="0.79998168889431442"/>
    <pageSetUpPr fitToPage="1"/>
  </sheetPr>
  <dimension ref="A1:DA33"/>
  <sheetViews>
    <sheetView showGridLines="0" zoomScaleNormal="100" workbookViewId="0">
      <pane xSplit="1" ySplit="1" topLeftCell="G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40.7109375" style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25.5" customHeight="1" x14ac:dyDescent="0.25">
      <c r="A1" s="28" t="s">
        <v>878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X1" s="27">
        <v>2022</v>
      </c>
      <c r="Y1" s="27">
        <v>2023</v>
      </c>
      <c r="DA1" s="87" t="s">
        <v>150</v>
      </c>
    </row>
    <row r="2" spans="1:105" s="2" customFormat="1" ht="12" customHeight="1" x14ac:dyDescent="0.25">
      <c r="DA2" s="7"/>
    </row>
    <row r="3" spans="1:105" ht="12.95" customHeight="1" x14ac:dyDescent="0.25">
      <c r="A3" s="123" t="s">
        <v>92</v>
      </c>
      <c r="B3" s="125"/>
      <c r="C3" s="125">
        <f>IF(SER_hh_emih_in!C3=0,0,SER_hh_emih_in!C3/SER_summary!C$27)</f>
        <v>51.399501395824871</v>
      </c>
      <c r="D3" s="125">
        <f>IF(SER_hh_emih_in!D3=0,0,SER_hh_emih_in!D3/SER_summary!D$27)</f>
        <v>51.30084650654743</v>
      </c>
      <c r="E3" s="125">
        <f>IF(SER_hh_emih_in!E3=0,0,SER_hh_emih_in!E3/SER_summary!E$27)</f>
        <v>81.963300530756484</v>
      </c>
      <c r="F3" s="125">
        <f>IF(SER_hh_emih_in!F3=0,0,SER_hh_emih_in!F3/SER_summary!F$27)</f>
        <v>102.28517063610428</v>
      </c>
      <c r="G3" s="125">
        <f>IF(SER_hh_emih_in!G3=0,0,SER_hh_emih_in!G3/SER_summary!G$27)</f>
        <v>69.119419898958043</v>
      </c>
      <c r="H3" s="125">
        <f>IF(SER_hh_emih_in!H3=0,0,SER_hh_emih_in!H3/SER_summary!H$27)</f>
        <v>132.62594888882705</v>
      </c>
      <c r="I3" s="125">
        <f>IF(SER_hh_emih_in!I3=0,0,SER_hh_emih_in!I3/SER_summary!I$27)</f>
        <v>25.188779650138876</v>
      </c>
      <c r="J3" s="125">
        <f>IF(SER_hh_emih_in!J3=0,0,SER_hh_emih_in!J3/SER_summary!J$27)</f>
        <v>19.629179579076489</v>
      </c>
      <c r="K3" s="125">
        <f>IF(SER_hh_emih_in!K3=0,0,SER_hh_emih_in!K3/SER_summary!K$27)</f>
        <v>27.489262246271444</v>
      </c>
      <c r="L3" s="125">
        <f>IF(SER_hh_emih_in!L3=0,0,SER_hh_emih_in!L3/SER_summary!L$27)</f>
        <v>28.351563656380598</v>
      </c>
      <c r="M3" s="125">
        <f>IF(SER_hh_emih_in!M3=0,0,SER_hh_emih_in!M3/SER_summary!M$27)</f>
        <v>39.298919671416179</v>
      </c>
      <c r="N3" s="125">
        <f>IF(SER_hh_emih_in!N3=0,0,SER_hh_emih_in!N3/SER_summary!N$27)</f>
        <v>33.929317373208256</v>
      </c>
      <c r="O3" s="125">
        <f>IF(SER_hh_emih_in!O3=0,0,SER_hh_emih_in!O3/SER_summary!O$27)</f>
        <v>37.251551036543241</v>
      </c>
      <c r="P3" s="125">
        <f>IF(SER_hh_emih_in!P3=0,0,SER_hh_emih_in!P3/SER_summary!P$27)</f>
        <v>40.136557160582086</v>
      </c>
      <c r="Q3" s="125">
        <f>IF(SER_hh_emih_in!Q3=0,0,SER_hh_emih_in!Q3/SER_summary!Q$27)</f>
        <v>37.369234893802513</v>
      </c>
      <c r="R3" s="125">
        <f>IF(SER_hh_emih_in!R3=0,0,SER_hh_emih_in!R3/SER_summary!R$27)</f>
        <v>35.764464259899853</v>
      </c>
      <c r="S3" s="125">
        <f>IF(SER_hh_emih_in!S3=0,0,SER_hh_emih_in!S3/SER_summary!S$27)</f>
        <v>39.281163424902253</v>
      </c>
      <c r="T3" s="125">
        <f>IF(SER_hh_emih_in!T3=0,0,SER_hh_emih_in!T3/SER_summary!T$27)</f>
        <v>36.631949135849283</v>
      </c>
      <c r="U3" s="125">
        <f>IF(SER_hh_emih_in!U3=0,0,SER_hh_emih_in!U3/SER_summary!U$27)</f>
        <v>31.707829412367154</v>
      </c>
      <c r="V3" s="125">
        <f>IF(SER_hh_emih_in!V3=0,0,SER_hh_emih_in!V3/SER_summary!V$27)</f>
        <v>24.877866645522978</v>
      </c>
      <c r="W3" s="125">
        <f>IF(SER_hh_emih_in!W3=0,0,SER_hh_emih_in!W3/SER_summary!W$27)</f>
        <v>26.273611522121751</v>
      </c>
      <c r="X3" s="125">
        <f>IF(SER_hh_emih_in!X3=0,0,SER_hh_emih_in!X3/SER_summary!X$27)</f>
        <v>17.525819561682201</v>
      </c>
      <c r="Y3" s="125">
        <f>IF(SER_hh_emih_in!Y3=0,0,SER_hh_emih_in!Y3/SER_summary!Y$27)</f>
        <v>7.3459669983074232</v>
      </c>
      <c r="DA3" s="154" t="s">
        <v>879</v>
      </c>
    </row>
    <row r="4" spans="1:105" ht="12.95" customHeight="1" x14ac:dyDescent="0.25">
      <c r="A4" s="129" t="s">
        <v>32</v>
      </c>
      <c r="B4" s="130"/>
      <c r="C4" s="130">
        <f>IF(SER_hh_emih_in!C4=0,0,SER_hh_emih_in!C4/SER_summary!C$27)</f>
        <v>41.701901994799599</v>
      </c>
      <c r="D4" s="130">
        <f>IF(SER_hh_emih_in!D4=0,0,SER_hh_emih_in!D4/SER_summary!D$27)</f>
        <v>39.840948082499864</v>
      </c>
      <c r="E4" s="130">
        <f>IF(SER_hh_emih_in!E4=0,0,SER_hh_emih_in!E4/SER_summary!E$27)</f>
        <v>66.4215514436669</v>
      </c>
      <c r="F4" s="130">
        <f>IF(SER_hh_emih_in!F4=0,0,SER_hh_emih_in!F4/SER_summary!F$27)</f>
        <v>75.268861951909003</v>
      </c>
      <c r="G4" s="130">
        <f>IF(SER_hh_emih_in!G4=0,0,SER_hh_emih_in!G4/SER_summary!G$27)</f>
        <v>49.130899483796014</v>
      </c>
      <c r="H4" s="130">
        <f>IF(SER_hh_emih_in!H4=0,0,SER_hh_emih_in!H4/SER_summary!H$27)</f>
        <v>119.77564763797918</v>
      </c>
      <c r="I4" s="130">
        <f>IF(SER_hh_emih_in!I4=0,0,SER_hh_emih_in!I4/SER_summary!I$27)</f>
        <v>22.199244132942841</v>
      </c>
      <c r="J4" s="130">
        <f>IF(SER_hh_emih_in!J4=0,0,SER_hh_emih_in!J4/SER_summary!J$27)</f>
        <v>16.100184499299701</v>
      </c>
      <c r="K4" s="130">
        <f>IF(SER_hh_emih_in!K4=0,0,SER_hh_emih_in!K4/SER_summary!K$27)</f>
        <v>19.851350527614034</v>
      </c>
      <c r="L4" s="130">
        <f>IF(SER_hh_emih_in!L4=0,0,SER_hh_emih_in!L4/SER_summary!L$27)</f>
        <v>19.299476802115013</v>
      </c>
      <c r="M4" s="130">
        <f>IF(SER_hh_emih_in!M4=0,0,SER_hh_emih_in!M4/SER_summary!M$27)</f>
        <v>31.352204147119362</v>
      </c>
      <c r="N4" s="130">
        <f>IF(SER_hh_emih_in!N4=0,0,SER_hh_emih_in!N4/SER_summary!N$27)</f>
        <v>23.241150987036743</v>
      </c>
      <c r="O4" s="130">
        <f>IF(SER_hh_emih_in!O4=0,0,SER_hh_emih_in!O4/SER_summary!O$27)</f>
        <v>22.908647883176776</v>
      </c>
      <c r="P4" s="130">
        <f>IF(SER_hh_emih_in!P4=0,0,SER_hh_emih_in!P4/SER_summary!P$27)</f>
        <v>22.458227528267514</v>
      </c>
      <c r="Q4" s="130">
        <f>IF(SER_hh_emih_in!Q4=0,0,SER_hh_emih_in!Q4/SER_summary!Q$27)</f>
        <v>18.486213024806801</v>
      </c>
      <c r="R4" s="130">
        <f>IF(SER_hh_emih_in!R4=0,0,SER_hh_emih_in!R4/SER_summary!R$27)</f>
        <v>18.699053877827563</v>
      </c>
      <c r="S4" s="130">
        <f>IF(SER_hh_emih_in!S4=0,0,SER_hh_emih_in!S4/SER_summary!S$27)</f>
        <v>23.565518295973646</v>
      </c>
      <c r="T4" s="130">
        <f>IF(SER_hh_emih_in!T4=0,0,SER_hh_emih_in!T4/SER_summary!T$27)</f>
        <v>24.65482733820938</v>
      </c>
      <c r="U4" s="130">
        <f>IF(SER_hh_emih_in!U4=0,0,SER_hh_emih_in!U4/SER_summary!U$27)</f>
        <v>21.7490164348199</v>
      </c>
      <c r="V4" s="130">
        <f>IF(SER_hh_emih_in!V4=0,0,SER_hh_emih_in!V4/SER_summary!V$27)</f>
        <v>16.349441198901772</v>
      </c>
      <c r="W4" s="130">
        <f>IF(SER_hh_emih_in!W4=0,0,SER_hh_emih_in!W4/SER_summary!W$27)</f>
        <v>17.478919423274231</v>
      </c>
      <c r="X4" s="130">
        <f>IF(SER_hh_emih_in!X4=0,0,SER_hh_emih_in!X4/SER_summary!X$27)</f>
        <v>11.774599148376472</v>
      </c>
      <c r="Y4" s="130">
        <f>IF(SER_hh_emih_in!Y4=0,0,SER_hh_emih_in!Y4/SER_summary!Y$27)</f>
        <v>0.47776455494473002</v>
      </c>
      <c r="DA4" s="155" t="s">
        <v>880</v>
      </c>
    </row>
    <row r="5" spans="1:105" ht="12" customHeight="1" x14ac:dyDescent="0.25">
      <c r="A5" s="131" t="s">
        <v>29</v>
      </c>
      <c r="B5" s="132"/>
      <c r="C5" s="132">
        <f>IF(SER_hh_emih_in!C5=0,0,SER_hh_emih_in!C5/SER_summary!C$27)</f>
        <v>148.93609245414765</v>
      </c>
      <c r="D5" s="132">
        <f>IF(SER_hh_emih_in!D5=0,0,SER_hh_emih_in!D5/SER_summary!D$27)</f>
        <v>92.102082403752632</v>
      </c>
      <c r="E5" s="132">
        <f>IF(SER_hh_emih_in!E5=0,0,SER_hh_emih_in!E5/SER_summary!E$27)</f>
        <v>0</v>
      </c>
      <c r="F5" s="132">
        <f>IF(SER_hh_emih_in!F5=0,0,SER_hh_emih_in!F5/SER_summary!F$27)</f>
        <v>0</v>
      </c>
      <c r="G5" s="132">
        <f>IF(SER_hh_emih_in!G5=0,0,SER_hh_emih_in!G5/SER_summary!G$27)</f>
        <v>0</v>
      </c>
      <c r="H5" s="132">
        <f>IF(SER_hh_emih_in!H5=0,0,SER_hh_emih_in!H5/SER_summary!H$27)</f>
        <v>246.23913302551512</v>
      </c>
      <c r="I5" s="132">
        <f>IF(SER_hh_emih_in!I5=0,0,SER_hh_emih_in!I5/SER_summary!I$27)</f>
        <v>0</v>
      </c>
      <c r="J5" s="132">
        <f>IF(SER_hh_emih_in!J5=0,0,SER_hh_emih_in!J5/SER_summary!J$27)</f>
        <v>0</v>
      </c>
      <c r="K5" s="132">
        <f>IF(SER_hh_emih_in!K5=0,0,SER_hh_emih_in!K5/SER_summary!K$27)</f>
        <v>0</v>
      </c>
      <c r="L5" s="132">
        <f>IF(SER_hh_emih_in!L5=0,0,SER_hh_emih_in!L5/SER_summary!L$27)</f>
        <v>83.285733885092313</v>
      </c>
      <c r="M5" s="132">
        <f>IF(SER_hh_emih_in!M5=0,0,SER_hh_emih_in!M5/SER_summary!M$27)</f>
        <v>83.400419597366408</v>
      </c>
      <c r="N5" s="132">
        <f>IF(SER_hh_emih_in!N5=0,0,SER_hh_emih_in!N5/SER_summary!N$27)</f>
        <v>46.071521845756699</v>
      </c>
      <c r="O5" s="132">
        <f>IF(SER_hh_emih_in!O5=0,0,SER_hh_emih_in!O5/SER_summary!O$27)</f>
        <v>67.85144244849279</v>
      </c>
      <c r="P5" s="132">
        <f>IF(SER_hh_emih_in!P5=0,0,SER_hh_emih_in!P5/SER_summary!P$27)</f>
        <v>40.503304694643859</v>
      </c>
      <c r="Q5" s="132">
        <f>IF(SER_hh_emih_in!Q5=0,0,SER_hh_emih_in!Q5/SER_summary!Q$27)</f>
        <v>40.359876768773283</v>
      </c>
      <c r="R5" s="132">
        <f>IF(SER_hh_emih_in!R5=0,0,SER_hh_emih_in!R5/SER_summary!R$27)</f>
        <v>67.789405728460281</v>
      </c>
      <c r="S5" s="132">
        <f>IF(SER_hh_emih_in!S5=0,0,SER_hh_emih_in!S5/SER_summary!S$27)</f>
        <v>0</v>
      </c>
      <c r="T5" s="132">
        <f>IF(SER_hh_emih_in!T5=0,0,SER_hh_emih_in!T5/SER_summary!T$27)</f>
        <v>59.610475261633503</v>
      </c>
      <c r="U5" s="132">
        <f>IF(SER_hh_emih_in!U5=0,0,SER_hh_emih_in!U5/SER_summary!U$27)</f>
        <v>0</v>
      </c>
      <c r="V5" s="132">
        <f>IF(SER_hh_emih_in!V5=0,0,SER_hh_emih_in!V5/SER_summary!V$27)</f>
        <v>0</v>
      </c>
      <c r="W5" s="132">
        <f>IF(SER_hh_emih_in!W5=0,0,SER_hh_emih_in!W5/SER_summary!W$27)</f>
        <v>0</v>
      </c>
      <c r="X5" s="132">
        <f>IF(SER_hh_emih_in!X5=0,0,SER_hh_emih_in!X5/SER_summary!X$27)</f>
        <v>0</v>
      </c>
      <c r="Y5" s="132">
        <f>IF(SER_hh_emih_in!Y5=0,0,SER_hh_emih_in!Y5/SER_summary!Y$27)</f>
        <v>0</v>
      </c>
      <c r="DA5" s="156" t="s">
        <v>881</v>
      </c>
    </row>
    <row r="6" spans="1:105" ht="12" customHeight="1" x14ac:dyDescent="0.25">
      <c r="A6" s="131" t="s">
        <v>52</v>
      </c>
      <c r="B6" s="132"/>
      <c r="C6" s="132">
        <f>IF(SER_hh_emih_in!C6=0,0,SER_hh_emih_in!C6/SER_summary!C$27)</f>
        <v>0</v>
      </c>
      <c r="D6" s="132">
        <f>IF(SER_hh_emih_in!D6=0,0,SER_hh_emih_in!D6/SER_summary!D$27)</f>
        <v>0</v>
      </c>
      <c r="E6" s="132">
        <f>IF(SER_hh_emih_in!E6=0,0,SER_hh_emih_in!E6/SER_summary!E$27)</f>
        <v>0</v>
      </c>
      <c r="F6" s="132">
        <f>IF(SER_hh_emih_in!F6=0,0,SER_hh_emih_in!F6/SER_summary!F$27)</f>
        <v>0</v>
      </c>
      <c r="G6" s="132">
        <f>IF(SER_hh_emih_in!G6=0,0,SER_hh_emih_in!G6/SER_summary!G$27)</f>
        <v>0</v>
      </c>
      <c r="H6" s="132">
        <f>IF(SER_hh_emih_in!H6=0,0,SER_hh_emih_in!H6/SER_summary!H$27)</f>
        <v>0</v>
      </c>
      <c r="I6" s="132">
        <f>IF(SER_hh_emih_in!I6=0,0,SER_hh_emih_in!I6/SER_summary!I$27)</f>
        <v>0</v>
      </c>
      <c r="J6" s="132">
        <f>IF(SER_hh_emih_in!J6=0,0,SER_hh_emih_in!J6/SER_summary!J$27)</f>
        <v>0</v>
      </c>
      <c r="K6" s="132">
        <f>IF(SER_hh_emih_in!K6=0,0,SER_hh_emih_in!K6/SER_summary!K$27)</f>
        <v>0</v>
      </c>
      <c r="L6" s="132">
        <f>IF(SER_hh_emih_in!L6=0,0,SER_hh_emih_in!L6/SER_summary!L$27)</f>
        <v>0</v>
      </c>
      <c r="M6" s="132">
        <f>IF(SER_hh_emih_in!M6=0,0,SER_hh_emih_in!M6/SER_summary!M$27)</f>
        <v>0</v>
      </c>
      <c r="N6" s="132">
        <f>IF(SER_hh_emih_in!N6=0,0,SER_hh_emih_in!N6/SER_summary!N$27)</f>
        <v>0</v>
      </c>
      <c r="O6" s="132">
        <f>IF(SER_hh_emih_in!O6=0,0,SER_hh_emih_in!O6/SER_summary!O$27)</f>
        <v>0</v>
      </c>
      <c r="P6" s="132">
        <f>IF(SER_hh_emih_in!P6=0,0,SER_hh_emih_in!P6/SER_summary!P$27)</f>
        <v>0</v>
      </c>
      <c r="Q6" s="132">
        <f>IF(SER_hh_emih_in!Q6=0,0,SER_hh_emih_in!Q6/SER_summary!Q$27)</f>
        <v>0</v>
      </c>
      <c r="R6" s="132">
        <f>IF(SER_hh_emih_in!R6=0,0,SER_hh_emih_in!R6/SER_summary!R$27)</f>
        <v>0</v>
      </c>
      <c r="S6" s="132">
        <f>IF(SER_hh_emih_in!S6=0,0,SER_hh_emih_in!S6/SER_summary!S$27)</f>
        <v>0</v>
      </c>
      <c r="T6" s="132">
        <f>IF(SER_hh_emih_in!T6=0,0,SER_hh_emih_in!T6/SER_summary!T$27)</f>
        <v>0</v>
      </c>
      <c r="U6" s="132">
        <f>IF(SER_hh_emih_in!U6=0,0,SER_hh_emih_in!U6/SER_summary!U$27)</f>
        <v>0</v>
      </c>
      <c r="V6" s="132">
        <f>IF(SER_hh_emih_in!V6=0,0,SER_hh_emih_in!V6/SER_summary!V$27)</f>
        <v>0</v>
      </c>
      <c r="W6" s="132">
        <f>IF(SER_hh_emih_in!W6=0,0,SER_hh_emih_in!W6/SER_summary!W$27)</f>
        <v>0</v>
      </c>
      <c r="X6" s="132">
        <f>IF(SER_hh_emih_in!X6=0,0,SER_hh_emih_in!X6/SER_summary!X$27)</f>
        <v>0</v>
      </c>
      <c r="Y6" s="132">
        <f>IF(SER_hh_emih_in!Y6=0,0,SER_hh_emih_in!Y6/SER_summary!Y$27)</f>
        <v>0</v>
      </c>
      <c r="DA6" s="156" t="s">
        <v>882</v>
      </c>
    </row>
    <row r="7" spans="1:105" ht="12" customHeight="1" x14ac:dyDescent="0.25">
      <c r="A7" s="131" t="s">
        <v>161</v>
      </c>
      <c r="B7" s="132"/>
      <c r="C7" s="132">
        <f>IF(SER_hh_emih_in!C7=0,0,SER_hh_emih_in!C7/SER_summary!C$27)</f>
        <v>68.27470850695768</v>
      </c>
      <c r="D7" s="132">
        <f>IF(SER_hh_emih_in!D7=0,0,SER_hh_emih_in!D7/SER_summary!D$27)</f>
        <v>73.583424765468592</v>
      </c>
      <c r="E7" s="132">
        <f>IF(SER_hh_emih_in!E7=0,0,SER_hh_emih_in!E7/SER_summary!E$27)</f>
        <v>64.042492777685169</v>
      </c>
      <c r="F7" s="132">
        <f>IF(SER_hh_emih_in!F7=0,0,SER_hh_emih_in!F7/SER_summary!F$27)</f>
        <v>108.02871034495806</v>
      </c>
      <c r="G7" s="132">
        <f>IF(SER_hh_emih_in!G7=0,0,SER_hh_emih_in!G7/SER_summary!G$27)</f>
        <v>0</v>
      </c>
      <c r="H7" s="132">
        <f>IF(SER_hh_emih_in!H7=0,0,SER_hh_emih_in!H7/SER_summary!H$27)</f>
        <v>0</v>
      </c>
      <c r="I7" s="132">
        <f>IF(SER_hh_emih_in!I7=0,0,SER_hh_emih_in!I7/SER_summary!I$27)</f>
        <v>0</v>
      </c>
      <c r="J7" s="132">
        <f>IF(SER_hh_emih_in!J7=0,0,SER_hh_emih_in!J7/SER_summary!J$27)</f>
        <v>0</v>
      </c>
      <c r="K7" s="132">
        <f>IF(SER_hh_emih_in!K7=0,0,SER_hh_emih_in!K7/SER_summary!K$27)</f>
        <v>0</v>
      </c>
      <c r="L7" s="132">
        <f>IF(SER_hh_emih_in!L7=0,0,SER_hh_emih_in!L7/SER_summary!L$27)</f>
        <v>45.681597284891382</v>
      </c>
      <c r="M7" s="132">
        <f>IF(SER_hh_emih_in!M7=0,0,SER_hh_emih_in!M7/SER_summary!M$27)</f>
        <v>76.347537684031678</v>
      </c>
      <c r="N7" s="132">
        <f>IF(SER_hh_emih_in!N7=0,0,SER_hh_emih_in!N7/SER_summary!N$27)</f>
        <v>56.653661492162776</v>
      </c>
      <c r="O7" s="132">
        <f>IF(SER_hh_emih_in!O7=0,0,SER_hh_emih_in!O7/SER_summary!O$27)</f>
        <v>39.332782301923707</v>
      </c>
      <c r="P7" s="132">
        <f>IF(SER_hh_emih_in!P7=0,0,SER_hh_emih_in!P7/SER_summary!P$27)</f>
        <v>32.912048021521159</v>
      </c>
      <c r="Q7" s="132">
        <f>IF(SER_hh_emih_in!Q7=0,0,SER_hh_emih_in!Q7/SER_summary!Q$27)</f>
        <v>30.991189859234925</v>
      </c>
      <c r="R7" s="132">
        <f>IF(SER_hh_emih_in!R7=0,0,SER_hh_emih_in!R7/SER_summary!R$27)</f>
        <v>28.274798974979166</v>
      </c>
      <c r="S7" s="132">
        <f>IF(SER_hh_emih_in!S7=0,0,SER_hh_emih_in!S7/SER_summary!S$27)</f>
        <v>32.840372254324492</v>
      </c>
      <c r="T7" s="132">
        <f>IF(SER_hh_emih_in!T7=0,0,SER_hh_emih_in!T7/SER_summary!T$27)</f>
        <v>31.093122274576398</v>
      </c>
      <c r="U7" s="132">
        <f>IF(SER_hh_emih_in!U7=0,0,SER_hh_emih_in!U7/SER_summary!U$27)</f>
        <v>26.756669035322929</v>
      </c>
      <c r="V7" s="132">
        <f>IF(SER_hh_emih_in!V7=0,0,SER_hh_emih_in!V7/SER_summary!V$27)</f>
        <v>20.590271327820211</v>
      </c>
      <c r="W7" s="132">
        <f>IF(SER_hh_emih_in!W7=0,0,SER_hh_emih_in!W7/SER_summary!W$27)</f>
        <v>24.390884703022746</v>
      </c>
      <c r="X7" s="132">
        <f>IF(SER_hh_emih_in!X7=0,0,SER_hh_emih_in!X7/SER_summary!X$27)</f>
        <v>20.136866208275865</v>
      </c>
      <c r="Y7" s="132">
        <f>IF(SER_hh_emih_in!Y7=0,0,SER_hh_emih_in!Y7/SER_summary!Y$27)</f>
        <v>21.140194683804733</v>
      </c>
      <c r="DA7" s="156" t="s">
        <v>883</v>
      </c>
    </row>
    <row r="8" spans="1:105" ht="12" customHeight="1" x14ac:dyDescent="0.25">
      <c r="A8" s="131" t="s">
        <v>73</v>
      </c>
      <c r="B8" s="132"/>
      <c r="C8" s="132">
        <f>IF(SER_hh_emih_in!C8=0,0,SER_hh_emih_in!C8/SER_summary!C$27)</f>
        <v>0</v>
      </c>
      <c r="D8" s="132">
        <f>IF(SER_hh_emih_in!D8=0,0,SER_hh_emih_in!D8/SER_summary!D$27)</f>
        <v>0</v>
      </c>
      <c r="E8" s="132">
        <f>IF(SER_hh_emih_in!E8=0,0,SER_hh_emih_in!E8/SER_summary!E$27)</f>
        <v>0</v>
      </c>
      <c r="F8" s="132">
        <f>IF(SER_hh_emih_in!F8=0,0,SER_hh_emih_in!F8/SER_summary!F$27)</f>
        <v>0</v>
      </c>
      <c r="G8" s="132">
        <f>IF(SER_hh_emih_in!G8=0,0,SER_hh_emih_in!G8/SER_summary!G$27)</f>
        <v>0</v>
      </c>
      <c r="H8" s="132">
        <f>IF(SER_hh_emih_in!H8=0,0,SER_hh_emih_in!H8/SER_summary!H$27)</f>
        <v>0</v>
      </c>
      <c r="I8" s="132">
        <f>IF(SER_hh_emih_in!I8=0,0,SER_hh_emih_in!I8/SER_summary!I$27)</f>
        <v>0</v>
      </c>
      <c r="J8" s="132">
        <f>IF(SER_hh_emih_in!J8=0,0,SER_hh_emih_in!J8/SER_summary!J$27)</f>
        <v>0</v>
      </c>
      <c r="K8" s="132">
        <f>IF(SER_hh_emih_in!K8=0,0,SER_hh_emih_in!K8/SER_summary!K$27)</f>
        <v>0</v>
      </c>
      <c r="L8" s="132">
        <f>IF(SER_hh_emih_in!L8=0,0,SER_hh_emih_in!L8/SER_summary!L$27)</f>
        <v>0</v>
      </c>
      <c r="M8" s="132">
        <f>IF(SER_hh_emih_in!M8=0,0,SER_hh_emih_in!M8/SER_summary!M$27)</f>
        <v>0</v>
      </c>
      <c r="N8" s="132">
        <f>IF(SER_hh_emih_in!N8=0,0,SER_hh_emih_in!N8/SER_summary!N$27)</f>
        <v>0</v>
      </c>
      <c r="O8" s="132">
        <f>IF(SER_hh_emih_in!O8=0,0,SER_hh_emih_in!O8/SER_summary!O$27)</f>
        <v>0</v>
      </c>
      <c r="P8" s="132">
        <f>IF(SER_hh_emih_in!P8=0,0,SER_hh_emih_in!P8/SER_summary!P$27)</f>
        <v>0</v>
      </c>
      <c r="Q8" s="132">
        <f>IF(SER_hh_emih_in!Q8=0,0,SER_hh_emih_in!Q8/SER_summary!Q$27)</f>
        <v>0</v>
      </c>
      <c r="R8" s="132">
        <f>IF(SER_hh_emih_in!R8=0,0,SER_hh_emih_in!R8/SER_summary!R$27)</f>
        <v>0</v>
      </c>
      <c r="S8" s="132">
        <f>IF(SER_hh_emih_in!S8=0,0,SER_hh_emih_in!S8/SER_summary!S$27)</f>
        <v>0</v>
      </c>
      <c r="T8" s="132">
        <f>IF(SER_hh_emih_in!T8=0,0,SER_hh_emih_in!T8/SER_summary!T$27)</f>
        <v>0</v>
      </c>
      <c r="U8" s="132">
        <f>IF(SER_hh_emih_in!U8=0,0,SER_hh_emih_in!U8/SER_summary!U$27)</f>
        <v>0</v>
      </c>
      <c r="V8" s="132">
        <f>IF(SER_hh_emih_in!V8=0,0,SER_hh_emih_in!V8/SER_summary!V$27)</f>
        <v>0</v>
      </c>
      <c r="W8" s="132">
        <f>IF(SER_hh_emih_in!W8=0,0,SER_hh_emih_in!W8/SER_summary!W$27)</f>
        <v>0</v>
      </c>
      <c r="X8" s="132">
        <f>IF(SER_hh_emih_in!X8=0,0,SER_hh_emih_in!X8/SER_summary!X$27)</f>
        <v>0</v>
      </c>
      <c r="Y8" s="132">
        <f>IF(SER_hh_emih_in!Y8=0,0,SER_hh_emih_in!Y8/SER_summary!Y$27)</f>
        <v>0</v>
      </c>
      <c r="DA8" s="156" t="s">
        <v>884</v>
      </c>
    </row>
    <row r="9" spans="1:105" ht="12" customHeight="1" x14ac:dyDescent="0.25">
      <c r="A9" s="131" t="s">
        <v>78</v>
      </c>
      <c r="B9" s="132"/>
      <c r="C9" s="132">
        <f>IF(SER_hh_emih_in!C9=0,0,SER_hh_emih_in!C9/SER_summary!C$27)</f>
        <v>137.595436864525</v>
      </c>
      <c r="D9" s="132">
        <f>IF(SER_hh_emih_in!D9=0,0,SER_hh_emih_in!D9/SER_summary!D$27)</f>
        <v>12.384182498412907</v>
      </c>
      <c r="E9" s="132">
        <f>IF(SER_hh_emih_in!E9=0,0,SER_hh_emih_in!E9/SER_summary!E$27)</f>
        <v>67.096137945954894</v>
      </c>
      <c r="F9" s="132">
        <f>IF(SER_hh_emih_in!F9=0,0,SER_hh_emih_in!F9/SER_summary!F$27)</f>
        <v>66.39752415989777</v>
      </c>
      <c r="G9" s="132">
        <f>IF(SER_hh_emih_in!G9=0,0,SER_hh_emih_in!G9/SER_summary!G$27)</f>
        <v>66.045579993097419</v>
      </c>
      <c r="H9" s="132">
        <f>IF(SER_hh_emih_in!H9=0,0,SER_hh_emih_in!H9/SER_summary!H$27)</f>
        <v>122.24188305570497</v>
      </c>
      <c r="I9" s="132">
        <f>IF(SER_hh_emih_in!I9=0,0,SER_hh_emih_in!I9/SER_summary!I$27)</f>
        <v>78.099683071127643</v>
      </c>
      <c r="J9" s="132">
        <f>IF(SER_hh_emih_in!J9=0,0,SER_hh_emih_in!J9/SER_summary!J$27)</f>
        <v>51.917817598292089</v>
      </c>
      <c r="K9" s="132">
        <f>IF(SER_hh_emih_in!K9=0,0,SER_hh_emih_in!K9/SER_summary!K$27)</f>
        <v>56.533724551733847</v>
      </c>
      <c r="L9" s="132">
        <f>IF(SER_hh_emih_in!L9=0,0,SER_hh_emih_in!L9/SER_summary!L$27)</f>
        <v>54.575276751418706</v>
      </c>
      <c r="M9" s="132">
        <f>IF(SER_hh_emih_in!M9=0,0,SER_hh_emih_in!M9/SER_summary!M$27)</f>
        <v>39.446460248938891</v>
      </c>
      <c r="N9" s="132">
        <f>IF(SER_hh_emih_in!N9=0,0,SER_hh_emih_in!N9/SER_summary!N$27)</f>
        <v>37.088763173830543</v>
      </c>
      <c r="O9" s="132">
        <f>IF(SER_hh_emih_in!O9=0,0,SER_hh_emih_in!O9/SER_summary!O$27)</f>
        <v>32.799433363801334</v>
      </c>
      <c r="P9" s="132">
        <f>IF(SER_hh_emih_in!P9=0,0,SER_hh_emih_in!P9/SER_summary!P$27)</f>
        <v>27.85437016802361</v>
      </c>
      <c r="Q9" s="132">
        <f>IF(SER_hh_emih_in!Q9=0,0,SER_hh_emih_in!Q9/SER_summary!Q$27)</f>
        <v>23.046083094155662</v>
      </c>
      <c r="R9" s="132">
        <f>IF(SER_hh_emih_in!R9=0,0,SER_hh_emih_in!R9/SER_summary!R$27)</f>
        <v>21.763892408523446</v>
      </c>
      <c r="S9" s="132">
        <f>IF(SER_hh_emih_in!S9=0,0,SER_hh_emih_in!S9/SER_summary!S$27)</f>
        <v>21.896819507943789</v>
      </c>
      <c r="T9" s="132">
        <f>IF(SER_hh_emih_in!T9=0,0,SER_hh_emih_in!T9/SER_summary!T$27)</f>
        <v>20.41877469584486</v>
      </c>
      <c r="U9" s="132">
        <f>IF(SER_hh_emih_in!U9=0,0,SER_hh_emih_in!U9/SER_summary!U$27)</f>
        <v>18.906803747422479</v>
      </c>
      <c r="V9" s="132">
        <f>IF(SER_hh_emih_in!V9=0,0,SER_hh_emih_in!V9/SER_summary!V$27)</f>
        <v>16.466831857356425</v>
      </c>
      <c r="W9" s="132">
        <f>IF(SER_hh_emih_in!W9=0,0,SER_hh_emih_in!W9/SER_summary!W$27)</f>
        <v>13.848348778305414</v>
      </c>
      <c r="X9" s="132">
        <f>IF(SER_hh_emih_in!X9=0,0,SER_hh_emih_in!X9/SER_summary!X$27)</f>
        <v>12.040121564939549</v>
      </c>
      <c r="Y9" s="132">
        <f>IF(SER_hh_emih_in!Y9=0,0,SER_hh_emih_in!Y9/SER_summary!Y$27)</f>
        <v>0</v>
      </c>
      <c r="DA9" s="156" t="s">
        <v>885</v>
      </c>
    </row>
    <row r="10" spans="1:105" ht="12" customHeight="1" x14ac:dyDescent="0.25">
      <c r="A10" s="131" t="s">
        <v>128</v>
      </c>
      <c r="B10" s="132"/>
      <c r="C10" s="132">
        <f>IF(SER_hh_emih_in!C10=0,0,SER_hh_emih_in!C10/SER_summary!C$27)</f>
        <v>0</v>
      </c>
      <c r="D10" s="132">
        <f>IF(SER_hh_emih_in!D10=0,0,SER_hh_emih_in!D10/SER_summary!D$27)</f>
        <v>0</v>
      </c>
      <c r="E10" s="132">
        <f>IF(SER_hh_emih_in!E10=0,0,SER_hh_emih_in!E10/SER_summary!E$27)</f>
        <v>0</v>
      </c>
      <c r="F10" s="132">
        <f>IF(SER_hh_emih_in!F10=0,0,SER_hh_emih_in!F10/SER_summary!F$27)</f>
        <v>0</v>
      </c>
      <c r="G10" s="132">
        <f>IF(SER_hh_emih_in!G10=0,0,SER_hh_emih_in!G10/SER_summary!G$27)</f>
        <v>0</v>
      </c>
      <c r="H10" s="132">
        <f>IF(SER_hh_emih_in!H10=0,0,SER_hh_emih_in!H10/SER_summary!H$27)</f>
        <v>0</v>
      </c>
      <c r="I10" s="132">
        <f>IF(SER_hh_emih_in!I10=0,0,SER_hh_emih_in!I10/SER_summary!I$27)</f>
        <v>0</v>
      </c>
      <c r="J10" s="132">
        <f>IF(SER_hh_emih_in!J10=0,0,SER_hh_emih_in!J10/SER_summary!J$27)</f>
        <v>0</v>
      </c>
      <c r="K10" s="132">
        <f>IF(SER_hh_emih_in!K10=0,0,SER_hh_emih_in!K10/SER_summary!K$27)</f>
        <v>0</v>
      </c>
      <c r="L10" s="132">
        <f>IF(SER_hh_emih_in!L10=0,0,SER_hh_emih_in!L10/SER_summary!L$27)</f>
        <v>0</v>
      </c>
      <c r="M10" s="132">
        <f>IF(SER_hh_emih_in!M10=0,0,SER_hh_emih_in!M10/SER_summary!M$27)</f>
        <v>0</v>
      </c>
      <c r="N10" s="132">
        <f>IF(SER_hh_emih_in!N10=0,0,SER_hh_emih_in!N10/SER_summary!N$27)</f>
        <v>0</v>
      </c>
      <c r="O10" s="132">
        <f>IF(SER_hh_emih_in!O10=0,0,SER_hh_emih_in!O10/SER_summary!O$27)</f>
        <v>4.2846104901704415E-2</v>
      </c>
      <c r="P10" s="132">
        <f>IF(SER_hh_emih_in!P10=0,0,SER_hh_emih_in!P10/SER_summary!P$27)</f>
        <v>5.1658732167729724</v>
      </c>
      <c r="Q10" s="132">
        <f>IF(SER_hh_emih_in!Q10=0,0,SER_hh_emih_in!Q10/SER_summary!Q$27)</f>
        <v>3.8738076357312039</v>
      </c>
      <c r="R10" s="132">
        <f>IF(SER_hh_emih_in!R10=0,0,SER_hh_emih_in!R10/SER_summary!R$27)</f>
        <v>2.9860610632001445</v>
      </c>
      <c r="S10" s="132">
        <f>IF(SER_hh_emih_in!S10=0,0,SER_hh_emih_in!S10/SER_summary!S$27)</f>
        <v>1.9166578944635626</v>
      </c>
      <c r="T10" s="132">
        <f>IF(SER_hh_emih_in!T10=0,0,SER_hh_emih_in!T10/SER_summary!T$27)</f>
        <v>1.4598940351737828</v>
      </c>
      <c r="U10" s="132">
        <f>IF(SER_hh_emih_in!U10=0,0,SER_hh_emih_in!U10/SER_summary!U$27)</f>
        <v>0</v>
      </c>
      <c r="V10" s="132">
        <f>IF(SER_hh_emih_in!V10=0,0,SER_hh_emih_in!V10/SER_summary!V$27)</f>
        <v>0</v>
      </c>
      <c r="W10" s="132">
        <f>IF(SER_hh_emih_in!W10=0,0,SER_hh_emih_in!W10/SER_summary!W$27)</f>
        <v>0</v>
      </c>
      <c r="X10" s="132">
        <f>IF(SER_hh_emih_in!X10=0,0,SER_hh_emih_in!X10/SER_summary!X$27)</f>
        <v>0</v>
      </c>
      <c r="Y10" s="132">
        <f>IF(SER_hh_emih_in!Y10=0,0,SER_hh_emih_in!Y10/SER_summary!Y$27)</f>
        <v>0</v>
      </c>
      <c r="DA10" s="156" t="s">
        <v>886</v>
      </c>
    </row>
    <row r="11" spans="1:105" ht="12" customHeight="1" x14ac:dyDescent="0.25">
      <c r="A11" s="131" t="s">
        <v>25</v>
      </c>
      <c r="B11" s="132"/>
      <c r="C11" s="132">
        <f>IF(SER_hh_emih_in!C11=0,0,SER_hh_emih_in!C11/SER_summary!C$27)</f>
        <v>0</v>
      </c>
      <c r="D11" s="132">
        <f>IF(SER_hh_emih_in!D11=0,0,SER_hh_emih_in!D11/SER_summary!D$27)</f>
        <v>0</v>
      </c>
      <c r="E11" s="132">
        <f>IF(SER_hh_emih_in!E11=0,0,SER_hh_emih_in!E11/SER_summary!E$27)</f>
        <v>0</v>
      </c>
      <c r="F11" s="132">
        <f>IF(SER_hh_emih_in!F11=0,0,SER_hh_emih_in!F11/SER_summary!F$27)</f>
        <v>0</v>
      </c>
      <c r="G11" s="132">
        <f>IF(SER_hh_emih_in!G11=0,0,SER_hh_emih_in!G11/SER_summary!G$27)</f>
        <v>0</v>
      </c>
      <c r="H11" s="132">
        <f>IF(SER_hh_emih_in!H11=0,0,SER_hh_emih_in!H11/SER_summary!H$27)</f>
        <v>0</v>
      </c>
      <c r="I11" s="132">
        <f>IF(SER_hh_emih_in!I11=0,0,SER_hh_emih_in!I11/SER_summary!I$27)</f>
        <v>0</v>
      </c>
      <c r="J11" s="132">
        <f>IF(SER_hh_emih_in!J11=0,0,SER_hh_emih_in!J11/SER_summary!J$27)</f>
        <v>0</v>
      </c>
      <c r="K11" s="132">
        <f>IF(SER_hh_emih_in!K11=0,0,SER_hh_emih_in!K11/SER_summary!K$27)</f>
        <v>0</v>
      </c>
      <c r="L11" s="132">
        <f>IF(SER_hh_emih_in!L11=0,0,SER_hh_emih_in!L11/SER_summary!L$27)</f>
        <v>0</v>
      </c>
      <c r="M11" s="132">
        <f>IF(SER_hh_emih_in!M11=0,0,SER_hh_emih_in!M11/SER_summary!M$27)</f>
        <v>0</v>
      </c>
      <c r="N11" s="132">
        <f>IF(SER_hh_emih_in!N11=0,0,SER_hh_emih_in!N11/SER_summary!N$27)</f>
        <v>0</v>
      </c>
      <c r="O11" s="132">
        <f>IF(SER_hh_emih_in!O11=0,0,SER_hh_emih_in!O11/SER_summary!O$27)</f>
        <v>0</v>
      </c>
      <c r="P11" s="132">
        <f>IF(SER_hh_emih_in!P11=0,0,SER_hh_emih_in!P11/SER_summary!P$27)</f>
        <v>0</v>
      </c>
      <c r="Q11" s="132">
        <f>IF(SER_hh_emih_in!Q11=0,0,SER_hh_emih_in!Q11/SER_summary!Q$27)</f>
        <v>0</v>
      </c>
      <c r="R11" s="132">
        <f>IF(SER_hh_emih_in!R11=0,0,SER_hh_emih_in!R11/SER_summary!R$27)</f>
        <v>0</v>
      </c>
      <c r="S11" s="132">
        <f>IF(SER_hh_emih_in!S11=0,0,SER_hh_emih_in!S11/SER_summary!S$27)</f>
        <v>0</v>
      </c>
      <c r="T11" s="132">
        <f>IF(SER_hh_emih_in!T11=0,0,SER_hh_emih_in!T11/SER_summary!T$27)</f>
        <v>0</v>
      </c>
      <c r="U11" s="132">
        <f>IF(SER_hh_emih_in!U11=0,0,SER_hh_emih_in!U11/SER_summary!U$27)</f>
        <v>0</v>
      </c>
      <c r="V11" s="132">
        <f>IF(SER_hh_emih_in!V11=0,0,SER_hh_emih_in!V11/SER_summary!V$27)</f>
        <v>0</v>
      </c>
      <c r="W11" s="132">
        <f>IF(SER_hh_emih_in!W11=0,0,SER_hh_emih_in!W11/SER_summary!W$27)</f>
        <v>0</v>
      </c>
      <c r="X11" s="132">
        <f>IF(SER_hh_emih_in!X11=0,0,SER_hh_emih_in!X11/SER_summary!X$27)</f>
        <v>0</v>
      </c>
      <c r="Y11" s="132">
        <f>IF(SER_hh_emih_in!Y11=0,0,SER_hh_emih_in!Y11/SER_summary!Y$27)</f>
        <v>0</v>
      </c>
      <c r="DA11" s="156" t="s">
        <v>887</v>
      </c>
    </row>
    <row r="12" spans="1:105" ht="12" customHeight="1" x14ac:dyDescent="0.25">
      <c r="A12" s="131" t="s">
        <v>162</v>
      </c>
      <c r="B12" s="132"/>
      <c r="C12" s="132">
        <f>IF(SER_hh_emih_in!C12=0,0,SER_hh_emih_in!C12/SER_summary!C$27)</f>
        <v>0</v>
      </c>
      <c r="D12" s="132">
        <f>IF(SER_hh_emih_in!D12=0,0,SER_hh_emih_in!D12/SER_summary!D$27)</f>
        <v>0</v>
      </c>
      <c r="E12" s="132">
        <f>IF(SER_hh_emih_in!E12=0,0,SER_hh_emih_in!E12/SER_summary!E$27)</f>
        <v>0</v>
      </c>
      <c r="F12" s="132">
        <f>IF(SER_hh_emih_in!F12=0,0,SER_hh_emih_in!F12/SER_summary!F$27)</f>
        <v>0</v>
      </c>
      <c r="G12" s="132">
        <f>IF(SER_hh_emih_in!G12=0,0,SER_hh_emih_in!G12/SER_summary!G$27)</f>
        <v>0</v>
      </c>
      <c r="H12" s="132">
        <f>IF(SER_hh_emih_in!H12=0,0,SER_hh_emih_in!H12/SER_summary!H$27)</f>
        <v>0</v>
      </c>
      <c r="I12" s="132">
        <f>IF(SER_hh_emih_in!I12=0,0,SER_hh_emih_in!I12/SER_summary!I$27)</f>
        <v>0</v>
      </c>
      <c r="J12" s="132">
        <f>IF(SER_hh_emih_in!J12=0,0,SER_hh_emih_in!J12/SER_summary!J$27)</f>
        <v>0</v>
      </c>
      <c r="K12" s="132">
        <f>IF(SER_hh_emih_in!K12=0,0,SER_hh_emih_in!K12/SER_summary!K$27)</f>
        <v>0</v>
      </c>
      <c r="L12" s="132">
        <f>IF(SER_hh_emih_in!L12=0,0,SER_hh_emih_in!L12/SER_summary!L$27)</f>
        <v>0</v>
      </c>
      <c r="M12" s="132">
        <f>IF(SER_hh_emih_in!M12=0,0,SER_hh_emih_in!M12/SER_summary!M$27)</f>
        <v>0</v>
      </c>
      <c r="N12" s="132">
        <f>IF(SER_hh_emih_in!N12=0,0,SER_hh_emih_in!N12/SER_summary!N$27)</f>
        <v>0</v>
      </c>
      <c r="O12" s="132">
        <f>IF(SER_hh_emih_in!O12=0,0,SER_hh_emih_in!O12/SER_summary!O$27)</f>
        <v>0</v>
      </c>
      <c r="P12" s="132">
        <f>IF(SER_hh_emih_in!P12=0,0,SER_hh_emih_in!P12/SER_summary!P$27)</f>
        <v>0</v>
      </c>
      <c r="Q12" s="132">
        <f>IF(SER_hh_emih_in!Q12=0,0,SER_hh_emih_in!Q12/SER_summary!Q$27)</f>
        <v>0</v>
      </c>
      <c r="R12" s="132">
        <f>IF(SER_hh_emih_in!R12=0,0,SER_hh_emih_in!R12/SER_summary!R$27)</f>
        <v>0</v>
      </c>
      <c r="S12" s="132">
        <f>IF(SER_hh_emih_in!S12=0,0,SER_hh_emih_in!S12/SER_summary!S$27)</f>
        <v>0</v>
      </c>
      <c r="T12" s="132">
        <f>IF(SER_hh_emih_in!T12=0,0,SER_hh_emih_in!T12/SER_summary!T$27)</f>
        <v>0</v>
      </c>
      <c r="U12" s="132">
        <f>IF(SER_hh_emih_in!U12=0,0,SER_hh_emih_in!U12/SER_summary!U$27)</f>
        <v>0</v>
      </c>
      <c r="V12" s="132">
        <f>IF(SER_hh_emih_in!V12=0,0,SER_hh_emih_in!V12/SER_summary!V$27)</f>
        <v>0</v>
      </c>
      <c r="W12" s="132">
        <f>IF(SER_hh_emih_in!W12=0,0,SER_hh_emih_in!W12/SER_summary!W$27)</f>
        <v>0</v>
      </c>
      <c r="X12" s="132">
        <f>IF(SER_hh_emih_in!X12=0,0,SER_hh_emih_in!X12/SER_summary!X$27)</f>
        <v>0</v>
      </c>
      <c r="Y12" s="132">
        <f>IF(SER_hh_emih_in!Y12=0,0,SER_hh_emih_in!Y12/SER_summary!Y$27)</f>
        <v>0</v>
      </c>
      <c r="DA12" s="156" t="s">
        <v>888</v>
      </c>
    </row>
    <row r="13" spans="1:105" ht="12" customHeight="1" x14ac:dyDescent="0.25">
      <c r="A13" s="131" t="s">
        <v>77</v>
      </c>
      <c r="B13" s="132"/>
      <c r="C13" s="132">
        <f>IF(SER_hh_emih_in!C13=0,0,SER_hh_emih_in!C13/SER_summary!C$27)</f>
        <v>0</v>
      </c>
      <c r="D13" s="132">
        <f>IF(SER_hh_emih_in!D13=0,0,SER_hh_emih_in!D13/SER_summary!D$27)</f>
        <v>0</v>
      </c>
      <c r="E13" s="132">
        <f>IF(SER_hh_emih_in!E13=0,0,SER_hh_emih_in!E13/SER_summary!E$27)</f>
        <v>0</v>
      </c>
      <c r="F13" s="132">
        <f>IF(SER_hh_emih_in!F13=0,0,SER_hh_emih_in!F13/SER_summary!F$27)</f>
        <v>0</v>
      </c>
      <c r="G13" s="132">
        <f>IF(SER_hh_emih_in!G13=0,0,SER_hh_emih_in!G13/SER_summary!G$27)</f>
        <v>0</v>
      </c>
      <c r="H13" s="132">
        <f>IF(SER_hh_emih_in!H13=0,0,SER_hh_emih_in!H13/SER_summary!H$27)</f>
        <v>0</v>
      </c>
      <c r="I13" s="132">
        <f>IF(SER_hh_emih_in!I13=0,0,SER_hh_emih_in!I13/SER_summary!I$27)</f>
        <v>0</v>
      </c>
      <c r="J13" s="132">
        <f>IF(SER_hh_emih_in!J13=0,0,SER_hh_emih_in!J13/SER_summary!J$27)</f>
        <v>0</v>
      </c>
      <c r="K13" s="132">
        <f>IF(SER_hh_emih_in!K13=0,0,SER_hh_emih_in!K13/SER_summary!K$27)</f>
        <v>0</v>
      </c>
      <c r="L13" s="132">
        <f>IF(SER_hh_emih_in!L13=0,0,SER_hh_emih_in!L13/SER_summary!L$27)</f>
        <v>0</v>
      </c>
      <c r="M13" s="132">
        <f>IF(SER_hh_emih_in!M13=0,0,SER_hh_emih_in!M13/SER_summary!M$27)</f>
        <v>0</v>
      </c>
      <c r="N13" s="132">
        <f>IF(SER_hh_emih_in!N13=0,0,SER_hh_emih_in!N13/SER_summary!N$27)</f>
        <v>0</v>
      </c>
      <c r="O13" s="132">
        <f>IF(SER_hh_emih_in!O13=0,0,SER_hh_emih_in!O13/SER_summary!O$27)</f>
        <v>0</v>
      </c>
      <c r="P13" s="132">
        <f>IF(SER_hh_emih_in!P13=0,0,SER_hh_emih_in!P13/SER_summary!P$27)</f>
        <v>0</v>
      </c>
      <c r="Q13" s="132">
        <f>IF(SER_hh_emih_in!Q13=0,0,SER_hh_emih_in!Q13/SER_summary!Q$27)</f>
        <v>0</v>
      </c>
      <c r="R13" s="132">
        <f>IF(SER_hh_emih_in!R13=0,0,SER_hh_emih_in!R13/SER_summary!R$27)</f>
        <v>0</v>
      </c>
      <c r="S13" s="132">
        <f>IF(SER_hh_emih_in!S13=0,0,SER_hh_emih_in!S13/SER_summary!S$27)</f>
        <v>0</v>
      </c>
      <c r="T13" s="132">
        <f>IF(SER_hh_emih_in!T13=0,0,SER_hh_emih_in!T13/SER_summary!T$27)</f>
        <v>0</v>
      </c>
      <c r="U13" s="132">
        <f>IF(SER_hh_emih_in!U13=0,0,SER_hh_emih_in!U13/SER_summary!U$27)</f>
        <v>0</v>
      </c>
      <c r="V13" s="132">
        <f>IF(SER_hh_emih_in!V13=0,0,SER_hh_emih_in!V13/SER_summary!V$27)</f>
        <v>0</v>
      </c>
      <c r="W13" s="132">
        <f>IF(SER_hh_emih_in!W13=0,0,SER_hh_emih_in!W13/SER_summary!W$27)</f>
        <v>0</v>
      </c>
      <c r="X13" s="132">
        <f>IF(SER_hh_emih_in!X13=0,0,SER_hh_emih_in!X13/SER_summary!X$27)</f>
        <v>0</v>
      </c>
      <c r="Y13" s="132">
        <f>IF(SER_hh_emih_in!Y13=0,0,SER_hh_emih_in!Y13/SER_summary!Y$27)</f>
        <v>0</v>
      </c>
      <c r="DA13" s="156" t="s">
        <v>889</v>
      </c>
    </row>
    <row r="14" spans="1:105" ht="12" customHeight="1" x14ac:dyDescent="0.25">
      <c r="A14" s="60" t="s">
        <v>76</v>
      </c>
      <c r="B14" s="65"/>
      <c r="C14" s="65">
        <f>IF(SER_hh_emih_in!C14=0,0,SER_hh_emih_in!C14/SER_summary!C$27)</f>
        <v>0</v>
      </c>
      <c r="D14" s="65">
        <f>IF(SER_hh_emih_in!D14=0,0,SER_hh_emih_in!D14/SER_summary!D$27)</f>
        <v>0</v>
      </c>
      <c r="E14" s="65">
        <f>IF(SER_hh_emih_in!E14=0,0,SER_hh_emih_in!E14/SER_summary!E$27)</f>
        <v>0</v>
      </c>
      <c r="F14" s="65">
        <f>IF(SER_hh_emih_in!F14=0,0,SER_hh_emih_in!F14/SER_summary!F$27)</f>
        <v>0</v>
      </c>
      <c r="G14" s="65">
        <f>IF(SER_hh_emih_in!G14=0,0,SER_hh_emih_in!G14/SER_summary!G$27)</f>
        <v>0</v>
      </c>
      <c r="H14" s="65">
        <f>IF(SER_hh_emih_in!H14=0,0,SER_hh_emih_in!H14/SER_summary!H$27)</f>
        <v>0</v>
      </c>
      <c r="I14" s="65">
        <f>IF(SER_hh_emih_in!I14=0,0,SER_hh_emih_in!I14/SER_summary!I$27)</f>
        <v>0</v>
      </c>
      <c r="J14" s="65">
        <f>IF(SER_hh_emih_in!J14=0,0,SER_hh_emih_in!J14/SER_summary!J$27)</f>
        <v>0</v>
      </c>
      <c r="K14" s="65">
        <f>IF(SER_hh_emih_in!K14=0,0,SER_hh_emih_in!K14/SER_summary!K$27)</f>
        <v>0</v>
      </c>
      <c r="L14" s="65">
        <f>IF(SER_hh_emih_in!L14=0,0,SER_hh_emih_in!L14/SER_summary!L$27)</f>
        <v>0</v>
      </c>
      <c r="M14" s="65">
        <f>IF(SER_hh_emih_in!M14=0,0,SER_hh_emih_in!M14/SER_summary!M$27)</f>
        <v>0</v>
      </c>
      <c r="N14" s="65">
        <f>IF(SER_hh_emih_in!N14=0,0,SER_hh_emih_in!N14/SER_summary!N$27)</f>
        <v>0</v>
      </c>
      <c r="O14" s="65">
        <f>IF(SER_hh_emih_in!O14=0,0,SER_hh_emih_in!O14/SER_summary!O$27)</f>
        <v>0</v>
      </c>
      <c r="P14" s="65">
        <f>IF(SER_hh_emih_in!P14=0,0,SER_hh_emih_in!P14/SER_summary!P$27)</f>
        <v>0</v>
      </c>
      <c r="Q14" s="65">
        <f>IF(SER_hh_emih_in!Q14=0,0,SER_hh_emih_in!Q14/SER_summary!Q$27)</f>
        <v>0</v>
      </c>
      <c r="R14" s="65">
        <f>IF(SER_hh_emih_in!R14=0,0,SER_hh_emih_in!R14/SER_summary!R$27)</f>
        <v>0</v>
      </c>
      <c r="S14" s="65">
        <f>IF(SER_hh_emih_in!S14=0,0,SER_hh_emih_in!S14/SER_summary!S$27)</f>
        <v>0</v>
      </c>
      <c r="T14" s="65">
        <f>IF(SER_hh_emih_in!T14=0,0,SER_hh_emih_in!T14/SER_summary!T$27)</f>
        <v>0</v>
      </c>
      <c r="U14" s="65">
        <f>IF(SER_hh_emih_in!U14=0,0,SER_hh_emih_in!U14/SER_summary!U$27)</f>
        <v>0</v>
      </c>
      <c r="V14" s="65">
        <f>IF(SER_hh_emih_in!V14=0,0,SER_hh_emih_in!V14/SER_summary!V$27)</f>
        <v>0</v>
      </c>
      <c r="W14" s="65">
        <f>IF(SER_hh_emih_in!W14=0,0,SER_hh_emih_in!W14/SER_summary!W$27)</f>
        <v>0</v>
      </c>
      <c r="X14" s="65">
        <f>IF(SER_hh_emih_in!X14=0,0,SER_hh_emih_in!X14/SER_summary!X$27)</f>
        <v>0</v>
      </c>
      <c r="Y14" s="65">
        <f>IF(SER_hh_emih_in!Y14=0,0,SER_hh_emih_in!Y14/SER_summary!Y$27)</f>
        <v>0</v>
      </c>
      <c r="DA14" s="109" t="s">
        <v>890</v>
      </c>
    </row>
    <row r="15" spans="1:105" ht="12" customHeight="1" x14ac:dyDescent="0.25">
      <c r="A15" s="133" t="s">
        <v>80</v>
      </c>
      <c r="B15" s="134"/>
      <c r="C15" s="134">
        <f>IF(SER_hh_emih_in!C15=0,0,SER_hh_emih_in!C15/SER_summary!C$27)</f>
        <v>0</v>
      </c>
      <c r="D15" s="134">
        <f>IF(SER_hh_emih_in!D15=0,0,SER_hh_emih_in!D15/SER_summary!D$27)</f>
        <v>0</v>
      </c>
      <c r="E15" s="134">
        <f>IF(SER_hh_emih_in!E15=0,0,SER_hh_emih_in!E15/SER_summary!E$27)</f>
        <v>0</v>
      </c>
      <c r="F15" s="134">
        <f>IF(SER_hh_emih_in!F15=0,0,SER_hh_emih_in!F15/SER_summary!F$27)</f>
        <v>0</v>
      </c>
      <c r="G15" s="134">
        <f>IF(SER_hh_emih_in!G15=0,0,SER_hh_emih_in!G15/SER_summary!G$27)</f>
        <v>0</v>
      </c>
      <c r="H15" s="134">
        <f>IF(SER_hh_emih_in!H15=0,0,SER_hh_emih_in!H15/SER_summary!H$27)</f>
        <v>0</v>
      </c>
      <c r="I15" s="134">
        <f>IF(SER_hh_emih_in!I15=0,0,SER_hh_emih_in!I15/SER_summary!I$27)</f>
        <v>0</v>
      </c>
      <c r="J15" s="134">
        <f>IF(SER_hh_emih_in!J15=0,0,SER_hh_emih_in!J15/SER_summary!J$27)</f>
        <v>0</v>
      </c>
      <c r="K15" s="134">
        <f>IF(SER_hh_emih_in!K15=0,0,SER_hh_emih_in!K15/SER_summary!K$27)</f>
        <v>0</v>
      </c>
      <c r="L15" s="134">
        <f>IF(SER_hh_emih_in!L15=0,0,SER_hh_emih_in!L15/SER_summary!L$27)</f>
        <v>0</v>
      </c>
      <c r="M15" s="134">
        <f>IF(SER_hh_emih_in!M15=0,0,SER_hh_emih_in!M15/SER_summary!M$27)</f>
        <v>0</v>
      </c>
      <c r="N15" s="134">
        <f>IF(SER_hh_emih_in!N15=0,0,SER_hh_emih_in!N15/SER_summary!N$27)</f>
        <v>0</v>
      </c>
      <c r="O15" s="134">
        <f>IF(SER_hh_emih_in!O15=0,0,SER_hh_emih_in!O15/SER_summary!O$27)</f>
        <v>0</v>
      </c>
      <c r="P15" s="134">
        <f>IF(SER_hh_emih_in!P15=0,0,SER_hh_emih_in!P15/SER_summary!P$27)</f>
        <v>0</v>
      </c>
      <c r="Q15" s="134">
        <f>IF(SER_hh_emih_in!Q15=0,0,SER_hh_emih_in!Q15/SER_summary!Q$27)</f>
        <v>0</v>
      </c>
      <c r="R15" s="134">
        <f>IF(SER_hh_emih_in!R15=0,0,SER_hh_emih_in!R15/SER_summary!R$27)</f>
        <v>0</v>
      </c>
      <c r="S15" s="134">
        <f>IF(SER_hh_emih_in!S15=0,0,SER_hh_emih_in!S15/SER_summary!S$27)</f>
        <v>0</v>
      </c>
      <c r="T15" s="134">
        <f>IF(SER_hh_emih_in!T15=0,0,SER_hh_emih_in!T15/SER_summary!T$27)</f>
        <v>0</v>
      </c>
      <c r="U15" s="134">
        <f>IF(SER_hh_emih_in!U15=0,0,SER_hh_emih_in!U15/SER_summary!U$27)</f>
        <v>0</v>
      </c>
      <c r="V15" s="134">
        <f>IF(SER_hh_emih_in!V15=0,0,SER_hh_emih_in!V15/SER_summary!V$27)</f>
        <v>0</v>
      </c>
      <c r="W15" s="134">
        <f>IF(SER_hh_emih_in!W15=0,0,SER_hh_emih_in!W15/SER_summary!W$27)</f>
        <v>0</v>
      </c>
      <c r="X15" s="134">
        <f>IF(SER_hh_emih_in!X15=0,0,SER_hh_emih_in!X15/SER_summary!X$27)</f>
        <v>0</v>
      </c>
      <c r="Y15" s="134">
        <f>IF(SER_hh_emih_in!Y15=0,0,SER_hh_emih_in!Y15/SER_summary!Y$27)</f>
        <v>0</v>
      </c>
      <c r="DA15" s="157" t="s">
        <v>891</v>
      </c>
    </row>
    <row r="16" spans="1:105" ht="12.95" customHeight="1" x14ac:dyDescent="0.25">
      <c r="A16" s="129" t="s">
        <v>74</v>
      </c>
      <c r="B16" s="130"/>
      <c r="C16" s="130">
        <f>IF(SER_hh_emih_in!C16=0,0,SER_hh_emih_in!C16/SER_summary!C$27)</f>
        <v>0</v>
      </c>
      <c r="D16" s="130">
        <f>IF(SER_hh_emih_in!D16=0,0,SER_hh_emih_in!D16/SER_summary!D$27)</f>
        <v>0</v>
      </c>
      <c r="E16" s="130">
        <f>IF(SER_hh_emih_in!E16=0,0,SER_hh_emih_in!E16/SER_summary!E$27)</f>
        <v>0</v>
      </c>
      <c r="F16" s="130">
        <f>IF(SER_hh_emih_in!F16=0,0,SER_hh_emih_in!F16/SER_summary!F$27)</f>
        <v>0</v>
      </c>
      <c r="G16" s="130">
        <f>IF(SER_hh_emih_in!G16=0,0,SER_hh_emih_in!G16/SER_summary!G$27)</f>
        <v>0</v>
      </c>
      <c r="H16" s="130">
        <f>IF(SER_hh_emih_in!H16=0,0,SER_hh_emih_in!H16/SER_summary!H$27)</f>
        <v>0</v>
      </c>
      <c r="I16" s="130">
        <f>IF(SER_hh_emih_in!I16=0,0,SER_hh_emih_in!I16/SER_summary!I$27)</f>
        <v>0</v>
      </c>
      <c r="J16" s="130">
        <f>IF(SER_hh_emih_in!J16=0,0,SER_hh_emih_in!J16/SER_summary!J$27)</f>
        <v>0</v>
      </c>
      <c r="K16" s="130">
        <f>IF(SER_hh_emih_in!K16=0,0,SER_hh_emih_in!K16/SER_summary!K$27)</f>
        <v>0</v>
      </c>
      <c r="L16" s="130">
        <f>IF(SER_hh_emih_in!L16=0,0,SER_hh_emih_in!L16/SER_summary!L$27)</f>
        <v>0</v>
      </c>
      <c r="M16" s="130">
        <f>IF(SER_hh_emih_in!M16=0,0,SER_hh_emih_in!M16/SER_summary!M$27)</f>
        <v>0</v>
      </c>
      <c r="N16" s="130">
        <f>IF(SER_hh_emih_in!N16=0,0,SER_hh_emih_in!N16/SER_summary!N$27)</f>
        <v>0</v>
      </c>
      <c r="O16" s="130">
        <f>IF(SER_hh_emih_in!O16=0,0,SER_hh_emih_in!O16/SER_summary!O$27)</f>
        <v>0</v>
      </c>
      <c r="P16" s="130">
        <f>IF(SER_hh_emih_in!P16=0,0,SER_hh_emih_in!P16/SER_summary!P$27)</f>
        <v>0</v>
      </c>
      <c r="Q16" s="130">
        <f>IF(SER_hh_emih_in!Q16=0,0,SER_hh_emih_in!Q16/SER_summary!Q$27)</f>
        <v>0</v>
      </c>
      <c r="R16" s="130">
        <f>IF(SER_hh_emih_in!R16=0,0,SER_hh_emih_in!R16/SER_summary!R$27)</f>
        <v>0</v>
      </c>
      <c r="S16" s="130">
        <f>IF(SER_hh_emih_in!S16=0,0,SER_hh_emih_in!S16/SER_summary!S$27)</f>
        <v>0</v>
      </c>
      <c r="T16" s="130">
        <f>IF(SER_hh_emih_in!T16=0,0,SER_hh_emih_in!T16/SER_summary!T$27)</f>
        <v>0</v>
      </c>
      <c r="U16" s="130">
        <f>IF(SER_hh_emih_in!U16=0,0,SER_hh_emih_in!U16/SER_summary!U$27)</f>
        <v>0</v>
      </c>
      <c r="V16" s="130">
        <f>IF(SER_hh_emih_in!V16=0,0,SER_hh_emih_in!V16/SER_summary!V$27)</f>
        <v>0</v>
      </c>
      <c r="W16" s="130">
        <f>IF(SER_hh_emih_in!W16=0,0,SER_hh_emih_in!W16/SER_summary!W$27)</f>
        <v>0</v>
      </c>
      <c r="X16" s="130">
        <f>IF(SER_hh_emih_in!X16=0,0,SER_hh_emih_in!X16/SER_summary!X$27)</f>
        <v>0</v>
      </c>
      <c r="Y16" s="130">
        <f>IF(SER_hh_emih_in!Y16=0,0,SER_hh_emih_in!Y16/SER_summary!Y$27)</f>
        <v>0</v>
      </c>
      <c r="DA16" s="155" t="s">
        <v>892</v>
      </c>
    </row>
    <row r="17" spans="1:105" ht="12.95" customHeight="1" x14ac:dyDescent="0.25">
      <c r="A17" s="131" t="s">
        <v>73</v>
      </c>
      <c r="B17" s="132"/>
      <c r="C17" s="132">
        <f>IF(SER_hh_emih_in!C17=0,0,SER_hh_emih_in!C17/SER_summary!C$27)</f>
        <v>0</v>
      </c>
      <c r="D17" s="132">
        <f>IF(SER_hh_emih_in!D17=0,0,SER_hh_emih_in!D17/SER_summary!D$27)</f>
        <v>0</v>
      </c>
      <c r="E17" s="132">
        <f>IF(SER_hh_emih_in!E17=0,0,SER_hh_emih_in!E17/SER_summary!E$27)</f>
        <v>0</v>
      </c>
      <c r="F17" s="132">
        <f>IF(SER_hh_emih_in!F17=0,0,SER_hh_emih_in!F17/SER_summary!F$27)</f>
        <v>0</v>
      </c>
      <c r="G17" s="132">
        <f>IF(SER_hh_emih_in!G17=0,0,SER_hh_emih_in!G17/SER_summary!G$27)</f>
        <v>0</v>
      </c>
      <c r="H17" s="132">
        <f>IF(SER_hh_emih_in!H17=0,0,SER_hh_emih_in!H17/SER_summary!H$27)</f>
        <v>0</v>
      </c>
      <c r="I17" s="132">
        <f>IF(SER_hh_emih_in!I17=0,0,SER_hh_emih_in!I17/SER_summary!I$27)</f>
        <v>0</v>
      </c>
      <c r="J17" s="132">
        <f>IF(SER_hh_emih_in!J17=0,0,SER_hh_emih_in!J17/SER_summary!J$27)</f>
        <v>0</v>
      </c>
      <c r="K17" s="132">
        <f>IF(SER_hh_emih_in!K17=0,0,SER_hh_emih_in!K17/SER_summary!K$27)</f>
        <v>0</v>
      </c>
      <c r="L17" s="132">
        <f>IF(SER_hh_emih_in!L17=0,0,SER_hh_emih_in!L17/SER_summary!L$27)</f>
        <v>0</v>
      </c>
      <c r="M17" s="132">
        <f>IF(SER_hh_emih_in!M17=0,0,SER_hh_emih_in!M17/SER_summary!M$27)</f>
        <v>0</v>
      </c>
      <c r="N17" s="132">
        <f>IF(SER_hh_emih_in!N17=0,0,SER_hh_emih_in!N17/SER_summary!N$27)</f>
        <v>0</v>
      </c>
      <c r="O17" s="132">
        <f>IF(SER_hh_emih_in!O17=0,0,SER_hh_emih_in!O17/SER_summary!O$27)</f>
        <v>0</v>
      </c>
      <c r="P17" s="132">
        <f>IF(SER_hh_emih_in!P17=0,0,SER_hh_emih_in!P17/SER_summary!P$27)</f>
        <v>0</v>
      </c>
      <c r="Q17" s="132">
        <f>IF(SER_hh_emih_in!Q17=0,0,SER_hh_emih_in!Q17/SER_summary!Q$27)</f>
        <v>0</v>
      </c>
      <c r="R17" s="132">
        <f>IF(SER_hh_emih_in!R17=0,0,SER_hh_emih_in!R17/SER_summary!R$27)</f>
        <v>0</v>
      </c>
      <c r="S17" s="132">
        <f>IF(SER_hh_emih_in!S17=0,0,SER_hh_emih_in!S17/SER_summary!S$27)</f>
        <v>0</v>
      </c>
      <c r="T17" s="132">
        <f>IF(SER_hh_emih_in!T17=0,0,SER_hh_emih_in!T17/SER_summary!T$27)</f>
        <v>0</v>
      </c>
      <c r="U17" s="132">
        <f>IF(SER_hh_emih_in!U17=0,0,SER_hh_emih_in!U17/SER_summary!U$27)</f>
        <v>0</v>
      </c>
      <c r="V17" s="132">
        <f>IF(SER_hh_emih_in!V17=0,0,SER_hh_emih_in!V17/SER_summary!V$27)</f>
        <v>0</v>
      </c>
      <c r="W17" s="132">
        <f>IF(SER_hh_emih_in!W17=0,0,SER_hh_emih_in!W17/SER_summary!W$27)</f>
        <v>0</v>
      </c>
      <c r="X17" s="132">
        <f>IF(SER_hh_emih_in!X17=0,0,SER_hh_emih_in!X17/SER_summary!X$27)</f>
        <v>0</v>
      </c>
      <c r="Y17" s="132">
        <f>IF(SER_hh_emih_in!Y17=0,0,SER_hh_emih_in!Y17/SER_summary!Y$27)</f>
        <v>0</v>
      </c>
      <c r="DA17" s="156" t="s">
        <v>893</v>
      </c>
    </row>
    <row r="18" spans="1:105" ht="12" customHeight="1" x14ac:dyDescent="0.25">
      <c r="A18" s="131" t="s">
        <v>72</v>
      </c>
      <c r="B18" s="132"/>
      <c r="C18" s="132">
        <f>IF(SER_hh_emih_in!C18=0,0,SER_hh_emih_in!C18/SER_summary!C$27)</f>
        <v>0</v>
      </c>
      <c r="D18" s="132">
        <f>IF(SER_hh_emih_in!D18=0,0,SER_hh_emih_in!D18/SER_summary!D$27)</f>
        <v>0</v>
      </c>
      <c r="E18" s="132">
        <f>IF(SER_hh_emih_in!E18=0,0,SER_hh_emih_in!E18/SER_summary!E$27)</f>
        <v>0</v>
      </c>
      <c r="F18" s="132">
        <f>IF(SER_hh_emih_in!F18=0,0,SER_hh_emih_in!F18/SER_summary!F$27)</f>
        <v>0</v>
      </c>
      <c r="G18" s="132">
        <f>IF(SER_hh_emih_in!G18=0,0,SER_hh_emih_in!G18/SER_summary!G$27)</f>
        <v>0</v>
      </c>
      <c r="H18" s="132">
        <f>IF(SER_hh_emih_in!H18=0,0,SER_hh_emih_in!H18/SER_summary!H$27)</f>
        <v>0</v>
      </c>
      <c r="I18" s="132">
        <f>IF(SER_hh_emih_in!I18=0,0,SER_hh_emih_in!I18/SER_summary!I$27)</f>
        <v>0</v>
      </c>
      <c r="J18" s="132">
        <f>IF(SER_hh_emih_in!J18=0,0,SER_hh_emih_in!J18/SER_summary!J$27)</f>
        <v>0</v>
      </c>
      <c r="K18" s="132">
        <f>IF(SER_hh_emih_in!K18=0,0,SER_hh_emih_in!K18/SER_summary!K$27)</f>
        <v>0</v>
      </c>
      <c r="L18" s="132">
        <f>IF(SER_hh_emih_in!L18=0,0,SER_hh_emih_in!L18/SER_summary!L$27)</f>
        <v>0</v>
      </c>
      <c r="M18" s="132">
        <f>IF(SER_hh_emih_in!M18=0,0,SER_hh_emih_in!M18/SER_summary!M$27)</f>
        <v>0</v>
      </c>
      <c r="N18" s="132">
        <f>IF(SER_hh_emih_in!N18=0,0,SER_hh_emih_in!N18/SER_summary!N$27)</f>
        <v>0</v>
      </c>
      <c r="O18" s="132">
        <f>IF(SER_hh_emih_in!O18=0,0,SER_hh_emih_in!O18/SER_summary!O$27)</f>
        <v>0</v>
      </c>
      <c r="P18" s="132">
        <f>IF(SER_hh_emih_in!P18=0,0,SER_hh_emih_in!P18/SER_summary!P$27)</f>
        <v>0</v>
      </c>
      <c r="Q18" s="132">
        <f>IF(SER_hh_emih_in!Q18=0,0,SER_hh_emih_in!Q18/SER_summary!Q$27)</f>
        <v>0</v>
      </c>
      <c r="R18" s="132">
        <f>IF(SER_hh_emih_in!R18=0,0,SER_hh_emih_in!R18/SER_summary!R$27)</f>
        <v>0</v>
      </c>
      <c r="S18" s="132">
        <f>IF(SER_hh_emih_in!S18=0,0,SER_hh_emih_in!S18/SER_summary!S$27)</f>
        <v>0</v>
      </c>
      <c r="T18" s="132">
        <f>IF(SER_hh_emih_in!T18=0,0,SER_hh_emih_in!T18/SER_summary!T$27)</f>
        <v>0</v>
      </c>
      <c r="U18" s="132">
        <f>IF(SER_hh_emih_in!U18=0,0,SER_hh_emih_in!U18/SER_summary!U$27)</f>
        <v>0</v>
      </c>
      <c r="V18" s="132">
        <f>IF(SER_hh_emih_in!V18=0,0,SER_hh_emih_in!V18/SER_summary!V$27)</f>
        <v>0</v>
      </c>
      <c r="W18" s="132">
        <f>IF(SER_hh_emih_in!W18=0,0,SER_hh_emih_in!W18/SER_summary!W$27)</f>
        <v>0</v>
      </c>
      <c r="X18" s="132">
        <f>IF(SER_hh_emih_in!X18=0,0,SER_hh_emih_in!X18/SER_summary!X$27)</f>
        <v>0</v>
      </c>
      <c r="Y18" s="132">
        <f>IF(SER_hh_emih_in!Y18=0,0,SER_hh_emih_in!Y18/SER_summary!Y$27)</f>
        <v>0</v>
      </c>
      <c r="DA18" s="156" t="s">
        <v>894</v>
      </c>
    </row>
    <row r="19" spans="1:105" ht="12.95" customHeight="1" x14ac:dyDescent="0.25">
      <c r="A19" s="129" t="s">
        <v>35</v>
      </c>
      <c r="B19" s="130"/>
      <c r="C19" s="130">
        <f>IF(SER_hh_emih_in!C19=0,0,SER_hh_emih_in!C19/SER_summary!C$27)</f>
        <v>2.1877983352831003</v>
      </c>
      <c r="D19" s="130">
        <f>IF(SER_hh_emih_in!D19=0,0,SER_hh_emih_in!D19/SER_summary!D$27)</f>
        <v>5.572204219219353</v>
      </c>
      <c r="E19" s="130">
        <f>IF(SER_hh_emih_in!E19=0,0,SER_hh_emih_in!E19/SER_summary!E$27)</f>
        <v>3.5925327062114993</v>
      </c>
      <c r="F19" s="130">
        <f>IF(SER_hh_emih_in!F19=0,0,SER_hh_emih_in!F19/SER_summary!F$27)</f>
        <v>10.212700346100943</v>
      </c>
      <c r="G19" s="130">
        <f>IF(SER_hh_emih_in!G19=0,0,SER_hh_emih_in!G19/SER_summary!G$27)</f>
        <v>5.8642963169114362</v>
      </c>
      <c r="H19" s="130">
        <f>IF(SER_hh_emih_in!H19=0,0,SER_hh_emih_in!H19/SER_summary!H$27)</f>
        <v>5.8132539214473677</v>
      </c>
      <c r="I19" s="130">
        <f>IF(SER_hh_emih_in!I19=0,0,SER_hh_emih_in!I19/SER_summary!I$27)</f>
        <v>9.3097427897107829E-2</v>
      </c>
      <c r="J19" s="130">
        <f>IF(SER_hh_emih_in!J19=0,0,SER_hh_emih_in!J19/SER_summary!J$27)</f>
        <v>2.9379149830775555</v>
      </c>
      <c r="K19" s="130">
        <f>IF(SER_hh_emih_in!K19=0,0,SER_hh_emih_in!K19/SER_summary!K$27)</f>
        <v>6.4904301249667631</v>
      </c>
      <c r="L19" s="130">
        <f>IF(SER_hh_emih_in!L19=0,0,SER_hh_emih_in!L19/SER_summary!L$27)</f>
        <v>6.1472793376727388</v>
      </c>
      <c r="M19" s="130">
        <f>IF(SER_hh_emih_in!M19=0,0,SER_hh_emih_in!M19/SER_summary!M$27)</f>
        <v>3.7065115134727908</v>
      </c>
      <c r="N19" s="130">
        <f>IF(SER_hh_emih_in!N19=0,0,SER_hh_emih_in!N19/SER_summary!N$27)</f>
        <v>4.0915295022664777</v>
      </c>
      <c r="O19" s="130">
        <f>IF(SER_hh_emih_in!O19=0,0,SER_hh_emih_in!O19/SER_summary!O$27)</f>
        <v>6.7077489172266018</v>
      </c>
      <c r="P19" s="130">
        <f>IF(SER_hh_emih_in!P19=0,0,SER_hh_emih_in!P19/SER_summary!P$27)</f>
        <v>7.9215652649008801</v>
      </c>
      <c r="Q19" s="130">
        <f>IF(SER_hh_emih_in!Q19=0,0,SER_hh_emih_in!Q19/SER_summary!Q$27)</f>
        <v>8.1022568464018061</v>
      </c>
      <c r="R19" s="130">
        <f>IF(SER_hh_emih_in!R19=0,0,SER_hh_emih_in!R19/SER_summary!R$27)</f>
        <v>7.7851063297810956</v>
      </c>
      <c r="S19" s="130">
        <f>IF(SER_hh_emih_in!S19=0,0,SER_hh_emih_in!S19/SER_summary!S$27)</f>
        <v>8.6951286392759961</v>
      </c>
      <c r="T19" s="130">
        <f>IF(SER_hh_emih_in!T19=0,0,SER_hh_emih_in!T19/SER_summary!T$27)</f>
        <v>7.7377975114564936</v>
      </c>
      <c r="U19" s="130">
        <f>IF(SER_hh_emih_in!U19=0,0,SER_hh_emih_in!U19/SER_summary!U$27)</f>
        <v>6.2840573297747451</v>
      </c>
      <c r="V19" s="130">
        <f>IF(SER_hh_emih_in!V19=0,0,SER_hh_emih_in!V19/SER_summary!V$27)</f>
        <v>5.311541161600096</v>
      </c>
      <c r="W19" s="130">
        <f>IF(SER_hh_emih_in!W19=0,0,SER_hh_emih_in!W19/SER_summary!W$27)</f>
        <v>5.7402257513422299</v>
      </c>
      <c r="X19" s="130">
        <f>IF(SER_hh_emih_in!X19=0,0,SER_hh_emih_in!X19/SER_summary!X$27)</f>
        <v>2.3867123515905941</v>
      </c>
      <c r="Y19" s="130">
        <f>IF(SER_hh_emih_in!Y19=0,0,SER_hh_emih_in!Y19/SER_summary!Y$27)</f>
        <v>1.8727609378081549</v>
      </c>
      <c r="DA19" s="155" t="s">
        <v>895</v>
      </c>
    </row>
    <row r="20" spans="1:105" ht="12" customHeight="1" x14ac:dyDescent="0.25">
      <c r="A20" s="131" t="s">
        <v>29</v>
      </c>
      <c r="B20" s="132"/>
      <c r="C20" s="132">
        <f>IF(SER_hh_emih_in!C20=0,0,SER_hh_emih_in!C20/SER_summary!C$27)</f>
        <v>0</v>
      </c>
      <c r="D20" s="132">
        <f>IF(SER_hh_emih_in!D20=0,0,SER_hh_emih_in!D20/SER_summary!D$27)</f>
        <v>0</v>
      </c>
      <c r="E20" s="132">
        <f>IF(SER_hh_emih_in!E20=0,0,SER_hh_emih_in!E20/SER_summary!E$27)</f>
        <v>0</v>
      </c>
      <c r="F20" s="132">
        <f>IF(SER_hh_emih_in!F20=0,0,SER_hh_emih_in!F20/SER_summary!F$27)</f>
        <v>0</v>
      </c>
      <c r="G20" s="132">
        <f>IF(SER_hh_emih_in!G20=0,0,SER_hh_emih_in!G20/SER_summary!G$27)</f>
        <v>0</v>
      </c>
      <c r="H20" s="132">
        <f>IF(SER_hh_emih_in!H20=0,0,SER_hh_emih_in!H20/SER_summary!H$27)</f>
        <v>0</v>
      </c>
      <c r="I20" s="132">
        <f>IF(SER_hh_emih_in!I20=0,0,SER_hh_emih_in!I20/SER_summary!I$27)</f>
        <v>0</v>
      </c>
      <c r="J20" s="132">
        <f>IF(SER_hh_emih_in!J20=0,0,SER_hh_emih_in!J20/SER_summary!J$27)</f>
        <v>0</v>
      </c>
      <c r="K20" s="132">
        <f>IF(SER_hh_emih_in!K20=0,0,SER_hh_emih_in!K20/SER_summary!K$27)</f>
        <v>0</v>
      </c>
      <c r="L20" s="132">
        <f>IF(SER_hh_emih_in!L20=0,0,SER_hh_emih_in!L20/SER_summary!L$27)</f>
        <v>0</v>
      </c>
      <c r="M20" s="132">
        <f>IF(SER_hh_emih_in!M20=0,0,SER_hh_emih_in!M20/SER_summary!M$27)</f>
        <v>0</v>
      </c>
      <c r="N20" s="132">
        <f>IF(SER_hh_emih_in!N20=0,0,SER_hh_emih_in!N20/SER_summary!N$27)</f>
        <v>0</v>
      </c>
      <c r="O20" s="132">
        <f>IF(SER_hh_emih_in!O20=0,0,SER_hh_emih_in!O20/SER_summary!O$27)</f>
        <v>0</v>
      </c>
      <c r="P20" s="132">
        <f>IF(SER_hh_emih_in!P20=0,0,SER_hh_emih_in!P20/SER_summary!P$27)</f>
        <v>0</v>
      </c>
      <c r="Q20" s="132">
        <f>IF(SER_hh_emih_in!Q20=0,0,SER_hh_emih_in!Q20/SER_summary!Q$27)</f>
        <v>0</v>
      </c>
      <c r="R20" s="132">
        <f>IF(SER_hh_emih_in!R20=0,0,SER_hh_emih_in!R20/SER_summary!R$27)</f>
        <v>0</v>
      </c>
      <c r="S20" s="132">
        <f>IF(SER_hh_emih_in!S20=0,0,SER_hh_emih_in!S20/SER_summary!S$27)</f>
        <v>0</v>
      </c>
      <c r="T20" s="132">
        <f>IF(SER_hh_emih_in!T20=0,0,SER_hh_emih_in!T20/SER_summary!T$27)</f>
        <v>0</v>
      </c>
      <c r="U20" s="132">
        <f>IF(SER_hh_emih_in!U20=0,0,SER_hh_emih_in!U20/SER_summary!U$27)</f>
        <v>0</v>
      </c>
      <c r="V20" s="132">
        <f>IF(SER_hh_emih_in!V20=0,0,SER_hh_emih_in!V20/SER_summary!V$27)</f>
        <v>0</v>
      </c>
      <c r="W20" s="132">
        <f>IF(SER_hh_emih_in!W20=0,0,SER_hh_emih_in!W20/SER_summary!W$27)</f>
        <v>0</v>
      </c>
      <c r="X20" s="132">
        <f>IF(SER_hh_emih_in!X20=0,0,SER_hh_emih_in!X20/SER_summary!X$27)</f>
        <v>0</v>
      </c>
      <c r="Y20" s="132">
        <f>IF(SER_hh_emih_in!Y20=0,0,SER_hh_emih_in!Y20/SER_summary!Y$27)</f>
        <v>0</v>
      </c>
      <c r="DA20" s="156" t="s">
        <v>896</v>
      </c>
    </row>
    <row r="21" spans="1:105" s="2" customFormat="1" ht="12" customHeight="1" x14ac:dyDescent="0.25">
      <c r="A21" s="131" t="s">
        <v>52</v>
      </c>
      <c r="B21" s="132"/>
      <c r="C21" s="132">
        <f>IF(SER_hh_emih_in!C21=0,0,SER_hh_emih_in!C21/SER_summary!C$27)</f>
        <v>0</v>
      </c>
      <c r="D21" s="132">
        <f>IF(SER_hh_emih_in!D21=0,0,SER_hh_emih_in!D21/SER_summary!D$27)</f>
        <v>0</v>
      </c>
      <c r="E21" s="132">
        <f>IF(SER_hh_emih_in!E21=0,0,SER_hh_emih_in!E21/SER_summary!E$27)</f>
        <v>0</v>
      </c>
      <c r="F21" s="132">
        <f>IF(SER_hh_emih_in!F21=0,0,SER_hh_emih_in!F21/SER_summary!F$27)</f>
        <v>0</v>
      </c>
      <c r="G21" s="132">
        <f>IF(SER_hh_emih_in!G21=0,0,SER_hh_emih_in!G21/SER_summary!G$27)</f>
        <v>0</v>
      </c>
      <c r="H21" s="132">
        <f>IF(SER_hh_emih_in!H21=0,0,SER_hh_emih_in!H21/SER_summary!H$27)</f>
        <v>0</v>
      </c>
      <c r="I21" s="132">
        <f>IF(SER_hh_emih_in!I21=0,0,SER_hh_emih_in!I21/SER_summary!I$27)</f>
        <v>0</v>
      </c>
      <c r="J21" s="132">
        <f>IF(SER_hh_emih_in!J21=0,0,SER_hh_emih_in!J21/SER_summary!J$27)</f>
        <v>0</v>
      </c>
      <c r="K21" s="132">
        <f>IF(SER_hh_emih_in!K21=0,0,SER_hh_emih_in!K21/SER_summary!K$27)</f>
        <v>0</v>
      </c>
      <c r="L21" s="132">
        <f>IF(SER_hh_emih_in!L21=0,0,SER_hh_emih_in!L21/SER_summary!L$27)</f>
        <v>0</v>
      </c>
      <c r="M21" s="132">
        <f>IF(SER_hh_emih_in!M21=0,0,SER_hh_emih_in!M21/SER_summary!M$27)</f>
        <v>0</v>
      </c>
      <c r="N21" s="132">
        <f>IF(SER_hh_emih_in!N21=0,0,SER_hh_emih_in!N21/SER_summary!N$27)</f>
        <v>0</v>
      </c>
      <c r="O21" s="132">
        <f>IF(SER_hh_emih_in!O21=0,0,SER_hh_emih_in!O21/SER_summary!O$27)</f>
        <v>0</v>
      </c>
      <c r="P21" s="132">
        <f>IF(SER_hh_emih_in!P21=0,0,SER_hh_emih_in!P21/SER_summary!P$27)</f>
        <v>0</v>
      </c>
      <c r="Q21" s="132">
        <f>IF(SER_hh_emih_in!Q21=0,0,SER_hh_emih_in!Q21/SER_summary!Q$27)</f>
        <v>0</v>
      </c>
      <c r="R21" s="132">
        <f>IF(SER_hh_emih_in!R21=0,0,SER_hh_emih_in!R21/SER_summary!R$27)</f>
        <v>0</v>
      </c>
      <c r="S21" s="132">
        <f>IF(SER_hh_emih_in!S21=0,0,SER_hh_emih_in!S21/SER_summary!S$27)</f>
        <v>0</v>
      </c>
      <c r="T21" s="132">
        <f>IF(SER_hh_emih_in!T21=0,0,SER_hh_emih_in!T21/SER_summary!T$27)</f>
        <v>0</v>
      </c>
      <c r="U21" s="132">
        <f>IF(SER_hh_emih_in!U21=0,0,SER_hh_emih_in!U21/SER_summary!U$27)</f>
        <v>0</v>
      </c>
      <c r="V21" s="132">
        <f>IF(SER_hh_emih_in!V21=0,0,SER_hh_emih_in!V21/SER_summary!V$27)</f>
        <v>0</v>
      </c>
      <c r="W21" s="132">
        <f>IF(SER_hh_emih_in!W21=0,0,SER_hh_emih_in!W21/SER_summary!W$27)</f>
        <v>0</v>
      </c>
      <c r="X21" s="132">
        <f>IF(SER_hh_emih_in!X21=0,0,SER_hh_emih_in!X21/SER_summary!X$27)</f>
        <v>0</v>
      </c>
      <c r="Y21" s="132">
        <f>IF(SER_hh_emih_in!Y21=0,0,SER_hh_emih_in!Y21/SER_summary!Y$27)</f>
        <v>0</v>
      </c>
      <c r="DA21" s="156" t="s">
        <v>897</v>
      </c>
    </row>
    <row r="22" spans="1:105" ht="12" customHeight="1" x14ac:dyDescent="0.25">
      <c r="A22" s="131" t="s">
        <v>161</v>
      </c>
      <c r="B22" s="132"/>
      <c r="C22" s="132">
        <f>IF(SER_hh_emih_in!C22=0,0,SER_hh_emih_in!C22/SER_summary!C$27)</f>
        <v>3.1473658815267975</v>
      </c>
      <c r="D22" s="132">
        <f>IF(SER_hh_emih_in!D22=0,0,SER_hh_emih_in!D22/SER_summary!D$27)</f>
        <v>9.7331520825218387</v>
      </c>
      <c r="E22" s="132">
        <f>IF(SER_hh_emih_in!E22=0,0,SER_hh_emih_in!E22/SER_summary!E$27)</f>
        <v>13.480112830084719</v>
      </c>
      <c r="F22" s="132">
        <f>IF(SER_hh_emih_in!F22=0,0,SER_hh_emih_in!F22/SER_summary!F$27)</f>
        <v>15.454320649841488</v>
      </c>
      <c r="G22" s="132">
        <f>IF(SER_hh_emih_in!G22=0,0,SER_hh_emih_in!G22/SER_summary!G$27)</f>
        <v>0</v>
      </c>
      <c r="H22" s="132">
        <f>IF(SER_hh_emih_in!H22=0,0,SER_hh_emih_in!H22/SER_summary!H$27)</f>
        <v>0</v>
      </c>
      <c r="I22" s="132">
        <f>IF(SER_hh_emih_in!I22=0,0,SER_hh_emih_in!I22/SER_summary!I$27)</f>
        <v>0</v>
      </c>
      <c r="J22" s="132">
        <f>IF(SER_hh_emih_in!J22=0,0,SER_hh_emih_in!J22/SER_summary!J$27)</f>
        <v>0</v>
      </c>
      <c r="K22" s="132">
        <f>IF(SER_hh_emih_in!K22=0,0,SER_hh_emih_in!K22/SER_summary!K$27)</f>
        <v>0</v>
      </c>
      <c r="L22" s="132">
        <f>IF(SER_hh_emih_in!L22=0,0,SER_hh_emih_in!L22/SER_summary!L$27)</f>
        <v>14.239091728869857</v>
      </c>
      <c r="M22" s="132">
        <f>IF(SER_hh_emih_in!M22=0,0,SER_hh_emih_in!M22/SER_summary!M$27)</f>
        <v>13.006325827589626</v>
      </c>
      <c r="N22" s="132">
        <f>IF(SER_hh_emih_in!N22=0,0,SER_hh_emih_in!N22/SER_summary!N$27)</f>
        <v>13.692811972785817</v>
      </c>
      <c r="O22" s="132">
        <f>IF(SER_hh_emih_in!O22=0,0,SER_hh_emih_in!O22/SER_summary!O$27)</f>
        <v>15.185587202766889</v>
      </c>
      <c r="P22" s="132">
        <f>IF(SER_hh_emih_in!P22=0,0,SER_hh_emih_in!P22/SER_summary!P$27)</f>
        <v>13.576190232946921</v>
      </c>
      <c r="Q22" s="132">
        <f>IF(SER_hh_emih_in!Q22=0,0,SER_hh_emih_in!Q22/SER_summary!Q$27)</f>
        <v>12.878179196866819</v>
      </c>
      <c r="R22" s="132">
        <f>IF(SER_hh_emih_in!R22=0,0,SER_hh_emih_in!R22/SER_summary!R$27)</f>
        <v>10.63428686474659</v>
      </c>
      <c r="S22" s="132">
        <f>IF(SER_hh_emih_in!S22=0,0,SER_hh_emih_in!S22/SER_summary!S$27)</f>
        <v>12.362344487757474</v>
      </c>
      <c r="T22" s="132">
        <f>IF(SER_hh_emih_in!T22=0,0,SER_hh_emih_in!T22/SER_summary!T$27)</f>
        <v>12.140468779667607</v>
      </c>
      <c r="U22" s="132">
        <f>IF(SER_hh_emih_in!U22=0,0,SER_hh_emih_in!U22/SER_summary!U$27)</f>
        <v>10.163839769826138</v>
      </c>
      <c r="V22" s="132">
        <f>IF(SER_hh_emih_in!V22=0,0,SER_hh_emih_in!V22/SER_summary!V$27)</f>
        <v>9.0220918971642821</v>
      </c>
      <c r="W22" s="132">
        <f>IF(SER_hh_emih_in!W22=0,0,SER_hh_emih_in!W22/SER_summary!W$27)</f>
        <v>11.731267157433386</v>
      </c>
      <c r="X22" s="132">
        <f>IF(SER_hh_emih_in!X22=0,0,SER_hh_emih_in!X22/SER_summary!X$27)</f>
        <v>10.988435303751709</v>
      </c>
      <c r="Y22" s="132">
        <f>IF(SER_hh_emih_in!Y22=0,0,SER_hh_emih_in!Y22/SER_summary!Y$27)</f>
        <v>11.001863236655078</v>
      </c>
      <c r="DA22" s="156" t="s">
        <v>898</v>
      </c>
    </row>
    <row r="23" spans="1:105" ht="12" customHeight="1" x14ac:dyDescent="0.25">
      <c r="A23" s="131" t="s">
        <v>149</v>
      </c>
      <c r="B23" s="132"/>
      <c r="C23" s="132">
        <f>IF(SER_hh_emih_in!C23=0,0,SER_hh_emih_in!C23/SER_summary!C$27)</f>
        <v>7.1505428916599643</v>
      </c>
      <c r="D23" s="132">
        <f>IF(SER_hh_emih_in!D23=0,0,SER_hh_emih_in!D23/SER_summary!D$27)</f>
        <v>4.1182399295247887</v>
      </c>
      <c r="E23" s="132">
        <f>IF(SER_hh_emih_in!E23=0,0,SER_hh_emih_in!E23/SER_summary!E$27)</f>
        <v>8.1371764931199237</v>
      </c>
      <c r="F23" s="132">
        <f>IF(SER_hh_emih_in!F23=0,0,SER_hh_emih_in!F23/SER_summary!F$27)</f>
        <v>12.32633089493706</v>
      </c>
      <c r="G23" s="132">
        <f>IF(SER_hh_emih_in!G23=0,0,SER_hh_emih_in!G23/SER_summary!G$27)</f>
        <v>10.505540471282766</v>
      </c>
      <c r="H23" s="132">
        <f>IF(SER_hh_emih_in!H23=0,0,SER_hh_emih_in!H23/SER_summary!H$27)</f>
        <v>12.057957235908859</v>
      </c>
      <c r="I23" s="132">
        <f>IF(SER_hh_emih_in!I23=0,0,SER_hh_emih_in!I23/SER_summary!I$27)</f>
        <v>10.079176654632221</v>
      </c>
      <c r="J23" s="132">
        <f>IF(SER_hh_emih_in!J23=0,0,SER_hh_emih_in!J23/SER_summary!J$27)</f>
        <v>8.7717105373540427</v>
      </c>
      <c r="K23" s="132">
        <f>IF(SER_hh_emih_in!K23=0,0,SER_hh_emih_in!K23/SER_summary!K$27)</f>
        <v>11.708021365833494</v>
      </c>
      <c r="L23" s="132">
        <f>IF(SER_hh_emih_in!L23=0,0,SER_hh_emih_in!L23/SER_summary!L$27)</f>
        <v>10.776008825219154</v>
      </c>
      <c r="M23" s="132">
        <f>IF(SER_hh_emih_in!M23=0,0,SER_hh_emih_in!M23/SER_summary!M$27)</f>
        <v>9.6432555024135844</v>
      </c>
      <c r="N23" s="132">
        <f>IF(SER_hh_emih_in!N23=0,0,SER_hh_emih_in!N23/SER_summary!N$27)</f>
        <v>9.4310141416945328</v>
      </c>
      <c r="O23" s="132">
        <f>IF(SER_hh_emih_in!O23=0,0,SER_hh_emih_in!O23/SER_summary!O$27)</f>
        <v>9.1799369165121263</v>
      </c>
      <c r="P23" s="132">
        <f>IF(SER_hh_emih_in!P23=0,0,SER_hh_emih_in!P23/SER_summary!P$27)</f>
        <v>9.0049005651776692</v>
      </c>
      <c r="Q23" s="132">
        <f>IF(SER_hh_emih_in!Q23=0,0,SER_hh_emih_in!Q23/SER_summary!Q$27)</f>
        <v>8.7516372355783574</v>
      </c>
      <c r="R23" s="132">
        <f>IF(SER_hh_emih_in!R23=0,0,SER_hh_emih_in!R23/SER_summary!R$27)</f>
        <v>8.7355404092173217</v>
      </c>
      <c r="S23" s="132">
        <f>IF(SER_hh_emih_in!S23=0,0,SER_hh_emih_in!S23/SER_summary!S$27)</f>
        <v>8.642419548977438</v>
      </c>
      <c r="T23" s="132">
        <f>IF(SER_hh_emih_in!T23=0,0,SER_hh_emih_in!T23/SER_summary!T$27)</f>
        <v>7.9520561552738629</v>
      </c>
      <c r="U23" s="132">
        <f>IF(SER_hh_emih_in!U23=0,0,SER_hh_emih_in!U23/SER_summary!U$27)</f>
        <v>7.766228414617073</v>
      </c>
      <c r="V23" s="132">
        <f>IF(SER_hh_emih_in!V23=0,0,SER_hh_emih_in!V23/SER_summary!V$27)</f>
        <v>7.4476717060071715</v>
      </c>
      <c r="W23" s="132">
        <f>IF(SER_hh_emih_in!W23=0,0,SER_hh_emih_in!W23/SER_summary!W$27)</f>
        <v>6.8386554244300797</v>
      </c>
      <c r="X23" s="132">
        <f>IF(SER_hh_emih_in!X23=0,0,SER_hh_emih_in!X23/SER_summary!X$27)</f>
        <v>0</v>
      </c>
      <c r="Y23" s="132">
        <f>IF(SER_hh_emih_in!Y23=0,0,SER_hh_emih_in!Y23/SER_summary!Y$27)</f>
        <v>0</v>
      </c>
      <c r="DA23" s="156" t="s">
        <v>899</v>
      </c>
    </row>
    <row r="24" spans="1:105" ht="12" customHeight="1" x14ac:dyDescent="0.25">
      <c r="A24" s="131" t="s">
        <v>128</v>
      </c>
      <c r="B24" s="132"/>
      <c r="C24" s="132">
        <f>IF(SER_hh_emih_in!C24=0,0,SER_hh_emih_in!C24/SER_summary!C$27)</f>
        <v>0</v>
      </c>
      <c r="D24" s="132">
        <f>IF(SER_hh_emih_in!D24=0,0,SER_hh_emih_in!D24/SER_summary!D$27)</f>
        <v>0</v>
      </c>
      <c r="E24" s="132">
        <f>IF(SER_hh_emih_in!E24=0,0,SER_hh_emih_in!E24/SER_summary!E$27)</f>
        <v>4.2033594625043101E-2</v>
      </c>
      <c r="F24" s="132">
        <f>IF(SER_hh_emih_in!F24=0,0,SER_hh_emih_in!F24/SER_summary!F$27)</f>
        <v>0</v>
      </c>
      <c r="G24" s="132">
        <f>IF(SER_hh_emih_in!G24=0,0,SER_hh_emih_in!G24/SER_summary!G$27)</f>
        <v>0</v>
      </c>
      <c r="H24" s="132">
        <f>IF(SER_hh_emih_in!H24=0,0,SER_hh_emih_in!H24/SER_summary!H$27)</f>
        <v>0</v>
      </c>
      <c r="I24" s="132">
        <f>IF(SER_hh_emih_in!I24=0,0,SER_hh_emih_in!I24/SER_summary!I$27)</f>
        <v>0</v>
      </c>
      <c r="J24" s="132">
        <f>IF(SER_hh_emih_in!J24=0,0,SER_hh_emih_in!J24/SER_summary!J$27)</f>
        <v>0</v>
      </c>
      <c r="K24" s="132">
        <f>IF(SER_hh_emih_in!K24=0,0,SER_hh_emih_in!K24/SER_summary!K$27)</f>
        <v>0</v>
      </c>
      <c r="L24" s="132">
        <f>IF(SER_hh_emih_in!L24=0,0,SER_hh_emih_in!L24/SER_summary!L$27)</f>
        <v>0</v>
      </c>
      <c r="M24" s="132">
        <f>IF(SER_hh_emih_in!M24=0,0,SER_hh_emih_in!M24/SER_summary!M$27)</f>
        <v>0</v>
      </c>
      <c r="N24" s="132">
        <f>IF(SER_hh_emih_in!N24=0,0,SER_hh_emih_in!N24/SER_summary!N$27)</f>
        <v>0</v>
      </c>
      <c r="O24" s="132">
        <f>IF(SER_hh_emih_in!O24=0,0,SER_hh_emih_in!O24/SER_summary!O$27)</f>
        <v>1.4167770853825083E-2</v>
      </c>
      <c r="P24" s="132">
        <f>IF(SER_hh_emih_in!P24=0,0,SER_hh_emih_in!P24/SER_summary!P$27)</f>
        <v>2.188525924620599</v>
      </c>
      <c r="Q24" s="132">
        <f>IF(SER_hh_emih_in!Q24=0,0,SER_hh_emih_in!Q24/SER_summary!Q$27)</f>
        <v>1.0772740162809715</v>
      </c>
      <c r="R24" s="132">
        <f>IF(SER_hh_emih_in!R24=0,0,SER_hh_emih_in!R24/SER_summary!R$27)</f>
        <v>0</v>
      </c>
      <c r="S24" s="132">
        <f>IF(SER_hh_emih_in!S24=0,0,SER_hh_emih_in!S24/SER_summary!S$27)</f>
        <v>0</v>
      </c>
      <c r="T24" s="132">
        <f>IF(SER_hh_emih_in!T24=0,0,SER_hh_emih_in!T24/SER_summary!T$27)</f>
        <v>0</v>
      </c>
      <c r="U24" s="132">
        <f>IF(SER_hh_emih_in!U24=0,0,SER_hh_emih_in!U24/SER_summary!U$27)</f>
        <v>0</v>
      </c>
      <c r="V24" s="132">
        <f>IF(SER_hh_emih_in!V24=0,0,SER_hh_emih_in!V24/SER_summary!V$27)</f>
        <v>0.34116972612758117</v>
      </c>
      <c r="W24" s="132">
        <f>IF(SER_hh_emih_in!W24=0,0,SER_hh_emih_in!W24/SER_summary!W$27)</f>
        <v>0</v>
      </c>
      <c r="X24" s="132">
        <f>IF(SER_hh_emih_in!X24=0,0,SER_hh_emih_in!X24/SER_summary!X$27)</f>
        <v>0</v>
      </c>
      <c r="Y24" s="132">
        <f>IF(SER_hh_emih_in!Y24=0,0,SER_hh_emih_in!Y24/SER_summary!Y$27)</f>
        <v>0.46103159423669188</v>
      </c>
      <c r="DA24" s="156" t="s">
        <v>900</v>
      </c>
    </row>
    <row r="25" spans="1:105" ht="12" customHeight="1" x14ac:dyDescent="0.25">
      <c r="A25" s="131" t="s">
        <v>162</v>
      </c>
      <c r="B25" s="132"/>
      <c r="C25" s="132">
        <f>IF(SER_hh_emih_in!C25=0,0,SER_hh_emih_in!C25/SER_summary!C$27)</f>
        <v>0</v>
      </c>
      <c r="D25" s="132">
        <f>IF(SER_hh_emih_in!D25=0,0,SER_hh_emih_in!D25/SER_summary!D$27)</f>
        <v>0</v>
      </c>
      <c r="E25" s="132">
        <f>IF(SER_hh_emih_in!E25=0,0,SER_hh_emih_in!E25/SER_summary!E$27)</f>
        <v>0</v>
      </c>
      <c r="F25" s="132">
        <f>IF(SER_hh_emih_in!F25=0,0,SER_hh_emih_in!F25/SER_summary!F$27)</f>
        <v>0</v>
      </c>
      <c r="G25" s="132">
        <f>IF(SER_hh_emih_in!G25=0,0,SER_hh_emih_in!G25/SER_summary!G$27)</f>
        <v>0</v>
      </c>
      <c r="H25" s="132">
        <f>IF(SER_hh_emih_in!H25=0,0,SER_hh_emih_in!H25/SER_summary!H$27)</f>
        <v>0</v>
      </c>
      <c r="I25" s="132">
        <f>IF(SER_hh_emih_in!I25=0,0,SER_hh_emih_in!I25/SER_summary!I$27)</f>
        <v>0</v>
      </c>
      <c r="J25" s="132">
        <f>IF(SER_hh_emih_in!J25=0,0,SER_hh_emih_in!J25/SER_summary!J$27)</f>
        <v>0</v>
      </c>
      <c r="K25" s="132">
        <f>IF(SER_hh_emih_in!K25=0,0,SER_hh_emih_in!K25/SER_summary!K$27)</f>
        <v>0</v>
      </c>
      <c r="L25" s="132">
        <f>IF(SER_hh_emih_in!L25=0,0,SER_hh_emih_in!L25/SER_summary!L$27)</f>
        <v>0</v>
      </c>
      <c r="M25" s="132">
        <f>IF(SER_hh_emih_in!M25=0,0,SER_hh_emih_in!M25/SER_summary!M$27)</f>
        <v>0</v>
      </c>
      <c r="N25" s="132">
        <f>IF(SER_hh_emih_in!N25=0,0,SER_hh_emih_in!N25/SER_summary!N$27)</f>
        <v>0</v>
      </c>
      <c r="O25" s="132">
        <f>IF(SER_hh_emih_in!O25=0,0,SER_hh_emih_in!O25/SER_summary!O$27)</f>
        <v>0</v>
      </c>
      <c r="P25" s="132">
        <f>IF(SER_hh_emih_in!P25=0,0,SER_hh_emih_in!P25/SER_summary!P$27)</f>
        <v>0</v>
      </c>
      <c r="Q25" s="132">
        <f>IF(SER_hh_emih_in!Q25=0,0,SER_hh_emih_in!Q25/SER_summary!Q$27)</f>
        <v>0</v>
      </c>
      <c r="R25" s="132">
        <f>IF(SER_hh_emih_in!R25=0,0,SER_hh_emih_in!R25/SER_summary!R$27)</f>
        <v>0</v>
      </c>
      <c r="S25" s="132">
        <f>IF(SER_hh_emih_in!S25=0,0,SER_hh_emih_in!S25/SER_summary!S$27)</f>
        <v>0</v>
      </c>
      <c r="T25" s="132">
        <f>IF(SER_hh_emih_in!T25=0,0,SER_hh_emih_in!T25/SER_summary!T$27)</f>
        <v>0</v>
      </c>
      <c r="U25" s="132">
        <f>IF(SER_hh_emih_in!U25=0,0,SER_hh_emih_in!U25/SER_summary!U$27)</f>
        <v>0</v>
      </c>
      <c r="V25" s="132">
        <f>IF(SER_hh_emih_in!V25=0,0,SER_hh_emih_in!V25/SER_summary!V$27)</f>
        <v>0</v>
      </c>
      <c r="W25" s="132">
        <f>IF(SER_hh_emih_in!W25=0,0,SER_hh_emih_in!W25/SER_summary!W$27)</f>
        <v>0</v>
      </c>
      <c r="X25" s="132">
        <f>IF(SER_hh_emih_in!X25=0,0,SER_hh_emih_in!X25/SER_summary!X$27)</f>
        <v>0</v>
      </c>
      <c r="Y25" s="132">
        <f>IF(SER_hh_emih_in!Y25=0,0,SER_hh_emih_in!Y25/SER_summary!Y$27)</f>
        <v>0</v>
      </c>
      <c r="DA25" s="156" t="s">
        <v>901</v>
      </c>
    </row>
    <row r="26" spans="1:105" ht="12" customHeight="1" x14ac:dyDescent="0.25">
      <c r="A26" s="131" t="s">
        <v>24</v>
      </c>
      <c r="B26" s="65"/>
      <c r="C26" s="65">
        <f>IF(SER_hh_emih_in!C26=0,0,SER_hh_emih_in!C26/SER_summary!C$27)</f>
        <v>0</v>
      </c>
      <c r="D26" s="65">
        <f>IF(SER_hh_emih_in!D26=0,0,SER_hh_emih_in!D26/SER_summary!D$27)</f>
        <v>0</v>
      </c>
      <c r="E26" s="65">
        <f>IF(SER_hh_emih_in!E26=0,0,SER_hh_emih_in!E26/SER_summary!E$27)</f>
        <v>0</v>
      </c>
      <c r="F26" s="65">
        <f>IF(SER_hh_emih_in!F26=0,0,SER_hh_emih_in!F26/SER_summary!F$27)</f>
        <v>0</v>
      </c>
      <c r="G26" s="65">
        <f>IF(SER_hh_emih_in!G26=0,0,SER_hh_emih_in!G26/SER_summary!G$27)</f>
        <v>0</v>
      </c>
      <c r="H26" s="65">
        <f>IF(SER_hh_emih_in!H26=0,0,SER_hh_emih_in!H26/SER_summary!H$27)</f>
        <v>0</v>
      </c>
      <c r="I26" s="65">
        <f>IF(SER_hh_emih_in!I26=0,0,SER_hh_emih_in!I26/SER_summary!I$27)</f>
        <v>0</v>
      </c>
      <c r="J26" s="65">
        <f>IF(SER_hh_emih_in!J26=0,0,SER_hh_emih_in!J26/SER_summary!J$27)</f>
        <v>0</v>
      </c>
      <c r="K26" s="65">
        <f>IF(SER_hh_emih_in!K26=0,0,SER_hh_emih_in!K26/SER_summary!K$27)</f>
        <v>0</v>
      </c>
      <c r="L26" s="65">
        <f>IF(SER_hh_emih_in!L26=0,0,SER_hh_emih_in!L26/SER_summary!L$27)</f>
        <v>0</v>
      </c>
      <c r="M26" s="65">
        <f>IF(SER_hh_emih_in!M26=0,0,SER_hh_emih_in!M26/SER_summary!M$27)</f>
        <v>0</v>
      </c>
      <c r="N26" s="65">
        <f>IF(SER_hh_emih_in!N26=0,0,SER_hh_emih_in!N26/SER_summary!N$27)</f>
        <v>0</v>
      </c>
      <c r="O26" s="65">
        <f>IF(SER_hh_emih_in!O26=0,0,SER_hh_emih_in!O26/SER_summary!O$27)</f>
        <v>0</v>
      </c>
      <c r="P26" s="65">
        <f>IF(SER_hh_emih_in!P26=0,0,SER_hh_emih_in!P26/SER_summary!P$27)</f>
        <v>0</v>
      </c>
      <c r="Q26" s="65">
        <f>IF(SER_hh_emih_in!Q26=0,0,SER_hh_emih_in!Q26/SER_summary!Q$27)</f>
        <v>0</v>
      </c>
      <c r="R26" s="65">
        <f>IF(SER_hh_emih_in!R26=0,0,SER_hh_emih_in!R26/SER_summary!R$27)</f>
        <v>0</v>
      </c>
      <c r="S26" s="65">
        <f>IF(SER_hh_emih_in!S26=0,0,SER_hh_emih_in!S26/SER_summary!S$27)</f>
        <v>0</v>
      </c>
      <c r="T26" s="65">
        <f>IF(SER_hh_emih_in!T26=0,0,SER_hh_emih_in!T26/SER_summary!T$27)</f>
        <v>0</v>
      </c>
      <c r="U26" s="65">
        <f>IF(SER_hh_emih_in!U26=0,0,SER_hh_emih_in!U26/SER_summary!U$27)</f>
        <v>0</v>
      </c>
      <c r="V26" s="65">
        <f>IF(SER_hh_emih_in!V26=0,0,SER_hh_emih_in!V26/SER_summary!V$27)</f>
        <v>0</v>
      </c>
      <c r="W26" s="65">
        <f>IF(SER_hh_emih_in!W26=0,0,SER_hh_emih_in!W26/SER_summary!W$27)</f>
        <v>0</v>
      </c>
      <c r="X26" s="65">
        <f>IF(SER_hh_emih_in!X26=0,0,SER_hh_emih_in!X26/SER_summary!X$27)</f>
        <v>0</v>
      </c>
      <c r="Y26" s="65">
        <f>IF(SER_hh_emih_in!Y26=0,0,SER_hh_emih_in!Y26/SER_summary!Y$27)</f>
        <v>0</v>
      </c>
      <c r="DA26" s="109" t="s">
        <v>902</v>
      </c>
    </row>
    <row r="27" spans="1:105" ht="12" customHeight="1" x14ac:dyDescent="0.25">
      <c r="A27" s="144" t="s">
        <v>86</v>
      </c>
      <c r="B27" s="147"/>
      <c r="C27" s="145">
        <f>IF(SER_hh_emih_in!C27=0,0,SER_hh_emih_in!C27/SER_summary!C$27)</f>
        <v>0</v>
      </c>
      <c r="D27" s="145">
        <f>IF(SER_hh_emih_in!D27=0,0,SER_hh_emih_in!D27/SER_summary!D$27)</f>
        <v>0</v>
      </c>
      <c r="E27" s="145">
        <f>IF(SER_hh_emih_in!E27=0,0,SER_hh_emih_in!E27/SER_summary!E$27)</f>
        <v>0</v>
      </c>
      <c r="F27" s="145">
        <f>IF(SER_hh_emih_in!F27=0,0,SER_hh_emih_in!F27/SER_summary!F$27)</f>
        <v>0</v>
      </c>
      <c r="G27" s="145">
        <f>IF(SER_hh_emih_in!G27=0,0,SER_hh_emih_in!G27/SER_summary!G$27)</f>
        <v>0</v>
      </c>
      <c r="H27" s="145">
        <f>IF(SER_hh_emih_in!H27=0,0,SER_hh_emih_in!H27/SER_summary!H$27)</f>
        <v>0</v>
      </c>
      <c r="I27" s="145">
        <f>IF(SER_hh_emih_in!I27=0,0,SER_hh_emih_in!I27/SER_summary!I$27)</f>
        <v>0</v>
      </c>
      <c r="J27" s="145">
        <f>IF(SER_hh_emih_in!J27=0,0,SER_hh_emih_in!J27/SER_summary!J$27)</f>
        <v>0</v>
      </c>
      <c r="K27" s="145">
        <f>IF(SER_hh_emih_in!K27=0,0,SER_hh_emih_in!K27/SER_summary!K$27)</f>
        <v>0</v>
      </c>
      <c r="L27" s="145">
        <f>IF(SER_hh_emih_in!L27=0,0,SER_hh_emih_in!L27/SER_summary!L$27)</f>
        <v>0</v>
      </c>
      <c r="M27" s="145">
        <f>IF(SER_hh_emih_in!M27=0,0,SER_hh_emih_in!M27/SER_summary!M$27)</f>
        <v>0</v>
      </c>
      <c r="N27" s="145">
        <f>IF(SER_hh_emih_in!N27=0,0,SER_hh_emih_in!N27/SER_summary!N$27)</f>
        <v>0</v>
      </c>
      <c r="O27" s="145">
        <f>IF(SER_hh_emih_in!O27=0,0,SER_hh_emih_in!O27/SER_summary!O$27)</f>
        <v>0</v>
      </c>
      <c r="P27" s="145">
        <f>IF(SER_hh_emih_in!P27=0,0,SER_hh_emih_in!P27/SER_summary!P$27)</f>
        <v>0</v>
      </c>
      <c r="Q27" s="145">
        <f>IF(SER_hh_emih_in!Q27=0,0,SER_hh_emih_in!Q27/SER_summary!Q$27)</f>
        <v>0</v>
      </c>
      <c r="R27" s="145">
        <f>IF(SER_hh_emih_in!R27=0,0,SER_hh_emih_in!R27/SER_summary!R$27)</f>
        <v>0</v>
      </c>
      <c r="S27" s="145">
        <f>IF(SER_hh_emih_in!S27=0,0,SER_hh_emih_in!S27/SER_summary!S$27)</f>
        <v>0</v>
      </c>
      <c r="T27" s="145">
        <f>IF(SER_hh_emih_in!T27=0,0,SER_hh_emih_in!T27/SER_summary!T$27)</f>
        <v>0</v>
      </c>
      <c r="U27" s="145">
        <f>IF(SER_hh_emih_in!U27=0,0,SER_hh_emih_in!U27/SER_summary!U$27)</f>
        <v>0</v>
      </c>
      <c r="V27" s="145">
        <f>IF(SER_hh_emih_in!V27=0,0,SER_hh_emih_in!V27/SER_summary!V$27)</f>
        <v>0</v>
      </c>
      <c r="W27" s="145">
        <f>IF(SER_hh_emih_in!W27=0,0,SER_hh_emih_in!W27/SER_summary!W$27)</f>
        <v>0</v>
      </c>
      <c r="X27" s="145">
        <f>IF(SER_hh_emih_in!X27=0,0,SER_hh_emih_in!X27/SER_summary!X$27)</f>
        <v>0</v>
      </c>
      <c r="Y27" s="145">
        <f>IF(SER_hh_emih_in!Y27=0,0,SER_hh_emih_in!Y27/SER_summary!Y$27)</f>
        <v>0</v>
      </c>
      <c r="DA27" s="158" t="s">
        <v>903</v>
      </c>
    </row>
    <row r="28" spans="1:105" ht="12" customHeight="1" x14ac:dyDescent="0.25">
      <c r="A28" s="78" t="s">
        <v>85</v>
      </c>
      <c r="B28" s="68"/>
      <c r="C28" s="146">
        <f>IF(SER_hh_emih_in!C28=0,0,SER_hh_emih_in!C28/SER_summary!C$27)</f>
        <v>0</v>
      </c>
      <c r="D28" s="146">
        <f>IF(SER_hh_emih_in!D28=0,0,SER_hh_emih_in!D28/SER_summary!D$27)</f>
        <v>0</v>
      </c>
      <c r="E28" s="146">
        <f>IF(SER_hh_emih_in!E28=0,0,SER_hh_emih_in!E28/SER_summary!E$27)</f>
        <v>0</v>
      </c>
      <c r="F28" s="146">
        <f>IF(SER_hh_emih_in!F28=0,0,SER_hh_emih_in!F28/SER_summary!F$27)</f>
        <v>0</v>
      </c>
      <c r="G28" s="146">
        <f>IF(SER_hh_emih_in!G28=0,0,SER_hh_emih_in!G28/SER_summary!G$27)</f>
        <v>0</v>
      </c>
      <c r="H28" s="146">
        <f>IF(SER_hh_emih_in!H28=0,0,SER_hh_emih_in!H28/SER_summary!H$27)</f>
        <v>0</v>
      </c>
      <c r="I28" s="146">
        <f>IF(SER_hh_emih_in!I28=0,0,SER_hh_emih_in!I28/SER_summary!I$27)</f>
        <v>0</v>
      </c>
      <c r="J28" s="146">
        <f>IF(SER_hh_emih_in!J28=0,0,SER_hh_emih_in!J28/SER_summary!J$27)</f>
        <v>0</v>
      </c>
      <c r="K28" s="146">
        <f>IF(SER_hh_emih_in!K28=0,0,SER_hh_emih_in!K28/SER_summary!K$27)</f>
        <v>0</v>
      </c>
      <c r="L28" s="146">
        <f>IF(SER_hh_emih_in!L28=0,0,SER_hh_emih_in!L28/SER_summary!L$27)</f>
        <v>0</v>
      </c>
      <c r="M28" s="146">
        <f>IF(SER_hh_emih_in!M28=0,0,SER_hh_emih_in!M28/SER_summary!M$27)</f>
        <v>0</v>
      </c>
      <c r="N28" s="146">
        <f>IF(SER_hh_emih_in!N28=0,0,SER_hh_emih_in!N28/SER_summary!N$27)</f>
        <v>0</v>
      </c>
      <c r="O28" s="146">
        <f>IF(SER_hh_emih_in!O28=0,0,SER_hh_emih_in!O28/SER_summary!O$27)</f>
        <v>0</v>
      </c>
      <c r="P28" s="146">
        <f>IF(SER_hh_emih_in!P28=0,0,SER_hh_emih_in!P28/SER_summary!P$27)</f>
        <v>0</v>
      </c>
      <c r="Q28" s="146">
        <f>IF(SER_hh_emih_in!Q28=0,0,SER_hh_emih_in!Q28/SER_summary!Q$27)</f>
        <v>0</v>
      </c>
      <c r="R28" s="146">
        <f>IF(SER_hh_emih_in!R28=0,0,SER_hh_emih_in!R28/SER_summary!R$27)</f>
        <v>0</v>
      </c>
      <c r="S28" s="146">
        <f>IF(SER_hh_emih_in!S28=0,0,SER_hh_emih_in!S28/SER_summary!S$27)</f>
        <v>0</v>
      </c>
      <c r="T28" s="146">
        <f>IF(SER_hh_emih_in!T28=0,0,SER_hh_emih_in!T28/SER_summary!T$27)</f>
        <v>0</v>
      </c>
      <c r="U28" s="146">
        <f>IF(SER_hh_emih_in!U28=0,0,SER_hh_emih_in!U28/SER_summary!U$27)</f>
        <v>0</v>
      </c>
      <c r="V28" s="146">
        <f>IF(SER_hh_emih_in!V28=0,0,SER_hh_emih_in!V28/SER_summary!V$27)</f>
        <v>0</v>
      </c>
      <c r="W28" s="146">
        <f>IF(SER_hh_emih_in!W28=0,0,SER_hh_emih_in!W28/SER_summary!W$27)</f>
        <v>0</v>
      </c>
      <c r="X28" s="146">
        <f>IF(SER_hh_emih_in!X28=0,0,SER_hh_emih_in!X28/SER_summary!X$27)</f>
        <v>0</v>
      </c>
      <c r="Y28" s="146">
        <f>IF(SER_hh_emih_in!Y28=0,0,SER_hh_emih_in!Y28/SER_summary!Y$27)</f>
        <v>0</v>
      </c>
      <c r="DA28" s="159"/>
    </row>
    <row r="29" spans="1:105" ht="12.95" customHeight="1" x14ac:dyDescent="0.25">
      <c r="A29" s="129" t="s">
        <v>34</v>
      </c>
      <c r="B29" s="130"/>
      <c r="C29" s="130">
        <f>IF(SER_hh_emih_in!C29=0,0,SER_hh_emih_in!C29/SER_summary!C$27)</f>
        <v>7.5098010657421748</v>
      </c>
      <c r="D29" s="130">
        <f>IF(SER_hh_emih_in!D29=0,0,SER_hh_emih_in!D29/SER_summary!D$27)</f>
        <v>5.8876942048282155</v>
      </c>
      <c r="E29" s="130">
        <f>IF(SER_hh_emih_in!E29=0,0,SER_hh_emih_in!E29/SER_summary!E$27)</f>
        <v>11.949216380878092</v>
      </c>
      <c r="F29" s="130">
        <f>IF(SER_hh_emih_in!F29=0,0,SER_hh_emih_in!F29/SER_summary!F$27)</f>
        <v>16.803608338094321</v>
      </c>
      <c r="G29" s="130">
        <f>IF(SER_hh_emih_in!G29=0,0,SER_hh_emih_in!G29/SER_summary!G$27)</f>
        <v>14.124224098250592</v>
      </c>
      <c r="H29" s="130">
        <f>IF(SER_hh_emih_in!H29=0,0,SER_hh_emih_in!H29/SER_summary!H$27)</f>
        <v>7.0370473294005089</v>
      </c>
      <c r="I29" s="130">
        <f>IF(SER_hh_emih_in!I29=0,0,SER_hh_emih_in!I29/SER_summary!I$27)</f>
        <v>2.8964380892989232</v>
      </c>
      <c r="J29" s="130">
        <f>IF(SER_hh_emih_in!J29=0,0,SER_hh_emih_in!J29/SER_summary!J$27)</f>
        <v>0.59108009669923034</v>
      </c>
      <c r="K29" s="130">
        <f>IF(SER_hh_emih_in!K29=0,0,SER_hh_emih_in!K29/SER_summary!K$27)</f>
        <v>1.1474815936906464</v>
      </c>
      <c r="L29" s="130">
        <f>IF(SER_hh_emih_in!L29=0,0,SER_hh_emih_in!L29/SER_summary!L$27)</f>
        <v>2.9048075165928435</v>
      </c>
      <c r="M29" s="130">
        <f>IF(SER_hh_emih_in!M29=0,0,SER_hh_emih_in!M29/SER_summary!M$27)</f>
        <v>4.2402040108240229</v>
      </c>
      <c r="N29" s="130">
        <f>IF(SER_hh_emih_in!N29=0,0,SER_hh_emih_in!N29/SER_summary!N$27)</f>
        <v>6.5966368839050338</v>
      </c>
      <c r="O29" s="130">
        <f>IF(SER_hh_emih_in!O29=0,0,SER_hh_emih_in!O29/SER_summary!O$27)</f>
        <v>7.6351542361398588</v>
      </c>
      <c r="P29" s="130">
        <f>IF(SER_hh_emih_in!P29=0,0,SER_hh_emih_in!P29/SER_summary!P$27)</f>
        <v>9.7567643674137035</v>
      </c>
      <c r="Q29" s="130">
        <f>IF(SER_hh_emih_in!Q29=0,0,SER_hh_emih_in!Q29/SER_summary!Q$27)</f>
        <v>10.780765022593899</v>
      </c>
      <c r="R29" s="130">
        <f>IF(SER_hh_emih_in!R29=0,0,SER_hh_emih_in!R29/SER_summary!R$27)</f>
        <v>9.280304052291191</v>
      </c>
      <c r="S29" s="130">
        <f>IF(SER_hh_emih_in!S29=0,0,SER_hh_emih_in!S29/SER_summary!S$27)</f>
        <v>7.0205164896526009</v>
      </c>
      <c r="T29" s="130">
        <f>IF(SER_hh_emih_in!T29=0,0,SER_hh_emih_in!T29/SER_summary!T$27)</f>
        <v>4.2393242861833977</v>
      </c>
      <c r="U29" s="130">
        <f>IF(SER_hh_emih_in!U29=0,0,SER_hh_emih_in!U29/SER_summary!U$27)</f>
        <v>3.6747556477725083</v>
      </c>
      <c r="V29" s="130">
        <f>IF(SER_hh_emih_in!V29=0,0,SER_hh_emih_in!V29/SER_summary!V$27)</f>
        <v>3.2168842850211088</v>
      </c>
      <c r="W29" s="130">
        <f>IF(SER_hh_emih_in!W29=0,0,SER_hh_emih_in!W29/SER_summary!W$27)</f>
        <v>3.0544663475052891</v>
      </c>
      <c r="X29" s="130">
        <f>IF(SER_hh_emih_in!X29=0,0,SER_hh_emih_in!X29/SER_summary!X$27)</f>
        <v>3.3645080617151373</v>
      </c>
      <c r="Y29" s="130">
        <f>IF(SER_hh_emih_in!Y29=0,0,SER_hh_emih_in!Y29/SER_summary!Y$27)</f>
        <v>4.9954415055545365</v>
      </c>
      <c r="DA29" s="155" t="s">
        <v>904</v>
      </c>
    </row>
    <row r="30" spans="1:105" s="2" customFormat="1" ht="12" customHeight="1" x14ac:dyDescent="0.25">
      <c r="A30" s="131" t="s">
        <v>52</v>
      </c>
      <c r="B30" s="132"/>
      <c r="C30" s="132">
        <f>IF(SER_hh_emih_in!C30=0,0,SER_hh_emih_in!C30/SER_summary!C$27)</f>
        <v>9.3223731308956523</v>
      </c>
      <c r="D30" s="132">
        <f>IF(SER_hh_emih_in!D30=0,0,SER_hh_emih_in!D30/SER_summary!D$27)</f>
        <v>4.1085340509068402</v>
      </c>
      <c r="E30" s="132">
        <f>IF(SER_hh_emih_in!E30=0,0,SER_hh_emih_in!E30/SER_summary!E$27)</f>
        <v>12.372963300232156</v>
      </c>
      <c r="F30" s="132">
        <f>IF(SER_hh_emih_in!F30=0,0,SER_hh_emih_in!F30/SER_summary!F$27)</f>
        <v>18.883989071168845</v>
      </c>
      <c r="G30" s="132">
        <f>IF(SER_hh_emih_in!G30=0,0,SER_hh_emih_in!G30/SER_summary!G$27)</f>
        <v>22.787518611747345</v>
      </c>
      <c r="H30" s="132">
        <f>IF(SER_hh_emih_in!H30=0,0,SER_hh_emih_in!H30/SER_summary!H$27)</f>
        <v>9.4470800514944777</v>
      </c>
      <c r="I30" s="132">
        <f>IF(SER_hh_emih_in!I30=0,0,SER_hh_emih_in!I30/SER_summary!I$27)</f>
        <v>28.946784341664536</v>
      </c>
      <c r="J30" s="132">
        <f>IF(SER_hh_emih_in!J30=0,0,SER_hh_emih_in!J30/SER_summary!J$27)</f>
        <v>0</v>
      </c>
      <c r="K30" s="132">
        <f>IF(SER_hh_emih_in!K30=0,0,SER_hh_emih_in!K30/SER_summary!K$27)</f>
        <v>0</v>
      </c>
      <c r="L30" s="132">
        <f>IF(SER_hh_emih_in!L30=0,0,SER_hh_emih_in!L30/SER_summary!L$27)</f>
        <v>0</v>
      </c>
      <c r="M30" s="132">
        <f>IF(SER_hh_emih_in!M30=0,0,SER_hh_emih_in!M30/SER_summary!M$27)</f>
        <v>0</v>
      </c>
      <c r="N30" s="132">
        <f>IF(SER_hh_emih_in!N30=0,0,SER_hh_emih_in!N30/SER_summary!N$27)</f>
        <v>16.682746606857176</v>
      </c>
      <c r="O30" s="132">
        <f>IF(SER_hh_emih_in!O30=0,0,SER_hh_emih_in!O30/SER_summary!O$27)</f>
        <v>16.915887539771685</v>
      </c>
      <c r="P30" s="132">
        <f>IF(SER_hh_emih_in!P30=0,0,SER_hh_emih_in!P30/SER_summary!P$27)</f>
        <v>18.381522138543861</v>
      </c>
      <c r="Q30" s="132">
        <f>IF(SER_hh_emih_in!Q30=0,0,SER_hh_emih_in!Q30/SER_summary!Q$27)</f>
        <v>20.399982837105437</v>
      </c>
      <c r="R30" s="132">
        <f>IF(SER_hh_emih_in!R30=0,0,SER_hh_emih_in!R30/SER_summary!R$27)</f>
        <v>17.947458758877996</v>
      </c>
      <c r="S30" s="132">
        <f>IF(SER_hh_emih_in!S30=0,0,SER_hh_emih_in!S30/SER_summary!S$27)</f>
        <v>17.329243585395741</v>
      </c>
      <c r="T30" s="132">
        <f>IF(SER_hh_emih_in!T30=0,0,SER_hh_emih_in!T30/SER_summary!T$27)</f>
        <v>17.666471463441862</v>
      </c>
      <c r="U30" s="132">
        <f>IF(SER_hh_emih_in!U30=0,0,SER_hh_emih_in!U30/SER_summary!U$27)</f>
        <v>17.440576899894001</v>
      </c>
      <c r="V30" s="132">
        <f>IF(SER_hh_emih_in!V30=0,0,SER_hh_emih_in!V30/SER_summary!V$27)</f>
        <v>16.069151524610398</v>
      </c>
      <c r="W30" s="132">
        <f>IF(SER_hh_emih_in!W30=0,0,SER_hh_emih_in!W30/SER_summary!W$27)</f>
        <v>16.889015369188208</v>
      </c>
      <c r="X30" s="132">
        <f>IF(SER_hh_emih_in!X30=0,0,SER_hh_emih_in!X30/SER_summary!X$27)</f>
        <v>17.942025077681638</v>
      </c>
      <c r="Y30" s="132">
        <f>IF(SER_hh_emih_in!Y30=0,0,SER_hh_emih_in!Y30/SER_summary!Y$27)</f>
        <v>17.160692736113198</v>
      </c>
      <c r="DA30" s="156" t="s">
        <v>905</v>
      </c>
    </row>
    <row r="31" spans="1:105" ht="12" customHeight="1" x14ac:dyDescent="0.25">
      <c r="A31" s="131" t="s">
        <v>149</v>
      </c>
      <c r="B31" s="132"/>
      <c r="C31" s="132">
        <f>IF(SER_hh_emih_in!C31=0,0,SER_hh_emih_in!C31/SER_summary!C$27)</f>
        <v>12.363377010532297</v>
      </c>
      <c r="D31" s="132">
        <f>IF(SER_hh_emih_in!D31=0,0,SER_hh_emih_in!D31/SER_summary!D$27)</f>
        <v>7.1060112372247231</v>
      </c>
      <c r="E31" s="132">
        <f>IF(SER_hh_emih_in!E31=0,0,SER_hh_emih_in!E31/SER_summary!E$27)</f>
        <v>11.72842960115258</v>
      </c>
      <c r="F31" s="132">
        <f>IF(SER_hh_emih_in!F31=0,0,SER_hh_emih_in!F31/SER_summary!F$27)</f>
        <v>15.666019801206756</v>
      </c>
      <c r="G31" s="132">
        <f>IF(SER_hh_emih_in!G31=0,0,SER_hh_emih_in!G31/SER_summary!G$27)</f>
        <v>12.756821767900748</v>
      </c>
      <c r="H31" s="132">
        <f>IF(SER_hh_emih_in!H31=0,0,SER_hh_emih_in!H31/SER_summary!H$27)</f>
        <v>17.479519077742996</v>
      </c>
      <c r="I31" s="132">
        <f>IF(SER_hh_emih_in!I31=0,0,SER_hh_emih_in!I31/SER_summary!I$27)</f>
        <v>13.262811600149883</v>
      </c>
      <c r="J31" s="132">
        <f>IF(SER_hh_emih_in!J31=0,0,SER_hh_emih_in!J31/SER_summary!J$27)</f>
        <v>14.450291533599154</v>
      </c>
      <c r="K31" s="132">
        <f>IF(SER_hh_emih_in!K31=0,0,SER_hh_emih_in!K31/SER_summary!K$27)</f>
        <v>15.077303032010974</v>
      </c>
      <c r="L31" s="132">
        <f>IF(SER_hh_emih_in!L31=0,0,SER_hh_emih_in!L31/SER_summary!L$27)</f>
        <v>15.117203100779729</v>
      </c>
      <c r="M31" s="132">
        <f>IF(SER_hh_emih_in!M31=0,0,SER_hh_emih_in!M31/SER_summary!M$27)</f>
        <v>15.2139595635247</v>
      </c>
      <c r="N31" s="132">
        <f>IF(SER_hh_emih_in!N31=0,0,SER_hh_emih_in!N31/SER_summary!N$27)</f>
        <v>15.208636908853611</v>
      </c>
      <c r="O31" s="132">
        <f>IF(SER_hh_emih_in!O31=0,0,SER_hh_emih_in!O31/SER_summary!O$27)</f>
        <v>15.675844701923161</v>
      </c>
      <c r="P31" s="132">
        <f>IF(SER_hh_emih_in!P31=0,0,SER_hh_emih_in!P31/SER_summary!P$27)</f>
        <v>15.495853345547959</v>
      </c>
      <c r="Q31" s="132">
        <f>IF(SER_hh_emih_in!Q31=0,0,SER_hh_emih_in!Q31/SER_summary!Q$27)</f>
        <v>16.2176236828269</v>
      </c>
      <c r="R31" s="132">
        <f>IF(SER_hh_emih_in!R31=0,0,SER_hh_emih_in!R31/SER_summary!R$27)</f>
        <v>15.304954236677091</v>
      </c>
      <c r="S31" s="132">
        <f>IF(SER_hh_emih_in!S31=0,0,SER_hh_emih_in!S31/SER_summary!S$27)</f>
        <v>15.855143908106736</v>
      </c>
      <c r="T31" s="132">
        <f>IF(SER_hh_emih_in!T31=0,0,SER_hh_emih_in!T31/SER_summary!T$27)</f>
        <v>15.067686936805314</v>
      </c>
      <c r="U31" s="132">
        <f>IF(SER_hh_emih_in!U31=0,0,SER_hh_emih_in!U31/SER_summary!U$27)</f>
        <v>14.919172974116014</v>
      </c>
      <c r="V31" s="132">
        <f>IF(SER_hh_emih_in!V31=0,0,SER_hh_emih_in!V31/SER_summary!V$27)</f>
        <v>14.09935148595158</v>
      </c>
      <c r="W31" s="132">
        <f>IF(SER_hh_emih_in!W31=0,0,SER_hh_emih_in!W31/SER_summary!W$27)</f>
        <v>14.626612476182951</v>
      </c>
      <c r="X31" s="132">
        <f>IF(SER_hh_emih_in!X31=0,0,SER_hh_emih_in!X31/SER_summary!X$27)</f>
        <v>15.16470046841871</v>
      </c>
      <c r="Y31" s="132">
        <f>IF(SER_hh_emih_in!Y31=0,0,SER_hh_emih_in!Y31/SER_summary!Y$27)</f>
        <v>15.722338558146264</v>
      </c>
      <c r="DA31" s="156" t="s">
        <v>906</v>
      </c>
    </row>
    <row r="32" spans="1:105" ht="12" customHeight="1" x14ac:dyDescent="0.25">
      <c r="A32" s="131" t="s">
        <v>128</v>
      </c>
      <c r="B32" s="132"/>
      <c r="C32" s="132">
        <f>IF(SER_hh_emih_in!C32=0,0,SER_hh_emih_in!C32/SER_summary!C$27)</f>
        <v>0</v>
      </c>
      <c r="D32" s="132">
        <f>IF(SER_hh_emih_in!D32=0,0,SER_hh_emih_in!D32/SER_summary!D$27)</f>
        <v>0</v>
      </c>
      <c r="E32" s="132">
        <f>IF(SER_hh_emih_in!E32=0,0,SER_hh_emih_in!E32/SER_summary!E$27)</f>
        <v>0</v>
      </c>
      <c r="F32" s="132">
        <f>IF(SER_hh_emih_in!F32=0,0,SER_hh_emih_in!F32/SER_summary!F$27)</f>
        <v>0</v>
      </c>
      <c r="G32" s="132">
        <f>IF(SER_hh_emih_in!G32=0,0,SER_hh_emih_in!G32/SER_summary!G$27)</f>
        <v>0</v>
      </c>
      <c r="H32" s="132">
        <f>IF(SER_hh_emih_in!H32=0,0,SER_hh_emih_in!H32/SER_summary!H$27)</f>
        <v>0</v>
      </c>
      <c r="I32" s="132">
        <f>IF(SER_hh_emih_in!I32=0,0,SER_hh_emih_in!I32/SER_summary!I$27)</f>
        <v>0</v>
      </c>
      <c r="J32" s="132">
        <f>IF(SER_hh_emih_in!J32=0,0,SER_hh_emih_in!J32/SER_summary!J$27)</f>
        <v>0</v>
      </c>
      <c r="K32" s="132">
        <f>IF(SER_hh_emih_in!K32=0,0,SER_hh_emih_in!K32/SER_summary!K$27)</f>
        <v>0</v>
      </c>
      <c r="L32" s="132">
        <f>IF(SER_hh_emih_in!L32=0,0,SER_hh_emih_in!L32/SER_summary!L$27)</f>
        <v>0</v>
      </c>
      <c r="M32" s="132">
        <f>IF(SER_hh_emih_in!M32=0,0,SER_hh_emih_in!M32/SER_summary!M$27)</f>
        <v>0</v>
      </c>
      <c r="N32" s="132">
        <f>IF(SER_hh_emih_in!N32=0,0,SER_hh_emih_in!N32/SER_summary!N$27)</f>
        <v>0</v>
      </c>
      <c r="O32" s="132">
        <f>IF(SER_hh_emih_in!O32=0,0,SER_hh_emih_in!O32/SER_summary!O$27)</f>
        <v>0</v>
      </c>
      <c r="P32" s="132">
        <f>IF(SER_hh_emih_in!P32=0,0,SER_hh_emih_in!P32/SER_summary!P$27)</f>
        <v>0</v>
      </c>
      <c r="Q32" s="132">
        <f>IF(SER_hh_emih_in!Q32=0,0,SER_hh_emih_in!Q32/SER_summary!Q$27)</f>
        <v>0</v>
      </c>
      <c r="R32" s="132">
        <f>IF(SER_hh_emih_in!R32=0,0,SER_hh_emih_in!R32/SER_summary!R$27)</f>
        <v>0</v>
      </c>
      <c r="S32" s="132">
        <f>IF(SER_hh_emih_in!S32=0,0,SER_hh_emih_in!S32/SER_summary!S$27)</f>
        <v>0</v>
      </c>
      <c r="T32" s="132">
        <f>IF(SER_hh_emih_in!T32=0,0,SER_hh_emih_in!T32/SER_summary!T$27)</f>
        <v>0</v>
      </c>
      <c r="U32" s="132">
        <f>IF(SER_hh_emih_in!U32=0,0,SER_hh_emih_in!U32/SER_summary!U$27)</f>
        <v>0</v>
      </c>
      <c r="V32" s="132">
        <f>IF(SER_hh_emih_in!V32=0,0,SER_hh_emih_in!V32/SER_summary!V$27)</f>
        <v>0</v>
      </c>
      <c r="W32" s="132">
        <f>IF(SER_hh_emih_in!W32=0,0,SER_hh_emih_in!W32/SER_summary!W$27)</f>
        <v>0</v>
      </c>
      <c r="X32" s="132">
        <f>IF(SER_hh_emih_in!X32=0,0,SER_hh_emih_in!X32/SER_summary!X$27)</f>
        <v>0</v>
      </c>
      <c r="Y32" s="132">
        <f>IF(SER_hh_emih_in!Y32=0,0,SER_hh_emih_in!Y32/SER_summary!Y$27)</f>
        <v>0</v>
      </c>
      <c r="DA32" s="156" t="s">
        <v>907</v>
      </c>
    </row>
    <row r="33" spans="1:105" ht="12" customHeight="1" x14ac:dyDescent="0.25">
      <c r="A33" s="62" t="s">
        <v>24</v>
      </c>
      <c r="B33" s="68"/>
      <c r="C33" s="68">
        <f>IF(SER_hh_emih_in!C33=0,0,SER_hh_emih_in!C33/SER_summary!C$27)</f>
        <v>0</v>
      </c>
      <c r="D33" s="68">
        <f>IF(SER_hh_emih_in!D33=0,0,SER_hh_emih_in!D33/SER_summary!D$27)</f>
        <v>0</v>
      </c>
      <c r="E33" s="68">
        <f>IF(SER_hh_emih_in!E33=0,0,SER_hh_emih_in!E33/SER_summary!E$27)</f>
        <v>0</v>
      </c>
      <c r="F33" s="68">
        <f>IF(SER_hh_emih_in!F33=0,0,SER_hh_emih_in!F33/SER_summary!F$27)</f>
        <v>0</v>
      </c>
      <c r="G33" s="68">
        <f>IF(SER_hh_emih_in!G33=0,0,SER_hh_emih_in!G33/SER_summary!G$27)</f>
        <v>0</v>
      </c>
      <c r="H33" s="68">
        <f>IF(SER_hh_emih_in!H33=0,0,SER_hh_emih_in!H33/SER_summary!H$27)</f>
        <v>0</v>
      </c>
      <c r="I33" s="68">
        <f>IF(SER_hh_emih_in!I33=0,0,SER_hh_emih_in!I33/SER_summary!I$27)</f>
        <v>0</v>
      </c>
      <c r="J33" s="68">
        <f>IF(SER_hh_emih_in!J33=0,0,SER_hh_emih_in!J33/SER_summary!J$27)</f>
        <v>0</v>
      </c>
      <c r="K33" s="68">
        <f>IF(SER_hh_emih_in!K33=0,0,SER_hh_emih_in!K33/SER_summary!K$27)</f>
        <v>0</v>
      </c>
      <c r="L33" s="68">
        <f>IF(SER_hh_emih_in!L33=0,0,SER_hh_emih_in!L33/SER_summary!L$27)</f>
        <v>0</v>
      </c>
      <c r="M33" s="68">
        <f>IF(SER_hh_emih_in!M33=0,0,SER_hh_emih_in!M33/SER_summary!M$27)</f>
        <v>0</v>
      </c>
      <c r="N33" s="68">
        <f>IF(SER_hh_emih_in!N33=0,0,SER_hh_emih_in!N33/SER_summary!N$27)</f>
        <v>0</v>
      </c>
      <c r="O33" s="68">
        <f>IF(SER_hh_emih_in!O33=0,0,SER_hh_emih_in!O33/SER_summary!O$27)</f>
        <v>0</v>
      </c>
      <c r="P33" s="68">
        <f>IF(SER_hh_emih_in!P33=0,0,SER_hh_emih_in!P33/SER_summary!P$27)</f>
        <v>0</v>
      </c>
      <c r="Q33" s="68">
        <f>IF(SER_hh_emih_in!Q33=0,0,SER_hh_emih_in!Q33/SER_summary!Q$27)</f>
        <v>0</v>
      </c>
      <c r="R33" s="68">
        <f>IF(SER_hh_emih_in!R33=0,0,SER_hh_emih_in!R33/SER_summary!R$27)</f>
        <v>0</v>
      </c>
      <c r="S33" s="68">
        <f>IF(SER_hh_emih_in!S33=0,0,SER_hh_emih_in!S33/SER_summary!S$27)</f>
        <v>0</v>
      </c>
      <c r="T33" s="68">
        <f>IF(SER_hh_emih_in!T33=0,0,SER_hh_emih_in!T33/SER_summary!T$27)</f>
        <v>0</v>
      </c>
      <c r="U33" s="68">
        <f>IF(SER_hh_emih_in!U33=0,0,SER_hh_emih_in!U33/SER_summary!U$27)</f>
        <v>0</v>
      </c>
      <c r="V33" s="68">
        <f>IF(SER_hh_emih_in!V33=0,0,SER_hh_emih_in!V33/SER_summary!V$27)</f>
        <v>0</v>
      </c>
      <c r="W33" s="68">
        <f>IF(SER_hh_emih_in!W33=0,0,SER_hh_emih_in!W33/SER_summary!W$27)</f>
        <v>0</v>
      </c>
      <c r="X33" s="68">
        <f>IF(SER_hh_emih_in!X33=0,0,SER_hh_emih_in!X33/SER_summary!X$27)</f>
        <v>0</v>
      </c>
      <c r="Y33" s="68">
        <f>IF(SER_hh_emih_in!Y33=0,0,SER_hh_emih_in!Y33/SER_summary!Y$27)</f>
        <v>0</v>
      </c>
      <c r="DA33" s="111" t="s">
        <v>908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>
    <tabColor theme="8" tint="0.59999389629810485"/>
    <pageSetUpPr fitToPage="1"/>
  </sheetPr>
  <dimension ref="A1:DA73"/>
  <sheetViews>
    <sheetView showGridLines="0" zoomScaleNormal="100" workbookViewId="0">
      <pane xSplit="1" ySplit="1" topLeftCell="I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61.7109375" style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12.95" customHeight="1" x14ac:dyDescent="0.25">
      <c r="A1" s="28" t="s">
        <v>966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X1" s="27">
        <v>2022</v>
      </c>
      <c r="Y1" s="27">
        <v>2023</v>
      </c>
      <c r="DA1" s="87" t="s">
        <v>150</v>
      </c>
    </row>
    <row r="2" spans="1:105" s="2" customFormat="1" ht="12" customHeight="1" x14ac:dyDescent="0.25">
      <c r="DA2" s="7"/>
    </row>
    <row r="3" spans="1:105" ht="12.95" customHeight="1" x14ac:dyDescent="0.25">
      <c r="A3" s="178" t="s">
        <v>81</v>
      </c>
      <c r="B3" s="179">
        <f t="shared" ref="B3" si="0">SUM(B4:B9)</f>
        <v>174.134109451668</v>
      </c>
      <c r="C3" s="179">
        <f t="shared" ref="C3:W3" si="1">SUM(C4:C9)</f>
        <v>185.91140895659817</v>
      </c>
      <c r="D3" s="179">
        <f t="shared" si="1"/>
        <v>196.93833351170389</v>
      </c>
      <c r="E3" s="179">
        <f t="shared" si="1"/>
        <v>215.18085385314049</v>
      </c>
      <c r="F3" s="179">
        <f t="shared" si="1"/>
        <v>236.47578104454541</v>
      </c>
      <c r="G3" s="179">
        <f t="shared" si="1"/>
        <v>262.84732759585478</v>
      </c>
      <c r="H3" s="179">
        <f t="shared" si="1"/>
        <v>289.49125368456947</v>
      </c>
      <c r="I3" s="179">
        <f t="shared" si="1"/>
        <v>313.82629495744203</v>
      </c>
      <c r="J3" s="179">
        <f t="shared" si="1"/>
        <v>337.98530882875866</v>
      </c>
      <c r="K3" s="179">
        <f t="shared" si="1"/>
        <v>354.88875134794762</v>
      </c>
      <c r="L3" s="179">
        <f t="shared" si="1"/>
        <v>369.46330969563644</v>
      </c>
      <c r="M3" s="179">
        <f t="shared" si="1"/>
        <v>379.42368215981082</v>
      </c>
      <c r="N3" s="179">
        <f t="shared" si="1"/>
        <v>389.92801542637932</v>
      </c>
      <c r="O3" s="179">
        <f t="shared" si="1"/>
        <v>403.87245986426575</v>
      </c>
      <c r="P3" s="179">
        <f t="shared" si="1"/>
        <v>422.40004754257461</v>
      </c>
      <c r="Q3" s="179">
        <f t="shared" si="1"/>
        <v>445.1563817103488</v>
      </c>
      <c r="R3" s="179">
        <f t="shared" si="1"/>
        <v>460.6344774234949</v>
      </c>
      <c r="S3" s="179">
        <f t="shared" si="1"/>
        <v>475.1954792771503</v>
      </c>
      <c r="T3" s="179">
        <f t="shared" si="1"/>
        <v>485.30265193170618</v>
      </c>
      <c r="U3" s="179">
        <f t="shared" si="1"/>
        <v>489.76372031992173</v>
      </c>
      <c r="V3" s="179">
        <f t="shared" si="1"/>
        <v>492.11440533057032</v>
      </c>
      <c r="W3" s="179">
        <f t="shared" si="1"/>
        <v>501.00415793680941</v>
      </c>
      <c r="X3" s="179">
        <f t="shared" ref="X3:Y3" si="2">SUM(X4:X9)</f>
        <v>502.22796233801341</v>
      </c>
      <c r="Y3" s="179">
        <f t="shared" si="2"/>
        <v>502.12197538309681</v>
      </c>
      <c r="DA3" s="188" t="s">
        <v>218</v>
      </c>
    </row>
    <row r="4" spans="1:105" ht="12" customHeight="1" x14ac:dyDescent="0.25">
      <c r="A4" s="131" t="s">
        <v>7</v>
      </c>
      <c r="B4" s="180">
        <f t="shared" ref="B4:B9" si="3">B12*B44/11630</f>
        <v>3.2088571126454233</v>
      </c>
      <c r="C4" s="180">
        <f t="shared" ref="C4:R9" si="4">C12*C44/11630</f>
        <v>3.5374226276327803</v>
      </c>
      <c r="D4" s="180">
        <f t="shared" si="4"/>
        <v>3.8053249561098235</v>
      </c>
      <c r="E4" s="180">
        <f t="shared" si="4"/>
        <v>4.2849657684612179</v>
      </c>
      <c r="F4" s="180">
        <f t="shared" si="4"/>
        <v>4.7966119732112169</v>
      </c>
      <c r="G4" s="180">
        <f t="shared" si="4"/>
        <v>5.4512726820788853</v>
      </c>
      <c r="H4" s="180">
        <f t="shared" si="4"/>
        <v>6.0508128425423919</v>
      </c>
      <c r="I4" s="180">
        <f t="shared" si="4"/>
        <v>6.6038143812012793</v>
      </c>
      <c r="J4" s="180">
        <f t="shared" si="4"/>
        <v>7.1571625636304024</v>
      </c>
      <c r="K4" s="180">
        <f t="shared" si="4"/>
        <v>7.6790128694027731</v>
      </c>
      <c r="L4" s="180">
        <f t="shared" si="4"/>
        <v>8.4346561185150879</v>
      </c>
      <c r="M4" s="180">
        <f t="shared" si="4"/>
        <v>9.1896533393893556</v>
      </c>
      <c r="N4" s="180">
        <f t="shared" si="4"/>
        <v>9.791777730600522</v>
      </c>
      <c r="O4" s="180">
        <f t="shared" si="4"/>
        <v>10.610406204348331</v>
      </c>
      <c r="P4" s="180">
        <f t="shared" si="4"/>
        <v>11.417619685178241</v>
      </c>
      <c r="Q4" s="180">
        <f t="shared" si="4"/>
        <v>12.378660126412937</v>
      </c>
      <c r="R4" s="180">
        <f t="shared" si="4"/>
        <v>13.027435560900045</v>
      </c>
      <c r="S4" s="180">
        <f t="shared" ref="D4:W9" si="5">S12*S44/11630</f>
        <v>13.747881930002475</v>
      </c>
      <c r="T4" s="180">
        <f t="shared" si="5"/>
        <v>14.335647859854131</v>
      </c>
      <c r="U4" s="180">
        <f t="shared" si="5"/>
        <v>14.812673072190657</v>
      </c>
      <c r="V4" s="180">
        <f t="shared" si="5"/>
        <v>15.28133571915353</v>
      </c>
      <c r="W4" s="180">
        <f t="shared" si="5"/>
        <v>15.657645070875031</v>
      </c>
      <c r="X4" s="180">
        <f t="shared" ref="X4:Y4" si="6">X12*X44/11630</f>
        <v>15.847947812287011</v>
      </c>
      <c r="Y4" s="180">
        <f t="shared" si="6"/>
        <v>15.906894560437784</v>
      </c>
      <c r="DA4" s="189" t="s">
        <v>909</v>
      </c>
    </row>
    <row r="5" spans="1:105" ht="12" customHeight="1" x14ac:dyDescent="0.25">
      <c r="A5" s="131" t="s">
        <v>6</v>
      </c>
      <c r="B5" s="180">
        <f t="shared" si="3"/>
        <v>40.382704426288328</v>
      </c>
      <c r="C5" s="180">
        <f t="shared" si="4"/>
        <v>41.727671707903355</v>
      </c>
      <c r="D5" s="180">
        <f t="shared" si="5"/>
        <v>44.612799499250706</v>
      </c>
      <c r="E5" s="180">
        <f t="shared" si="5"/>
        <v>48.413694809985074</v>
      </c>
      <c r="F5" s="180">
        <f t="shared" si="5"/>
        <v>53.152418005569807</v>
      </c>
      <c r="G5" s="180">
        <f t="shared" si="5"/>
        <v>60.155122049801513</v>
      </c>
      <c r="H5" s="180">
        <f t="shared" si="5"/>
        <v>69.059983541608403</v>
      </c>
      <c r="I5" s="180">
        <f t="shared" si="5"/>
        <v>75.474133591298553</v>
      </c>
      <c r="J5" s="180">
        <f t="shared" si="5"/>
        <v>81.641425489418921</v>
      </c>
      <c r="K5" s="180">
        <f t="shared" si="5"/>
        <v>85.433867305792319</v>
      </c>
      <c r="L5" s="180">
        <f t="shared" si="5"/>
        <v>88.237991109522426</v>
      </c>
      <c r="M5" s="180">
        <f t="shared" si="5"/>
        <v>90.325010200004229</v>
      </c>
      <c r="N5" s="180">
        <f t="shared" si="5"/>
        <v>91.998542930029984</v>
      </c>
      <c r="O5" s="180">
        <f t="shared" si="5"/>
        <v>93.414136945580182</v>
      </c>
      <c r="P5" s="180">
        <f t="shared" si="5"/>
        <v>95.994715588223386</v>
      </c>
      <c r="Q5" s="180">
        <f t="shared" si="5"/>
        <v>98.781371811096278</v>
      </c>
      <c r="R5" s="180">
        <f t="shared" si="5"/>
        <v>99.666081607700747</v>
      </c>
      <c r="S5" s="180">
        <f t="shared" si="5"/>
        <v>100.65613167684552</v>
      </c>
      <c r="T5" s="180">
        <f t="shared" si="5"/>
        <v>100.86243593557396</v>
      </c>
      <c r="U5" s="180">
        <f t="shared" si="5"/>
        <v>98.846698378774306</v>
      </c>
      <c r="V5" s="180">
        <f t="shared" si="5"/>
        <v>95.964282038146592</v>
      </c>
      <c r="W5" s="180">
        <f t="shared" si="5"/>
        <v>93.793258992290305</v>
      </c>
      <c r="X5" s="180">
        <f t="shared" ref="X5:Y5" si="7">X13*X45/11630</f>
        <v>92.088869864419792</v>
      </c>
      <c r="Y5" s="180">
        <f t="shared" si="7"/>
        <v>91.033503985369506</v>
      </c>
      <c r="DA5" s="189" t="s">
        <v>910</v>
      </c>
    </row>
    <row r="6" spans="1:105" ht="12" customHeight="1" x14ac:dyDescent="0.25">
      <c r="A6" s="131" t="s">
        <v>5</v>
      </c>
      <c r="B6" s="180">
        <f t="shared" si="3"/>
        <v>28.484192684212182</v>
      </c>
      <c r="C6" s="180">
        <f t="shared" si="4"/>
        <v>31.175172094781157</v>
      </c>
      <c r="D6" s="180">
        <f t="shared" si="5"/>
        <v>32.914850693254706</v>
      </c>
      <c r="E6" s="180">
        <f t="shared" si="5"/>
        <v>36.097717260242575</v>
      </c>
      <c r="F6" s="180">
        <f t="shared" si="5"/>
        <v>39.29148180682121</v>
      </c>
      <c r="G6" s="180">
        <f t="shared" si="5"/>
        <v>42.634331333605729</v>
      </c>
      <c r="H6" s="180">
        <f t="shared" si="5"/>
        <v>45.448586607523801</v>
      </c>
      <c r="I6" s="180">
        <f t="shared" si="5"/>
        <v>47.87673469409043</v>
      </c>
      <c r="J6" s="180">
        <f t="shared" si="5"/>
        <v>51.608711825688005</v>
      </c>
      <c r="K6" s="180">
        <f t="shared" si="5"/>
        <v>54.552279770287662</v>
      </c>
      <c r="L6" s="180">
        <f t="shared" si="5"/>
        <v>57.497959086538373</v>
      </c>
      <c r="M6" s="180">
        <f t="shared" si="5"/>
        <v>59.743562175414539</v>
      </c>
      <c r="N6" s="180">
        <f t="shared" si="5"/>
        <v>63.245861357628719</v>
      </c>
      <c r="O6" s="180">
        <f t="shared" si="5"/>
        <v>68.054798767230821</v>
      </c>
      <c r="P6" s="180">
        <f t="shared" si="5"/>
        <v>72.514698728821642</v>
      </c>
      <c r="Q6" s="180">
        <f t="shared" si="5"/>
        <v>77.315481940978842</v>
      </c>
      <c r="R6" s="180">
        <f t="shared" si="5"/>
        <v>77.864043150005514</v>
      </c>
      <c r="S6" s="180">
        <f t="shared" si="5"/>
        <v>79.843456138128914</v>
      </c>
      <c r="T6" s="180">
        <f t="shared" si="5"/>
        <v>79.112892608387114</v>
      </c>
      <c r="U6" s="180">
        <f t="shared" si="5"/>
        <v>74.776986549455543</v>
      </c>
      <c r="V6" s="180">
        <f t="shared" si="5"/>
        <v>68.63535604224856</v>
      </c>
      <c r="W6" s="180">
        <f t="shared" si="5"/>
        <v>66.103814624108296</v>
      </c>
      <c r="X6" s="180">
        <f t="shared" ref="X6:Y6" si="8">X14*X46/11630</f>
        <v>62.811404560795701</v>
      </c>
      <c r="Y6" s="180">
        <f t="shared" si="8"/>
        <v>59.364778158760075</v>
      </c>
      <c r="DA6" s="189" t="s">
        <v>911</v>
      </c>
    </row>
    <row r="7" spans="1:105" ht="12" customHeight="1" x14ac:dyDescent="0.25">
      <c r="A7" s="131" t="s">
        <v>171</v>
      </c>
      <c r="B7" s="180">
        <f t="shared" si="3"/>
        <v>79.306547753852286</v>
      </c>
      <c r="C7" s="180">
        <f t="shared" si="4"/>
        <v>83.715961319591486</v>
      </c>
      <c r="D7" s="180">
        <f t="shared" si="5"/>
        <v>86.769904082625587</v>
      </c>
      <c r="E7" s="180">
        <f t="shared" si="5"/>
        <v>93.305937404187929</v>
      </c>
      <c r="F7" s="180">
        <f t="shared" si="5"/>
        <v>99.498830539179963</v>
      </c>
      <c r="G7" s="180">
        <f t="shared" si="5"/>
        <v>108.35782654764655</v>
      </c>
      <c r="H7" s="180">
        <f t="shared" si="5"/>
        <v>115.83017875176797</v>
      </c>
      <c r="I7" s="180">
        <f t="shared" si="5"/>
        <v>125.02351296949975</v>
      </c>
      <c r="J7" s="180">
        <f t="shared" si="5"/>
        <v>133.16253416382497</v>
      </c>
      <c r="K7" s="180">
        <f t="shared" si="5"/>
        <v>137.33005051304855</v>
      </c>
      <c r="L7" s="180">
        <f t="shared" si="5"/>
        <v>140.26064156217265</v>
      </c>
      <c r="M7" s="180">
        <f t="shared" si="5"/>
        <v>140.45486385339447</v>
      </c>
      <c r="N7" s="180">
        <f t="shared" si="5"/>
        <v>140.86983137902095</v>
      </c>
      <c r="O7" s="180">
        <f t="shared" si="5"/>
        <v>141.92644475291425</v>
      </c>
      <c r="P7" s="180">
        <f t="shared" si="5"/>
        <v>143.36274490817809</v>
      </c>
      <c r="Q7" s="180">
        <f t="shared" si="5"/>
        <v>145.82368116661232</v>
      </c>
      <c r="R7" s="180">
        <f t="shared" si="5"/>
        <v>150.74840729905878</v>
      </c>
      <c r="S7" s="180">
        <f t="shared" si="5"/>
        <v>152.29301678376024</v>
      </c>
      <c r="T7" s="180">
        <f t="shared" si="5"/>
        <v>153.96941990561155</v>
      </c>
      <c r="U7" s="180">
        <f t="shared" si="5"/>
        <v>158.21857678413582</v>
      </c>
      <c r="V7" s="180">
        <f t="shared" si="5"/>
        <v>166.39588860904658</v>
      </c>
      <c r="W7" s="180">
        <f t="shared" si="5"/>
        <v>170.55703796983678</v>
      </c>
      <c r="X7" s="180">
        <f t="shared" ref="X7:Y7" si="9">X15*X47/11630</f>
        <v>172.41015621844454</v>
      </c>
      <c r="Y7" s="180">
        <f t="shared" si="9"/>
        <v>173.37755864495415</v>
      </c>
      <c r="DA7" s="189" t="s">
        <v>912</v>
      </c>
    </row>
    <row r="8" spans="1:105" ht="12" customHeight="1" x14ac:dyDescent="0.25">
      <c r="A8" s="60" t="s">
        <v>4</v>
      </c>
      <c r="B8" s="55">
        <f t="shared" si="3"/>
        <v>6.6917028131736602</v>
      </c>
      <c r="C8" s="55">
        <f t="shared" si="4"/>
        <v>7.586816934017822</v>
      </c>
      <c r="D8" s="55">
        <f t="shared" si="5"/>
        <v>8.3293091301790732</v>
      </c>
      <c r="E8" s="55">
        <f t="shared" si="5"/>
        <v>9.5653599601461519</v>
      </c>
      <c r="F8" s="55">
        <f t="shared" si="5"/>
        <v>11.012269569873103</v>
      </c>
      <c r="G8" s="55">
        <f t="shared" si="5"/>
        <v>12.783501038283266</v>
      </c>
      <c r="H8" s="55">
        <f t="shared" si="5"/>
        <v>14.815437623167588</v>
      </c>
      <c r="I8" s="55">
        <f t="shared" si="5"/>
        <v>16.436797451795925</v>
      </c>
      <c r="J8" s="55">
        <f t="shared" si="5"/>
        <v>18.109711904743111</v>
      </c>
      <c r="K8" s="55">
        <f t="shared" si="5"/>
        <v>19.348276363774811</v>
      </c>
      <c r="L8" s="55">
        <f t="shared" si="5"/>
        <v>20.950884109754821</v>
      </c>
      <c r="M8" s="55">
        <f t="shared" si="5"/>
        <v>22.44321988917098</v>
      </c>
      <c r="N8" s="55">
        <f t="shared" si="5"/>
        <v>23.841056656989362</v>
      </c>
      <c r="O8" s="55">
        <f t="shared" si="5"/>
        <v>25.394739866020483</v>
      </c>
      <c r="P8" s="55">
        <f t="shared" si="5"/>
        <v>27.042629318324462</v>
      </c>
      <c r="Q8" s="55">
        <f t="shared" si="5"/>
        <v>28.715679763799486</v>
      </c>
      <c r="R8" s="55">
        <f t="shared" si="5"/>
        <v>30.657047190483596</v>
      </c>
      <c r="S8" s="55">
        <f t="shared" si="5"/>
        <v>33.145250128604594</v>
      </c>
      <c r="T8" s="55">
        <f t="shared" si="5"/>
        <v>35.127436068372802</v>
      </c>
      <c r="U8" s="55">
        <f t="shared" si="5"/>
        <v>36.509305416886669</v>
      </c>
      <c r="V8" s="55">
        <f t="shared" si="5"/>
        <v>36.757996735949199</v>
      </c>
      <c r="W8" s="55">
        <f t="shared" si="5"/>
        <v>39.35590135990482</v>
      </c>
      <c r="X8" s="55">
        <f t="shared" ref="X8:Y8" si="10">X16*X48/11630</f>
        <v>40.59434372953347</v>
      </c>
      <c r="Y8" s="55">
        <f t="shared" si="10"/>
        <v>41.587774286350601</v>
      </c>
      <c r="DA8" s="101" t="s">
        <v>913</v>
      </c>
    </row>
    <row r="9" spans="1:105" ht="12" customHeight="1" x14ac:dyDescent="0.25">
      <c r="A9" s="62" t="s">
        <v>3</v>
      </c>
      <c r="B9" s="63">
        <f t="shared" si="3"/>
        <v>16.060104661496098</v>
      </c>
      <c r="C9" s="63">
        <f t="shared" si="4"/>
        <v>18.168364272671539</v>
      </c>
      <c r="D9" s="63">
        <f t="shared" si="5"/>
        <v>20.506145150283995</v>
      </c>
      <c r="E9" s="63">
        <f t="shared" si="5"/>
        <v>23.513178650117574</v>
      </c>
      <c r="F9" s="63">
        <f t="shared" si="5"/>
        <v>28.724169149890106</v>
      </c>
      <c r="G9" s="63">
        <f t="shared" si="5"/>
        <v>33.465273944438835</v>
      </c>
      <c r="H9" s="63">
        <f t="shared" si="5"/>
        <v>38.286254317959319</v>
      </c>
      <c r="I9" s="63">
        <f t="shared" si="5"/>
        <v>42.411301869556091</v>
      </c>
      <c r="J9" s="63">
        <f t="shared" si="5"/>
        <v>46.305762881453241</v>
      </c>
      <c r="K9" s="63">
        <f t="shared" si="5"/>
        <v>50.545264525641514</v>
      </c>
      <c r="L9" s="63">
        <f t="shared" si="5"/>
        <v>54.081177709133044</v>
      </c>
      <c r="M9" s="63">
        <f t="shared" si="5"/>
        <v>57.267372702437314</v>
      </c>
      <c r="N9" s="63">
        <f t="shared" si="5"/>
        <v>60.180945372109832</v>
      </c>
      <c r="O9" s="63">
        <f t="shared" si="5"/>
        <v>64.471933328171716</v>
      </c>
      <c r="P9" s="63">
        <f t="shared" si="5"/>
        <v>72.067639313848815</v>
      </c>
      <c r="Q9" s="63">
        <f t="shared" si="5"/>
        <v>82.141506901448878</v>
      </c>
      <c r="R9" s="63">
        <f t="shared" si="5"/>
        <v>88.671462615346243</v>
      </c>
      <c r="S9" s="63">
        <f t="shared" si="5"/>
        <v>95.50974261980862</v>
      </c>
      <c r="T9" s="63">
        <f t="shared" si="5"/>
        <v>101.89481955390663</v>
      </c>
      <c r="U9" s="63">
        <f t="shared" si="5"/>
        <v>106.59948011847875</v>
      </c>
      <c r="V9" s="63">
        <f t="shared" si="5"/>
        <v>109.07954618602585</v>
      </c>
      <c r="W9" s="63">
        <f t="shared" si="5"/>
        <v>115.53649991979418</v>
      </c>
      <c r="X9" s="63">
        <f t="shared" ref="X9:Y9" si="11">X17*X49/11630</f>
        <v>118.47524015253285</v>
      </c>
      <c r="Y9" s="63">
        <f t="shared" si="11"/>
        <v>120.85146574722467</v>
      </c>
      <c r="DA9" s="105" t="s">
        <v>914</v>
      </c>
    </row>
    <row r="10" spans="1:105" s="2" customFormat="1" ht="12" customHeight="1" x14ac:dyDescent="0.25">
      <c r="DA10" s="7"/>
    </row>
    <row r="11" spans="1:105" ht="12.95" customHeight="1" x14ac:dyDescent="0.25">
      <c r="A11" s="178" t="s">
        <v>108</v>
      </c>
      <c r="B11" s="179">
        <f t="shared" ref="B11" si="12">SUM(B12:B17)</f>
        <v>591.02758875236304</v>
      </c>
      <c r="C11" s="179">
        <f t="shared" ref="C11:W11" si="13">SUM(C12:C17)</f>
        <v>633.47682820864975</v>
      </c>
      <c r="D11" s="179">
        <f t="shared" si="13"/>
        <v>673.59266406772304</v>
      </c>
      <c r="E11" s="179">
        <f t="shared" si="13"/>
        <v>740.88607829023715</v>
      </c>
      <c r="F11" s="179">
        <f t="shared" si="13"/>
        <v>828.23401414619343</v>
      </c>
      <c r="G11" s="179">
        <f t="shared" si="13"/>
        <v>929.5006467083067</v>
      </c>
      <c r="H11" s="179">
        <f t="shared" si="13"/>
        <v>1036.5532461229664</v>
      </c>
      <c r="I11" s="179">
        <f t="shared" si="13"/>
        <v>1123.5782858758391</v>
      </c>
      <c r="J11" s="179">
        <f t="shared" si="13"/>
        <v>1215.1737925337823</v>
      </c>
      <c r="K11" s="179">
        <f t="shared" si="13"/>
        <v>1285.796764043062</v>
      </c>
      <c r="L11" s="179">
        <f t="shared" si="13"/>
        <v>1350.4641089318275</v>
      </c>
      <c r="M11" s="179">
        <f t="shared" si="13"/>
        <v>1402.043570253149</v>
      </c>
      <c r="N11" s="179">
        <f t="shared" si="13"/>
        <v>1457.4305097847878</v>
      </c>
      <c r="O11" s="179">
        <f t="shared" si="13"/>
        <v>1529.3010371520056</v>
      </c>
      <c r="P11" s="179">
        <f t="shared" si="13"/>
        <v>1624.1184099518468</v>
      </c>
      <c r="Q11" s="179">
        <f t="shared" si="13"/>
        <v>1735.4031423576737</v>
      </c>
      <c r="R11" s="179">
        <f t="shared" si="13"/>
        <v>1814.2838129572958</v>
      </c>
      <c r="S11" s="179">
        <f t="shared" si="13"/>
        <v>1889.3489704429855</v>
      </c>
      <c r="T11" s="179">
        <f t="shared" si="13"/>
        <v>1944.5563922702058</v>
      </c>
      <c r="U11" s="179">
        <f t="shared" si="13"/>
        <v>1978.9151796213614</v>
      </c>
      <c r="V11" s="179">
        <f t="shared" si="13"/>
        <v>2004.3302395725846</v>
      </c>
      <c r="W11" s="179">
        <f t="shared" si="13"/>
        <v>2020.0653220173308</v>
      </c>
      <c r="X11" s="179">
        <f t="shared" ref="X11:Y11" si="14">SUM(X12:X17)</f>
        <v>2029.056460344804</v>
      </c>
      <c r="Y11" s="179">
        <f t="shared" si="14"/>
        <v>2032.2001367178759</v>
      </c>
      <c r="DA11" s="188" t="s">
        <v>915</v>
      </c>
    </row>
    <row r="12" spans="1:105" ht="12" customHeight="1" x14ac:dyDescent="0.25">
      <c r="A12" s="131" t="s">
        <v>7</v>
      </c>
      <c r="B12" s="180">
        <f>B20*B52</f>
        <v>4.2601607557153285</v>
      </c>
      <c r="C12" s="180">
        <f t="shared" ref="C12:W12" si="15">C20*C52</f>
        <v>4.6963727350878122</v>
      </c>
      <c r="D12" s="180">
        <f t="shared" si="15"/>
        <v>5.0520467168444334</v>
      </c>
      <c r="E12" s="180">
        <f t="shared" si="15"/>
        <v>5.6888301241100416</v>
      </c>
      <c r="F12" s="180">
        <f t="shared" si="15"/>
        <v>6.368104708726765</v>
      </c>
      <c r="G12" s="180">
        <f t="shared" si="15"/>
        <v>7.2372490060019912</v>
      </c>
      <c r="H12" s="180">
        <f t="shared" si="15"/>
        <v>8.0332138537406426</v>
      </c>
      <c r="I12" s="180">
        <f t="shared" si="15"/>
        <v>8.7673928371427952</v>
      </c>
      <c r="J12" s="180">
        <f t="shared" si="15"/>
        <v>9.5020320336782653</v>
      </c>
      <c r="K12" s="180">
        <f t="shared" si="15"/>
        <v>10.194853843739073</v>
      </c>
      <c r="L12" s="180">
        <f t="shared" si="15"/>
        <v>11.198065143645033</v>
      </c>
      <c r="M12" s="180">
        <f t="shared" si="15"/>
        <v>12.200418759942716</v>
      </c>
      <c r="N12" s="180">
        <f t="shared" si="15"/>
        <v>12.999814498502749</v>
      </c>
      <c r="O12" s="180">
        <f t="shared" si="15"/>
        <v>14.086646593215878</v>
      </c>
      <c r="P12" s="180">
        <f t="shared" si="15"/>
        <v>15.158323851440977</v>
      </c>
      <c r="Q12" s="180">
        <f t="shared" si="15"/>
        <v>16.434225715774261</v>
      </c>
      <c r="R12" s="180">
        <f t="shared" si="15"/>
        <v>17.295556572290817</v>
      </c>
      <c r="S12" s="180">
        <f t="shared" si="15"/>
        <v>18.252039594284103</v>
      </c>
      <c r="T12" s="180">
        <f t="shared" si="15"/>
        <v>19.032372672386252</v>
      </c>
      <c r="U12" s="180">
        <f t="shared" si="15"/>
        <v>19.665683542189196</v>
      </c>
      <c r="V12" s="180">
        <f t="shared" si="15"/>
        <v>20.287892056364793</v>
      </c>
      <c r="W12" s="180">
        <f t="shared" si="15"/>
        <v>20.787489974232489</v>
      </c>
      <c r="X12" s="180">
        <f t="shared" ref="X12:Y12" si="16">X20*X52</f>
        <v>21.040140759919854</v>
      </c>
      <c r="Y12" s="180">
        <f t="shared" si="16"/>
        <v>21.118399970078929</v>
      </c>
      <c r="DA12" s="189" t="s">
        <v>916</v>
      </c>
    </row>
    <row r="13" spans="1:105" ht="12" customHeight="1" x14ac:dyDescent="0.25">
      <c r="A13" s="131" t="s">
        <v>6</v>
      </c>
      <c r="B13" s="180">
        <f>B21*B53/1000</f>
        <v>154.77895317608025</v>
      </c>
      <c r="C13" s="180">
        <f t="shared" ref="C13:W13" si="17">C21*C53/1000</f>
        <v>159.39126171227602</v>
      </c>
      <c r="D13" s="180">
        <f t="shared" si="17"/>
        <v>170.07788194810354</v>
      </c>
      <c r="E13" s="180">
        <f t="shared" si="17"/>
        <v>183.90245861265836</v>
      </c>
      <c r="F13" s="180">
        <f t="shared" si="17"/>
        <v>201.10340336483586</v>
      </c>
      <c r="G13" s="180">
        <f t="shared" si="17"/>
        <v>226.11705359799163</v>
      </c>
      <c r="H13" s="180">
        <f t="shared" si="17"/>
        <v>258.26514628837856</v>
      </c>
      <c r="I13" s="180">
        <f t="shared" si="17"/>
        <v>279.80541519779649</v>
      </c>
      <c r="J13" s="180">
        <f t="shared" si="17"/>
        <v>301.00381762650613</v>
      </c>
      <c r="K13" s="180">
        <f t="shared" si="17"/>
        <v>313.17146906220489</v>
      </c>
      <c r="L13" s="180">
        <f t="shared" si="17"/>
        <v>321.63602956577523</v>
      </c>
      <c r="M13" s="180">
        <f t="shared" si="17"/>
        <v>326.89902811639513</v>
      </c>
      <c r="N13" s="180">
        <f t="shared" si="17"/>
        <v>330.77679296576605</v>
      </c>
      <c r="O13" s="180">
        <f t="shared" si="17"/>
        <v>332.83620790269163</v>
      </c>
      <c r="P13" s="180">
        <f t="shared" si="17"/>
        <v>339.1598921315811</v>
      </c>
      <c r="Q13" s="180">
        <f t="shared" si="17"/>
        <v>344.28592015727185</v>
      </c>
      <c r="R13" s="180">
        <f t="shared" si="17"/>
        <v>348.46630581013108</v>
      </c>
      <c r="S13" s="180">
        <f t="shared" si="17"/>
        <v>350.08629879385836</v>
      </c>
      <c r="T13" s="180">
        <f t="shared" si="17"/>
        <v>350.08351186393372</v>
      </c>
      <c r="U13" s="180">
        <f t="shared" si="17"/>
        <v>346.00107296905998</v>
      </c>
      <c r="V13" s="180">
        <f t="shared" si="17"/>
        <v>337.90547508099309</v>
      </c>
      <c r="W13" s="180">
        <f t="shared" si="17"/>
        <v>331.0564506065852</v>
      </c>
      <c r="X13" s="180">
        <f t="shared" ref="X13:Y13" si="18">X21*X53/1000</f>
        <v>322.05895118640888</v>
      </c>
      <c r="Y13" s="180">
        <f t="shared" si="18"/>
        <v>315.4741935348257</v>
      </c>
      <c r="DA13" s="189" t="s">
        <v>917</v>
      </c>
    </row>
    <row r="14" spans="1:105" ht="12" customHeight="1" x14ac:dyDescent="0.25">
      <c r="A14" s="131" t="s">
        <v>5</v>
      </c>
      <c r="B14" s="180">
        <f>B22*B54</f>
        <v>163.24292334270078</v>
      </c>
      <c r="C14" s="180">
        <f t="shared" ref="C14:W14" si="19">C22*C54</f>
        <v>177.49755645776469</v>
      </c>
      <c r="D14" s="180">
        <f t="shared" si="19"/>
        <v>186.30939907079824</v>
      </c>
      <c r="E14" s="180">
        <f t="shared" si="19"/>
        <v>203.08607933742198</v>
      </c>
      <c r="F14" s="180">
        <f t="shared" si="19"/>
        <v>219.12632032384246</v>
      </c>
      <c r="G14" s="180">
        <f t="shared" si="19"/>
        <v>236.76939920358993</v>
      </c>
      <c r="H14" s="180">
        <f t="shared" si="19"/>
        <v>250.53208943173047</v>
      </c>
      <c r="I14" s="180">
        <f t="shared" si="19"/>
        <v>262.91198956935455</v>
      </c>
      <c r="J14" s="180">
        <f t="shared" si="19"/>
        <v>282.18084558774916</v>
      </c>
      <c r="K14" s="180">
        <f t="shared" si="19"/>
        <v>297.67406850239911</v>
      </c>
      <c r="L14" s="180">
        <f t="shared" si="19"/>
        <v>313.52809074430985</v>
      </c>
      <c r="M14" s="180">
        <f t="shared" si="19"/>
        <v>324.69635301316492</v>
      </c>
      <c r="N14" s="180">
        <f t="shared" si="19"/>
        <v>342.60721706181192</v>
      </c>
      <c r="O14" s="180">
        <f t="shared" si="19"/>
        <v>367.34167183690499</v>
      </c>
      <c r="P14" s="180">
        <f t="shared" si="19"/>
        <v>389.62625000806185</v>
      </c>
      <c r="Q14" s="180">
        <f t="shared" si="19"/>
        <v>413.78982184873962</v>
      </c>
      <c r="R14" s="180">
        <f t="shared" si="19"/>
        <v>418.08232782875729</v>
      </c>
      <c r="S14" s="180">
        <f t="shared" si="19"/>
        <v>424.17689407364327</v>
      </c>
      <c r="T14" s="180">
        <f t="shared" si="19"/>
        <v>420.1098422556168</v>
      </c>
      <c r="U14" s="180">
        <f t="shared" si="19"/>
        <v>403.83038154805928</v>
      </c>
      <c r="V14" s="180">
        <f t="shared" si="19"/>
        <v>383.1982513024459</v>
      </c>
      <c r="W14" s="180">
        <f t="shared" si="19"/>
        <v>356.6656755844827</v>
      </c>
      <c r="X14" s="180">
        <f t="shared" ref="X14:Y14" si="20">X22*X54</f>
        <v>338.97884231049164</v>
      </c>
      <c r="Y14" s="180">
        <f t="shared" si="20"/>
        <v>320.41481717088357</v>
      </c>
      <c r="DA14" s="189" t="s">
        <v>918</v>
      </c>
    </row>
    <row r="15" spans="1:105" ht="12" customHeight="1" x14ac:dyDescent="0.25">
      <c r="A15" s="131" t="s">
        <v>171</v>
      </c>
      <c r="B15" s="180">
        <f>B23*B55/1000</f>
        <v>105.28940072800248</v>
      </c>
      <c r="C15" s="180">
        <f t="shared" ref="C15:W15" si="21">C23*C55/1000</f>
        <v>111.14345093000561</v>
      </c>
      <c r="D15" s="180">
        <f t="shared" si="21"/>
        <v>115.19794343389677</v>
      </c>
      <c r="E15" s="180">
        <f t="shared" si="21"/>
        <v>123.87534840304862</v>
      </c>
      <c r="F15" s="180">
        <f t="shared" si="21"/>
        <v>132.09719168614873</v>
      </c>
      <c r="G15" s="180">
        <f t="shared" si="21"/>
        <v>143.8586213183938</v>
      </c>
      <c r="H15" s="180">
        <f t="shared" si="21"/>
        <v>153.77910717843176</v>
      </c>
      <c r="I15" s="180">
        <f t="shared" si="21"/>
        <v>165.98441276658482</v>
      </c>
      <c r="J15" s="180">
        <f t="shared" si="21"/>
        <v>176.7899854252608</v>
      </c>
      <c r="K15" s="180">
        <f t="shared" si="21"/>
        <v>182.32288669711818</v>
      </c>
      <c r="L15" s="180">
        <f t="shared" si="21"/>
        <v>186.21361431142336</v>
      </c>
      <c r="M15" s="180">
        <f t="shared" si="21"/>
        <v>186.47146879166417</v>
      </c>
      <c r="N15" s="180">
        <f t="shared" si="21"/>
        <v>187.02239028972767</v>
      </c>
      <c r="O15" s="180">
        <f t="shared" si="21"/>
        <v>188.42517722333247</v>
      </c>
      <c r="P15" s="180">
        <f t="shared" si="21"/>
        <v>190.33204603677063</v>
      </c>
      <c r="Q15" s="180">
        <f t="shared" si="21"/>
        <v>193.59924794151837</v>
      </c>
      <c r="R15" s="180">
        <f t="shared" si="21"/>
        <v>200.13744028402431</v>
      </c>
      <c r="S15" s="180">
        <f t="shared" si="21"/>
        <v>202.1881033327775</v>
      </c>
      <c r="T15" s="180">
        <f t="shared" si="21"/>
        <v>204.41373898427645</v>
      </c>
      <c r="U15" s="180">
        <f t="shared" si="21"/>
        <v>210.05502831044515</v>
      </c>
      <c r="V15" s="180">
        <f t="shared" si="21"/>
        <v>220.91143658940766</v>
      </c>
      <c r="W15" s="180">
        <f t="shared" si="21"/>
        <v>226.43588488461202</v>
      </c>
      <c r="X15" s="180">
        <f t="shared" ref="X15:Y15" si="22">X23*X55/1000</f>
        <v>228.89613205713579</v>
      </c>
      <c r="Y15" s="180">
        <f t="shared" si="22"/>
        <v>230.18048025580097</v>
      </c>
      <c r="DA15" s="189" t="s">
        <v>919</v>
      </c>
    </row>
    <row r="16" spans="1:105" ht="12" customHeight="1" x14ac:dyDescent="0.25">
      <c r="A16" s="60" t="s">
        <v>4</v>
      </c>
      <c r="B16" s="55">
        <f>B24*B56</f>
        <v>87.527037096402282</v>
      </c>
      <c r="C16" s="55">
        <f t="shared" ref="C16:W16" si="23">C24*C56</f>
        <v>98.76329092047213</v>
      </c>
      <c r="D16" s="55">
        <f t="shared" si="23"/>
        <v>107.95816656848665</v>
      </c>
      <c r="E16" s="55">
        <f t="shared" si="23"/>
        <v>123.48372798307032</v>
      </c>
      <c r="F16" s="55">
        <f t="shared" si="23"/>
        <v>141.63677003649335</v>
      </c>
      <c r="G16" s="55">
        <f t="shared" si="23"/>
        <v>163.85165418751856</v>
      </c>
      <c r="H16" s="55">
        <f t="shared" si="23"/>
        <v>189.28407074554616</v>
      </c>
      <c r="I16" s="55">
        <f t="shared" si="23"/>
        <v>209.36319607782741</v>
      </c>
      <c r="J16" s="55">
        <f t="shared" si="23"/>
        <v>230.01359102713809</v>
      </c>
      <c r="K16" s="55">
        <f t="shared" si="23"/>
        <v>245.08130497768906</v>
      </c>
      <c r="L16" s="55">
        <f t="shared" si="23"/>
        <v>264.70152105306772</v>
      </c>
      <c r="M16" s="55">
        <f t="shared" si="23"/>
        <v>283.09548101940715</v>
      </c>
      <c r="N16" s="55">
        <f t="shared" si="23"/>
        <v>300.261621775187</v>
      </c>
      <c r="O16" s="55">
        <f t="shared" si="23"/>
        <v>319.35563925759459</v>
      </c>
      <c r="P16" s="55">
        <f t="shared" si="23"/>
        <v>339.59682611715726</v>
      </c>
      <c r="Q16" s="55">
        <f t="shared" si="23"/>
        <v>360.11635860020169</v>
      </c>
      <c r="R16" s="55">
        <f t="shared" si="23"/>
        <v>386.37394238709101</v>
      </c>
      <c r="S16" s="55">
        <f t="shared" si="23"/>
        <v>415.78502725199286</v>
      </c>
      <c r="T16" s="55">
        <f t="shared" si="23"/>
        <v>439.42802666807682</v>
      </c>
      <c r="U16" s="55">
        <f t="shared" si="23"/>
        <v>460.83057635717438</v>
      </c>
      <c r="V16" s="55">
        <f t="shared" si="23"/>
        <v>479.66071340808196</v>
      </c>
      <c r="W16" s="55">
        <f t="shared" si="23"/>
        <v>496.30807841715097</v>
      </c>
      <c r="X16" s="55">
        <f t="shared" ref="X16:Y16" si="24">X24*X56</f>
        <v>511.30695846151963</v>
      </c>
      <c r="Y16" s="55">
        <f t="shared" si="24"/>
        <v>523.50332383237162</v>
      </c>
      <c r="DA16" s="101" t="s">
        <v>920</v>
      </c>
    </row>
    <row r="17" spans="1:105" ht="12" customHeight="1" x14ac:dyDescent="0.25">
      <c r="A17" s="62" t="s">
        <v>3</v>
      </c>
      <c r="B17" s="63">
        <f>B25*B57/1000</f>
        <v>75.929113653461968</v>
      </c>
      <c r="C17" s="63">
        <f t="shared" ref="C17:W17" si="25">C25*C57/1000</f>
        <v>81.984895453043507</v>
      </c>
      <c r="D17" s="63">
        <f t="shared" si="25"/>
        <v>88.997226329593417</v>
      </c>
      <c r="E17" s="63">
        <f t="shared" si="25"/>
        <v>100.84963382992778</v>
      </c>
      <c r="F17" s="63">
        <f t="shared" si="25"/>
        <v>127.90222402614637</v>
      </c>
      <c r="G17" s="63">
        <f t="shared" si="25"/>
        <v>151.66666939481078</v>
      </c>
      <c r="H17" s="63">
        <f t="shared" si="25"/>
        <v>176.65961862513885</v>
      </c>
      <c r="I17" s="63">
        <f t="shared" si="25"/>
        <v>196.74587942713302</v>
      </c>
      <c r="J17" s="63">
        <f t="shared" si="25"/>
        <v>215.68352083344982</v>
      </c>
      <c r="K17" s="63">
        <f t="shared" si="25"/>
        <v>237.35218095991169</v>
      </c>
      <c r="L17" s="63">
        <f t="shared" si="25"/>
        <v>253.1867881136063</v>
      </c>
      <c r="M17" s="63">
        <f t="shared" si="25"/>
        <v>268.68082055257491</v>
      </c>
      <c r="N17" s="63">
        <f t="shared" si="25"/>
        <v>283.76267319379235</v>
      </c>
      <c r="O17" s="63">
        <f t="shared" si="25"/>
        <v>307.25569433826621</v>
      </c>
      <c r="P17" s="63">
        <f t="shared" si="25"/>
        <v>350.2450718068352</v>
      </c>
      <c r="Q17" s="63">
        <f t="shared" si="25"/>
        <v>407.17756809416807</v>
      </c>
      <c r="R17" s="63">
        <f t="shared" si="25"/>
        <v>443.92824007500144</v>
      </c>
      <c r="S17" s="63">
        <f t="shared" si="25"/>
        <v>478.86060739642954</v>
      </c>
      <c r="T17" s="63">
        <f t="shared" si="25"/>
        <v>511.48889982591578</v>
      </c>
      <c r="U17" s="63">
        <f t="shared" si="25"/>
        <v>538.53243689443332</v>
      </c>
      <c r="V17" s="63">
        <f t="shared" si="25"/>
        <v>562.36647113529136</v>
      </c>
      <c r="W17" s="63">
        <f t="shared" si="25"/>
        <v>588.81174255026724</v>
      </c>
      <c r="X17" s="63">
        <f t="shared" ref="X17:Y17" si="26">X25*X57/1000</f>
        <v>606.77543556932824</v>
      </c>
      <c r="Y17" s="63">
        <f t="shared" si="26"/>
        <v>621.50892195391521</v>
      </c>
      <c r="DA17" s="105" t="s">
        <v>921</v>
      </c>
    </row>
    <row r="18" spans="1:105" s="2" customFormat="1" ht="12" customHeight="1" x14ac:dyDescent="0.25">
      <c r="DA18" s="7"/>
    </row>
    <row r="19" spans="1:105" ht="12.95" customHeight="1" x14ac:dyDescent="0.25">
      <c r="A19" s="178" t="s">
        <v>107</v>
      </c>
      <c r="B19" s="179"/>
      <c r="C19" s="179"/>
      <c r="D19" s="179"/>
      <c r="E19" s="179"/>
      <c r="F19" s="179"/>
      <c r="G19" s="179"/>
      <c r="H19" s="179"/>
      <c r="I19" s="179"/>
      <c r="J19" s="179"/>
      <c r="K19" s="179"/>
      <c r="L19" s="179"/>
      <c r="M19" s="179"/>
      <c r="N19" s="179"/>
      <c r="O19" s="179"/>
      <c r="P19" s="179"/>
      <c r="Q19" s="179"/>
      <c r="R19" s="179"/>
      <c r="S19" s="179"/>
      <c r="T19" s="179"/>
      <c r="U19" s="179"/>
      <c r="V19" s="179"/>
      <c r="W19" s="179"/>
      <c r="X19" s="179"/>
      <c r="Y19" s="179"/>
      <c r="DA19" s="188"/>
    </row>
    <row r="20" spans="1:105" ht="12" customHeight="1" x14ac:dyDescent="0.25">
      <c r="A20" s="131" t="s">
        <v>158</v>
      </c>
      <c r="B20" s="181">
        <v>4.7818042582377718</v>
      </c>
      <c r="C20" s="181">
        <v>5.3565843840102847</v>
      </c>
      <c r="D20" s="181">
        <v>5.8452805525435112</v>
      </c>
      <c r="E20" s="181">
        <v>6.7191330578119324</v>
      </c>
      <c r="F20" s="181">
        <v>7.680012930655395</v>
      </c>
      <c r="G20" s="181">
        <v>8.9368805622015124</v>
      </c>
      <c r="H20" s="181">
        <v>10.133571117660185</v>
      </c>
      <c r="I20" s="181">
        <v>11.279757730641899</v>
      </c>
      <c r="J20" s="181">
        <v>12.463382800752138</v>
      </c>
      <c r="K20" s="181">
        <v>13.620515961050495</v>
      </c>
      <c r="L20" s="181">
        <v>15.312108110198853</v>
      </c>
      <c r="M20" s="181">
        <v>17.059923364818573</v>
      </c>
      <c r="N20" s="181">
        <v>18.538727022857632</v>
      </c>
      <c r="O20" s="181">
        <v>20.57826202681828</v>
      </c>
      <c r="P20" s="181">
        <v>22.683798787531543</v>
      </c>
      <c r="Q20" s="181">
        <v>25.273387016351752</v>
      </c>
      <c r="R20" s="181">
        <v>27.107253253306631</v>
      </c>
      <c r="S20" s="181">
        <v>29.148201940713665</v>
      </c>
      <c r="T20" s="181">
        <v>30.879902331950198</v>
      </c>
      <c r="U20" s="181">
        <v>32.523722372077103</v>
      </c>
      <c r="V20" s="181">
        <v>34.100634893390037</v>
      </c>
      <c r="W20" s="181">
        <v>35.621807743061595</v>
      </c>
      <c r="X20" s="181">
        <v>36.672743964794982</v>
      </c>
      <c r="Y20" s="181">
        <v>37.477031550190823</v>
      </c>
      <c r="DA20" s="190" t="s">
        <v>922</v>
      </c>
    </row>
    <row r="21" spans="1:105" ht="12" customHeight="1" x14ac:dyDescent="0.25">
      <c r="A21" s="131" t="s">
        <v>156</v>
      </c>
      <c r="B21" s="181">
        <v>749.05822186436683</v>
      </c>
      <c r="C21" s="181">
        <v>781.01849800897287</v>
      </c>
      <c r="D21" s="181">
        <v>847.08863803846407</v>
      </c>
      <c r="E21" s="181">
        <v>932.01183938290853</v>
      </c>
      <c r="F21" s="181">
        <v>1037.7123130196164</v>
      </c>
      <c r="G21" s="181">
        <v>1189.5029811356562</v>
      </c>
      <c r="H21" s="181">
        <v>1385.9816495966347</v>
      </c>
      <c r="I21" s="181">
        <v>1527.3792684544323</v>
      </c>
      <c r="J21" s="181">
        <v>1659.7796054721362</v>
      </c>
      <c r="K21" s="181">
        <v>1745.6001241128099</v>
      </c>
      <c r="L21" s="181">
        <v>1814.3346921000555</v>
      </c>
      <c r="M21" s="181">
        <v>1869.8063156783398</v>
      </c>
      <c r="N21" s="181">
        <v>1926.2318631608243</v>
      </c>
      <c r="O21" s="181">
        <v>1982.0271950179563</v>
      </c>
      <c r="P21" s="181">
        <v>2065.6972512933653</v>
      </c>
      <c r="Q21" s="181">
        <v>2153.1566901585038</v>
      </c>
      <c r="R21" s="181">
        <v>2249.1531651068021</v>
      </c>
      <c r="S21" s="181">
        <v>2339.1083814612502</v>
      </c>
      <c r="T21" s="181">
        <v>2431.3031458305395</v>
      </c>
      <c r="U21" s="181">
        <v>2520.658002592977</v>
      </c>
      <c r="V21" s="181">
        <v>2606.254923716514</v>
      </c>
      <c r="W21" s="181">
        <v>2687.7415113932507</v>
      </c>
      <c r="X21" s="181">
        <v>2736.1373107607792</v>
      </c>
      <c r="Y21" s="181">
        <v>2788.4957825367892</v>
      </c>
      <c r="DA21" s="190" t="s">
        <v>923</v>
      </c>
    </row>
    <row r="22" spans="1:105" ht="12" customHeight="1" x14ac:dyDescent="0.25">
      <c r="A22" s="131" t="s">
        <v>160</v>
      </c>
      <c r="B22" s="181">
        <v>3.5111995060388921</v>
      </c>
      <c r="C22" s="181">
        <v>3.8598382890311482</v>
      </c>
      <c r="D22" s="181">
        <v>4.1075247760555671</v>
      </c>
      <c r="E22" s="181">
        <v>4.5594743940752283</v>
      </c>
      <c r="F22" s="181">
        <v>5.0137977592719043</v>
      </c>
      <c r="G22" s="181">
        <v>5.5276876875959129</v>
      </c>
      <c r="H22" s="181">
        <v>5.971591743800003</v>
      </c>
      <c r="I22" s="181">
        <v>6.4073859592622187</v>
      </c>
      <c r="J22" s="181">
        <v>7.024829919341065</v>
      </c>
      <c r="K22" s="181">
        <v>7.6109227244911573</v>
      </c>
      <c r="L22" s="181">
        <v>8.2573599128967654</v>
      </c>
      <c r="M22" s="181">
        <v>8.8456738788237423</v>
      </c>
      <c r="N22" s="181">
        <v>9.6854288337613195</v>
      </c>
      <c r="O22" s="181">
        <v>10.888333351690155</v>
      </c>
      <c r="P22" s="181">
        <v>12.131169953674005</v>
      </c>
      <c r="Q22" s="181">
        <v>13.628044948037584</v>
      </c>
      <c r="R22" s="181">
        <v>14.639757747196732</v>
      </c>
      <c r="S22" s="181">
        <v>15.772611887694259</v>
      </c>
      <c r="T22" s="181">
        <v>16.714950481835029</v>
      </c>
      <c r="U22" s="181">
        <v>17.563504977884556</v>
      </c>
      <c r="V22" s="181">
        <v>18.287515256864225</v>
      </c>
      <c r="W22" s="181">
        <v>18.802788093397975</v>
      </c>
      <c r="X22" s="181">
        <v>19.204664848755197</v>
      </c>
      <c r="Y22" s="181">
        <v>19.548211325414176</v>
      </c>
      <c r="DA22" s="190" t="s">
        <v>924</v>
      </c>
    </row>
    <row r="23" spans="1:105" ht="12" customHeight="1" x14ac:dyDescent="0.25">
      <c r="A23" s="131" t="s">
        <v>172</v>
      </c>
      <c r="B23" s="181">
        <v>135.38714402504428</v>
      </c>
      <c r="C23" s="181">
        <v>145.07340177120321</v>
      </c>
      <c r="D23" s="181">
        <v>152.834824595458</v>
      </c>
      <c r="E23" s="181">
        <v>168.04665070410385</v>
      </c>
      <c r="F23" s="181">
        <v>183.32869229644507</v>
      </c>
      <c r="G23" s="181">
        <v>204.70329042485184</v>
      </c>
      <c r="H23" s="181">
        <v>223.82134098262756</v>
      </c>
      <c r="I23" s="181">
        <v>247.37140258502933</v>
      </c>
      <c r="J23" s="181">
        <v>269.45833603793886</v>
      </c>
      <c r="K23" s="181">
        <v>283.61448479320558</v>
      </c>
      <c r="L23" s="181">
        <v>295.54368669165433</v>
      </c>
      <c r="M23" s="181">
        <v>301.74803558390079</v>
      </c>
      <c r="N23" s="181">
        <v>307.63354379383668</v>
      </c>
      <c r="O23" s="181">
        <v>317.21534433301139</v>
      </c>
      <c r="P23" s="181">
        <v>328.36308023678043</v>
      </c>
      <c r="Q23" s="181">
        <v>344.3090693166684</v>
      </c>
      <c r="R23" s="181">
        <v>366.29167271190056</v>
      </c>
      <c r="S23" s="181">
        <v>380.43660132270645</v>
      </c>
      <c r="T23" s="181">
        <v>394.55794042458211</v>
      </c>
      <c r="U23" s="181">
        <v>413.72243909689729</v>
      </c>
      <c r="V23" s="181">
        <v>443.89120904471906</v>
      </c>
      <c r="W23" s="181">
        <v>462.56076975135443</v>
      </c>
      <c r="X23" s="181">
        <v>474.33409104127213</v>
      </c>
      <c r="Y23" s="181">
        <v>485.88338640009857</v>
      </c>
      <c r="DA23" s="190" t="s">
        <v>925</v>
      </c>
    </row>
    <row r="24" spans="1:105" ht="12" customHeight="1" x14ac:dyDescent="0.25">
      <c r="A24" s="60" t="s">
        <v>159</v>
      </c>
      <c r="B24" s="36">
        <v>1.6027404037139894</v>
      </c>
      <c r="C24" s="36">
        <v>1.8250165468949331</v>
      </c>
      <c r="D24" s="36">
        <v>2.0101454531834992</v>
      </c>
      <c r="E24" s="36">
        <v>2.3239117828822038</v>
      </c>
      <c r="F24" s="36">
        <v>2.6957278291485842</v>
      </c>
      <c r="G24" s="36">
        <v>3.1594364358778031</v>
      </c>
      <c r="H24" s="36">
        <v>3.7008730683337423</v>
      </c>
      <c r="I24" s="36">
        <v>4.1427479600430415</v>
      </c>
      <c r="J24" s="36">
        <v>4.6078714781667314</v>
      </c>
      <c r="K24" s="36">
        <v>4.9651413281956689</v>
      </c>
      <c r="L24" s="36">
        <v>5.4390381208458241</v>
      </c>
      <c r="M24" s="36">
        <v>5.905675375283999</v>
      </c>
      <c r="N24" s="36">
        <v>6.366519042795681</v>
      </c>
      <c r="O24" s="36">
        <v>6.9014074047667409</v>
      </c>
      <c r="P24" s="36">
        <v>7.4953305341572127</v>
      </c>
      <c r="Q24" s="36">
        <v>8.1350230528703715</v>
      </c>
      <c r="R24" s="36">
        <v>8.9464390029182628</v>
      </c>
      <c r="S24" s="36">
        <v>9.844316775656802</v>
      </c>
      <c r="T24" s="36">
        <v>10.648894206773116</v>
      </c>
      <c r="U24" s="36">
        <v>11.427058340497339</v>
      </c>
      <c r="V24" s="36">
        <v>12.177787818666786</v>
      </c>
      <c r="W24" s="36">
        <v>12.898243205899075</v>
      </c>
      <c r="X24" s="36">
        <v>13.532605202070332</v>
      </c>
      <c r="Y24" s="36">
        <v>14.095813392060343</v>
      </c>
      <c r="DA24" s="89" t="s">
        <v>926</v>
      </c>
    </row>
    <row r="25" spans="1:105" ht="12" customHeight="1" x14ac:dyDescent="0.25">
      <c r="A25" s="62" t="s">
        <v>157</v>
      </c>
      <c r="B25" s="38">
        <v>185.74956114665022</v>
      </c>
      <c r="C25" s="38">
        <v>204.65920580988086</v>
      </c>
      <c r="D25" s="38">
        <v>227.87260650382672</v>
      </c>
      <c r="E25" s="38">
        <v>266.99564172394918</v>
      </c>
      <c r="F25" s="38">
        <v>354.05828493927834</v>
      </c>
      <c r="G25" s="38">
        <v>437.47941741572583</v>
      </c>
      <c r="H25" s="38">
        <v>533.63881957966237</v>
      </c>
      <c r="I25" s="38">
        <v>619.81165445978695</v>
      </c>
      <c r="J25" s="38">
        <v>715.88273167355248</v>
      </c>
      <c r="K25" s="38">
        <v>847.31351967729552</v>
      </c>
      <c r="L25" s="38">
        <v>963.47251167417357</v>
      </c>
      <c r="M25" s="38">
        <v>1091.0108620178048</v>
      </c>
      <c r="N25" s="38">
        <v>1212.2923154973282</v>
      </c>
      <c r="O25" s="38">
        <v>1365.1186689621104</v>
      </c>
      <c r="P25" s="38">
        <v>1613.004225540923</v>
      </c>
      <c r="Q25" s="38">
        <v>1903.9006957133106</v>
      </c>
      <c r="R25" s="38">
        <v>2099.4812153190637</v>
      </c>
      <c r="S25" s="38">
        <v>2288.6346718130567</v>
      </c>
      <c r="T25" s="38">
        <v>2482.0355545178936</v>
      </c>
      <c r="U25" s="38">
        <v>2676.5705844929012</v>
      </c>
      <c r="V25" s="38">
        <v>2874.1070294462343</v>
      </c>
      <c r="W25" s="38">
        <v>3079.3313902109608</v>
      </c>
      <c r="X25" s="38">
        <v>3234.2620940710899</v>
      </c>
      <c r="Y25" s="38">
        <v>3376.3802026635767</v>
      </c>
      <c r="DA25" s="90" t="s">
        <v>927</v>
      </c>
    </row>
    <row r="26" spans="1:105" s="2" customFormat="1" ht="12" customHeight="1" x14ac:dyDescent="0.25">
      <c r="DA26" s="7"/>
    </row>
    <row r="27" spans="1:105" ht="12.95" customHeight="1" x14ac:dyDescent="0.25">
      <c r="A27" s="178" t="s">
        <v>106</v>
      </c>
      <c r="B27" s="179"/>
      <c r="C27" s="179"/>
      <c r="D27" s="179"/>
      <c r="E27" s="179"/>
      <c r="F27" s="179"/>
      <c r="G27" s="179"/>
      <c r="H27" s="179"/>
      <c r="I27" s="179"/>
      <c r="J27" s="179"/>
      <c r="K27" s="179"/>
      <c r="L27" s="179"/>
      <c r="M27" s="179"/>
      <c r="N27" s="179"/>
      <c r="O27" s="179"/>
      <c r="P27" s="179"/>
      <c r="Q27" s="179"/>
      <c r="R27" s="179"/>
      <c r="S27" s="179"/>
      <c r="T27" s="179"/>
      <c r="U27" s="179"/>
      <c r="V27" s="179"/>
      <c r="W27" s="179"/>
      <c r="X27" s="179"/>
      <c r="Y27" s="179"/>
      <c r="DA27" s="188"/>
    </row>
    <row r="28" spans="1:105" ht="12" customHeight="1" x14ac:dyDescent="0.25">
      <c r="A28" s="131" t="s">
        <v>158</v>
      </c>
      <c r="B28" s="182"/>
      <c r="C28" s="182">
        <v>0.78218288621436916</v>
      </c>
      <c r="D28" s="182">
        <v>0.70196543931320399</v>
      </c>
      <c r="E28" s="182">
        <v>1.093154224117888</v>
      </c>
      <c r="F28" s="182">
        <v>1.186384671141135</v>
      </c>
      <c r="G28" s="182">
        <v>1.4887509670806649</v>
      </c>
      <c r="H28" s="182">
        <v>1.4351328489465924</v>
      </c>
      <c r="I28" s="182">
        <v>1.3913733884466897</v>
      </c>
      <c r="J28" s="182">
        <v>1.4357470992332253</v>
      </c>
      <c r="K28" s="182">
        <v>1.4163866108506777</v>
      </c>
      <c r="L28" s="182">
        <v>1.9581787376233297</v>
      </c>
      <c r="M28" s="182">
        <v>2.0219424031815532</v>
      </c>
      <c r="N28" s="182">
        <v>1.7606846559111489</v>
      </c>
      <c r="O28" s="182">
        <v>2.3293891733788321</v>
      </c>
      <c r="P28" s="182">
        <v>2.4035896275731616</v>
      </c>
      <c r="Q28" s="182">
        <v>2.8960716981514274</v>
      </c>
      <c r="R28" s="182">
        <v>2.1490187733586126</v>
      </c>
      <c r="S28" s="182">
        <v>2.3650155005974334</v>
      </c>
      <c r="T28" s="182">
        <v>2.0649336268302463</v>
      </c>
      <c r="U28" s="182">
        <v>2.4260029263412726</v>
      </c>
      <c r="V28" s="182">
        <v>2.27887796062614</v>
      </c>
      <c r="W28" s="182">
        <v>2.6143270737894468</v>
      </c>
      <c r="X28" s="182">
        <v>2.2373208928745214</v>
      </c>
      <c r="Y28" s="182">
        <v>2.2930385524765029</v>
      </c>
      <c r="DA28" s="191" t="s">
        <v>928</v>
      </c>
    </row>
    <row r="29" spans="1:105" ht="12" customHeight="1" x14ac:dyDescent="0.25">
      <c r="A29" s="131" t="s">
        <v>156</v>
      </c>
      <c r="B29" s="182"/>
      <c r="C29" s="182">
        <v>125.92545749214321</v>
      </c>
      <c r="D29" s="182">
        <v>164.08004147425811</v>
      </c>
      <c r="E29" s="182">
        <v>187.15192738377016</v>
      </c>
      <c r="F29" s="182">
        <v>212.32962307537935</v>
      </c>
      <c r="G29" s="182">
        <v>263.00965665787839</v>
      </c>
      <c r="H29" s="182">
        <v>312.4850651863328</v>
      </c>
      <c r="I29" s="182">
        <v>262.39749718467033</v>
      </c>
      <c r="J29" s="182">
        <v>258.32579450984713</v>
      </c>
      <c r="K29" s="182">
        <v>249.90056011493175</v>
      </c>
      <c r="L29" s="182">
        <v>255.8864953710156</v>
      </c>
      <c r="M29" s="182">
        <v>267.80124665366361</v>
      </c>
      <c r="N29" s="182">
        <v>319.43520414036288</v>
      </c>
      <c r="O29" s="182">
        <v>368.28039704346475</v>
      </c>
      <c r="P29" s="182">
        <v>346.06755346007935</v>
      </c>
      <c r="Q29" s="182">
        <v>345.78523337498564</v>
      </c>
      <c r="R29" s="182">
        <v>345.89703506323008</v>
      </c>
      <c r="S29" s="182">
        <v>345.84171172546371</v>
      </c>
      <c r="T29" s="182">
        <v>359.9960110229531</v>
      </c>
      <c r="U29" s="182">
        <v>408.79006090280018</v>
      </c>
      <c r="V29" s="182">
        <v>453.8773181670017</v>
      </c>
      <c r="W29" s="182">
        <v>427.55414113681627</v>
      </c>
      <c r="X29" s="182">
        <v>394.18103274251416</v>
      </c>
      <c r="Y29" s="182">
        <v>398.2555068392403</v>
      </c>
      <c r="DA29" s="191" t="s">
        <v>929</v>
      </c>
    </row>
    <row r="30" spans="1:105" ht="12" customHeight="1" x14ac:dyDescent="0.25">
      <c r="A30" s="131" t="s">
        <v>160</v>
      </c>
      <c r="B30" s="182"/>
      <c r="C30" s="182">
        <v>0.8969691064851566</v>
      </c>
      <c r="D30" s="182">
        <v>0.81026152871998436</v>
      </c>
      <c r="E30" s="182">
        <v>1.0291394322227143</v>
      </c>
      <c r="F30" s="182">
        <v>1.0465076196130609</v>
      </c>
      <c r="G30" s="182">
        <v>1.1214581538009067</v>
      </c>
      <c r="H30" s="182">
        <v>1.0672559029581796</v>
      </c>
      <c r="I30" s="182">
        <v>1.3327633219473727</v>
      </c>
      <c r="J30" s="182">
        <v>1.4277054887988312</v>
      </c>
      <c r="K30" s="182">
        <v>1.6152322373728065</v>
      </c>
      <c r="L30" s="182">
        <v>1.6929448080186695</v>
      </c>
      <c r="M30" s="182">
        <v>1.7097721197278837</v>
      </c>
      <c r="N30" s="182">
        <v>1.9070108578957568</v>
      </c>
      <c r="O30" s="182">
        <v>2.5356678398762096</v>
      </c>
      <c r="P30" s="182">
        <v>2.6705420907826802</v>
      </c>
      <c r="Q30" s="182">
        <v>3.1121072317363847</v>
      </c>
      <c r="R30" s="182">
        <v>2.7046576071778183</v>
      </c>
      <c r="S30" s="182">
        <v>2.8426262602254102</v>
      </c>
      <c r="T30" s="182">
        <v>2.8493494520365275</v>
      </c>
      <c r="U30" s="182">
        <v>3.3842223359257364</v>
      </c>
      <c r="V30" s="182">
        <v>3.3945523697623496</v>
      </c>
      <c r="W30" s="182">
        <v>3.6273800682701349</v>
      </c>
      <c r="X30" s="182">
        <v>3.1065343625350401</v>
      </c>
      <c r="Y30" s="182">
        <v>3.1861727368843908</v>
      </c>
      <c r="DA30" s="191" t="s">
        <v>930</v>
      </c>
    </row>
    <row r="31" spans="1:105" ht="12" customHeight="1" x14ac:dyDescent="0.25">
      <c r="A31" s="131" t="s">
        <v>172</v>
      </c>
      <c r="B31" s="182"/>
      <c r="C31" s="182">
        <v>21.990661417624054</v>
      </c>
      <c r="D31" s="182">
        <v>20.325008733354309</v>
      </c>
      <c r="E31" s="182">
        <v>28.040053718032198</v>
      </c>
      <c r="F31" s="182">
        <v>28.380485363799238</v>
      </c>
      <c r="G31" s="182">
        <v>34.74894994521668</v>
      </c>
      <c r="H31" s="182">
        <v>32.774122198101253</v>
      </c>
      <c r="I31" s="182">
        <v>37.493787264778234</v>
      </c>
      <c r="J31" s="182">
        <v>36.324372334929109</v>
      </c>
      <c r="K31" s="182">
        <v>28.693487686581818</v>
      </c>
      <c r="L31" s="182">
        <v>26.772758029237366</v>
      </c>
      <c r="M31" s="182">
        <v>28.195010309870497</v>
      </c>
      <c r="N31" s="182">
        <v>26.210516943290202</v>
      </c>
      <c r="O31" s="182">
        <v>37.621854257206905</v>
      </c>
      <c r="P31" s="182">
        <v>39.528221267568256</v>
      </c>
      <c r="Q31" s="182">
        <v>50.694939025104645</v>
      </c>
      <c r="R31" s="182">
        <v>54.756725593333385</v>
      </c>
      <c r="S31" s="182">
        <v>51.638715875584126</v>
      </c>
      <c r="T31" s="182">
        <v>50.445711436804743</v>
      </c>
      <c r="U31" s="182">
        <v>47.857986358896994</v>
      </c>
      <c r="V31" s="182">
        <v>56.941527977059138</v>
      </c>
      <c r="W31" s="182">
        <v>46.864571016505863</v>
      </c>
      <c r="X31" s="182">
        <v>37.983838233207905</v>
      </c>
      <c r="Y31" s="182">
        <v>49.171149616033347</v>
      </c>
      <c r="DA31" s="191" t="s">
        <v>931</v>
      </c>
    </row>
    <row r="32" spans="1:105" ht="12" customHeight="1" x14ac:dyDescent="0.25">
      <c r="A32" s="60" t="s">
        <v>159</v>
      </c>
      <c r="B32" s="41"/>
      <c r="C32" s="41">
        <v>0.26792612387717574</v>
      </c>
      <c r="D32" s="41">
        <v>0.23591594669632121</v>
      </c>
      <c r="E32" s="41">
        <v>0.37026851073011624</v>
      </c>
      <c r="F32" s="41">
        <v>0.43467650113192757</v>
      </c>
      <c r="G32" s="41">
        <v>0.53364284136888296</v>
      </c>
      <c r="H32" s="41">
        <v>0.61924066974928271</v>
      </c>
      <c r="I32" s="41">
        <v>0.52843433216552871</v>
      </c>
      <c r="J32" s="41">
        <v>0.56142362018454506</v>
      </c>
      <c r="K32" s="41">
        <v>0.46440674472294319</v>
      </c>
      <c r="L32" s="41">
        <v>0.59308996024847094</v>
      </c>
      <c r="M32" s="41">
        <v>0.59924340512694485</v>
      </c>
      <c r="N32" s="41">
        <v>0.6083721840769325</v>
      </c>
      <c r="O32" s="41">
        <v>0.69901848027172253</v>
      </c>
      <c r="P32" s="41">
        <v>0.77652305217539919</v>
      </c>
      <c r="Q32" s="41">
        <v>0.84284068034417903</v>
      </c>
      <c r="R32" s="41">
        <v>1.0793420739250674</v>
      </c>
      <c r="S32" s="41">
        <v>1.1337937194348608</v>
      </c>
      <c r="T32" s="41">
        <v>1.1748459418464297</v>
      </c>
      <c r="U32" s="41">
        <v>1.2128406348561498</v>
      </c>
      <c r="V32" s="41">
        <v>1.2843723195383294</v>
      </c>
      <c r="W32" s="41">
        <v>1.3396960569815715</v>
      </c>
      <c r="X32" s="41">
        <v>1.1627963283367855</v>
      </c>
      <c r="Y32" s="41">
        <v>1.1246318101745558</v>
      </c>
      <c r="DA32" s="92" t="s">
        <v>932</v>
      </c>
    </row>
    <row r="33" spans="1:105" ht="12" customHeight="1" x14ac:dyDescent="0.25">
      <c r="A33" s="62" t="s">
        <v>157</v>
      </c>
      <c r="B33" s="42"/>
      <c r="C33" s="42">
        <v>56.059556892560693</v>
      </c>
      <c r="D33" s="42">
        <v>60.363312923275913</v>
      </c>
      <c r="E33" s="42">
        <v>76.272947449452516</v>
      </c>
      <c r="F33" s="42">
        <v>124.21255544465922</v>
      </c>
      <c r="G33" s="42">
        <v>120.57104470577752</v>
      </c>
      <c r="H33" s="42">
        <v>152.21895905649723</v>
      </c>
      <c r="I33" s="42">
        <v>146.53614780340047</v>
      </c>
      <c r="J33" s="42">
        <v>172.34402466321808</v>
      </c>
      <c r="K33" s="42">
        <v>255.64334344840222</v>
      </c>
      <c r="L33" s="42">
        <v>236.73003670265553</v>
      </c>
      <c r="M33" s="42">
        <v>279.75730940012841</v>
      </c>
      <c r="N33" s="42">
        <v>267.81760128292387</v>
      </c>
      <c r="O33" s="42">
        <v>325.17037812800027</v>
      </c>
      <c r="P33" s="42">
        <v>503.52890002721483</v>
      </c>
      <c r="Q33" s="42">
        <v>527.62650687504311</v>
      </c>
      <c r="R33" s="42">
        <v>475.33782900588153</v>
      </c>
      <c r="S33" s="42">
        <v>456.97105777691695</v>
      </c>
      <c r="T33" s="42">
        <v>518.5712608328372</v>
      </c>
      <c r="U33" s="42">
        <v>698.06393000222238</v>
      </c>
      <c r="V33" s="42">
        <v>725.16295182837621</v>
      </c>
      <c r="W33" s="42">
        <v>680.56218977060826</v>
      </c>
      <c r="X33" s="42">
        <v>611.90176163704609</v>
      </c>
      <c r="Y33" s="42">
        <v>660.689369425324</v>
      </c>
      <c r="DA33" s="93" t="s">
        <v>933</v>
      </c>
    </row>
    <row r="34" spans="1:105" s="2" customFormat="1" ht="12" customHeight="1" x14ac:dyDescent="0.25">
      <c r="DA34" s="7"/>
    </row>
    <row r="35" spans="1:105" ht="12.95" customHeight="1" x14ac:dyDescent="0.25">
      <c r="A35" s="178" t="s">
        <v>105</v>
      </c>
      <c r="B35" s="179"/>
      <c r="C35" s="179"/>
      <c r="D35" s="179"/>
      <c r="E35" s="179"/>
      <c r="F35" s="179"/>
      <c r="G35" s="179"/>
      <c r="H35" s="179"/>
      <c r="I35" s="179"/>
      <c r="J35" s="179"/>
      <c r="K35" s="179"/>
      <c r="L35" s="179"/>
      <c r="M35" s="179"/>
      <c r="N35" s="179"/>
      <c r="O35" s="179"/>
      <c r="P35" s="179"/>
      <c r="Q35" s="179"/>
      <c r="R35" s="179"/>
      <c r="S35" s="179"/>
      <c r="T35" s="179"/>
      <c r="U35" s="179"/>
      <c r="V35" s="179"/>
      <c r="W35" s="179"/>
      <c r="X35" s="179"/>
      <c r="Y35" s="179"/>
      <c r="DA35" s="188"/>
    </row>
    <row r="36" spans="1:105" ht="12" customHeight="1" x14ac:dyDescent="0.25">
      <c r="A36" s="131" t="s">
        <v>158</v>
      </c>
      <c r="B36" s="182"/>
      <c r="C36" s="182">
        <v>0.20740276044185624</v>
      </c>
      <c r="D36" s="182">
        <v>0.21326927077997748</v>
      </c>
      <c r="E36" s="182">
        <v>0.21930171884946681</v>
      </c>
      <c r="F36" s="182">
        <v>0.22550479829767234</v>
      </c>
      <c r="G36" s="182">
        <v>0.23188333553454754</v>
      </c>
      <c r="H36" s="182">
        <v>0.23844229348791934</v>
      </c>
      <c r="I36" s="182">
        <v>0.24518677546497614</v>
      </c>
      <c r="J36" s="182">
        <v>0.25212202912298665</v>
      </c>
      <c r="K36" s="182">
        <v>0.25925345055232007</v>
      </c>
      <c r="L36" s="182">
        <v>0.26658658847497207</v>
      </c>
      <c r="M36" s="182">
        <v>0.27412714856183129</v>
      </c>
      <c r="N36" s="182">
        <v>0.28188099787208998</v>
      </c>
      <c r="O36" s="182">
        <v>0.28985416941818443</v>
      </c>
      <c r="P36" s="182">
        <v>0.29805286685989785</v>
      </c>
      <c r="Q36" s="182">
        <v>0.30648346933121928</v>
      </c>
      <c r="R36" s="182">
        <v>0.31515253640373331</v>
      </c>
      <c r="S36" s="182">
        <v>0.32406681319039876</v>
      </c>
      <c r="T36" s="182">
        <v>0.33323323559371332</v>
      </c>
      <c r="U36" s="182">
        <v>0.78218288621437182</v>
      </c>
      <c r="V36" s="182">
        <v>0.70196543931320576</v>
      </c>
      <c r="W36" s="182">
        <v>1.0931542241178889</v>
      </c>
      <c r="X36" s="182">
        <v>1.1863846711411341</v>
      </c>
      <c r="Y36" s="182">
        <v>1.4887509670806622</v>
      </c>
      <c r="DA36" s="191" t="s">
        <v>934</v>
      </c>
    </row>
    <row r="37" spans="1:105" ht="12" customHeight="1" x14ac:dyDescent="0.25">
      <c r="A37" s="131" t="s">
        <v>156</v>
      </c>
      <c r="B37" s="182"/>
      <c r="C37" s="182">
        <v>93.965181347537168</v>
      </c>
      <c r="D37" s="182">
        <v>98.009901444766911</v>
      </c>
      <c r="E37" s="182">
        <v>102.22872603932581</v>
      </c>
      <c r="F37" s="182">
        <v>106.62914943867145</v>
      </c>
      <c r="G37" s="182">
        <v>111.2189885418386</v>
      </c>
      <c r="H37" s="182">
        <v>116.00639672535431</v>
      </c>
      <c r="I37" s="182">
        <v>120.9998783268727</v>
      </c>
      <c r="J37" s="182">
        <v>125.92545749214332</v>
      </c>
      <c r="K37" s="182">
        <v>164.080041474258</v>
      </c>
      <c r="L37" s="182">
        <v>187.15192738377004</v>
      </c>
      <c r="M37" s="182">
        <v>212.32962307537923</v>
      </c>
      <c r="N37" s="182">
        <v>263.00965665787839</v>
      </c>
      <c r="O37" s="182">
        <v>312.48506518633303</v>
      </c>
      <c r="P37" s="182">
        <v>262.3974971846701</v>
      </c>
      <c r="Q37" s="182">
        <v>258.32579450984713</v>
      </c>
      <c r="R37" s="182">
        <v>249.90056011493152</v>
      </c>
      <c r="S37" s="182">
        <v>255.88649537101537</v>
      </c>
      <c r="T37" s="182">
        <v>267.80124665366384</v>
      </c>
      <c r="U37" s="182">
        <v>319.43520414036266</v>
      </c>
      <c r="V37" s="182">
        <v>368.28039704346475</v>
      </c>
      <c r="W37" s="182">
        <v>346.06755346007958</v>
      </c>
      <c r="X37" s="182">
        <v>345.78523337498564</v>
      </c>
      <c r="Y37" s="182">
        <v>345.89703506323031</v>
      </c>
      <c r="DA37" s="191" t="s">
        <v>935</v>
      </c>
    </row>
    <row r="38" spans="1:105" ht="12" customHeight="1" x14ac:dyDescent="0.25">
      <c r="A38" s="131" t="s">
        <v>160</v>
      </c>
      <c r="B38" s="182"/>
      <c r="C38" s="182">
        <v>0.5483303234929009</v>
      </c>
      <c r="D38" s="182">
        <v>0.56257504169556594</v>
      </c>
      <c r="E38" s="182">
        <v>0.57718981420305315</v>
      </c>
      <c r="F38" s="182">
        <v>0.59218425441638445</v>
      </c>
      <c r="G38" s="182">
        <v>0.60756822547689815</v>
      </c>
      <c r="H38" s="182">
        <v>0.6233518467540895</v>
      </c>
      <c r="I38" s="182">
        <v>0.89696910648515704</v>
      </c>
      <c r="J38" s="182">
        <v>0.8102615287199848</v>
      </c>
      <c r="K38" s="182">
        <v>1.0291394322227134</v>
      </c>
      <c r="L38" s="182">
        <v>1.0465076196130614</v>
      </c>
      <c r="M38" s="182">
        <v>1.1214581538009067</v>
      </c>
      <c r="N38" s="182">
        <v>1.0672559029581787</v>
      </c>
      <c r="O38" s="182">
        <v>1.3327633219473736</v>
      </c>
      <c r="P38" s="182">
        <v>1.4277054887988303</v>
      </c>
      <c r="Q38" s="182">
        <v>1.6152322373728065</v>
      </c>
      <c r="R38" s="182">
        <v>1.6929448080186695</v>
      </c>
      <c r="S38" s="182">
        <v>1.7097721197278819</v>
      </c>
      <c r="T38" s="182">
        <v>1.9070108578957594</v>
      </c>
      <c r="U38" s="182">
        <v>2.5356678398762114</v>
      </c>
      <c r="V38" s="182">
        <v>2.670542090782682</v>
      </c>
      <c r="W38" s="182">
        <v>3.1121072317363847</v>
      </c>
      <c r="X38" s="182">
        <v>2.7046576071778183</v>
      </c>
      <c r="Y38" s="182">
        <v>2.842626260225412</v>
      </c>
      <c r="DA38" s="191" t="s">
        <v>936</v>
      </c>
    </row>
    <row r="39" spans="1:105" ht="12" customHeight="1" x14ac:dyDescent="0.25">
      <c r="A39" s="131" t="s">
        <v>172</v>
      </c>
      <c r="B39" s="182"/>
      <c r="C39" s="182">
        <v>12.30440367146511</v>
      </c>
      <c r="D39" s="182">
        <v>12.563585909099515</v>
      </c>
      <c r="E39" s="182">
        <v>12.828227609386346</v>
      </c>
      <c r="F39" s="182">
        <v>13.098443771458022</v>
      </c>
      <c r="G39" s="182">
        <v>13.374351816809906</v>
      </c>
      <c r="H39" s="182">
        <v>13.656071640325536</v>
      </c>
      <c r="I39" s="182">
        <v>13.943725662376494</v>
      </c>
      <c r="J39" s="182">
        <v>14.237438882019603</v>
      </c>
      <c r="K39" s="182">
        <v>14.537338931315105</v>
      </c>
      <c r="L39" s="182">
        <v>14.843556130788613</v>
      </c>
      <c r="M39" s="182">
        <v>21.99066141762404</v>
      </c>
      <c r="N39" s="182">
        <v>20.325008733354309</v>
      </c>
      <c r="O39" s="182">
        <v>28.040053718032198</v>
      </c>
      <c r="P39" s="182">
        <v>28.38048536379921</v>
      </c>
      <c r="Q39" s="182">
        <v>34.74894994521668</v>
      </c>
      <c r="R39" s="182">
        <v>32.774122198101225</v>
      </c>
      <c r="S39" s="182">
        <v>37.493787264778234</v>
      </c>
      <c r="T39" s="182">
        <v>36.32437233492908</v>
      </c>
      <c r="U39" s="182">
        <v>28.693487686581818</v>
      </c>
      <c r="V39" s="182">
        <v>26.772758029237366</v>
      </c>
      <c r="W39" s="182">
        <v>28.195010309870497</v>
      </c>
      <c r="X39" s="182">
        <v>26.210516943290202</v>
      </c>
      <c r="Y39" s="182">
        <v>37.621854257206849</v>
      </c>
      <c r="DA39" s="191" t="s">
        <v>937</v>
      </c>
    </row>
    <row r="40" spans="1:105" ht="12" customHeight="1" x14ac:dyDescent="0.25">
      <c r="A40" s="60" t="s">
        <v>159</v>
      </c>
      <c r="B40" s="41"/>
      <c r="C40" s="41">
        <v>4.5649980696232051E-2</v>
      </c>
      <c r="D40" s="41">
        <v>5.0787040407755057E-2</v>
      </c>
      <c r="E40" s="41">
        <v>5.6502181031411691E-2</v>
      </c>
      <c r="F40" s="41">
        <v>6.2860454865547144E-2</v>
      </c>
      <c r="G40" s="41">
        <v>6.9934234639664083E-2</v>
      </c>
      <c r="H40" s="41">
        <v>7.7804037293343509E-2</v>
      </c>
      <c r="I40" s="41">
        <v>8.6559440456229986E-2</v>
      </c>
      <c r="J40" s="41">
        <v>9.6300102060855153E-2</v>
      </c>
      <c r="K40" s="41">
        <v>0.10713689469400567</v>
      </c>
      <c r="L40" s="41">
        <v>0.11919316759831577</v>
      </c>
      <c r="M40" s="41">
        <v>0.13260615068876991</v>
      </c>
      <c r="N40" s="41">
        <v>0.14752851656525046</v>
      </c>
      <c r="O40" s="41">
        <v>0.16413011830066271</v>
      </c>
      <c r="P40" s="41">
        <v>0.18259992278492732</v>
      </c>
      <c r="Q40" s="41">
        <v>0.20314816163102023</v>
      </c>
      <c r="R40" s="41">
        <v>0.26792612387717618</v>
      </c>
      <c r="S40" s="41">
        <v>0.23591594669632165</v>
      </c>
      <c r="T40" s="41">
        <v>0.37026851073011535</v>
      </c>
      <c r="U40" s="41">
        <v>0.43467650113192668</v>
      </c>
      <c r="V40" s="41">
        <v>0.53364284136888251</v>
      </c>
      <c r="W40" s="41">
        <v>0.61924066974928316</v>
      </c>
      <c r="X40" s="41">
        <v>0.52843433216552782</v>
      </c>
      <c r="Y40" s="41">
        <v>0.56142362018454506</v>
      </c>
      <c r="DA40" s="92" t="s">
        <v>938</v>
      </c>
    </row>
    <row r="41" spans="1:105" ht="12" customHeight="1" x14ac:dyDescent="0.25">
      <c r="A41" s="62" t="s">
        <v>157</v>
      </c>
      <c r="B41" s="42"/>
      <c r="C41" s="42">
        <v>37.149912229330056</v>
      </c>
      <c r="D41" s="42">
        <v>37.149912229330027</v>
      </c>
      <c r="E41" s="42">
        <v>37.149912229330027</v>
      </c>
      <c r="F41" s="42">
        <v>37.149912229330084</v>
      </c>
      <c r="G41" s="42">
        <v>37.149912229330027</v>
      </c>
      <c r="H41" s="42">
        <v>56.059556892560749</v>
      </c>
      <c r="I41" s="42">
        <v>60.363312923275885</v>
      </c>
      <c r="J41" s="42">
        <v>76.272947449452545</v>
      </c>
      <c r="K41" s="42">
        <v>124.21255544465919</v>
      </c>
      <c r="L41" s="42">
        <v>120.57104470577747</v>
      </c>
      <c r="M41" s="42">
        <v>152.21895905649717</v>
      </c>
      <c r="N41" s="42">
        <v>146.53614780340058</v>
      </c>
      <c r="O41" s="42">
        <v>172.34402466321808</v>
      </c>
      <c r="P41" s="42">
        <v>255.64334344840222</v>
      </c>
      <c r="Q41" s="42">
        <v>236.73003670265553</v>
      </c>
      <c r="R41" s="42">
        <v>279.75730940012863</v>
      </c>
      <c r="S41" s="42">
        <v>267.81760128292399</v>
      </c>
      <c r="T41" s="42">
        <v>325.17037812800027</v>
      </c>
      <c r="U41" s="42">
        <v>503.5289000272146</v>
      </c>
      <c r="V41" s="42">
        <v>527.62650687504311</v>
      </c>
      <c r="W41" s="42">
        <v>475.33782900588176</v>
      </c>
      <c r="X41" s="42">
        <v>456.97105777691695</v>
      </c>
      <c r="Y41" s="42">
        <v>518.5712608328372</v>
      </c>
      <c r="DA41" s="93" t="s">
        <v>939</v>
      </c>
    </row>
    <row r="42" spans="1:105" s="2" customFormat="1" ht="12" customHeight="1" x14ac:dyDescent="0.25">
      <c r="DA42" s="7"/>
    </row>
    <row r="43" spans="1:105" ht="12.95" customHeight="1" x14ac:dyDescent="0.25">
      <c r="A43" s="178" t="s">
        <v>104</v>
      </c>
      <c r="B43" s="183"/>
      <c r="C43" s="183"/>
      <c r="D43" s="183"/>
      <c r="E43" s="183"/>
      <c r="F43" s="183"/>
      <c r="G43" s="183"/>
      <c r="H43" s="183"/>
      <c r="I43" s="183"/>
      <c r="J43" s="183"/>
      <c r="K43" s="183"/>
      <c r="L43" s="183"/>
      <c r="M43" s="183"/>
      <c r="N43" s="183"/>
      <c r="O43" s="183"/>
      <c r="P43" s="183"/>
      <c r="Q43" s="183"/>
      <c r="R43" s="183"/>
      <c r="S43" s="183"/>
      <c r="T43" s="183"/>
      <c r="U43" s="183"/>
      <c r="V43" s="183"/>
      <c r="W43" s="183"/>
      <c r="X43" s="183"/>
      <c r="Y43" s="183"/>
      <c r="DA43" s="192"/>
    </row>
    <row r="44" spans="1:105" ht="12" customHeight="1" x14ac:dyDescent="0.25">
      <c r="A44" s="131" t="s">
        <v>7</v>
      </c>
      <c r="B44" s="184">
        <v>8759.9999999999982</v>
      </c>
      <c r="C44" s="184">
        <v>8760</v>
      </c>
      <c r="D44" s="184">
        <v>8760.0000000000018</v>
      </c>
      <c r="E44" s="184">
        <v>8760</v>
      </c>
      <c r="F44" s="184">
        <v>8759.9999999999982</v>
      </c>
      <c r="G44" s="184">
        <v>8759.9999999999982</v>
      </c>
      <c r="H44" s="184">
        <v>8759.9999999999982</v>
      </c>
      <c r="I44" s="184">
        <v>8760</v>
      </c>
      <c r="J44" s="184">
        <v>8759.9999999999982</v>
      </c>
      <c r="K44" s="184">
        <v>8759.9999999999964</v>
      </c>
      <c r="L44" s="184">
        <v>8759.9999999999982</v>
      </c>
      <c r="M44" s="184">
        <v>8760.0000000000018</v>
      </c>
      <c r="N44" s="184">
        <v>8760</v>
      </c>
      <c r="O44" s="184">
        <v>8760</v>
      </c>
      <c r="P44" s="184">
        <v>8759.9999999999982</v>
      </c>
      <c r="Q44" s="184">
        <v>8759.9999999999964</v>
      </c>
      <c r="R44" s="184">
        <v>8759.9999999999982</v>
      </c>
      <c r="S44" s="184">
        <v>8760.0000000000018</v>
      </c>
      <c r="T44" s="184">
        <v>8759.9999999999982</v>
      </c>
      <c r="U44" s="184">
        <v>8760</v>
      </c>
      <c r="V44" s="184">
        <v>8759.9999999999982</v>
      </c>
      <c r="W44" s="184">
        <v>8760</v>
      </c>
      <c r="X44" s="184">
        <v>8760</v>
      </c>
      <c r="Y44" s="184">
        <v>8760</v>
      </c>
      <c r="DA44" s="193" t="s">
        <v>940</v>
      </c>
    </row>
    <row r="45" spans="1:105" ht="12" customHeight="1" x14ac:dyDescent="0.25">
      <c r="A45" s="131" t="s">
        <v>6</v>
      </c>
      <c r="B45" s="184">
        <v>3034.3327877624752</v>
      </c>
      <c r="C45" s="184">
        <v>3044.6639091102675</v>
      </c>
      <c r="D45" s="184">
        <v>3050.6427539743427</v>
      </c>
      <c r="E45" s="184">
        <v>3061.6843020355927</v>
      </c>
      <c r="F45" s="184">
        <v>3073.8545994834531</v>
      </c>
      <c r="G45" s="184">
        <v>3093.990737571708</v>
      </c>
      <c r="H45" s="184">
        <v>3109.8567504423909</v>
      </c>
      <c r="I45" s="184">
        <v>3137.0521297677683</v>
      </c>
      <c r="J45" s="184">
        <v>3154.4110833175387</v>
      </c>
      <c r="K45" s="184">
        <v>3172.6896442440861</v>
      </c>
      <c r="L45" s="184">
        <v>3190.58731694076</v>
      </c>
      <c r="M45" s="184">
        <v>3213.4689254934619</v>
      </c>
      <c r="N45" s="184">
        <v>3234.6376076842344</v>
      </c>
      <c r="O45" s="184">
        <v>3264.0872203264635</v>
      </c>
      <c r="P45" s="184">
        <v>3291.7174707023146</v>
      </c>
      <c r="Q45" s="184">
        <v>3336.840942081682</v>
      </c>
      <c r="R45" s="184">
        <v>3326.3374672704449</v>
      </c>
      <c r="S45" s="184">
        <v>3343.8349785034493</v>
      </c>
      <c r="T45" s="184">
        <v>3350.7151584638023</v>
      </c>
      <c r="U45" s="184">
        <v>3322.4957722831782</v>
      </c>
      <c r="V45" s="184">
        <v>3302.8899571281986</v>
      </c>
      <c r="W45" s="184">
        <v>3294.9534741934986</v>
      </c>
      <c r="X45" s="184">
        <v>3325.4581267741487</v>
      </c>
      <c r="Y45" s="184">
        <v>3355.9627793547988</v>
      </c>
      <c r="DA45" s="193" t="s">
        <v>941</v>
      </c>
    </row>
    <row r="46" spans="1:105" ht="12" customHeight="1" x14ac:dyDescent="0.25">
      <c r="A46" s="131" t="s">
        <v>5</v>
      </c>
      <c r="B46" s="184">
        <v>2029.3140684692357</v>
      </c>
      <c r="C46" s="184">
        <v>2042.6605227581106</v>
      </c>
      <c r="D46" s="184">
        <v>2054.6452056188909</v>
      </c>
      <c r="E46" s="184">
        <v>2067.184777540107</v>
      </c>
      <c r="F46" s="184">
        <v>2085.3721850391985</v>
      </c>
      <c r="G46" s="184">
        <v>2094.1780275561755</v>
      </c>
      <c r="H46" s="184">
        <v>2109.777886914304</v>
      </c>
      <c r="I46" s="184">
        <v>2117.8434098966404</v>
      </c>
      <c r="J46" s="184">
        <v>2127.0377770772743</v>
      </c>
      <c r="K46" s="184">
        <v>2131.3345059592662</v>
      </c>
      <c r="L46" s="184">
        <v>2132.8272774186098</v>
      </c>
      <c r="M46" s="184">
        <v>2139.8996990640653</v>
      </c>
      <c r="N46" s="184">
        <v>2146.9173180216953</v>
      </c>
      <c r="O46" s="184">
        <v>2154.6080130388809</v>
      </c>
      <c r="P46" s="184">
        <v>2164.4998153967958</v>
      </c>
      <c r="Q46" s="184">
        <v>2173.0332828299429</v>
      </c>
      <c r="R46" s="184">
        <v>2165.9820603693943</v>
      </c>
      <c r="S46" s="184">
        <v>2189.1324300310057</v>
      </c>
      <c r="T46" s="184">
        <v>2190.100893841272</v>
      </c>
      <c r="U46" s="184">
        <v>2153.5188864106585</v>
      </c>
      <c r="V46" s="184">
        <v>2083.0710684567671</v>
      </c>
      <c r="W46" s="184">
        <v>2155.4845803946118</v>
      </c>
      <c r="X46" s="184">
        <v>2154.9918279942294</v>
      </c>
      <c r="Y46" s="184">
        <v>2154.7454517940382</v>
      </c>
      <c r="DA46" s="193" t="s">
        <v>942</v>
      </c>
    </row>
    <row r="47" spans="1:105" ht="12" customHeight="1" x14ac:dyDescent="0.25">
      <c r="A47" s="131" t="s">
        <v>171</v>
      </c>
      <c r="B47" s="184">
        <v>8760.0000000000036</v>
      </c>
      <c r="C47" s="184">
        <v>8759.9999999999982</v>
      </c>
      <c r="D47" s="184">
        <v>8759.9999999999982</v>
      </c>
      <c r="E47" s="184">
        <v>8759.9999999999982</v>
      </c>
      <c r="F47" s="184">
        <v>8760</v>
      </c>
      <c r="G47" s="184">
        <v>8759.9999999999982</v>
      </c>
      <c r="H47" s="184">
        <v>8759.9999999999964</v>
      </c>
      <c r="I47" s="184">
        <v>8759.9999999999945</v>
      </c>
      <c r="J47" s="184">
        <v>8759.9999999999982</v>
      </c>
      <c r="K47" s="184">
        <v>8759.9999999999964</v>
      </c>
      <c r="L47" s="184">
        <v>8759.9999999999964</v>
      </c>
      <c r="M47" s="184">
        <v>8759.9999999999982</v>
      </c>
      <c r="N47" s="184">
        <v>8759.9999999999964</v>
      </c>
      <c r="O47" s="184">
        <v>8760.0000000000018</v>
      </c>
      <c r="P47" s="184">
        <v>8760.0000000000018</v>
      </c>
      <c r="Q47" s="184">
        <v>8760.0000000000018</v>
      </c>
      <c r="R47" s="184">
        <v>8760.0000000000036</v>
      </c>
      <c r="S47" s="184">
        <v>8760.0000000000036</v>
      </c>
      <c r="T47" s="184">
        <v>8760.0000000000018</v>
      </c>
      <c r="U47" s="184">
        <v>8760</v>
      </c>
      <c r="V47" s="184">
        <v>8760.0000000000018</v>
      </c>
      <c r="W47" s="184">
        <v>8760.0000000000018</v>
      </c>
      <c r="X47" s="184">
        <v>8760.0000000000018</v>
      </c>
      <c r="Y47" s="184">
        <v>8760.0000000000018</v>
      </c>
      <c r="DA47" s="193" t="s">
        <v>943</v>
      </c>
    </row>
    <row r="48" spans="1:105" ht="12" customHeight="1" x14ac:dyDescent="0.25">
      <c r="A48" s="60" t="s">
        <v>4</v>
      </c>
      <c r="B48" s="44">
        <v>889.14815694599315</v>
      </c>
      <c r="C48" s="44">
        <v>893.39551284978052</v>
      </c>
      <c r="D48" s="44">
        <v>897.29075866187657</v>
      </c>
      <c r="E48" s="44">
        <v>900.88903334495615</v>
      </c>
      <c r="F48" s="44">
        <v>904.23337855435204</v>
      </c>
      <c r="G48" s="44">
        <v>907.35804781737454</v>
      </c>
      <c r="H48" s="44">
        <v>910.29075441359259</v>
      </c>
      <c r="I48" s="44">
        <v>913.05424231929464</v>
      </c>
      <c r="J48" s="44">
        <v>915.66741126750594</v>
      </c>
      <c r="K48" s="44">
        <v>918.14613983382276</v>
      </c>
      <c r="L48" s="44">
        <v>920.50389898439425</v>
      </c>
      <c r="M48" s="44">
        <v>922.0021682125157</v>
      </c>
      <c r="N48" s="44">
        <v>923.43299580385951</v>
      </c>
      <c r="O48" s="44">
        <v>924.80228415066188</v>
      </c>
      <c r="P48" s="44">
        <v>926.11518949712558</v>
      </c>
      <c r="Q48" s="44">
        <v>927.3762429208374</v>
      </c>
      <c r="R48" s="44">
        <v>922.78857270380058</v>
      </c>
      <c r="S48" s="44">
        <v>927.11192979550424</v>
      </c>
      <c r="T48" s="44">
        <v>929.69054471293782</v>
      </c>
      <c r="U48" s="44">
        <v>921.38682583704303</v>
      </c>
      <c r="V48" s="44">
        <v>891.24560358852636</v>
      </c>
      <c r="W48" s="44">
        <v>922.22785144952809</v>
      </c>
      <c r="X48" s="44">
        <v>923.34401040623607</v>
      </c>
      <c r="Y48" s="44">
        <v>923.90208988459005</v>
      </c>
      <c r="DA48" s="95" t="s">
        <v>944</v>
      </c>
    </row>
    <row r="49" spans="1:105" ht="12" customHeight="1" x14ac:dyDescent="0.25">
      <c r="A49" s="62" t="s">
        <v>3</v>
      </c>
      <c r="B49" s="185">
        <v>2459.913045549999</v>
      </c>
      <c r="C49" s="185">
        <v>2577.2805505642204</v>
      </c>
      <c r="D49" s="185">
        <v>2679.7067496754244</v>
      </c>
      <c r="E49" s="185">
        <v>2711.5444778116475</v>
      </c>
      <c r="F49" s="185">
        <v>2611.8551867005176</v>
      </c>
      <c r="G49" s="185">
        <v>2566.1612899316424</v>
      </c>
      <c r="H49" s="185">
        <v>2520.4918995251619</v>
      </c>
      <c r="I49" s="185">
        <v>2507.0077308816799</v>
      </c>
      <c r="J49" s="185">
        <v>2496.8807085041844</v>
      </c>
      <c r="K49" s="185">
        <v>2476.6632607117103</v>
      </c>
      <c r="L49" s="185">
        <v>2484.1900378901196</v>
      </c>
      <c r="M49" s="185">
        <v>2478.8503442843275</v>
      </c>
      <c r="N49" s="185">
        <v>2466.5132548975034</v>
      </c>
      <c r="O49" s="185">
        <v>2440.3407273589933</v>
      </c>
      <c r="P49" s="185">
        <v>2393.0290893066749</v>
      </c>
      <c r="Q49" s="185">
        <v>2346.1649170293108</v>
      </c>
      <c r="R49" s="185">
        <v>2323.0085791393849</v>
      </c>
      <c r="S49" s="185">
        <v>2319.6276526225206</v>
      </c>
      <c r="T49" s="185">
        <v>2316.837670993953</v>
      </c>
      <c r="U49" s="185">
        <v>2302.0933723643693</v>
      </c>
      <c r="V49" s="185">
        <v>2255.8157131638245</v>
      </c>
      <c r="W49" s="185">
        <v>2282.0358307519564</v>
      </c>
      <c r="X49" s="185">
        <v>2270.8022807171242</v>
      </c>
      <c r="Y49" s="185">
        <v>2261.4358330071418</v>
      </c>
      <c r="DA49" s="194" t="s">
        <v>945</v>
      </c>
    </row>
    <row r="50" spans="1:105" s="2" customFormat="1" ht="12" customHeight="1" x14ac:dyDescent="0.25">
      <c r="DA50" s="7"/>
    </row>
    <row r="51" spans="1:105" ht="12.95" customHeight="1" x14ac:dyDescent="0.25">
      <c r="A51" s="178" t="s">
        <v>103</v>
      </c>
      <c r="B51" s="179"/>
      <c r="C51" s="179"/>
      <c r="D51" s="179"/>
      <c r="E51" s="179"/>
      <c r="F51" s="179"/>
      <c r="G51" s="179"/>
      <c r="H51" s="179"/>
      <c r="I51" s="179"/>
      <c r="J51" s="179"/>
      <c r="K51" s="179"/>
      <c r="L51" s="179"/>
      <c r="M51" s="179"/>
      <c r="N51" s="179"/>
      <c r="O51" s="179"/>
      <c r="P51" s="179"/>
      <c r="Q51" s="179"/>
      <c r="R51" s="179"/>
      <c r="S51" s="179"/>
      <c r="T51" s="179"/>
      <c r="U51" s="179"/>
      <c r="V51" s="179"/>
      <c r="W51" s="179"/>
      <c r="X51" s="179"/>
      <c r="Y51" s="179"/>
      <c r="DA51" s="188"/>
    </row>
    <row r="52" spans="1:105" ht="12" customHeight="1" x14ac:dyDescent="0.25">
      <c r="A52" s="131" t="s">
        <v>101</v>
      </c>
      <c r="B52" s="180">
        <v>0.89091073696214329</v>
      </c>
      <c r="C52" s="180">
        <v>0.87674764335025834</v>
      </c>
      <c r="D52" s="180">
        <v>0.86429499344494076</v>
      </c>
      <c r="E52" s="180">
        <v>0.84666132894867752</v>
      </c>
      <c r="F52" s="180">
        <v>0.82917890454428245</v>
      </c>
      <c r="G52" s="180">
        <v>0.80981825320704148</v>
      </c>
      <c r="H52" s="180">
        <v>0.79273276522832459</v>
      </c>
      <c r="I52" s="180">
        <v>0.77726783203205085</v>
      </c>
      <c r="J52" s="180">
        <v>0.76239590692061865</v>
      </c>
      <c r="K52" s="180">
        <v>0.74849248537224911</v>
      </c>
      <c r="L52" s="180">
        <v>0.73132093001527321</v>
      </c>
      <c r="M52" s="180">
        <v>0.71515085379004362</v>
      </c>
      <c r="N52" s="180">
        <v>0.70122476491910213</v>
      </c>
      <c r="O52" s="180">
        <v>0.68454015090573195</v>
      </c>
      <c r="P52" s="180">
        <v>0.66824450319903894</v>
      </c>
      <c r="Q52" s="180">
        <v>0.65025814328492659</v>
      </c>
      <c r="R52" s="180">
        <v>0.63804164924681361</v>
      </c>
      <c r="S52" s="180">
        <v>0.62618063479208963</v>
      </c>
      <c r="T52" s="180">
        <v>0.61633526129045491</v>
      </c>
      <c r="U52" s="180">
        <v>0.60465660471486993</v>
      </c>
      <c r="V52" s="180">
        <v>0.59494176926005959</v>
      </c>
      <c r="W52" s="180">
        <v>0.58356078175963633</v>
      </c>
      <c r="X52" s="180">
        <v>0.57372692864537</v>
      </c>
      <c r="Y52" s="180">
        <v>0.5635024732894407</v>
      </c>
      <c r="DA52" s="189" t="s">
        <v>946</v>
      </c>
    </row>
    <row r="53" spans="1:105" ht="12" customHeight="1" x14ac:dyDescent="0.25">
      <c r="A53" s="131" t="s">
        <v>100</v>
      </c>
      <c r="B53" s="180">
        <v>206.63140548787183</v>
      </c>
      <c r="C53" s="180">
        <v>204.08128887933822</v>
      </c>
      <c r="D53" s="180">
        <v>200.77932144378585</v>
      </c>
      <c r="E53" s="180">
        <v>197.31772799626822</v>
      </c>
      <c r="F53" s="180">
        <v>193.79494763789538</v>
      </c>
      <c r="G53" s="180">
        <v>190.09372585355817</v>
      </c>
      <c r="H53" s="180">
        <v>186.3409565080043</v>
      </c>
      <c r="I53" s="180">
        <v>183.19314722723314</v>
      </c>
      <c r="J53" s="180">
        <v>181.35167864102263</v>
      </c>
      <c r="K53" s="180">
        <v>179.40619087740515</v>
      </c>
      <c r="L53" s="180">
        <v>177.27491568465138</v>
      </c>
      <c r="M53" s="180">
        <v>174.83042247496135</v>
      </c>
      <c r="N53" s="180">
        <v>171.72221023432886</v>
      </c>
      <c r="O53" s="180">
        <v>167.92716504562202</v>
      </c>
      <c r="P53" s="180">
        <v>164.18664057340823</v>
      </c>
      <c r="Q53" s="180">
        <v>159.89821908034355</v>
      </c>
      <c r="R53" s="180">
        <v>154.93222569997093</v>
      </c>
      <c r="S53" s="180">
        <v>149.66655738079058</v>
      </c>
      <c r="T53" s="180">
        <v>143.99007070109485</v>
      </c>
      <c r="U53" s="180">
        <v>137.266171219234</v>
      </c>
      <c r="V53" s="180">
        <v>129.65173590891123</v>
      </c>
      <c r="W53" s="180">
        <v>123.17272669386078</v>
      </c>
      <c r="X53" s="180">
        <v>117.70569770742274</v>
      </c>
      <c r="Y53" s="180">
        <v>113.13418349438138</v>
      </c>
      <c r="DA53" s="189" t="s">
        <v>947</v>
      </c>
    </row>
    <row r="54" spans="1:105" ht="12" customHeight="1" x14ac:dyDescent="0.25">
      <c r="A54" s="131" t="s">
        <v>140</v>
      </c>
      <c r="B54" s="180">
        <v>46.492067187278934</v>
      </c>
      <c r="C54" s="180">
        <v>45.985749445041662</v>
      </c>
      <c r="D54" s="180">
        <v>45.358070669925475</v>
      </c>
      <c r="E54" s="180">
        <v>44.541554965484735</v>
      </c>
      <c r="F54" s="180">
        <v>43.704658792552422</v>
      </c>
      <c r="G54" s="180">
        <v>42.833353218362639</v>
      </c>
      <c r="H54" s="180">
        <v>41.953988179423867</v>
      </c>
      <c r="I54" s="180">
        <v>41.032644395223485</v>
      </c>
      <c r="J54" s="180">
        <v>40.169064422590026</v>
      </c>
      <c r="K54" s="180">
        <v>39.111429622654683</v>
      </c>
      <c r="L54" s="180">
        <v>37.969531914749858</v>
      </c>
      <c r="M54" s="180">
        <v>36.706796730374329</v>
      </c>
      <c r="N54" s="180">
        <v>35.373469047395915</v>
      </c>
      <c r="O54" s="180">
        <v>33.737180886355205</v>
      </c>
      <c r="P54" s="180">
        <v>32.117780189046066</v>
      </c>
      <c r="Q54" s="180">
        <v>30.363109560210592</v>
      </c>
      <c r="R54" s="180">
        <v>28.558008612458977</v>
      </c>
      <c r="S54" s="180">
        <v>26.893256303642691</v>
      </c>
      <c r="T54" s="180">
        <v>25.133777256006301</v>
      </c>
      <c r="U54" s="180">
        <v>22.992585025400711</v>
      </c>
      <c r="V54" s="180">
        <v>20.954090586943586</v>
      </c>
      <c r="W54" s="180">
        <v>18.9687653667551</v>
      </c>
      <c r="X54" s="180">
        <v>17.650859568760634</v>
      </c>
      <c r="Y54" s="180">
        <v>16.391004365413202</v>
      </c>
      <c r="DA54" s="189" t="s">
        <v>948</v>
      </c>
    </row>
    <row r="55" spans="1:105" ht="12" customHeight="1" x14ac:dyDescent="0.25">
      <c r="A55" s="131" t="s">
        <v>173</v>
      </c>
      <c r="B55" s="180">
        <v>777.69127553592364</v>
      </c>
      <c r="C55" s="180">
        <v>766.11873419285439</v>
      </c>
      <c r="D55" s="180">
        <v>753.74145741205803</v>
      </c>
      <c r="E55" s="180">
        <v>737.14857085231665</v>
      </c>
      <c r="F55" s="180">
        <v>720.54837696952382</v>
      </c>
      <c r="G55" s="180">
        <v>702.76653110862139</v>
      </c>
      <c r="H55" s="180">
        <v>687.06186149768314</v>
      </c>
      <c r="I55" s="180">
        <v>670.99273008944829</v>
      </c>
      <c r="J55" s="180">
        <v>656.09395509801311</v>
      </c>
      <c r="K55" s="180">
        <v>642.85463709675093</v>
      </c>
      <c r="L55" s="180">
        <v>630.07136574601623</v>
      </c>
      <c r="M55" s="180">
        <v>617.97077959705871</v>
      </c>
      <c r="N55" s="180">
        <v>607.93887423103104</v>
      </c>
      <c r="O55" s="180">
        <v>593.99767567840115</v>
      </c>
      <c r="P55" s="180">
        <v>579.63899564933865</v>
      </c>
      <c r="Q55" s="180">
        <v>562.28332389194497</v>
      </c>
      <c r="R55" s="180">
        <v>546.38817967734269</v>
      </c>
      <c r="S55" s="180">
        <v>531.46333089352481</v>
      </c>
      <c r="T55" s="180">
        <v>518.08294306359085</v>
      </c>
      <c r="U55" s="180">
        <v>507.71968948304612</v>
      </c>
      <c r="V55" s="180">
        <v>497.67022209072923</v>
      </c>
      <c r="W55" s="180">
        <v>489.52678154338662</v>
      </c>
      <c r="X55" s="180">
        <v>482.5631055837801</v>
      </c>
      <c r="Y55" s="180">
        <v>473.73605827769518</v>
      </c>
      <c r="DA55" s="189" t="s">
        <v>949</v>
      </c>
    </row>
    <row r="56" spans="1:105" ht="12" customHeight="1" x14ac:dyDescent="0.25">
      <c r="A56" s="60" t="s">
        <v>99</v>
      </c>
      <c r="B56" s="55">
        <v>54.610863302365196</v>
      </c>
      <c r="C56" s="55">
        <v>54.116381075287848</v>
      </c>
      <c r="D56" s="55">
        <v>53.706644162247855</v>
      </c>
      <c r="E56" s="55">
        <v>53.136151248358104</v>
      </c>
      <c r="F56" s="55">
        <v>52.541198152495888</v>
      </c>
      <c r="G56" s="55">
        <v>51.861038356986214</v>
      </c>
      <c r="H56" s="55">
        <v>51.145788372247047</v>
      </c>
      <c r="I56" s="55">
        <v>50.537275764092634</v>
      </c>
      <c r="J56" s="55">
        <v>49.917536137238436</v>
      </c>
      <c r="K56" s="55">
        <v>49.360388512193978</v>
      </c>
      <c r="L56" s="55">
        <v>48.666972941146447</v>
      </c>
      <c r="M56" s="55">
        <v>47.93617377009879</v>
      </c>
      <c r="N56" s="55">
        <v>47.162604832692907</v>
      </c>
      <c r="O56" s="55">
        <v>46.273987395240354</v>
      </c>
      <c r="P56" s="55">
        <v>45.307785236364111</v>
      </c>
      <c r="Q56" s="55">
        <v>44.267404807554641</v>
      </c>
      <c r="R56" s="55">
        <v>43.187456177933889</v>
      </c>
      <c r="S56" s="55">
        <v>42.236047125195455</v>
      </c>
      <c r="T56" s="55">
        <v>41.265132147578598</v>
      </c>
      <c r="U56" s="55">
        <v>40.328014667081646</v>
      </c>
      <c r="V56" s="55">
        <v>39.388164792363312</v>
      </c>
      <c r="W56" s="55">
        <v>38.478734700099473</v>
      </c>
      <c r="X56" s="55">
        <v>37.783335198701842</v>
      </c>
      <c r="Y56" s="55">
        <v>37.138922690849604</v>
      </c>
      <c r="DA56" s="101" t="s">
        <v>950</v>
      </c>
    </row>
    <row r="57" spans="1:105" ht="12" customHeight="1" x14ac:dyDescent="0.25">
      <c r="A57" s="62" t="s">
        <v>98</v>
      </c>
      <c r="B57" s="63">
        <v>408.77142957832103</v>
      </c>
      <c r="C57" s="63">
        <v>400.59226814944134</v>
      </c>
      <c r="D57" s="63">
        <v>390.5569330822521</v>
      </c>
      <c r="E57" s="63">
        <v>377.72014995734554</v>
      </c>
      <c r="F57" s="63">
        <v>361.24623957911859</v>
      </c>
      <c r="G57" s="63">
        <v>346.68298291776705</v>
      </c>
      <c r="H57" s="63">
        <v>331.04716550473302</v>
      </c>
      <c r="I57" s="63">
        <v>317.4284930131106</v>
      </c>
      <c r="J57" s="63">
        <v>301.28331260238167</v>
      </c>
      <c r="K57" s="63">
        <v>280.12320758237013</v>
      </c>
      <c r="L57" s="63">
        <v>262.78568931215011</v>
      </c>
      <c r="M57" s="63">
        <v>246.26777780713809</v>
      </c>
      <c r="N57" s="63">
        <v>234.07116383261257</v>
      </c>
      <c r="O57" s="63">
        <v>225.07617932723053</v>
      </c>
      <c r="P57" s="63">
        <v>217.13834735267358</v>
      </c>
      <c r="Q57" s="63">
        <v>213.86491901123864</v>
      </c>
      <c r="R57" s="63">
        <v>211.44663588120576</v>
      </c>
      <c r="S57" s="63">
        <v>209.23418372276782</v>
      </c>
      <c r="T57" s="63">
        <v>206.07637908122814</v>
      </c>
      <c r="U57" s="63">
        <v>201.20240430590508</v>
      </c>
      <c r="V57" s="63">
        <v>195.66650280370553</v>
      </c>
      <c r="W57" s="63">
        <v>191.21415266381206</v>
      </c>
      <c r="X57" s="63">
        <v>187.60861609875184</v>
      </c>
      <c r="Y57" s="63">
        <v>184.07551420412187</v>
      </c>
      <c r="DA57" s="105" t="s">
        <v>951</v>
      </c>
    </row>
    <row r="58" spans="1:105" s="2" customFormat="1" ht="12" customHeight="1" x14ac:dyDescent="0.25">
      <c r="DA58" s="7"/>
    </row>
    <row r="59" spans="1:105" ht="12.95" customHeight="1" x14ac:dyDescent="0.25">
      <c r="A59" s="178" t="s">
        <v>102</v>
      </c>
      <c r="B59" s="179"/>
      <c r="C59" s="179"/>
      <c r="D59" s="179"/>
      <c r="E59" s="179"/>
      <c r="F59" s="179"/>
      <c r="G59" s="179"/>
      <c r="H59" s="179"/>
      <c r="I59" s="179"/>
      <c r="J59" s="179"/>
      <c r="K59" s="179"/>
      <c r="L59" s="179"/>
      <c r="M59" s="179"/>
      <c r="N59" s="179"/>
      <c r="O59" s="179"/>
      <c r="P59" s="179"/>
      <c r="Q59" s="179"/>
      <c r="R59" s="179"/>
      <c r="S59" s="179"/>
      <c r="T59" s="179"/>
      <c r="U59" s="179"/>
      <c r="V59" s="179"/>
      <c r="W59" s="179"/>
      <c r="X59" s="179"/>
      <c r="Y59" s="179"/>
      <c r="DA59" s="188"/>
    </row>
    <row r="60" spans="1:105" ht="12" customHeight="1" x14ac:dyDescent="0.25">
      <c r="A60" s="131" t="s">
        <v>101</v>
      </c>
      <c r="B60" s="180"/>
      <c r="C60" s="180">
        <v>0.79391832328524081</v>
      </c>
      <c r="D60" s="180">
        <v>0.77735716660420795</v>
      </c>
      <c r="E60" s="180">
        <v>0.76124817968329905</v>
      </c>
      <c r="F60" s="180">
        <v>0.74190037351881244</v>
      </c>
      <c r="G60" s="180">
        <v>0.72257326739809624</v>
      </c>
      <c r="H60" s="180">
        <v>0.70264968702590347</v>
      </c>
      <c r="I60" s="180">
        <v>0.68466058222409809</v>
      </c>
      <c r="J60" s="180">
        <v>0.66812422592956866</v>
      </c>
      <c r="K60" s="180">
        <v>0.65221845905301734</v>
      </c>
      <c r="L60" s="180">
        <v>0.63360720350497557</v>
      </c>
      <c r="M60" s="180">
        <v>0.61652420676411557</v>
      </c>
      <c r="N60" s="180">
        <v>0.59665797766962336</v>
      </c>
      <c r="O60" s="180">
        <v>0.57743304629942283</v>
      </c>
      <c r="P60" s="180">
        <v>0.5563411250210295</v>
      </c>
      <c r="Q60" s="180">
        <v>0.53484562514477108</v>
      </c>
      <c r="R60" s="180">
        <v>0.53145354016361024</v>
      </c>
      <c r="S60" s="180">
        <v>0.52650717301563976</v>
      </c>
      <c r="T60" s="180">
        <v>0.52167010678149162</v>
      </c>
      <c r="U60" s="180">
        <v>0.51702336452673325</v>
      </c>
      <c r="V60" s="180">
        <v>0.51248307250876324</v>
      </c>
      <c r="W60" s="180">
        <v>0.50940817407371064</v>
      </c>
      <c r="X60" s="180">
        <v>0.50633327563865804</v>
      </c>
      <c r="Y60" s="180">
        <v>0.50325837720360544</v>
      </c>
      <c r="DA60" s="189" t="s">
        <v>952</v>
      </c>
    </row>
    <row r="61" spans="1:105" ht="12" customHeight="1" x14ac:dyDescent="0.25">
      <c r="A61" s="131" t="s">
        <v>100</v>
      </c>
      <c r="B61" s="180"/>
      <c r="C61" s="180">
        <v>190.81499883738212</v>
      </c>
      <c r="D61" s="180">
        <v>188.55763105070474</v>
      </c>
      <c r="E61" s="180">
        <v>186.73728075282452</v>
      </c>
      <c r="F61" s="180">
        <v>184.77815388358698</v>
      </c>
      <c r="G61" s="180">
        <v>182.48374132865777</v>
      </c>
      <c r="H61" s="180">
        <v>179.58828674857602</v>
      </c>
      <c r="I61" s="180">
        <v>177.37457228566967</v>
      </c>
      <c r="J61" s="180">
        <v>175.0768580407707</v>
      </c>
      <c r="K61" s="180">
        <v>172.49339232757731</v>
      </c>
      <c r="L61" s="180">
        <v>169.65648166746934</v>
      </c>
      <c r="M61" s="180">
        <v>166.15633748274618</v>
      </c>
      <c r="N61" s="180">
        <v>162.38896129642896</v>
      </c>
      <c r="O61" s="180">
        <v>157.97222142505183</v>
      </c>
      <c r="P61" s="180">
        <v>152.76303002774569</v>
      </c>
      <c r="Q61" s="180">
        <v>145.61899011099638</v>
      </c>
      <c r="R61" s="180">
        <v>136.70710129967267</v>
      </c>
      <c r="S61" s="180">
        <v>130.21215766576179</v>
      </c>
      <c r="T61" s="180">
        <v>123.59605669220774</v>
      </c>
      <c r="U61" s="180">
        <v>116.90673692371385</v>
      </c>
      <c r="V61" s="180">
        <v>110.34363810566468</v>
      </c>
      <c r="W61" s="180">
        <v>107.62918460826533</v>
      </c>
      <c r="X61" s="180">
        <v>104.91473111086599</v>
      </c>
      <c r="Y61" s="180">
        <v>102.20027761346664</v>
      </c>
      <c r="DA61" s="189" t="s">
        <v>953</v>
      </c>
    </row>
    <row r="62" spans="1:105" ht="12" customHeight="1" x14ac:dyDescent="0.25">
      <c r="A62" s="131" t="s">
        <v>140</v>
      </c>
      <c r="B62" s="180"/>
      <c r="C62" s="180">
        <v>44.313280210365832</v>
      </c>
      <c r="D62" s="180">
        <v>43.155349242200266</v>
      </c>
      <c r="E62" s="180">
        <v>42.376597886424491</v>
      </c>
      <c r="F62" s="180">
        <v>41.635732328548336</v>
      </c>
      <c r="G62" s="180">
        <v>40.920101640834133</v>
      </c>
      <c r="H62" s="180">
        <v>40.050006798061283</v>
      </c>
      <c r="I62" s="180">
        <v>39.112378495812607</v>
      </c>
      <c r="J62" s="180">
        <v>37.98820953854765</v>
      </c>
      <c r="K62" s="180">
        <v>36.592045054245304</v>
      </c>
      <c r="L62" s="180">
        <v>35.102227249484585</v>
      </c>
      <c r="M62" s="180">
        <v>33.371958315363955</v>
      </c>
      <c r="N62" s="180">
        <v>31.806043456050773</v>
      </c>
      <c r="O62" s="180">
        <v>30.312329185903018</v>
      </c>
      <c r="P62" s="180">
        <v>28.653565769695412</v>
      </c>
      <c r="Q62" s="180">
        <v>26.756218999958389</v>
      </c>
      <c r="R62" s="180">
        <v>23.558856094325183</v>
      </c>
      <c r="S62" s="180">
        <v>22.216430994417291</v>
      </c>
      <c r="T62" s="180">
        <v>19.859767765207472</v>
      </c>
      <c r="U62" s="180">
        <v>17.90146495924763</v>
      </c>
      <c r="V62" s="180">
        <v>16.464151117892687</v>
      </c>
      <c r="W62" s="180">
        <v>15.640943561998052</v>
      </c>
      <c r="X62" s="180">
        <v>14.817736006103416</v>
      </c>
      <c r="Y62" s="180">
        <v>13.994528450208781</v>
      </c>
      <c r="DA62" s="189" t="s">
        <v>954</v>
      </c>
    </row>
    <row r="63" spans="1:105" ht="12" customHeight="1" x14ac:dyDescent="0.25">
      <c r="A63" s="131" t="s">
        <v>173</v>
      </c>
      <c r="B63" s="180"/>
      <c r="C63" s="180">
        <v>701.34668962767807</v>
      </c>
      <c r="D63" s="180">
        <v>680.20062555526988</v>
      </c>
      <c r="E63" s="180">
        <v>665.25570347123312</v>
      </c>
      <c r="F63" s="180">
        <v>648.6283969879438</v>
      </c>
      <c r="G63" s="180">
        <v>637.79039053169697</v>
      </c>
      <c r="H63" s="180">
        <v>626.73512683743832</v>
      </c>
      <c r="I63" s="180">
        <v>614.74769730456444</v>
      </c>
      <c r="J63" s="180">
        <v>602.29271029030235</v>
      </c>
      <c r="K63" s="180">
        <v>586.83918498078322</v>
      </c>
      <c r="L63" s="180">
        <v>576.49763607813748</v>
      </c>
      <c r="M63" s="180">
        <v>556.15982742609526</v>
      </c>
      <c r="N63" s="180">
        <v>548.48232043693463</v>
      </c>
      <c r="O63" s="180">
        <v>533.11015608230912</v>
      </c>
      <c r="P63" s="180">
        <v>513.94312441190357</v>
      </c>
      <c r="Q63" s="180">
        <v>501.62301700926872</v>
      </c>
      <c r="R63" s="180">
        <v>494.53077556952059</v>
      </c>
      <c r="S63" s="180">
        <v>486.06713020279852</v>
      </c>
      <c r="T63" s="180">
        <v>477.81148542017945</v>
      </c>
      <c r="U63" s="180">
        <v>469.71788753998567</v>
      </c>
      <c r="V63" s="180">
        <v>461.71644717194795</v>
      </c>
      <c r="W63" s="180">
        <v>452.48211822850897</v>
      </c>
      <c r="X63" s="180">
        <v>443.24778928507004</v>
      </c>
      <c r="Y63" s="180">
        <v>434.01346034163106</v>
      </c>
      <c r="DA63" s="189" t="s">
        <v>955</v>
      </c>
    </row>
    <row r="64" spans="1:105" ht="12" customHeight="1" x14ac:dyDescent="0.25">
      <c r="A64" s="60" t="s">
        <v>99</v>
      </c>
      <c r="B64" s="55"/>
      <c r="C64" s="55">
        <v>51.242627933964386</v>
      </c>
      <c r="D64" s="55">
        <v>50.73162682241329</v>
      </c>
      <c r="E64" s="55">
        <v>50.264048278037428</v>
      </c>
      <c r="F64" s="55">
        <v>49.659702571909861</v>
      </c>
      <c r="G64" s="55">
        <v>48.785537930773572</v>
      </c>
      <c r="H64" s="55">
        <v>47.931868258982178</v>
      </c>
      <c r="I64" s="55">
        <v>46.942845293396282</v>
      </c>
      <c r="J64" s="55">
        <v>46.149513001329048</v>
      </c>
      <c r="K64" s="55">
        <v>45.043601323673279</v>
      </c>
      <c r="L64" s="55">
        <v>44.056483179582834</v>
      </c>
      <c r="M64" s="55">
        <v>42.78010590575618</v>
      </c>
      <c r="N64" s="55">
        <v>41.459489876900562</v>
      </c>
      <c r="O64" s="55">
        <v>40.138144739491921</v>
      </c>
      <c r="P64" s="55">
        <v>38.908215534814985</v>
      </c>
      <c r="Q64" s="55">
        <v>37.50842799269401</v>
      </c>
      <c r="R64" s="55">
        <v>37.047404555539131</v>
      </c>
      <c r="S64" s="55">
        <v>36.496484258866396</v>
      </c>
      <c r="T64" s="55">
        <v>35.965731514424171</v>
      </c>
      <c r="U64" s="55">
        <v>35.444438630147111</v>
      </c>
      <c r="V64" s="55">
        <v>34.930829205445377</v>
      </c>
      <c r="W64" s="55">
        <v>34.581520913390925</v>
      </c>
      <c r="X64" s="55">
        <v>34.232212621336473</v>
      </c>
      <c r="Y64" s="55">
        <v>33.882904329282013</v>
      </c>
      <c r="DA64" s="101" t="s">
        <v>956</v>
      </c>
    </row>
    <row r="65" spans="1:105" ht="12" customHeight="1" x14ac:dyDescent="0.25">
      <c r="A65" s="62" t="s">
        <v>98</v>
      </c>
      <c r="B65" s="63"/>
      <c r="C65" s="63">
        <v>378.91138831125397</v>
      </c>
      <c r="D65" s="63">
        <v>367.74246694274444</v>
      </c>
      <c r="E65" s="63">
        <v>354.49305599400736</v>
      </c>
      <c r="F65" s="63">
        <v>340.04946420838752</v>
      </c>
      <c r="G65" s="63">
        <v>323.04827576475623</v>
      </c>
      <c r="H65" s="63">
        <v>303.73715631205755</v>
      </c>
      <c r="I65" s="63">
        <v>288.55961510580414</v>
      </c>
      <c r="J65" s="63">
        <v>266.76800502475339</v>
      </c>
      <c r="K65" s="63">
        <v>249.98528102207976</v>
      </c>
      <c r="L65" s="63">
        <v>231.42342229205107</v>
      </c>
      <c r="M65" s="63">
        <v>220.65048570824672</v>
      </c>
      <c r="N65" s="63">
        <v>214.19901744938647</v>
      </c>
      <c r="O65" s="63">
        <v>213.63844142799394</v>
      </c>
      <c r="P65" s="63">
        <v>212.29456842728251</v>
      </c>
      <c r="Q65" s="63">
        <v>211.73570714263252</v>
      </c>
      <c r="R65" s="63">
        <v>207.17740556513843</v>
      </c>
      <c r="S65" s="63">
        <v>201.97916870468453</v>
      </c>
      <c r="T65" s="63">
        <v>196.88168805832623</v>
      </c>
      <c r="U65" s="63">
        <v>191.87352595346536</v>
      </c>
      <c r="V65" s="63">
        <v>186.92544267391509</v>
      </c>
      <c r="W65" s="63">
        <v>183.56078470578461</v>
      </c>
      <c r="X65" s="63">
        <v>180.19612673765414</v>
      </c>
      <c r="Y65" s="63">
        <v>176.83146876952367</v>
      </c>
      <c r="DA65" s="105" t="s">
        <v>957</v>
      </c>
    </row>
    <row r="66" spans="1:105" s="2" customFormat="1" ht="12" customHeight="1" x14ac:dyDescent="0.25">
      <c r="DA66" s="7"/>
    </row>
    <row r="67" spans="1:105" ht="12.95" customHeight="1" x14ac:dyDescent="0.25">
      <c r="A67" s="178" t="s">
        <v>97</v>
      </c>
      <c r="B67" s="186"/>
      <c r="C67" s="186"/>
      <c r="D67" s="186"/>
      <c r="E67" s="186"/>
      <c r="F67" s="186"/>
      <c r="G67" s="186"/>
      <c r="H67" s="186"/>
      <c r="I67" s="186"/>
      <c r="J67" s="186"/>
      <c r="K67" s="186"/>
      <c r="L67" s="186"/>
      <c r="M67" s="186"/>
      <c r="N67" s="186"/>
      <c r="O67" s="186"/>
      <c r="P67" s="186"/>
      <c r="Q67" s="186"/>
      <c r="R67" s="186"/>
      <c r="S67" s="186"/>
      <c r="T67" s="186"/>
      <c r="U67" s="186"/>
      <c r="V67" s="186"/>
      <c r="W67" s="186"/>
      <c r="X67" s="186"/>
      <c r="Y67" s="186"/>
      <c r="DA67" s="195"/>
    </row>
    <row r="68" spans="1:105" ht="12" customHeight="1" x14ac:dyDescent="0.25">
      <c r="A68" s="131" t="s">
        <v>96</v>
      </c>
      <c r="B68" s="187">
        <f>1000000*B20/SER_summary!B$8</f>
        <v>145.61609556485311</v>
      </c>
      <c r="C68" s="187">
        <f>1000000*C20/SER_summary!C$8</f>
        <v>149.9606322773337</v>
      </c>
      <c r="D68" s="187">
        <f>1000000*D20/SER_summary!D$8</f>
        <v>157.31281641600464</v>
      </c>
      <c r="E68" s="187">
        <f>1000000*E20/SER_summary!E$8</f>
        <v>168.57915653230123</v>
      </c>
      <c r="F68" s="187">
        <f>1000000*F20/SER_summary!F$8</f>
        <v>180.42326525258156</v>
      </c>
      <c r="G68" s="187">
        <f>1000000*G20/SER_summary!G$8</f>
        <v>194.65594731487343</v>
      </c>
      <c r="H68" s="187">
        <f>1000000*H20/SER_summary!H$8</f>
        <v>208.24627720820652</v>
      </c>
      <c r="I68" s="187">
        <f>1000000*I20/SER_summary!I$8</f>
        <v>225.58180543363289</v>
      </c>
      <c r="J68" s="187">
        <f>1000000*J20/SER_summary!J$8</f>
        <v>241.85663203540855</v>
      </c>
      <c r="K68" s="187">
        <f>1000000*K20/SER_summary!K$8</f>
        <v>258.62301079586297</v>
      </c>
      <c r="L68" s="187">
        <f>1000000*L20/SER_summary!L$8</f>
        <v>279.46369098584421</v>
      </c>
      <c r="M68" s="187">
        <f>1000000*M20/SER_summary!M$8</f>
        <v>299.50191917986785</v>
      </c>
      <c r="N68" s="187">
        <f>1000000*N20/SER_summary!N$8</f>
        <v>317.33250454939292</v>
      </c>
      <c r="O68" s="187">
        <f>1000000*O20/SER_summary!O$8</f>
        <v>336.40693438810348</v>
      </c>
      <c r="P68" s="187">
        <f>1000000*P20/SER_summary!P$8</f>
        <v>355.95909536846693</v>
      </c>
      <c r="Q68" s="187">
        <f>1000000*Q20/SER_summary!Q$8</f>
        <v>377.24092235285491</v>
      </c>
      <c r="R68" s="187">
        <f>1000000*R20/SER_summary!R$8</f>
        <v>389.38877922188425</v>
      </c>
      <c r="S68" s="187">
        <f>1000000*S20/SER_summary!S$8</f>
        <v>401.54877900277279</v>
      </c>
      <c r="T68" s="187">
        <f>1000000*T20/SER_summary!T$8</f>
        <v>413.65670115648373</v>
      </c>
      <c r="U68" s="187">
        <f>1000000*U20/SER_summary!U$8</f>
        <v>425.67359503719661</v>
      </c>
      <c r="V68" s="187">
        <f>1000000*V20/SER_summary!V$8</f>
        <v>437.52695953508442</v>
      </c>
      <c r="W68" s="187">
        <f>1000000*W20/SER_summary!W$8</f>
        <v>449.151685757758</v>
      </c>
      <c r="X68" s="187">
        <f>1000000*X20/SER_summary!X$8</f>
        <v>455.07936325732646</v>
      </c>
      <c r="Y68" s="187">
        <f>1000000*Y20/SER_summary!Y$8</f>
        <v>458.07247423360877</v>
      </c>
      <c r="DA68" s="196" t="s">
        <v>958</v>
      </c>
    </row>
    <row r="69" spans="1:105" ht="12" customHeight="1" x14ac:dyDescent="0.25">
      <c r="A69" s="131" t="s">
        <v>95</v>
      </c>
      <c r="B69" s="187">
        <f>1000*B21/SER_summary!B$3</f>
        <v>3.3357472433321607E-2</v>
      </c>
      <c r="C69" s="187">
        <f>1000*C21/SER_summary!C$3</f>
        <v>3.4819553520865527E-2</v>
      </c>
      <c r="D69" s="187">
        <f>1000*D21/SER_summary!D$3</f>
        <v>3.8797686930594814E-2</v>
      </c>
      <c r="E69" s="187">
        <f>1000*E21/SER_summary!E$3</f>
        <v>4.309381350311349E-2</v>
      </c>
      <c r="F69" s="187">
        <f>1000*F21/SER_summary!F$3</f>
        <v>4.8218273594385297E-2</v>
      </c>
      <c r="G69" s="187">
        <f>1000*G21/SER_summary!G$3</f>
        <v>5.5630122910492276E-2</v>
      </c>
      <c r="H69" s="187">
        <f>1000*H21/SER_summary!H$3</f>
        <v>6.5201138748572932E-2</v>
      </c>
      <c r="I69" s="187">
        <f>1000*I21/SER_summary!I$3</f>
        <v>7.2283147658833882E-2</v>
      </c>
      <c r="J69" s="187">
        <f>1000*J21/SER_summary!J$3</f>
        <v>8.0433370783696417E-2</v>
      </c>
      <c r="K69" s="187">
        <f>1000*K21/SER_summary!K$3</f>
        <v>8.5399968596962667E-2</v>
      </c>
      <c r="L69" s="187">
        <f>1000*L21/SER_summary!L$3</f>
        <v>8.9399508831946556E-2</v>
      </c>
      <c r="M69" s="187">
        <f>1000*M21/SER_summary!M$3</f>
        <v>9.2568981341078313E-2</v>
      </c>
      <c r="N69" s="187">
        <f>1000*N21/SER_summary!N$3</f>
        <v>9.5851525008306349E-2</v>
      </c>
      <c r="O69" s="187">
        <f>1000*O21/SER_summary!O$3</f>
        <v>9.9001991452077359E-2</v>
      </c>
      <c r="P69" s="187">
        <f>1000*P21/SER_summary!P$3</f>
        <v>0.10355768009499453</v>
      </c>
      <c r="Q69" s="187">
        <f>1000*Q21/SER_summary!Q$3</f>
        <v>0.10835866039784732</v>
      </c>
      <c r="R69" s="187">
        <f>1000*R21/SER_summary!R$3</f>
        <v>0.11382017106815422</v>
      </c>
      <c r="S69" s="187">
        <f>1000*S21/SER_summary!S$3</f>
        <v>0.11907526238544247</v>
      </c>
      <c r="T69" s="187">
        <f>1000*T21/SER_summary!T$3</f>
        <v>0.12446850337789457</v>
      </c>
      <c r="U69" s="187">
        <f>1000*U21/SER_summary!U$3</f>
        <v>0.12983406503508763</v>
      </c>
      <c r="V69" s="187">
        <f>1000*V21/SER_summary!V$3</f>
        <v>0.13483764123412456</v>
      </c>
      <c r="W69" s="187">
        <f>1000*W21/SER_summary!W$3</f>
        <v>0.13997442051595591</v>
      </c>
      <c r="X69" s="187">
        <f>1000*X21/SER_summary!X$3</f>
        <v>0.1436861639300594</v>
      </c>
      <c r="Y69" s="187">
        <f>1000*Y21/SER_summary!Y$3</f>
        <v>0.1463427934652026</v>
      </c>
      <c r="DA69" s="196" t="s">
        <v>959</v>
      </c>
    </row>
    <row r="70" spans="1:105" ht="12" customHeight="1" x14ac:dyDescent="0.25">
      <c r="A70" s="131" t="s">
        <v>141</v>
      </c>
      <c r="B70" s="187">
        <f>1000000*B22/SER_summary!B$8</f>
        <v>106.92348226881371</v>
      </c>
      <c r="C70" s="187">
        <f>1000000*C22/SER_summary!C$8</f>
        <v>108.05837242836974</v>
      </c>
      <c r="D70" s="187">
        <f>1000000*D22/SER_summary!D$8</f>
        <v>110.54495763058758</v>
      </c>
      <c r="E70" s="187">
        <f>1000000*E22/SER_summary!E$8</f>
        <v>114.39457158690799</v>
      </c>
      <c r="F70" s="187">
        <f>1000000*F22/SER_summary!F$8</f>
        <v>117.78701041415003</v>
      </c>
      <c r="G70" s="187">
        <f>1000000*G22/SER_summary!G$8</f>
        <v>120.39964904987868</v>
      </c>
      <c r="H70" s="187">
        <f>1000000*H22/SER_summary!H$8</f>
        <v>122.71702988163841</v>
      </c>
      <c r="I70" s="187">
        <f>1000000*I22/SER_summary!I$8</f>
        <v>128.1401362791706</v>
      </c>
      <c r="J70" s="187">
        <f>1000000*J22/SER_summary!J$8</f>
        <v>136.31946736088935</v>
      </c>
      <c r="K70" s="187">
        <f>1000000*K22/SER_summary!K$8</f>
        <v>144.51433084997049</v>
      </c>
      <c r="L70" s="187">
        <f>1000000*L22/SER_summary!L$8</f>
        <v>150.70637318186428</v>
      </c>
      <c r="M70" s="187">
        <f>1000000*M22/SER_summary!M$8</f>
        <v>155.29356413232114</v>
      </c>
      <c r="N70" s="187">
        <f>1000000*N22/SER_summary!N$8</f>
        <v>165.78815717297419</v>
      </c>
      <c r="O70" s="187">
        <f>1000000*O22/SER_summary!O$8</f>
        <v>177.9990379490844</v>
      </c>
      <c r="P70" s="187">
        <f>1000000*P22/SER_summary!P$8</f>
        <v>190.36495266588608</v>
      </c>
      <c r="Q70" s="187">
        <f>1000000*Q22/SER_summary!Q$8</f>
        <v>203.4177786593315</v>
      </c>
      <c r="R70" s="187">
        <f>1000000*R22/SER_summary!R$8</f>
        <v>210.29638613752522</v>
      </c>
      <c r="S70" s="187">
        <f>1000000*S22/SER_summary!S$8</f>
        <v>217.28520538146029</v>
      </c>
      <c r="T70" s="187">
        <f>1000000*T22/SER_summary!T$8</f>
        <v>223.90780909808635</v>
      </c>
      <c r="U70" s="187">
        <f>1000000*U22/SER_summary!U$8</f>
        <v>229.87283619812635</v>
      </c>
      <c r="V70" s="187">
        <f>1000000*V22/SER_summary!V$8</f>
        <v>234.6373014110132</v>
      </c>
      <c r="W70" s="187">
        <f>1000000*W22/SER_summary!W$8</f>
        <v>237.08240833848683</v>
      </c>
      <c r="X70" s="187">
        <f>1000000*X22/SER_summary!X$8</f>
        <v>238.31450025478708</v>
      </c>
      <c r="Y70" s="187">
        <f>1000000*Y22/SER_summary!Y$8</f>
        <v>238.93294528094319</v>
      </c>
      <c r="DA70" s="196" t="s">
        <v>960</v>
      </c>
    </row>
    <row r="71" spans="1:105" ht="12" customHeight="1" x14ac:dyDescent="0.25">
      <c r="A71" s="131" t="s">
        <v>174</v>
      </c>
      <c r="B71" s="187">
        <f>1000*B23/SER_summary!B$3</f>
        <v>6.0291347091832696E-3</v>
      </c>
      <c r="C71" s="187">
        <f>1000*C23/SER_summary!C$3</f>
        <v>6.4676971035945996E-3</v>
      </c>
      <c r="D71" s="187">
        <f>1000*D23/SER_summary!D$3</f>
        <v>7.0000203172099476E-3</v>
      </c>
      <c r="E71" s="187">
        <f>1000*E23/SER_summary!E$3</f>
        <v>7.7700418806485689E-3</v>
      </c>
      <c r="F71" s="187">
        <f>1000*F23/SER_summary!F$3</f>
        <v>8.5185392251231409E-3</v>
      </c>
      <c r="G71" s="187">
        <f>1000*G23/SER_summary!G$3</f>
        <v>9.5734684041266851E-3</v>
      </c>
      <c r="H71" s="187">
        <f>1000*H23/SER_summary!H$3</f>
        <v>1.0529292586627754E-2</v>
      </c>
      <c r="I71" s="187">
        <f>1000*I23/SER_summary!I$3</f>
        <v>1.1706839282767161E-2</v>
      </c>
      <c r="J71" s="187">
        <f>1000*J23/SER_summary!J$3</f>
        <v>1.3058024199021436E-2</v>
      </c>
      <c r="K71" s="187">
        <f>1000*K23/SER_summary!K$3</f>
        <v>1.3875267170534545E-2</v>
      </c>
      <c r="L71" s="187">
        <f>1000*L23/SER_summary!L$3</f>
        <v>1.4562616557827207E-2</v>
      </c>
      <c r="M71" s="187">
        <f>1000*M23/SER_summary!M$3</f>
        <v>1.4938717471140651E-2</v>
      </c>
      <c r="N71" s="187">
        <f>1000*N23/SER_summary!N$3</f>
        <v>1.5308200887074056E-2</v>
      </c>
      <c r="O71" s="187">
        <f>1000*O23/SER_summary!O$3</f>
        <v>1.5844863726927852E-2</v>
      </c>
      <c r="P71" s="187">
        <f>1000*P23/SER_summary!P$3</f>
        <v>1.6461521066011377E-2</v>
      </c>
      <c r="Q71" s="187">
        <f>1000*Q23/SER_summary!Q$3</f>
        <v>1.7327521812282629E-2</v>
      </c>
      <c r="R71" s="187">
        <f>1000*R23/SER_summary!R$3</f>
        <v>1.8536479193905473E-2</v>
      </c>
      <c r="S71" s="187">
        <f>1000*S23/SER_summary!S$3</f>
        <v>1.9366605020340179E-2</v>
      </c>
      <c r="T71" s="187">
        <f>1000*T23/SER_summary!T$3</f>
        <v>2.0199059267755812E-2</v>
      </c>
      <c r="U71" s="187">
        <f>1000*U23/SER_summary!U$3</f>
        <v>2.1310017467234849E-2</v>
      </c>
      <c r="V71" s="187">
        <f>1000*V23/SER_summary!V$3</f>
        <v>2.2965229934914819E-2</v>
      </c>
      <c r="W71" s="187">
        <f>1000*W23/SER_summary!W$3</f>
        <v>2.4089621500021946E-2</v>
      </c>
      <c r="X71" s="187">
        <f>1000*X23/SER_summary!X$3</f>
        <v>2.4909293000365349E-2</v>
      </c>
      <c r="Y71" s="187">
        <f>1000*Y23/SER_summary!Y$3</f>
        <v>2.5499601795859896E-2</v>
      </c>
      <c r="DA71" s="196" t="s">
        <v>961</v>
      </c>
    </row>
    <row r="72" spans="1:105" ht="12" customHeight="1" x14ac:dyDescent="0.25">
      <c r="A72" s="60" t="s">
        <v>94</v>
      </c>
      <c r="B72" s="187">
        <f>1000000*B24/SER_summary!B$8</f>
        <v>48.806849295599633</v>
      </c>
      <c r="C72" s="187">
        <f>1000000*C24/SER_summary!C$8</f>
        <v>51.092378215101576</v>
      </c>
      <c r="D72" s="187">
        <f>1000000*D24/SER_summary!D$8</f>
        <v>54.098625344599036</v>
      </c>
      <c r="E72" s="187">
        <f>1000000*E24/SER_summary!E$8</f>
        <v>58.305600565281082</v>
      </c>
      <c r="F72" s="187">
        <f>1000000*F24/SER_summary!F$8</f>
        <v>63.329583108623098</v>
      </c>
      <c r="G72" s="187">
        <f>1000000*G24/SER_summary!G$8</f>
        <v>68.816304316303984</v>
      </c>
      <c r="H72" s="187">
        <f>1000000*H24/SER_summary!H$8</f>
        <v>76.053449465361368</v>
      </c>
      <c r="I72" s="187">
        <f>1000000*I24/SER_summary!I$8</f>
        <v>82.850056410726438</v>
      </c>
      <c r="J72" s="187">
        <f>1000000*J24/SER_summary!J$8</f>
        <v>89.417479538072996</v>
      </c>
      <c r="K72" s="187">
        <f>1000000*K24/SER_summary!K$8</f>
        <v>94.276883709616556</v>
      </c>
      <c r="L72" s="187">
        <f>1000000*L24/SER_summary!L$8</f>
        <v>99.268739335236077</v>
      </c>
      <c r="M72" s="187">
        <f>1000000*M24/SER_summary!M$8</f>
        <v>103.67931151428444</v>
      </c>
      <c r="N72" s="187">
        <f>1000000*N24/SER_summary!N$8</f>
        <v>108.97746272550378</v>
      </c>
      <c r="O72" s="187">
        <f>1000000*O24/SER_summary!O$8</f>
        <v>112.82203059593876</v>
      </c>
      <c r="P72" s="187">
        <f>1000000*P24/SER_summary!P$8</f>
        <v>117.61835402511016</v>
      </c>
      <c r="Q72" s="187">
        <f>1000000*Q24/SER_summary!Q$8</f>
        <v>121.4266848302136</v>
      </c>
      <c r="R72" s="187">
        <f>1000000*R24/SER_summary!R$8</f>
        <v>128.51331446886627</v>
      </c>
      <c r="S72" s="187">
        <f>1000000*S24/SER_summary!S$8</f>
        <v>135.61637144622847</v>
      </c>
      <c r="T72" s="187">
        <f>1000000*T24/SER_summary!T$8</f>
        <v>142.64897606170518</v>
      </c>
      <c r="U72" s="187">
        <f>1000000*U24/SER_summary!U$8</f>
        <v>149.55843457437052</v>
      </c>
      <c r="V72" s="187">
        <f>1000000*V24/SER_summary!V$8</f>
        <v>156.24666504955459</v>
      </c>
      <c r="W72" s="187">
        <f>1000000*W24/SER_summary!W$8</f>
        <v>162.63261317420168</v>
      </c>
      <c r="X72" s="187">
        <f>1000000*X24/SER_summary!X$8</f>
        <v>167.92878559845119</v>
      </c>
      <c r="Y72" s="187">
        <f>1000000*Y24/SER_summary!Y$8</f>
        <v>172.28963580503864</v>
      </c>
      <c r="DA72" s="196" t="s">
        <v>962</v>
      </c>
    </row>
    <row r="73" spans="1:105" ht="12" customHeight="1" x14ac:dyDescent="0.25">
      <c r="A73" s="62" t="s">
        <v>93</v>
      </c>
      <c r="B73" s="52">
        <f>1000*B25/SER_summary!B$3</f>
        <v>8.2719015486261028E-3</v>
      </c>
      <c r="C73" s="52">
        <f>1000*C25/SER_summary!C$3</f>
        <v>9.1241656739263436E-3</v>
      </c>
      <c r="D73" s="52">
        <f>1000*D25/SER_summary!D$3</f>
        <v>1.0436841730832718E-2</v>
      </c>
      <c r="E73" s="52">
        <f>1000*E25/SER_summary!E$3</f>
        <v>1.2345186943348361E-2</v>
      </c>
      <c r="F73" s="52">
        <f>1000*F25/SER_summary!F$3</f>
        <v>1.6451649496075919E-2</v>
      </c>
      <c r="G73" s="52">
        <f>1000*G25/SER_summary!G$3</f>
        <v>2.0459834189244356E-2</v>
      </c>
      <c r="H73" s="52">
        <f>1000*H25/SER_summary!H$3</f>
        <v>2.5104126542486602E-2</v>
      </c>
      <c r="I73" s="52">
        <f>1000*I25/SER_summary!I$3</f>
        <v>2.9332555616862835E-2</v>
      </c>
      <c r="J73" s="52">
        <f>1000*J25/SER_summary!J$3</f>
        <v>3.4691871742793839E-2</v>
      </c>
      <c r="K73" s="52">
        <f>1000*K25/SER_summary!K$3</f>
        <v>4.1453106569295031E-2</v>
      </c>
      <c r="L73" s="52">
        <f>1000*L25/SER_summary!L$3</f>
        <v>4.7474134563923638E-2</v>
      </c>
      <c r="M73" s="52">
        <f>1000*M25/SER_summary!M$3</f>
        <v>5.4012954861798503E-2</v>
      </c>
      <c r="N73" s="52">
        <f>1000*N25/SER_summary!N$3</f>
        <v>6.0325067515804055E-2</v>
      </c>
      <c r="O73" s="52">
        <f>1000*O25/SER_summary!O$3</f>
        <v>6.8187493660718246E-2</v>
      </c>
      <c r="P73" s="52">
        <f>1000*P25/SER_summary!P$3</f>
        <v>8.0863241443466891E-2</v>
      </c>
      <c r="Q73" s="52">
        <f>1000*Q25/SER_summary!Q$3</f>
        <v>9.5814730930166014E-2</v>
      </c>
      <c r="R73" s="52">
        <f>1000*R25/SER_summary!R$3</f>
        <v>0.10624590392030719</v>
      </c>
      <c r="S73" s="52">
        <f>1000*S25/SER_summary!S$3</f>
        <v>0.11650583453525851</v>
      </c>
      <c r="T73" s="52">
        <f>1000*T25/SER_summary!T$3</f>
        <v>0.12706570603150016</v>
      </c>
      <c r="U73" s="52">
        <f>1000*U25/SER_summary!U$3</f>
        <v>0.1378648110852696</v>
      </c>
      <c r="V73" s="52">
        <f>1000*V25/SER_summary!V$3</f>
        <v>0.1486952826365576</v>
      </c>
      <c r="W73" s="52">
        <f>1000*W25/SER_summary!W$3</f>
        <v>0.16036796138849652</v>
      </c>
      <c r="X73" s="52">
        <f>1000*X25/SER_summary!X$3</f>
        <v>0.16984480698896701</v>
      </c>
      <c r="Y73" s="52">
        <f>1000*Y25/SER_summary!Y$3</f>
        <v>0.17719550223199085</v>
      </c>
      <c r="DA73" s="98" t="s">
        <v>963</v>
      </c>
    </row>
  </sheetData>
  <pageMargins left="0.39370078740157483" right="0.39370078740157483" top="0.39370078740157483" bottom="0.39370078740157483" header="0.31496062992125984" footer="0.31496062992125984"/>
  <pageSetup paperSize="9" scale="60" orientation="landscape" horizontalDpi="1200" verticalDpi="1200" r:id="rId1"/>
  <headerFooter alignWithMargins="0"/>
  <ignoredErrors>
    <ignoredError sqref="B13:V15 B69:V71 B16:V16 B72:Q72 R72:V72 W13:Y17 W69:Y72" formula="1"/>
  </ignoredErrors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">
    <tabColor theme="8" tint="0.59999389629810485"/>
    <pageSetUpPr fitToPage="1"/>
  </sheetPr>
  <dimension ref="A1:DA15"/>
  <sheetViews>
    <sheetView showGridLines="0" zoomScaleNormal="100" workbookViewId="0">
      <pane xSplit="1" ySplit="1" topLeftCell="I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61.7109375" style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12.95" customHeight="1" x14ac:dyDescent="0.25">
      <c r="A1" s="28" t="s">
        <v>967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X1" s="27">
        <v>2022</v>
      </c>
      <c r="Y1" s="27">
        <v>2023</v>
      </c>
      <c r="DA1" s="87" t="s">
        <v>150</v>
      </c>
    </row>
    <row r="2" spans="1:105" s="2" customFormat="1" ht="12" customHeight="1" x14ac:dyDescent="0.25">
      <c r="DA2" s="7"/>
    </row>
    <row r="3" spans="1:105" ht="12.95" customHeight="1" x14ac:dyDescent="0.25">
      <c r="A3" s="197" t="s">
        <v>81</v>
      </c>
      <c r="B3" s="198">
        <f>'SER_se-appl'!B4</f>
        <v>3.2088571126454233</v>
      </c>
      <c r="C3" s="198">
        <f>'SER_se-appl'!C4</f>
        <v>3.5374226276327803</v>
      </c>
      <c r="D3" s="198">
        <f>'SER_se-appl'!D4</f>
        <v>3.8053249561098235</v>
      </c>
      <c r="E3" s="198">
        <f>'SER_se-appl'!E4</f>
        <v>4.2849657684612179</v>
      </c>
      <c r="F3" s="198">
        <f>'SER_se-appl'!F4</f>
        <v>4.7966119732112169</v>
      </c>
      <c r="G3" s="198">
        <f>'SER_se-appl'!G4</f>
        <v>5.4512726820788853</v>
      </c>
      <c r="H3" s="198">
        <f>'SER_se-appl'!H4</f>
        <v>6.0508128425423919</v>
      </c>
      <c r="I3" s="198">
        <f>'SER_se-appl'!I4</f>
        <v>6.6038143812012793</v>
      </c>
      <c r="J3" s="198">
        <f>'SER_se-appl'!J4</f>
        <v>7.1571625636304024</v>
      </c>
      <c r="K3" s="198">
        <f>'SER_se-appl'!K4</f>
        <v>7.6790128694027731</v>
      </c>
      <c r="L3" s="198">
        <f>'SER_se-appl'!L4</f>
        <v>8.4346561185150879</v>
      </c>
      <c r="M3" s="198">
        <f>'SER_se-appl'!M4</f>
        <v>9.1896533393893556</v>
      </c>
      <c r="N3" s="198">
        <f>'SER_se-appl'!N4</f>
        <v>9.791777730600522</v>
      </c>
      <c r="O3" s="198">
        <f>'SER_se-appl'!O4</f>
        <v>10.610406204348331</v>
      </c>
      <c r="P3" s="198">
        <f>'SER_se-appl'!P4</f>
        <v>11.417619685178241</v>
      </c>
      <c r="Q3" s="198">
        <f>'SER_se-appl'!Q4</f>
        <v>12.378660126412937</v>
      </c>
      <c r="R3" s="198">
        <f>'SER_se-appl'!R4</f>
        <v>13.027435560900045</v>
      </c>
      <c r="S3" s="198">
        <f>'SER_se-appl'!S4</f>
        <v>13.747881930002475</v>
      </c>
      <c r="T3" s="198">
        <f>'SER_se-appl'!T4</f>
        <v>14.335647859854131</v>
      </c>
      <c r="U3" s="198">
        <f>'SER_se-appl'!U4</f>
        <v>14.812673072190657</v>
      </c>
      <c r="V3" s="198">
        <f>'SER_se-appl'!V4</f>
        <v>15.28133571915353</v>
      </c>
      <c r="W3" s="198">
        <f>'SER_se-appl'!W4</f>
        <v>15.657645070875031</v>
      </c>
      <c r="X3" s="198">
        <f>'SER_se-appl'!X4</f>
        <v>15.847947812287011</v>
      </c>
      <c r="Y3" s="198">
        <f>'SER_se-appl'!Y4</f>
        <v>15.906894560437784</v>
      </c>
      <c r="DA3" s="205" t="s">
        <v>909</v>
      </c>
    </row>
    <row r="4" spans="1:105" ht="12" customHeight="1" x14ac:dyDescent="0.25">
      <c r="A4" s="5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DA4" s="106"/>
    </row>
    <row r="5" spans="1:105" ht="12.95" customHeight="1" x14ac:dyDescent="0.25">
      <c r="A5" s="199" t="s">
        <v>108</v>
      </c>
      <c r="B5" s="59">
        <f>'SER_se-appl'!B12</f>
        <v>4.2601607557153285</v>
      </c>
      <c r="C5" s="59">
        <f>'SER_se-appl'!C12</f>
        <v>4.6963727350878122</v>
      </c>
      <c r="D5" s="59">
        <f>'SER_se-appl'!D12</f>
        <v>5.0520467168444334</v>
      </c>
      <c r="E5" s="59">
        <f>'SER_se-appl'!E12</f>
        <v>5.6888301241100416</v>
      </c>
      <c r="F5" s="59">
        <f>'SER_se-appl'!F12</f>
        <v>6.368104708726765</v>
      </c>
      <c r="G5" s="59">
        <f>'SER_se-appl'!G12</f>
        <v>7.2372490060019912</v>
      </c>
      <c r="H5" s="59">
        <f>'SER_se-appl'!H12</f>
        <v>8.0332138537406426</v>
      </c>
      <c r="I5" s="59">
        <f>'SER_se-appl'!I12</f>
        <v>8.7673928371427952</v>
      </c>
      <c r="J5" s="59">
        <f>'SER_se-appl'!J12</f>
        <v>9.5020320336782653</v>
      </c>
      <c r="K5" s="59">
        <f>'SER_se-appl'!K12</f>
        <v>10.194853843739073</v>
      </c>
      <c r="L5" s="59">
        <f>'SER_se-appl'!L12</f>
        <v>11.198065143645033</v>
      </c>
      <c r="M5" s="59">
        <f>'SER_se-appl'!M12</f>
        <v>12.200418759942716</v>
      </c>
      <c r="N5" s="59">
        <f>'SER_se-appl'!N12</f>
        <v>12.999814498502749</v>
      </c>
      <c r="O5" s="59">
        <f>'SER_se-appl'!O12</f>
        <v>14.086646593215878</v>
      </c>
      <c r="P5" s="59">
        <f>'SER_se-appl'!P12</f>
        <v>15.158323851440977</v>
      </c>
      <c r="Q5" s="59">
        <f>'SER_se-appl'!Q12</f>
        <v>16.434225715774261</v>
      </c>
      <c r="R5" s="59">
        <f>'SER_se-appl'!R12</f>
        <v>17.295556572290817</v>
      </c>
      <c r="S5" s="59">
        <f>'SER_se-appl'!S12</f>
        <v>18.252039594284103</v>
      </c>
      <c r="T5" s="59">
        <f>'SER_se-appl'!T12</f>
        <v>19.032372672386252</v>
      </c>
      <c r="U5" s="59">
        <f>'SER_se-appl'!U12</f>
        <v>19.665683542189196</v>
      </c>
      <c r="V5" s="59">
        <f>'SER_se-appl'!V12</f>
        <v>20.287892056364793</v>
      </c>
      <c r="W5" s="59">
        <f>'SER_se-appl'!W12</f>
        <v>20.787489974232489</v>
      </c>
      <c r="X5" s="59">
        <f>'SER_se-appl'!X12</f>
        <v>21.040140759919854</v>
      </c>
      <c r="Y5" s="59">
        <f>'SER_se-appl'!Y12</f>
        <v>21.118399970078929</v>
      </c>
      <c r="DA5" s="104" t="s">
        <v>916</v>
      </c>
    </row>
    <row r="6" spans="1:105" ht="12" customHeight="1" x14ac:dyDescent="0.25">
      <c r="A6" s="200" t="str">
        <f>"Penetration factor "&amp;MID('SER_se-appl'!A68,FIND("(",'SER_se-appl'!A68),100)</f>
        <v>Penetration factor (sqm per building cell)</v>
      </c>
      <c r="B6" s="201">
        <f>'SER_se-appl'!B68</f>
        <v>145.61609556485311</v>
      </c>
      <c r="C6" s="201">
        <f>'SER_se-appl'!C68</f>
        <v>149.9606322773337</v>
      </c>
      <c r="D6" s="201">
        <f>'SER_se-appl'!D68</f>
        <v>157.31281641600464</v>
      </c>
      <c r="E6" s="201">
        <f>'SER_se-appl'!E68</f>
        <v>168.57915653230123</v>
      </c>
      <c r="F6" s="201">
        <f>'SER_se-appl'!F68</f>
        <v>180.42326525258156</v>
      </c>
      <c r="G6" s="201">
        <f>'SER_se-appl'!G68</f>
        <v>194.65594731487343</v>
      </c>
      <c r="H6" s="201">
        <f>'SER_se-appl'!H68</f>
        <v>208.24627720820652</v>
      </c>
      <c r="I6" s="201">
        <f>'SER_se-appl'!I68</f>
        <v>225.58180543363289</v>
      </c>
      <c r="J6" s="201">
        <f>'SER_se-appl'!J68</f>
        <v>241.85663203540855</v>
      </c>
      <c r="K6" s="201">
        <f>'SER_se-appl'!K68</f>
        <v>258.62301079586297</v>
      </c>
      <c r="L6" s="201">
        <f>'SER_se-appl'!L68</f>
        <v>279.46369098584421</v>
      </c>
      <c r="M6" s="201">
        <f>'SER_se-appl'!M68</f>
        <v>299.50191917986785</v>
      </c>
      <c r="N6" s="201">
        <f>'SER_se-appl'!N68</f>
        <v>317.33250454939292</v>
      </c>
      <c r="O6" s="201">
        <f>'SER_se-appl'!O68</f>
        <v>336.40693438810348</v>
      </c>
      <c r="P6" s="201">
        <f>'SER_se-appl'!P68</f>
        <v>355.95909536846693</v>
      </c>
      <c r="Q6" s="201">
        <f>'SER_se-appl'!Q68</f>
        <v>377.24092235285491</v>
      </c>
      <c r="R6" s="201">
        <f>'SER_se-appl'!R68</f>
        <v>389.38877922188425</v>
      </c>
      <c r="S6" s="201">
        <f>'SER_se-appl'!S68</f>
        <v>401.54877900277279</v>
      </c>
      <c r="T6" s="201">
        <f>'SER_se-appl'!T68</f>
        <v>413.65670115648373</v>
      </c>
      <c r="U6" s="201">
        <f>'SER_se-appl'!U68</f>
        <v>425.67359503719661</v>
      </c>
      <c r="V6" s="201">
        <f>'SER_se-appl'!V68</f>
        <v>437.52695953508442</v>
      </c>
      <c r="W6" s="201">
        <f>'SER_se-appl'!W68</f>
        <v>449.151685757758</v>
      </c>
      <c r="X6" s="201">
        <f>'SER_se-appl'!X68</f>
        <v>455.07936325732646</v>
      </c>
      <c r="Y6" s="201">
        <f>'SER_se-appl'!Y68</f>
        <v>458.07247423360877</v>
      </c>
      <c r="DA6" s="206" t="s">
        <v>958</v>
      </c>
    </row>
    <row r="7" spans="1:105" ht="12.95" customHeight="1" x14ac:dyDescent="0.25">
      <c r="A7" s="5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DA7" s="106"/>
    </row>
    <row r="8" spans="1:105" ht="12.95" customHeight="1" x14ac:dyDescent="0.25">
      <c r="A8" s="199" t="str">
        <f>"Stock of appliances "&amp;MID('SER_se-appl'!A20,FIND("(",'SER_se-appl'!A20),100)</f>
        <v>Stock of appliances (serviced million m2)</v>
      </c>
      <c r="B8" s="34">
        <f>'SER_se-appl'!B20</f>
        <v>4.7818042582377718</v>
      </c>
      <c r="C8" s="34">
        <f>'SER_se-appl'!C20</f>
        <v>5.3565843840102847</v>
      </c>
      <c r="D8" s="34">
        <f>'SER_se-appl'!D20</f>
        <v>5.8452805525435112</v>
      </c>
      <c r="E8" s="34">
        <f>'SER_se-appl'!E20</f>
        <v>6.7191330578119324</v>
      </c>
      <c r="F8" s="34">
        <f>'SER_se-appl'!F20</f>
        <v>7.680012930655395</v>
      </c>
      <c r="G8" s="34">
        <f>'SER_se-appl'!G20</f>
        <v>8.9368805622015124</v>
      </c>
      <c r="H8" s="34">
        <f>'SER_se-appl'!H20</f>
        <v>10.133571117660185</v>
      </c>
      <c r="I8" s="34">
        <f>'SER_se-appl'!I20</f>
        <v>11.279757730641899</v>
      </c>
      <c r="J8" s="34">
        <f>'SER_se-appl'!J20</f>
        <v>12.463382800752138</v>
      </c>
      <c r="K8" s="34">
        <f>'SER_se-appl'!K20</f>
        <v>13.620515961050495</v>
      </c>
      <c r="L8" s="34">
        <f>'SER_se-appl'!L20</f>
        <v>15.312108110198853</v>
      </c>
      <c r="M8" s="34">
        <f>'SER_se-appl'!M20</f>
        <v>17.059923364818573</v>
      </c>
      <c r="N8" s="34">
        <f>'SER_se-appl'!N20</f>
        <v>18.538727022857632</v>
      </c>
      <c r="O8" s="34">
        <f>'SER_se-appl'!O20</f>
        <v>20.57826202681828</v>
      </c>
      <c r="P8" s="34">
        <f>'SER_se-appl'!P20</f>
        <v>22.683798787531543</v>
      </c>
      <c r="Q8" s="34">
        <f>'SER_se-appl'!Q20</f>
        <v>25.273387016351752</v>
      </c>
      <c r="R8" s="34">
        <f>'SER_se-appl'!R20</f>
        <v>27.107253253306631</v>
      </c>
      <c r="S8" s="34">
        <f>'SER_se-appl'!S20</f>
        <v>29.148201940713665</v>
      </c>
      <c r="T8" s="34">
        <f>'SER_se-appl'!T20</f>
        <v>30.879902331950198</v>
      </c>
      <c r="U8" s="34">
        <f>'SER_se-appl'!U20</f>
        <v>32.523722372077103</v>
      </c>
      <c r="V8" s="34">
        <f>'SER_se-appl'!V20</f>
        <v>34.100634893390037</v>
      </c>
      <c r="W8" s="34">
        <f>'SER_se-appl'!W20</f>
        <v>35.621807743061595</v>
      </c>
      <c r="X8" s="34">
        <f>'SER_se-appl'!X20</f>
        <v>36.672743964794982</v>
      </c>
      <c r="Y8" s="34">
        <f>'SER_se-appl'!Y20</f>
        <v>37.477031550190823</v>
      </c>
      <c r="DA8" s="88" t="s">
        <v>922</v>
      </c>
    </row>
    <row r="9" spans="1:105" ht="12.95" customHeight="1" x14ac:dyDescent="0.25">
      <c r="A9" s="202" t="str">
        <f>"Number of new appliances "&amp;MID('SER_se-appl'!A28,FIND("(",'SER_se-appl'!A28),100)</f>
        <v>Number of new appliances (serviced million m2)</v>
      </c>
      <c r="B9" s="36"/>
      <c r="C9" s="36">
        <f>'SER_se-appl'!C28</f>
        <v>0.78218288621436916</v>
      </c>
      <c r="D9" s="36">
        <f>'SER_se-appl'!D28</f>
        <v>0.70196543931320399</v>
      </c>
      <c r="E9" s="36">
        <f>'SER_se-appl'!E28</f>
        <v>1.093154224117888</v>
      </c>
      <c r="F9" s="36">
        <f>'SER_se-appl'!F28</f>
        <v>1.186384671141135</v>
      </c>
      <c r="G9" s="36">
        <f>'SER_se-appl'!G28</f>
        <v>1.4887509670806649</v>
      </c>
      <c r="H9" s="36">
        <f>'SER_se-appl'!H28</f>
        <v>1.4351328489465924</v>
      </c>
      <c r="I9" s="36">
        <f>'SER_se-appl'!I28</f>
        <v>1.3913733884466897</v>
      </c>
      <c r="J9" s="36">
        <f>'SER_se-appl'!J28</f>
        <v>1.4357470992332253</v>
      </c>
      <c r="K9" s="36">
        <f>'SER_se-appl'!K28</f>
        <v>1.4163866108506777</v>
      </c>
      <c r="L9" s="36">
        <f>'SER_se-appl'!L28</f>
        <v>1.9581787376233297</v>
      </c>
      <c r="M9" s="36">
        <f>'SER_se-appl'!M28</f>
        <v>2.0219424031815532</v>
      </c>
      <c r="N9" s="36">
        <f>'SER_se-appl'!N28</f>
        <v>1.7606846559111489</v>
      </c>
      <c r="O9" s="36">
        <f>'SER_se-appl'!O28</f>
        <v>2.3293891733788321</v>
      </c>
      <c r="P9" s="36">
        <f>'SER_se-appl'!P28</f>
        <v>2.4035896275731616</v>
      </c>
      <c r="Q9" s="36">
        <f>'SER_se-appl'!Q28</f>
        <v>2.8960716981514274</v>
      </c>
      <c r="R9" s="36">
        <f>'SER_se-appl'!R28</f>
        <v>2.1490187733586126</v>
      </c>
      <c r="S9" s="36">
        <f>'SER_se-appl'!S28</f>
        <v>2.3650155005974334</v>
      </c>
      <c r="T9" s="36">
        <f>'SER_se-appl'!T28</f>
        <v>2.0649336268302463</v>
      </c>
      <c r="U9" s="36">
        <f>'SER_se-appl'!U28</f>
        <v>2.4260029263412726</v>
      </c>
      <c r="V9" s="36">
        <f>'SER_se-appl'!V28</f>
        <v>2.27887796062614</v>
      </c>
      <c r="W9" s="36">
        <f>'SER_se-appl'!W28</f>
        <v>2.6143270737894468</v>
      </c>
      <c r="X9" s="36">
        <f>'SER_se-appl'!X28</f>
        <v>2.2373208928745214</v>
      </c>
      <c r="Y9" s="36">
        <f>'SER_se-appl'!Y28</f>
        <v>2.2930385524765029</v>
      </c>
      <c r="DA9" s="89" t="s">
        <v>928</v>
      </c>
    </row>
    <row r="10" spans="1:105" ht="12" customHeight="1" x14ac:dyDescent="0.25">
      <c r="A10" s="203" t="str">
        <f>"Number of replaced appliances "&amp;MID('SER_se-appl'!A36,FIND("(",'SER_se-appl'!A36),100)</f>
        <v>Number of replaced appliances (serviced million m2)</v>
      </c>
      <c r="B10" s="38"/>
      <c r="C10" s="38">
        <f>'SER_se-appl'!C36</f>
        <v>0.20740276044185624</v>
      </c>
      <c r="D10" s="38">
        <f>'SER_se-appl'!D36</f>
        <v>0.21326927077997748</v>
      </c>
      <c r="E10" s="38">
        <f>'SER_se-appl'!E36</f>
        <v>0.21930171884946681</v>
      </c>
      <c r="F10" s="38">
        <f>'SER_se-appl'!F36</f>
        <v>0.22550479829767234</v>
      </c>
      <c r="G10" s="38">
        <f>'SER_se-appl'!G36</f>
        <v>0.23188333553454754</v>
      </c>
      <c r="H10" s="38">
        <f>'SER_se-appl'!H36</f>
        <v>0.23844229348791934</v>
      </c>
      <c r="I10" s="38">
        <f>'SER_se-appl'!I36</f>
        <v>0.24518677546497614</v>
      </c>
      <c r="J10" s="38">
        <f>'SER_se-appl'!J36</f>
        <v>0.25212202912298665</v>
      </c>
      <c r="K10" s="38">
        <f>'SER_se-appl'!K36</f>
        <v>0.25925345055232007</v>
      </c>
      <c r="L10" s="38">
        <f>'SER_se-appl'!L36</f>
        <v>0.26658658847497207</v>
      </c>
      <c r="M10" s="38">
        <f>'SER_se-appl'!M36</f>
        <v>0.27412714856183129</v>
      </c>
      <c r="N10" s="38">
        <f>'SER_se-appl'!N36</f>
        <v>0.28188099787208998</v>
      </c>
      <c r="O10" s="38">
        <f>'SER_se-appl'!O36</f>
        <v>0.28985416941818443</v>
      </c>
      <c r="P10" s="38">
        <f>'SER_se-appl'!P36</f>
        <v>0.29805286685989785</v>
      </c>
      <c r="Q10" s="38">
        <f>'SER_se-appl'!Q36</f>
        <v>0.30648346933121928</v>
      </c>
      <c r="R10" s="38">
        <f>'SER_se-appl'!R36</f>
        <v>0.31515253640373331</v>
      </c>
      <c r="S10" s="38">
        <f>'SER_se-appl'!S36</f>
        <v>0.32406681319039876</v>
      </c>
      <c r="T10" s="38">
        <f>'SER_se-appl'!T36</f>
        <v>0.33323323559371332</v>
      </c>
      <c r="U10" s="38">
        <f>'SER_se-appl'!U36</f>
        <v>0.78218288621437182</v>
      </c>
      <c r="V10" s="38">
        <f>'SER_se-appl'!V36</f>
        <v>0.70196543931320576</v>
      </c>
      <c r="W10" s="38">
        <f>'SER_se-appl'!W36</f>
        <v>1.0931542241178889</v>
      </c>
      <c r="X10" s="38">
        <f>'SER_se-appl'!X36</f>
        <v>1.1863846711411341</v>
      </c>
      <c r="Y10" s="38">
        <f>'SER_se-appl'!Y36</f>
        <v>1.4887509670806622</v>
      </c>
      <c r="DA10" s="90" t="s">
        <v>934</v>
      </c>
    </row>
    <row r="11" spans="1:105" ht="12.95" customHeight="1" x14ac:dyDescent="0.25">
      <c r="A11" s="5"/>
      <c r="B11" s="177"/>
      <c r="C11" s="177"/>
      <c r="D11" s="177"/>
      <c r="E11" s="177"/>
      <c r="F11" s="177"/>
      <c r="G11" s="177"/>
      <c r="H11" s="177"/>
      <c r="I11" s="177"/>
      <c r="J11" s="177"/>
      <c r="K11" s="177"/>
      <c r="L11" s="177"/>
      <c r="M11" s="177"/>
      <c r="N11" s="177"/>
      <c r="O11" s="177"/>
      <c r="P11" s="177"/>
      <c r="Q11" s="177"/>
      <c r="R11" s="177"/>
      <c r="S11" s="177"/>
      <c r="T11" s="177"/>
      <c r="U11" s="177"/>
      <c r="V11" s="177"/>
      <c r="W11" s="177"/>
      <c r="X11" s="177"/>
      <c r="Y11" s="177"/>
      <c r="DA11" s="207"/>
    </row>
    <row r="12" spans="1:105" ht="12" customHeight="1" x14ac:dyDescent="0.25">
      <c r="A12" s="197" t="s">
        <v>104</v>
      </c>
      <c r="B12" s="204">
        <f>'SER_se-appl'!B44</f>
        <v>8759.9999999999982</v>
      </c>
      <c r="C12" s="204">
        <f>'SER_se-appl'!C44</f>
        <v>8760</v>
      </c>
      <c r="D12" s="204">
        <f>'SER_se-appl'!D44</f>
        <v>8760.0000000000018</v>
      </c>
      <c r="E12" s="204">
        <f>'SER_se-appl'!E44</f>
        <v>8760</v>
      </c>
      <c r="F12" s="204">
        <f>'SER_se-appl'!F44</f>
        <v>8759.9999999999982</v>
      </c>
      <c r="G12" s="204">
        <f>'SER_se-appl'!G44</f>
        <v>8759.9999999999982</v>
      </c>
      <c r="H12" s="204">
        <f>'SER_se-appl'!H44</f>
        <v>8759.9999999999982</v>
      </c>
      <c r="I12" s="204">
        <f>'SER_se-appl'!I44</f>
        <v>8760</v>
      </c>
      <c r="J12" s="204">
        <f>'SER_se-appl'!J44</f>
        <v>8759.9999999999982</v>
      </c>
      <c r="K12" s="204">
        <f>'SER_se-appl'!K44</f>
        <v>8759.9999999999964</v>
      </c>
      <c r="L12" s="204">
        <f>'SER_se-appl'!L44</f>
        <v>8759.9999999999982</v>
      </c>
      <c r="M12" s="204">
        <f>'SER_se-appl'!M44</f>
        <v>8760.0000000000018</v>
      </c>
      <c r="N12" s="204">
        <f>'SER_se-appl'!N44</f>
        <v>8760</v>
      </c>
      <c r="O12" s="204">
        <f>'SER_se-appl'!O44</f>
        <v>8760</v>
      </c>
      <c r="P12" s="204">
        <f>'SER_se-appl'!P44</f>
        <v>8759.9999999999982</v>
      </c>
      <c r="Q12" s="204">
        <f>'SER_se-appl'!Q44</f>
        <v>8759.9999999999964</v>
      </c>
      <c r="R12" s="204">
        <f>'SER_se-appl'!R44</f>
        <v>8759.9999999999982</v>
      </c>
      <c r="S12" s="204">
        <f>'SER_se-appl'!S44</f>
        <v>8760.0000000000018</v>
      </c>
      <c r="T12" s="204">
        <f>'SER_se-appl'!T44</f>
        <v>8759.9999999999982</v>
      </c>
      <c r="U12" s="204">
        <f>'SER_se-appl'!U44</f>
        <v>8760</v>
      </c>
      <c r="V12" s="204">
        <f>'SER_se-appl'!V44</f>
        <v>8759.9999999999982</v>
      </c>
      <c r="W12" s="204">
        <f>'SER_se-appl'!W44</f>
        <v>8760</v>
      </c>
      <c r="X12" s="204">
        <f>'SER_se-appl'!X44</f>
        <v>8760</v>
      </c>
      <c r="Y12" s="204">
        <f>'SER_se-appl'!Y44</f>
        <v>8760</v>
      </c>
      <c r="DA12" s="208" t="s">
        <v>940</v>
      </c>
    </row>
    <row r="13" spans="1:105" ht="12.95" customHeight="1" x14ac:dyDescent="0.25">
      <c r="A13" s="4"/>
      <c r="B13" s="29"/>
      <c r="C13" s="29"/>
      <c r="D13" s="29"/>
      <c r="E13" s="29"/>
      <c r="F13" s="29"/>
      <c r="G13" s="29"/>
      <c r="H13" s="29"/>
      <c r="I13" s="29"/>
      <c r="J13" s="29"/>
      <c r="K13" s="29"/>
      <c r="L13" s="29"/>
      <c r="M13" s="29"/>
      <c r="N13" s="29"/>
      <c r="O13" s="29"/>
      <c r="P13" s="29"/>
      <c r="Q13" s="29"/>
      <c r="R13" s="29"/>
      <c r="S13" s="29"/>
      <c r="T13" s="29"/>
      <c r="U13" s="29"/>
      <c r="V13" s="29"/>
      <c r="W13" s="29"/>
      <c r="X13" s="29"/>
      <c r="Y13" s="29"/>
      <c r="DA13" s="209"/>
    </row>
    <row r="14" spans="1:105" ht="12.95" customHeight="1" x14ac:dyDescent="0.25">
      <c r="A14" s="199" t="str">
        <f>"W per appliance in average operating mode "&amp;MID('SER_se-appl'!A52,FIND("(",'SER_se-appl'!A52),100)</f>
        <v>W per appliance in average operating mode (W per serviced m2)</v>
      </c>
      <c r="B14" s="59">
        <f>'SER_se-appl'!B52</f>
        <v>0.89091073696214329</v>
      </c>
      <c r="C14" s="59">
        <f>'SER_se-appl'!C52</f>
        <v>0.87674764335025834</v>
      </c>
      <c r="D14" s="59">
        <f>'SER_se-appl'!D52</f>
        <v>0.86429499344494076</v>
      </c>
      <c r="E14" s="59">
        <f>'SER_se-appl'!E52</f>
        <v>0.84666132894867752</v>
      </c>
      <c r="F14" s="59">
        <f>'SER_se-appl'!F52</f>
        <v>0.82917890454428245</v>
      </c>
      <c r="G14" s="59">
        <f>'SER_se-appl'!G52</f>
        <v>0.80981825320704148</v>
      </c>
      <c r="H14" s="59">
        <f>'SER_se-appl'!H52</f>
        <v>0.79273276522832459</v>
      </c>
      <c r="I14" s="59">
        <f>'SER_se-appl'!I52</f>
        <v>0.77726783203205085</v>
      </c>
      <c r="J14" s="59">
        <f>'SER_se-appl'!J52</f>
        <v>0.76239590692061865</v>
      </c>
      <c r="K14" s="59">
        <f>'SER_se-appl'!K52</f>
        <v>0.74849248537224911</v>
      </c>
      <c r="L14" s="59">
        <f>'SER_se-appl'!L52</f>
        <v>0.73132093001527321</v>
      </c>
      <c r="M14" s="59">
        <f>'SER_se-appl'!M52</f>
        <v>0.71515085379004362</v>
      </c>
      <c r="N14" s="59">
        <f>'SER_se-appl'!N52</f>
        <v>0.70122476491910213</v>
      </c>
      <c r="O14" s="59">
        <f>'SER_se-appl'!O52</f>
        <v>0.68454015090573195</v>
      </c>
      <c r="P14" s="59">
        <f>'SER_se-appl'!P52</f>
        <v>0.66824450319903894</v>
      </c>
      <c r="Q14" s="59">
        <f>'SER_se-appl'!Q52</f>
        <v>0.65025814328492659</v>
      </c>
      <c r="R14" s="59">
        <f>'SER_se-appl'!R52</f>
        <v>0.63804164924681361</v>
      </c>
      <c r="S14" s="59">
        <f>'SER_se-appl'!S52</f>
        <v>0.62618063479208963</v>
      </c>
      <c r="T14" s="59">
        <f>'SER_se-appl'!T52</f>
        <v>0.61633526129045491</v>
      </c>
      <c r="U14" s="59">
        <f>'SER_se-appl'!U52</f>
        <v>0.60465660471486993</v>
      </c>
      <c r="V14" s="59">
        <f>'SER_se-appl'!V52</f>
        <v>0.59494176926005959</v>
      </c>
      <c r="W14" s="59">
        <f>'SER_se-appl'!W52</f>
        <v>0.58356078175963633</v>
      </c>
      <c r="X14" s="59">
        <f>'SER_se-appl'!X52</f>
        <v>0.57372692864537</v>
      </c>
      <c r="Y14" s="59">
        <f>'SER_se-appl'!Y52</f>
        <v>0.5635024732894407</v>
      </c>
      <c r="DA14" s="104" t="s">
        <v>946</v>
      </c>
    </row>
    <row r="15" spans="1:105" ht="12" customHeight="1" x14ac:dyDescent="0.25">
      <c r="A15" s="203" t="str">
        <f>"W per new appliance in average operating mode "&amp;MID('SER_se-appl'!A52,FIND("(",'SER_se-appl'!A52),100)</f>
        <v>W per new appliance in average operating mode (W per serviced m2)</v>
      </c>
      <c r="B15" s="63"/>
      <c r="C15" s="63">
        <f>'SER_se-appl'!C60</f>
        <v>0.79391832328524081</v>
      </c>
      <c r="D15" s="63">
        <f>'SER_se-appl'!D60</f>
        <v>0.77735716660420795</v>
      </c>
      <c r="E15" s="63">
        <f>'SER_se-appl'!E60</f>
        <v>0.76124817968329905</v>
      </c>
      <c r="F15" s="63">
        <f>'SER_se-appl'!F60</f>
        <v>0.74190037351881244</v>
      </c>
      <c r="G15" s="63">
        <f>'SER_se-appl'!G60</f>
        <v>0.72257326739809624</v>
      </c>
      <c r="H15" s="63">
        <f>'SER_se-appl'!H60</f>
        <v>0.70264968702590347</v>
      </c>
      <c r="I15" s="63">
        <f>'SER_se-appl'!I60</f>
        <v>0.68466058222409809</v>
      </c>
      <c r="J15" s="63">
        <f>'SER_se-appl'!J60</f>
        <v>0.66812422592956866</v>
      </c>
      <c r="K15" s="63">
        <f>'SER_se-appl'!K60</f>
        <v>0.65221845905301734</v>
      </c>
      <c r="L15" s="63">
        <f>'SER_se-appl'!L60</f>
        <v>0.63360720350497557</v>
      </c>
      <c r="M15" s="63">
        <f>'SER_se-appl'!M60</f>
        <v>0.61652420676411557</v>
      </c>
      <c r="N15" s="63">
        <f>'SER_se-appl'!N60</f>
        <v>0.59665797766962336</v>
      </c>
      <c r="O15" s="63">
        <f>'SER_se-appl'!O60</f>
        <v>0.57743304629942283</v>
      </c>
      <c r="P15" s="63">
        <f>'SER_se-appl'!P60</f>
        <v>0.5563411250210295</v>
      </c>
      <c r="Q15" s="63">
        <f>'SER_se-appl'!Q60</f>
        <v>0.53484562514477108</v>
      </c>
      <c r="R15" s="63">
        <f>'SER_se-appl'!R60</f>
        <v>0.53145354016361024</v>
      </c>
      <c r="S15" s="63">
        <f>'SER_se-appl'!S60</f>
        <v>0.52650717301563976</v>
      </c>
      <c r="T15" s="63">
        <f>'SER_se-appl'!T60</f>
        <v>0.52167010678149162</v>
      </c>
      <c r="U15" s="63">
        <f>'SER_se-appl'!U60</f>
        <v>0.51702336452673325</v>
      </c>
      <c r="V15" s="63">
        <f>'SER_se-appl'!V60</f>
        <v>0.51248307250876324</v>
      </c>
      <c r="W15" s="63">
        <f>'SER_se-appl'!W60</f>
        <v>0.50940817407371064</v>
      </c>
      <c r="X15" s="63">
        <f>'SER_se-appl'!X60</f>
        <v>0.50633327563865804</v>
      </c>
      <c r="Y15" s="63">
        <f>'SER_se-appl'!Y60</f>
        <v>0.50325837720360544</v>
      </c>
      <c r="DA15" s="105" t="s">
        <v>952</v>
      </c>
    </row>
  </sheetData>
  <pageMargins left="0.39370078740157483" right="0.39370078740157483" top="0.39370078740157483" bottom="0.39370078740157483" header="0.31496062992125984" footer="0.31496062992125984"/>
  <pageSetup paperSize="9" scale="60" orientation="landscape" horizontalDpi="1200" verticalDpi="1200" r:id="rId1"/>
  <headerFooter alignWithMargins="0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4">
    <tabColor theme="8" tint="0.59999389629810485"/>
    <pageSetUpPr fitToPage="1"/>
  </sheetPr>
  <dimension ref="A1:DA15"/>
  <sheetViews>
    <sheetView showGridLines="0" zoomScaleNormal="100" workbookViewId="0">
      <pane xSplit="1" ySplit="1" topLeftCell="I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61.7109375" style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12.95" customHeight="1" x14ac:dyDescent="0.25">
      <c r="A1" s="28" t="s">
        <v>968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X1" s="27">
        <v>2022</v>
      </c>
      <c r="Y1" s="27">
        <v>2023</v>
      </c>
      <c r="DA1" s="87" t="s">
        <v>150</v>
      </c>
    </row>
    <row r="2" spans="1:105" s="2" customFormat="1" ht="12" customHeight="1" x14ac:dyDescent="0.25">
      <c r="DA2" s="7"/>
    </row>
    <row r="3" spans="1:105" ht="12.95" customHeight="1" x14ac:dyDescent="0.25">
      <c r="A3" s="197" t="s">
        <v>81</v>
      </c>
      <c r="B3" s="198">
        <f>'SER_se-appl'!B5</f>
        <v>40.382704426288328</v>
      </c>
      <c r="C3" s="198">
        <f>'SER_se-appl'!C5</f>
        <v>41.727671707903355</v>
      </c>
      <c r="D3" s="198">
        <f>'SER_se-appl'!D5</f>
        <v>44.612799499250706</v>
      </c>
      <c r="E3" s="198">
        <f>'SER_se-appl'!E5</f>
        <v>48.413694809985074</v>
      </c>
      <c r="F3" s="198">
        <f>'SER_se-appl'!F5</f>
        <v>53.152418005569807</v>
      </c>
      <c r="G3" s="198">
        <f>'SER_se-appl'!G5</f>
        <v>60.155122049801513</v>
      </c>
      <c r="H3" s="198">
        <f>'SER_se-appl'!H5</f>
        <v>69.059983541608403</v>
      </c>
      <c r="I3" s="198">
        <f>'SER_se-appl'!I5</f>
        <v>75.474133591298553</v>
      </c>
      <c r="J3" s="198">
        <f>'SER_se-appl'!J5</f>
        <v>81.641425489418921</v>
      </c>
      <c r="K3" s="198">
        <f>'SER_se-appl'!K5</f>
        <v>85.433867305792319</v>
      </c>
      <c r="L3" s="198">
        <f>'SER_se-appl'!L5</f>
        <v>88.237991109522426</v>
      </c>
      <c r="M3" s="198">
        <f>'SER_se-appl'!M5</f>
        <v>90.325010200004229</v>
      </c>
      <c r="N3" s="198">
        <f>'SER_se-appl'!N5</f>
        <v>91.998542930029984</v>
      </c>
      <c r="O3" s="198">
        <f>'SER_se-appl'!O5</f>
        <v>93.414136945580182</v>
      </c>
      <c r="P3" s="198">
        <f>'SER_se-appl'!P5</f>
        <v>95.994715588223386</v>
      </c>
      <c r="Q3" s="198">
        <f>'SER_se-appl'!Q5</f>
        <v>98.781371811096278</v>
      </c>
      <c r="R3" s="198">
        <f>'SER_se-appl'!R5</f>
        <v>99.666081607700747</v>
      </c>
      <c r="S3" s="198">
        <f>'SER_se-appl'!S5</f>
        <v>100.65613167684552</v>
      </c>
      <c r="T3" s="198">
        <f>'SER_se-appl'!T5</f>
        <v>100.86243593557396</v>
      </c>
      <c r="U3" s="198">
        <f>'SER_se-appl'!U5</f>
        <v>98.846698378774306</v>
      </c>
      <c r="V3" s="198">
        <f>'SER_se-appl'!V5</f>
        <v>95.964282038146592</v>
      </c>
      <c r="W3" s="198">
        <f>'SER_se-appl'!W5</f>
        <v>93.793258992290305</v>
      </c>
      <c r="X3" s="198">
        <f>'SER_se-appl'!X5</f>
        <v>92.088869864419792</v>
      </c>
      <c r="Y3" s="198">
        <f>'SER_se-appl'!Y5</f>
        <v>91.033503985369506</v>
      </c>
      <c r="DA3" s="205" t="s">
        <v>910</v>
      </c>
    </row>
    <row r="4" spans="1:105" ht="12" customHeight="1" x14ac:dyDescent="0.25">
      <c r="A4" s="5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DA4" s="106"/>
    </row>
    <row r="5" spans="1:105" ht="12.95" customHeight="1" x14ac:dyDescent="0.25">
      <c r="A5" s="199" t="s">
        <v>108</v>
      </c>
      <c r="B5" s="59">
        <f>'SER_se-appl'!B13</f>
        <v>154.77895317608025</v>
      </c>
      <c r="C5" s="59">
        <f>'SER_se-appl'!C13</f>
        <v>159.39126171227602</v>
      </c>
      <c r="D5" s="59">
        <f>'SER_se-appl'!D13</f>
        <v>170.07788194810354</v>
      </c>
      <c r="E5" s="59">
        <f>'SER_se-appl'!E13</f>
        <v>183.90245861265836</v>
      </c>
      <c r="F5" s="59">
        <f>'SER_se-appl'!F13</f>
        <v>201.10340336483586</v>
      </c>
      <c r="G5" s="59">
        <f>'SER_se-appl'!G13</f>
        <v>226.11705359799163</v>
      </c>
      <c r="H5" s="59">
        <f>'SER_se-appl'!H13</f>
        <v>258.26514628837856</v>
      </c>
      <c r="I5" s="59">
        <f>'SER_se-appl'!I13</f>
        <v>279.80541519779649</v>
      </c>
      <c r="J5" s="59">
        <f>'SER_se-appl'!J13</f>
        <v>301.00381762650613</v>
      </c>
      <c r="K5" s="59">
        <f>'SER_se-appl'!K13</f>
        <v>313.17146906220489</v>
      </c>
      <c r="L5" s="59">
        <f>'SER_se-appl'!L13</f>
        <v>321.63602956577523</v>
      </c>
      <c r="M5" s="59">
        <f>'SER_se-appl'!M13</f>
        <v>326.89902811639513</v>
      </c>
      <c r="N5" s="59">
        <f>'SER_se-appl'!N13</f>
        <v>330.77679296576605</v>
      </c>
      <c r="O5" s="59">
        <f>'SER_se-appl'!O13</f>
        <v>332.83620790269163</v>
      </c>
      <c r="P5" s="59">
        <f>'SER_se-appl'!P13</f>
        <v>339.1598921315811</v>
      </c>
      <c r="Q5" s="59">
        <f>'SER_se-appl'!Q13</f>
        <v>344.28592015727185</v>
      </c>
      <c r="R5" s="59">
        <f>'SER_se-appl'!R13</f>
        <v>348.46630581013108</v>
      </c>
      <c r="S5" s="59">
        <f>'SER_se-appl'!S13</f>
        <v>350.08629879385836</v>
      </c>
      <c r="T5" s="59">
        <f>'SER_se-appl'!T13</f>
        <v>350.08351186393372</v>
      </c>
      <c r="U5" s="59">
        <f>'SER_se-appl'!U13</f>
        <v>346.00107296905998</v>
      </c>
      <c r="V5" s="59">
        <f>'SER_se-appl'!V13</f>
        <v>337.90547508099309</v>
      </c>
      <c r="W5" s="59">
        <f>'SER_se-appl'!W13</f>
        <v>331.0564506065852</v>
      </c>
      <c r="X5" s="59">
        <f>'SER_se-appl'!X13</f>
        <v>322.05895118640888</v>
      </c>
      <c r="Y5" s="59">
        <f>'SER_se-appl'!Y13</f>
        <v>315.4741935348257</v>
      </c>
      <c r="DA5" s="104" t="s">
        <v>917</v>
      </c>
    </row>
    <row r="6" spans="1:105" ht="12" customHeight="1" x14ac:dyDescent="0.25">
      <c r="A6" s="200" t="str">
        <f>"Penetration factor "&amp;MID('SER_se-appl'!A69,FIND("(",'SER_se-appl'!A69),100)</f>
        <v>Penetration factor (unit per capita)</v>
      </c>
      <c r="B6" s="201">
        <f>'SER_se-appl'!B69</f>
        <v>3.3357472433321607E-2</v>
      </c>
      <c r="C6" s="201">
        <f>'SER_se-appl'!C69</f>
        <v>3.4819553520865527E-2</v>
      </c>
      <c r="D6" s="201">
        <f>'SER_se-appl'!D69</f>
        <v>3.8797686930594814E-2</v>
      </c>
      <c r="E6" s="201">
        <f>'SER_se-appl'!E69</f>
        <v>4.309381350311349E-2</v>
      </c>
      <c r="F6" s="201">
        <f>'SER_se-appl'!F69</f>
        <v>4.8218273594385297E-2</v>
      </c>
      <c r="G6" s="201">
        <f>'SER_se-appl'!G69</f>
        <v>5.5630122910492276E-2</v>
      </c>
      <c r="H6" s="201">
        <f>'SER_se-appl'!H69</f>
        <v>6.5201138748572932E-2</v>
      </c>
      <c r="I6" s="201">
        <f>'SER_se-appl'!I69</f>
        <v>7.2283147658833882E-2</v>
      </c>
      <c r="J6" s="201">
        <f>'SER_se-appl'!J69</f>
        <v>8.0433370783696417E-2</v>
      </c>
      <c r="K6" s="201">
        <f>'SER_se-appl'!K69</f>
        <v>8.5399968596962667E-2</v>
      </c>
      <c r="L6" s="201">
        <f>'SER_se-appl'!L69</f>
        <v>8.9399508831946556E-2</v>
      </c>
      <c r="M6" s="201">
        <f>'SER_se-appl'!M69</f>
        <v>9.2568981341078313E-2</v>
      </c>
      <c r="N6" s="201">
        <f>'SER_se-appl'!N69</f>
        <v>9.5851525008306349E-2</v>
      </c>
      <c r="O6" s="201">
        <f>'SER_se-appl'!O69</f>
        <v>9.9001991452077359E-2</v>
      </c>
      <c r="P6" s="201">
        <f>'SER_se-appl'!P69</f>
        <v>0.10355768009499453</v>
      </c>
      <c r="Q6" s="201">
        <f>'SER_se-appl'!Q69</f>
        <v>0.10835866039784732</v>
      </c>
      <c r="R6" s="201">
        <f>'SER_se-appl'!R69</f>
        <v>0.11382017106815422</v>
      </c>
      <c r="S6" s="201">
        <f>'SER_se-appl'!S69</f>
        <v>0.11907526238544247</v>
      </c>
      <c r="T6" s="201">
        <f>'SER_se-appl'!T69</f>
        <v>0.12446850337789457</v>
      </c>
      <c r="U6" s="201">
        <f>'SER_se-appl'!U69</f>
        <v>0.12983406503508763</v>
      </c>
      <c r="V6" s="201">
        <f>'SER_se-appl'!V69</f>
        <v>0.13483764123412456</v>
      </c>
      <c r="W6" s="201">
        <f>'SER_se-appl'!W69</f>
        <v>0.13997442051595591</v>
      </c>
      <c r="X6" s="201">
        <f>'SER_se-appl'!X69</f>
        <v>0.1436861639300594</v>
      </c>
      <c r="Y6" s="201">
        <f>'SER_se-appl'!Y69</f>
        <v>0.1463427934652026</v>
      </c>
      <c r="DA6" s="206" t="s">
        <v>959</v>
      </c>
    </row>
    <row r="7" spans="1:105" ht="12.95" customHeight="1" x14ac:dyDescent="0.25">
      <c r="A7" s="5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DA7" s="106"/>
    </row>
    <row r="8" spans="1:105" ht="12.95" customHeight="1" x14ac:dyDescent="0.25">
      <c r="A8" s="199" t="str">
        <f>"Stock of appliances "&amp;MID('SER_se-appl'!A21,FIND("(",'SER_se-appl'!A21),100)</f>
        <v>Stock of appliances (thousand units)</v>
      </c>
      <c r="B8" s="34">
        <f>'SER_se-appl'!B21</f>
        <v>749.05822186436683</v>
      </c>
      <c r="C8" s="34">
        <f>'SER_se-appl'!C21</f>
        <v>781.01849800897287</v>
      </c>
      <c r="D8" s="34">
        <f>'SER_se-appl'!D21</f>
        <v>847.08863803846407</v>
      </c>
      <c r="E8" s="34">
        <f>'SER_se-appl'!E21</f>
        <v>932.01183938290853</v>
      </c>
      <c r="F8" s="34">
        <f>'SER_se-appl'!F21</f>
        <v>1037.7123130196164</v>
      </c>
      <c r="G8" s="34">
        <f>'SER_se-appl'!G21</f>
        <v>1189.5029811356562</v>
      </c>
      <c r="H8" s="34">
        <f>'SER_se-appl'!H21</f>
        <v>1385.9816495966347</v>
      </c>
      <c r="I8" s="34">
        <f>'SER_se-appl'!I21</f>
        <v>1527.3792684544323</v>
      </c>
      <c r="J8" s="34">
        <f>'SER_se-appl'!J21</f>
        <v>1659.7796054721362</v>
      </c>
      <c r="K8" s="34">
        <f>'SER_se-appl'!K21</f>
        <v>1745.6001241128099</v>
      </c>
      <c r="L8" s="34">
        <f>'SER_se-appl'!L21</f>
        <v>1814.3346921000555</v>
      </c>
      <c r="M8" s="34">
        <f>'SER_se-appl'!M21</f>
        <v>1869.8063156783398</v>
      </c>
      <c r="N8" s="34">
        <f>'SER_se-appl'!N21</f>
        <v>1926.2318631608243</v>
      </c>
      <c r="O8" s="34">
        <f>'SER_se-appl'!O21</f>
        <v>1982.0271950179563</v>
      </c>
      <c r="P8" s="34">
        <f>'SER_se-appl'!P21</f>
        <v>2065.6972512933653</v>
      </c>
      <c r="Q8" s="34">
        <f>'SER_se-appl'!Q21</f>
        <v>2153.1566901585038</v>
      </c>
      <c r="R8" s="34">
        <f>'SER_se-appl'!R21</f>
        <v>2249.1531651068021</v>
      </c>
      <c r="S8" s="34">
        <f>'SER_se-appl'!S21</f>
        <v>2339.1083814612502</v>
      </c>
      <c r="T8" s="34">
        <f>'SER_se-appl'!T21</f>
        <v>2431.3031458305395</v>
      </c>
      <c r="U8" s="34">
        <f>'SER_se-appl'!U21</f>
        <v>2520.658002592977</v>
      </c>
      <c r="V8" s="34">
        <f>'SER_se-appl'!V21</f>
        <v>2606.254923716514</v>
      </c>
      <c r="W8" s="34">
        <f>'SER_se-appl'!W21</f>
        <v>2687.7415113932507</v>
      </c>
      <c r="X8" s="34">
        <f>'SER_se-appl'!X21</f>
        <v>2736.1373107607792</v>
      </c>
      <c r="Y8" s="34">
        <f>'SER_se-appl'!Y21</f>
        <v>2788.4957825367892</v>
      </c>
      <c r="DA8" s="88" t="s">
        <v>923</v>
      </c>
    </row>
    <row r="9" spans="1:105" ht="12.95" customHeight="1" x14ac:dyDescent="0.25">
      <c r="A9" s="202" t="str">
        <f>"Number of new appliances "&amp;MID('SER_se-appl'!A29,FIND("(",'SER_se-appl'!A29),100)</f>
        <v>Number of new appliances (thousand units)</v>
      </c>
      <c r="B9" s="36"/>
      <c r="C9" s="36">
        <f>'SER_se-appl'!C29</f>
        <v>125.92545749214321</v>
      </c>
      <c r="D9" s="36">
        <f>'SER_se-appl'!D29</f>
        <v>164.08004147425811</v>
      </c>
      <c r="E9" s="36">
        <f>'SER_se-appl'!E29</f>
        <v>187.15192738377016</v>
      </c>
      <c r="F9" s="36">
        <f>'SER_se-appl'!F29</f>
        <v>212.32962307537935</v>
      </c>
      <c r="G9" s="36">
        <f>'SER_se-appl'!G29</f>
        <v>263.00965665787839</v>
      </c>
      <c r="H9" s="36">
        <f>'SER_se-appl'!H29</f>
        <v>312.4850651863328</v>
      </c>
      <c r="I9" s="36">
        <f>'SER_se-appl'!I29</f>
        <v>262.39749718467033</v>
      </c>
      <c r="J9" s="36">
        <f>'SER_se-appl'!J29</f>
        <v>258.32579450984713</v>
      </c>
      <c r="K9" s="36">
        <f>'SER_se-appl'!K29</f>
        <v>249.90056011493175</v>
      </c>
      <c r="L9" s="36">
        <f>'SER_se-appl'!L29</f>
        <v>255.8864953710156</v>
      </c>
      <c r="M9" s="36">
        <f>'SER_se-appl'!M29</f>
        <v>267.80124665366361</v>
      </c>
      <c r="N9" s="36">
        <f>'SER_se-appl'!N29</f>
        <v>319.43520414036288</v>
      </c>
      <c r="O9" s="36">
        <f>'SER_se-appl'!O29</f>
        <v>368.28039704346475</v>
      </c>
      <c r="P9" s="36">
        <f>'SER_se-appl'!P29</f>
        <v>346.06755346007935</v>
      </c>
      <c r="Q9" s="36">
        <f>'SER_se-appl'!Q29</f>
        <v>345.78523337498564</v>
      </c>
      <c r="R9" s="36">
        <f>'SER_se-appl'!R29</f>
        <v>345.89703506323008</v>
      </c>
      <c r="S9" s="36">
        <f>'SER_se-appl'!S29</f>
        <v>345.84171172546371</v>
      </c>
      <c r="T9" s="36">
        <f>'SER_se-appl'!T29</f>
        <v>359.9960110229531</v>
      </c>
      <c r="U9" s="36">
        <f>'SER_se-appl'!U29</f>
        <v>408.79006090280018</v>
      </c>
      <c r="V9" s="36">
        <f>'SER_se-appl'!V29</f>
        <v>453.8773181670017</v>
      </c>
      <c r="W9" s="36">
        <f>'SER_se-appl'!W29</f>
        <v>427.55414113681627</v>
      </c>
      <c r="X9" s="36">
        <f>'SER_se-appl'!X29</f>
        <v>394.18103274251416</v>
      </c>
      <c r="Y9" s="36">
        <f>'SER_se-appl'!Y29</f>
        <v>398.2555068392403</v>
      </c>
      <c r="DA9" s="89" t="s">
        <v>929</v>
      </c>
    </row>
    <row r="10" spans="1:105" ht="12" customHeight="1" x14ac:dyDescent="0.25">
      <c r="A10" s="203" t="str">
        <f>"Number of replaced appliances "&amp;MID('SER_se-appl'!A37,FIND("(",'SER_se-appl'!A37),100)</f>
        <v>Number of replaced appliances (thousand units)</v>
      </c>
      <c r="B10" s="38"/>
      <c r="C10" s="38">
        <f>'SER_se-appl'!C37</f>
        <v>93.965181347537168</v>
      </c>
      <c r="D10" s="38">
        <f>'SER_se-appl'!D37</f>
        <v>98.009901444766911</v>
      </c>
      <c r="E10" s="38">
        <f>'SER_se-appl'!E37</f>
        <v>102.22872603932581</v>
      </c>
      <c r="F10" s="38">
        <f>'SER_se-appl'!F37</f>
        <v>106.62914943867145</v>
      </c>
      <c r="G10" s="38">
        <f>'SER_se-appl'!G37</f>
        <v>111.2189885418386</v>
      </c>
      <c r="H10" s="38">
        <f>'SER_se-appl'!H37</f>
        <v>116.00639672535431</v>
      </c>
      <c r="I10" s="38">
        <f>'SER_se-appl'!I37</f>
        <v>120.9998783268727</v>
      </c>
      <c r="J10" s="38">
        <f>'SER_se-appl'!J37</f>
        <v>125.92545749214332</v>
      </c>
      <c r="K10" s="38">
        <f>'SER_se-appl'!K37</f>
        <v>164.080041474258</v>
      </c>
      <c r="L10" s="38">
        <f>'SER_se-appl'!L37</f>
        <v>187.15192738377004</v>
      </c>
      <c r="M10" s="38">
        <f>'SER_se-appl'!M37</f>
        <v>212.32962307537923</v>
      </c>
      <c r="N10" s="38">
        <f>'SER_se-appl'!N37</f>
        <v>263.00965665787839</v>
      </c>
      <c r="O10" s="38">
        <f>'SER_se-appl'!O37</f>
        <v>312.48506518633303</v>
      </c>
      <c r="P10" s="38">
        <f>'SER_se-appl'!P37</f>
        <v>262.3974971846701</v>
      </c>
      <c r="Q10" s="38">
        <f>'SER_se-appl'!Q37</f>
        <v>258.32579450984713</v>
      </c>
      <c r="R10" s="38">
        <f>'SER_se-appl'!R37</f>
        <v>249.90056011493152</v>
      </c>
      <c r="S10" s="38">
        <f>'SER_se-appl'!S37</f>
        <v>255.88649537101537</v>
      </c>
      <c r="T10" s="38">
        <f>'SER_se-appl'!T37</f>
        <v>267.80124665366384</v>
      </c>
      <c r="U10" s="38">
        <f>'SER_se-appl'!U37</f>
        <v>319.43520414036266</v>
      </c>
      <c r="V10" s="38">
        <f>'SER_se-appl'!V37</f>
        <v>368.28039704346475</v>
      </c>
      <c r="W10" s="38">
        <f>'SER_se-appl'!W37</f>
        <v>346.06755346007958</v>
      </c>
      <c r="X10" s="38">
        <f>'SER_se-appl'!X37</f>
        <v>345.78523337498564</v>
      </c>
      <c r="Y10" s="38">
        <f>'SER_se-appl'!Y37</f>
        <v>345.89703506323031</v>
      </c>
      <c r="DA10" s="90" t="s">
        <v>935</v>
      </c>
    </row>
    <row r="11" spans="1:105" ht="12.95" customHeight="1" x14ac:dyDescent="0.25">
      <c r="A11" s="5"/>
      <c r="B11" s="177"/>
      <c r="C11" s="177"/>
      <c r="D11" s="177"/>
      <c r="E11" s="177"/>
      <c r="F11" s="177"/>
      <c r="G11" s="177"/>
      <c r="H11" s="177"/>
      <c r="I11" s="177"/>
      <c r="J11" s="177"/>
      <c r="K11" s="177"/>
      <c r="L11" s="177"/>
      <c r="M11" s="177"/>
      <c r="N11" s="177"/>
      <c r="O11" s="177"/>
      <c r="P11" s="177"/>
      <c r="Q11" s="177"/>
      <c r="R11" s="177"/>
      <c r="S11" s="177"/>
      <c r="T11" s="177"/>
      <c r="U11" s="177"/>
      <c r="V11" s="177"/>
      <c r="W11" s="177"/>
      <c r="X11" s="177"/>
      <c r="Y11" s="177"/>
      <c r="DA11" s="207"/>
    </row>
    <row r="12" spans="1:105" ht="12" customHeight="1" x14ac:dyDescent="0.25">
      <c r="A12" s="197" t="s">
        <v>104</v>
      </c>
      <c r="B12" s="204">
        <f>'SER_se-appl'!B45</f>
        <v>3034.3327877624752</v>
      </c>
      <c r="C12" s="204">
        <f>'SER_se-appl'!C45</f>
        <v>3044.6639091102675</v>
      </c>
      <c r="D12" s="204">
        <f>'SER_se-appl'!D45</f>
        <v>3050.6427539743427</v>
      </c>
      <c r="E12" s="204">
        <f>'SER_se-appl'!E45</f>
        <v>3061.6843020355927</v>
      </c>
      <c r="F12" s="204">
        <f>'SER_se-appl'!F45</f>
        <v>3073.8545994834531</v>
      </c>
      <c r="G12" s="204">
        <f>'SER_se-appl'!G45</f>
        <v>3093.990737571708</v>
      </c>
      <c r="H12" s="204">
        <f>'SER_se-appl'!H45</f>
        <v>3109.8567504423909</v>
      </c>
      <c r="I12" s="204">
        <f>'SER_se-appl'!I45</f>
        <v>3137.0521297677683</v>
      </c>
      <c r="J12" s="204">
        <f>'SER_se-appl'!J45</f>
        <v>3154.4110833175387</v>
      </c>
      <c r="K12" s="204">
        <f>'SER_se-appl'!K45</f>
        <v>3172.6896442440861</v>
      </c>
      <c r="L12" s="204">
        <f>'SER_se-appl'!L45</f>
        <v>3190.58731694076</v>
      </c>
      <c r="M12" s="204">
        <f>'SER_se-appl'!M45</f>
        <v>3213.4689254934619</v>
      </c>
      <c r="N12" s="204">
        <f>'SER_se-appl'!N45</f>
        <v>3234.6376076842344</v>
      </c>
      <c r="O12" s="204">
        <f>'SER_se-appl'!O45</f>
        <v>3264.0872203264635</v>
      </c>
      <c r="P12" s="204">
        <f>'SER_se-appl'!P45</f>
        <v>3291.7174707023146</v>
      </c>
      <c r="Q12" s="204">
        <f>'SER_se-appl'!Q45</f>
        <v>3336.840942081682</v>
      </c>
      <c r="R12" s="204">
        <f>'SER_se-appl'!R45</f>
        <v>3326.3374672704449</v>
      </c>
      <c r="S12" s="204">
        <f>'SER_se-appl'!S45</f>
        <v>3343.8349785034493</v>
      </c>
      <c r="T12" s="204">
        <f>'SER_se-appl'!T45</f>
        <v>3350.7151584638023</v>
      </c>
      <c r="U12" s="204">
        <f>'SER_se-appl'!U45</f>
        <v>3322.4957722831782</v>
      </c>
      <c r="V12" s="204">
        <f>'SER_se-appl'!V45</f>
        <v>3302.8899571281986</v>
      </c>
      <c r="W12" s="204">
        <f>'SER_se-appl'!W45</f>
        <v>3294.9534741934986</v>
      </c>
      <c r="X12" s="204">
        <f>'SER_se-appl'!X45</f>
        <v>3325.4581267741487</v>
      </c>
      <c r="Y12" s="204">
        <f>'SER_se-appl'!Y45</f>
        <v>3355.9627793547988</v>
      </c>
      <c r="DA12" s="208" t="s">
        <v>941</v>
      </c>
    </row>
    <row r="13" spans="1:105" ht="12.95" customHeight="1" x14ac:dyDescent="0.25">
      <c r="A13" s="4"/>
      <c r="B13" s="29"/>
      <c r="C13" s="29"/>
      <c r="D13" s="29"/>
      <c r="E13" s="29"/>
      <c r="F13" s="29"/>
      <c r="G13" s="29"/>
      <c r="H13" s="29"/>
      <c r="I13" s="29"/>
      <c r="J13" s="29"/>
      <c r="K13" s="29"/>
      <c r="L13" s="29"/>
      <c r="M13" s="29"/>
      <c r="N13" s="29"/>
      <c r="O13" s="29"/>
      <c r="P13" s="29"/>
      <c r="Q13" s="29"/>
      <c r="R13" s="29"/>
      <c r="S13" s="29"/>
      <c r="T13" s="29"/>
      <c r="U13" s="29"/>
      <c r="V13" s="29"/>
      <c r="W13" s="29"/>
      <c r="X13" s="29"/>
      <c r="Y13" s="29"/>
      <c r="DA13" s="209"/>
    </row>
    <row r="14" spans="1:105" ht="12.95" customHeight="1" x14ac:dyDescent="0.25">
      <c r="A14" s="199" t="str">
        <f>"W per appliance in average operating mode "&amp;MID('SER_se-appl'!A53,FIND("(",'SER_se-appl'!A53),100)</f>
        <v>W per appliance in average operating mode (W per appliance)</v>
      </c>
      <c r="B14" s="59">
        <f>'SER_se-appl'!B53</f>
        <v>206.63140548787183</v>
      </c>
      <c r="C14" s="59">
        <f>'SER_se-appl'!C53</f>
        <v>204.08128887933822</v>
      </c>
      <c r="D14" s="59">
        <f>'SER_se-appl'!D53</f>
        <v>200.77932144378585</v>
      </c>
      <c r="E14" s="59">
        <f>'SER_se-appl'!E53</f>
        <v>197.31772799626822</v>
      </c>
      <c r="F14" s="59">
        <f>'SER_se-appl'!F53</f>
        <v>193.79494763789538</v>
      </c>
      <c r="G14" s="59">
        <f>'SER_se-appl'!G53</f>
        <v>190.09372585355817</v>
      </c>
      <c r="H14" s="59">
        <f>'SER_se-appl'!H53</f>
        <v>186.3409565080043</v>
      </c>
      <c r="I14" s="59">
        <f>'SER_se-appl'!I53</f>
        <v>183.19314722723314</v>
      </c>
      <c r="J14" s="59">
        <f>'SER_se-appl'!J53</f>
        <v>181.35167864102263</v>
      </c>
      <c r="K14" s="59">
        <f>'SER_se-appl'!K53</f>
        <v>179.40619087740515</v>
      </c>
      <c r="L14" s="59">
        <f>'SER_se-appl'!L53</f>
        <v>177.27491568465138</v>
      </c>
      <c r="M14" s="59">
        <f>'SER_se-appl'!M53</f>
        <v>174.83042247496135</v>
      </c>
      <c r="N14" s="59">
        <f>'SER_se-appl'!N53</f>
        <v>171.72221023432886</v>
      </c>
      <c r="O14" s="59">
        <f>'SER_se-appl'!O53</f>
        <v>167.92716504562202</v>
      </c>
      <c r="P14" s="59">
        <f>'SER_se-appl'!P53</f>
        <v>164.18664057340823</v>
      </c>
      <c r="Q14" s="59">
        <f>'SER_se-appl'!Q53</f>
        <v>159.89821908034355</v>
      </c>
      <c r="R14" s="59">
        <f>'SER_se-appl'!R53</f>
        <v>154.93222569997093</v>
      </c>
      <c r="S14" s="59">
        <f>'SER_se-appl'!S53</f>
        <v>149.66655738079058</v>
      </c>
      <c r="T14" s="59">
        <f>'SER_se-appl'!T53</f>
        <v>143.99007070109485</v>
      </c>
      <c r="U14" s="59">
        <f>'SER_se-appl'!U53</f>
        <v>137.266171219234</v>
      </c>
      <c r="V14" s="59">
        <f>'SER_se-appl'!V53</f>
        <v>129.65173590891123</v>
      </c>
      <c r="W14" s="59">
        <f>'SER_se-appl'!W53</f>
        <v>123.17272669386078</v>
      </c>
      <c r="X14" s="59">
        <f>'SER_se-appl'!X53</f>
        <v>117.70569770742274</v>
      </c>
      <c r="Y14" s="59">
        <f>'SER_se-appl'!Y53</f>
        <v>113.13418349438138</v>
      </c>
      <c r="DA14" s="104" t="s">
        <v>947</v>
      </c>
    </row>
    <row r="15" spans="1:105" ht="12" customHeight="1" x14ac:dyDescent="0.25">
      <c r="A15" s="203" t="str">
        <f>"W per new appliance in average operating mode "&amp;MID('SER_se-appl'!A53,FIND("(",'SER_se-appl'!A53),100)</f>
        <v>W per new appliance in average operating mode (W per appliance)</v>
      </c>
      <c r="B15" s="63"/>
      <c r="C15" s="63">
        <f>'SER_se-appl'!C61</f>
        <v>190.81499883738212</v>
      </c>
      <c r="D15" s="63">
        <f>'SER_se-appl'!D61</f>
        <v>188.55763105070474</v>
      </c>
      <c r="E15" s="63">
        <f>'SER_se-appl'!E61</f>
        <v>186.73728075282452</v>
      </c>
      <c r="F15" s="63">
        <f>'SER_se-appl'!F61</f>
        <v>184.77815388358698</v>
      </c>
      <c r="G15" s="63">
        <f>'SER_se-appl'!G61</f>
        <v>182.48374132865777</v>
      </c>
      <c r="H15" s="63">
        <f>'SER_se-appl'!H61</f>
        <v>179.58828674857602</v>
      </c>
      <c r="I15" s="63">
        <f>'SER_se-appl'!I61</f>
        <v>177.37457228566967</v>
      </c>
      <c r="J15" s="63">
        <f>'SER_se-appl'!J61</f>
        <v>175.0768580407707</v>
      </c>
      <c r="K15" s="63">
        <f>'SER_se-appl'!K61</f>
        <v>172.49339232757731</v>
      </c>
      <c r="L15" s="63">
        <f>'SER_se-appl'!L61</f>
        <v>169.65648166746934</v>
      </c>
      <c r="M15" s="63">
        <f>'SER_se-appl'!M61</f>
        <v>166.15633748274618</v>
      </c>
      <c r="N15" s="63">
        <f>'SER_se-appl'!N61</f>
        <v>162.38896129642896</v>
      </c>
      <c r="O15" s="63">
        <f>'SER_se-appl'!O61</f>
        <v>157.97222142505183</v>
      </c>
      <c r="P15" s="63">
        <f>'SER_se-appl'!P61</f>
        <v>152.76303002774569</v>
      </c>
      <c r="Q15" s="63">
        <f>'SER_se-appl'!Q61</f>
        <v>145.61899011099638</v>
      </c>
      <c r="R15" s="63">
        <f>'SER_se-appl'!R61</f>
        <v>136.70710129967267</v>
      </c>
      <c r="S15" s="63">
        <f>'SER_se-appl'!S61</f>
        <v>130.21215766576179</v>
      </c>
      <c r="T15" s="63">
        <f>'SER_se-appl'!T61</f>
        <v>123.59605669220774</v>
      </c>
      <c r="U15" s="63">
        <f>'SER_se-appl'!U61</f>
        <v>116.90673692371385</v>
      </c>
      <c r="V15" s="63">
        <f>'SER_se-appl'!V61</f>
        <v>110.34363810566468</v>
      </c>
      <c r="W15" s="63">
        <f>'SER_se-appl'!W61</f>
        <v>107.62918460826533</v>
      </c>
      <c r="X15" s="63">
        <f>'SER_se-appl'!X61</f>
        <v>104.91473111086599</v>
      </c>
      <c r="Y15" s="63">
        <f>'SER_se-appl'!Y61</f>
        <v>102.20027761346664</v>
      </c>
      <c r="DA15" s="105" t="s">
        <v>953</v>
      </c>
    </row>
  </sheetData>
  <pageMargins left="0.39370078740157483" right="0.39370078740157483" top="0.39370078740157483" bottom="0.39370078740157483" header="0.31496062992125984" footer="0.31496062992125984"/>
  <pageSetup paperSize="9" scale="60" orientation="landscape" horizontalDpi="1200" verticalDpi="1200" r:id="rId1"/>
  <headerFooter alignWithMargins="0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5">
    <tabColor theme="8" tint="0.59999389629810485"/>
    <pageSetUpPr fitToPage="1"/>
  </sheetPr>
  <dimension ref="A1:DA16"/>
  <sheetViews>
    <sheetView showGridLines="0" zoomScaleNormal="100" workbookViewId="0">
      <pane xSplit="1" ySplit="1" topLeftCell="I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61.7109375" style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12.95" customHeight="1" x14ac:dyDescent="0.25">
      <c r="A1" s="28" t="s">
        <v>969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X1" s="27">
        <v>2022</v>
      </c>
      <c r="Y1" s="27">
        <v>2023</v>
      </c>
      <c r="DA1" s="87" t="s">
        <v>150</v>
      </c>
    </row>
    <row r="2" spans="1:105" s="2" customFormat="1" ht="12" customHeight="1" x14ac:dyDescent="0.25">
      <c r="DA2" s="7"/>
    </row>
    <row r="3" spans="1:105" ht="12.95" customHeight="1" x14ac:dyDescent="0.25">
      <c r="A3" s="197" t="s">
        <v>81</v>
      </c>
      <c r="B3" s="198">
        <f>'SER_se-appl'!B6</f>
        <v>28.484192684212182</v>
      </c>
      <c r="C3" s="198">
        <f>'SER_se-appl'!C6</f>
        <v>31.175172094781157</v>
      </c>
      <c r="D3" s="198">
        <f>'SER_se-appl'!D6</f>
        <v>32.914850693254706</v>
      </c>
      <c r="E3" s="198">
        <f>'SER_se-appl'!E6</f>
        <v>36.097717260242575</v>
      </c>
      <c r="F3" s="198">
        <f>'SER_se-appl'!F6</f>
        <v>39.29148180682121</v>
      </c>
      <c r="G3" s="198">
        <f>'SER_se-appl'!G6</f>
        <v>42.634331333605729</v>
      </c>
      <c r="H3" s="198">
        <f>'SER_se-appl'!H6</f>
        <v>45.448586607523801</v>
      </c>
      <c r="I3" s="198">
        <f>'SER_se-appl'!I6</f>
        <v>47.87673469409043</v>
      </c>
      <c r="J3" s="198">
        <f>'SER_se-appl'!J6</f>
        <v>51.608711825688005</v>
      </c>
      <c r="K3" s="198">
        <f>'SER_se-appl'!K6</f>
        <v>54.552279770287662</v>
      </c>
      <c r="L3" s="198">
        <f>'SER_se-appl'!L6</f>
        <v>57.497959086538373</v>
      </c>
      <c r="M3" s="198">
        <f>'SER_se-appl'!M6</f>
        <v>59.743562175414539</v>
      </c>
      <c r="N3" s="198">
        <f>'SER_se-appl'!N6</f>
        <v>63.245861357628719</v>
      </c>
      <c r="O3" s="198">
        <f>'SER_se-appl'!O6</f>
        <v>68.054798767230821</v>
      </c>
      <c r="P3" s="198">
        <f>'SER_se-appl'!P6</f>
        <v>72.514698728821642</v>
      </c>
      <c r="Q3" s="198">
        <f>'SER_se-appl'!Q6</f>
        <v>77.315481940978842</v>
      </c>
      <c r="R3" s="198">
        <f>'SER_se-appl'!R6</f>
        <v>77.864043150005514</v>
      </c>
      <c r="S3" s="198">
        <f>'SER_se-appl'!S6</f>
        <v>79.843456138128914</v>
      </c>
      <c r="T3" s="198">
        <f>'SER_se-appl'!T6</f>
        <v>79.112892608387114</v>
      </c>
      <c r="U3" s="198">
        <f>'SER_se-appl'!U6</f>
        <v>74.776986549455543</v>
      </c>
      <c r="V3" s="198">
        <f>'SER_se-appl'!V6</f>
        <v>68.63535604224856</v>
      </c>
      <c r="W3" s="198">
        <f>'SER_se-appl'!W6</f>
        <v>66.103814624108296</v>
      </c>
      <c r="X3" s="198">
        <f>'SER_se-appl'!X6</f>
        <v>62.811404560795701</v>
      </c>
      <c r="Y3" s="198">
        <f>'SER_se-appl'!Y6</f>
        <v>59.364778158760075</v>
      </c>
      <c r="DA3" s="205" t="s">
        <v>911</v>
      </c>
    </row>
    <row r="4" spans="1:105" ht="12" customHeight="1" x14ac:dyDescent="0.25">
      <c r="A4" s="5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DA4" s="106"/>
    </row>
    <row r="5" spans="1:105" ht="12.95" customHeight="1" x14ac:dyDescent="0.25">
      <c r="A5" s="199" t="s">
        <v>108</v>
      </c>
      <c r="B5" s="59">
        <f>'SER_se-appl'!B14</f>
        <v>163.24292334270078</v>
      </c>
      <c r="C5" s="59">
        <f>'SER_se-appl'!C14</f>
        <v>177.49755645776469</v>
      </c>
      <c r="D5" s="59">
        <f>'SER_se-appl'!D14</f>
        <v>186.30939907079824</v>
      </c>
      <c r="E5" s="59">
        <f>'SER_se-appl'!E14</f>
        <v>203.08607933742198</v>
      </c>
      <c r="F5" s="59">
        <f>'SER_se-appl'!F14</f>
        <v>219.12632032384246</v>
      </c>
      <c r="G5" s="59">
        <f>'SER_se-appl'!G14</f>
        <v>236.76939920358993</v>
      </c>
      <c r="H5" s="59">
        <f>'SER_se-appl'!H14</f>
        <v>250.53208943173047</v>
      </c>
      <c r="I5" s="59">
        <f>'SER_se-appl'!I14</f>
        <v>262.91198956935455</v>
      </c>
      <c r="J5" s="59">
        <f>'SER_se-appl'!J14</f>
        <v>282.18084558774916</v>
      </c>
      <c r="K5" s="59">
        <f>'SER_se-appl'!K14</f>
        <v>297.67406850239911</v>
      </c>
      <c r="L5" s="59">
        <f>'SER_se-appl'!L14</f>
        <v>313.52809074430985</v>
      </c>
      <c r="M5" s="59">
        <f>'SER_se-appl'!M14</f>
        <v>324.69635301316492</v>
      </c>
      <c r="N5" s="59">
        <f>'SER_se-appl'!N14</f>
        <v>342.60721706181192</v>
      </c>
      <c r="O5" s="59">
        <f>'SER_se-appl'!O14</f>
        <v>367.34167183690499</v>
      </c>
      <c r="P5" s="59">
        <f>'SER_se-appl'!P14</f>
        <v>389.62625000806185</v>
      </c>
      <c r="Q5" s="59">
        <f>'SER_se-appl'!Q14</f>
        <v>413.78982184873962</v>
      </c>
      <c r="R5" s="59">
        <f>'SER_se-appl'!R14</f>
        <v>418.08232782875729</v>
      </c>
      <c r="S5" s="59">
        <f>'SER_se-appl'!S14</f>
        <v>424.17689407364327</v>
      </c>
      <c r="T5" s="59">
        <f>'SER_se-appl'!T14</f>
        <v>420.1098422556168</v>
      </c>
      <c r="U5" s="59">
        <f>'SER_se-appl'!U14</f>
        <v>403.83038154805928</v>
      </c>
      <c r="V5" s="59">
        <f>'SER_se-appl'!V14</f>
        <v>383.1982513024459</v>
      </c>
      <c r="W5" s="59">
        <f>'SER_se-appl'!W14</f>
        <v>356.6656755844827</v>
      </c>
      <c r="X5" s="59">
        <f>'SER_se-appl'!X14</f>
        <v>338.97884231049164</v>
      </c>
      <c r="Y5" s="59">
        <f>'SER_se-appl'!Y14</f>
        <v>320.41481717088357</v>
      </c>
      <c r="DA5" s="104" t="s">
        <v>918</v>
      </c>
    </row>
    <row r="6" spans="1:105" ht="12" customHeight="1" x14ac:dyDescent="0.25">
      <c r="A6" s="200" t="str">
        <f>"Penetration factor "&amp;MID('SER_se-appl'!A70,FIND("(",'SER_se-appl'!A70),100)</f>
        <v>Penetration factor (unit per building cell)</v>
      </c>
      <c r="B6" s="201">
        <f>'SER_se-appl'!B70</f>
        <v>106.92348226881371</v>
      </c>
      <c r="C6" s="201">
        <f>'SER_se-appl'!C70</f>
        <v>108.05837242836974</v>
      </c>
      <c r="D6" s="201">
        <f>'SER_se-appl'!D70</f>
        <v>110.54495763058758</v>
      </c>
      <c r="E6" s="201">
        <f>'SER_se-appl'!E70</f>
        <v>114.39457158690799</v>
      </c>
      <c r="F6" s="201">
        <f>'SER_se-appl'!F70</f>
        <v>117.78701041415003</v>
      </c>
      <c r="G6" s="201">
        <f>'SER_se-appl'!G70</f>
        <v>120.39964904987868</v>
      </c>
      <c r="H6" s="201">
        <f>'SER_se-appl'!H70</f>
        <v>122.71702988163841</v>
      </c>
      <c r="I6" s="201">
        <f>'SER_se-appl'!I70</f>
        <v>128.1401362791706</v>
      </c>
      <c r="J6" s="201">
        <f>'SER_se-appl'!J70</f>
        <v>136.31946736088935</v>
      </c>
      <c r="K6" s="201">
        <f>'SER_se-appl'!K70</f>
        <v>144.51433084997049</v>
      </c>
      <c r="L6" s="201">
        <f>'SER_se-appl'!L70</f>
        <v>150.70637318186428</v>
      </c>
      <c r="M6" s="201">
        <f>'SER_se-appl'!M70</f>
        <v>155.29356413232114</v>
      </c>
      <c r="N6" s="201">
        <f>'SER_se-appl'!N70</f>
        <v>165.78815717297419</v>
      </c>
      <c r="O6" s="201">
        <f>'SER_se-appl'!O70</f>
        <v>177.9990379490844</v>
      </c>
      <c r="P6" s="201">
        <f>'SER_se-appl'!P70</f>
        <v>190.36495266588608</v>
      </c>
      <c r="Q6" s="201">
        <f>'SER_se-appl'!Q70</f>
        <v>203.4177786593315</v>
      </c>
      <c r="R6" s="201">
        <f>'SER_se-appl'!R70</f>
        <v>210.29638613752522</v>
      </c>
      <c r="S6" s="201">
        <f>'SER_se-appl'!S70</f>
        <v>217.28520538146029</v>
      </c>
      <c r="T6" s="201">
        <f>'SER_se-appl'!T70</f>
        <v>223.90780909808635</v>
      </c>
      <c r="U6" s="201">
        <f>'SER_se-appl'!U70</f>
        <v>229.87283619812635</v>
      </c>
      <c r="V6" s="201">
        <f>'SER_se-appl'!V70</f>
        <v>234.6373014110132</v>
      </c>
      <c r="W6" s="201">
        <f>'SER_se-appl'!W70</f>
        <v>237.08240833848683</v>
      </c>
      <c r="X6" s="201">
        <f>'SER_se-appl'!X70</f>
        <v>238.31450025478708</v>
      </c>
      <c r="Y6" s="201">
        <f>'SER_se-appl'!Y70</f>
        <v>238.93294528094319</v>
      </c>
      <c r="DA6" s="206" t="s">
        <v>960</v>
      </c>
    </row>
    <row r="7" spans="1:105" ht="12.95" customHeight="1" x14ac:dyDescent="0.25">
      <c r="A7" s="5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DA7" s="106"/>
    </row>
    <row r="8" spans="1:105" ht="12.95" customHeight="1" x14ac:dyDescent="0.25">
      <c r="A8" s="199" t="str">
        <f>"Stock of appliances "&amp;MID('SER_se-appl'!A22,FIND("(",'SER_se-appl'!A22),1000)</f>
        <v>Stock of appliances (million units)</v>
      </c>
      <c r="B8" s="34">
        <f>'SER_se-appl'!B22</f>
        <v>3.5111995060388921</v>
      </c>
      <c r="C8" s="34">
        <f>'SER_se-appl'!C22</f>
        <v>3.8598382890311482</v>
      </c>
      <c r="D8" s="34">
        <f>'SER_se-appl'!D22</f>
        <v>4.1075247760555671</v>
      </c>
      <c r="E8" s="34">
        <f>'SER_se-appl'!E22</f>
        <v>4.5594743940752283</v>
      </c>
      <c r="F8" s="34">
        <f>'SER_se-appl'!F22</f>
        <v>5.0137977592719043</v>
      </c>
      <c r="G8" s="34">
        <f>'SER_se-appl'!G22</f>
        <v>5.5276876875959129</v>
      </c>
      <c r="H8" s="34">
        <f>'SER_se-appl'!H22</f>
        <v>5.971591743800003</v>
      </c>
      <c r="I8" s="34">
        <f>'SER_se-appl'!I22</f>
        <v>6.4073859592622187</v>
      </c>
      <c r="J8" s="34">
        <f>'SER_se-appl'!J22</f>
        <v>7.024829919341065</v>
      </c>
      <c r="K8" s="34">
        <f>'SER_se-appl'!K22</f>
        <v>7.6109227244911573</v>
      </c>
      <c r="L8" s="34">
        <f>'SER_se-appl'!L22</f>
        <v>8.2573599128967654</v>
      </c>
      <c r="M8" s="34">
        <f>'SER_se-appl'!M22</f>
        <v>8.8456738788237423</v>
      </c>
      <c r="N8" s="34">
        <f>'SER_se-appl'!N22</f>
        <v>9.6854288337613195</v>
      </c>
      <c r="O8" s="34">
        <f>'SER_se-appl'!O22</f>
        <v>10.888333351690155</v>
      </c>
      <c r="P8" s="34">
        <f>'SER_se-appl'!P22</f>
        <v>12.131169953674005</v>
      </c>
      <c r="Q8" s="34">
        <f>'SER_se-appl'!Q22</f>
        <v>13.628044948037584</v>
      </c>
      <c r="R8" s="34">
        <f>'SER_se-appl'!R22</f>
        <v>14.639757747196732</v>
      </c>
      <c r="S8" s="34">
        <f>'SER_se-appl'!S22</f>
        <v>15.772611887694259</v>
      </c>
      <c r="T8" s="34">
        <f>'SER_se-appl'!T22</f>
        <v>16.714950481835029</v>
      </c>
      <c r="U8" s="34">
        <f>'SER_se-appl'!U22</f>
        <v>17.563504977884556</v>
      </c>
      <c r="V8" s="34">
        <f>'SER_se-appl'!V22</f>
        <v>18.287515256864225</v>
      </c>
      <c r="W8" s="34">
        <f>'SER_se-appl'!W22</f>
        <v>18.802788093397975</v>
      </c>
      <c r="X8" s="34">
        <f>'SER_se-appl'!X22</f>
        <v>19.204664848755197</v>
      </c>
      <c r="Y8" s="34">
        <f>'SER_se-appl'!Y22</f>
        <v>19.548211325414176</v>
      </c>
      <c r="DA8" s="88" t="s">
        <v>924</v>
      </c>
    </row>
    <row r="9" spans="1:105" ht="12.95" customHeight="1" x14ac:dyDescent="0.25">
      <c r="A9" s="202" t="str">
        <f>"Number of new appliances "&amp;MID('SER_se-appl'!A30,FIND("(",'SER_se-appl'!A30),100)</f>
        <v>Number of new appliances (million units)</v>
      </c>
      <c r="B9" s="36"/>
      <c r="C9" s="36">
        <f>'SER_se-appl'!C30</f>
        <v>0.8969691064851566</v>
      </c>
      <c r="D9" s="36">
        <f>'SER_se-appl'!D30</f>
        <v>0.81026152871998436</v>
      </c>
      <c r="E9" s="36">
        <f>'SER_se-appl'!E30</f>
        <v>1.0291394322227143</v>
      </c>
      <c r="F9" s="36">
        <f>'SER_se-appl'!F30</f>
        <v>1.0465076196130609</v>
      </c>
      <c r="G9" s="36">
        <f>'SER_se-appl'!G30</f>
        <v>1.1214581538009067</v>
      </c>
      <c r="H9" s="36">
        <f>'SER_se-appl'!H30</f>
        <v>1.0672559029581796</v>
      </c>
      <c r="I9" s="36">
        <f>'SER_se-appl'!I30</f>
        <v>1.3327633219473727</v>
      </c>
      <c r="J9" s="36">
        <f>'SER_se-appl'!J30</f>
        <v>1.4277054887988312</v>
      </c>
      <c r="K9" s="36">
        <f>'SER_se-appl'!K30</f>
        <v>1.6152322373728065</v>
      </c>
      <c r="L9" s="36">
        <f>'SER_se-appl'!L30</f>
        <v>1.6929448080186695</v>
      </c>
      <c r="M9" s="36">
        <f>'SER_se-appl'!M30</f>
        <v>1.7097721197278837</v>
      </c>
      <c r="N9" s="36">
        <f>'SER_se-appl'!N30</f>
        <v>1.9070108578957568</v>
      </c>
      <c r="O9" s="36">
        <f>'SER_se-appl'!O30</f>
        <v>2.5356678398762096</v>
      </c>
      <c r="P9" s="36">
        <f>'SER_se-appl'!P30</f>
        <v>2.6705420907826802</v>
      </c>
      <c r="Q9" s="36">
        <f>'SER_se-appl'!Q30</f>
        <v>3.1121072317363847</v>
      </c>
      <c r="R9" s="36">
        <f>'SER_se-appl'!R30</f>
        <v>2.7046576071778183</v>
      </c>
      <c r="S9" s="36">
        <f>'SER_se-appl'!S30</f>
        <v>2.8426262602254102</v>
      </c>
      <c r="T9" s="36">
        <f>'SER_se-appl'!T30</f>
        <v>2.8493494520365275</v>
      </c>
      <c r="U9" s="36">
        <f>'SER_se-appl'!U30</f>
        <v>3.3842223359257364</v>
      </c>
      <c r="V9" s="36">
        <f>'SER_se-appl'!V30</f>
        <v>3.3945523697623496</v>
      </c>
      <c r="W9" s="36">
        <f>'SER_se-appl'!W30</f>
        <v>3.6273800682701349</v>
      </c>
      <c r="X9" s="36">
        <f>'SER_se-appl'!X30</f>
        <v>3.1065343625350401</v>
      </c>
      <c r="Y9" s="36">
        <f>'SER_se-appl'!Y30</f>
        <v>3.1861727368843908</v>
      </c>
      <c r="DA9" s="89" t="s">
        <v>930</v>
      </c>
    </row>
    <row r="10" spans="1:105" ht="12" customHeight="1" x14ac:dyDescent="0.25">
      <c r="A10" s="203" t="str">
        <f>"Number of replaced appliances "&amp;MID('SER_se-appl'!A38,FIND("(",'SER_se-appl'!A38),100)</f>
        <v>Number of replaced appliances (million units)</v>
      </c>
      <c r="B10" s="38"/>
      <c r="C10" s="38">
        <f>'SER_se-appl'!C38</f>
        <v>0.5483303234929009</v>
      </c>
      <c r="D10" s="38">
        <f>'SER_se-appl'!D38</f>
        <v>0.56257504169556594</v>
      </c>
      <c r="E10" s="38">
        <f>'SER_se-appl'!E38</f>
        <v>0.57718981420305315</v>
      </c>
      <c r="F10" s="38">
        <f>'SER_se-appl'!F38</f>
        <v>0.59218425441638445</v>
      </c>
      <c r="G10" s="38">
        <f>'SER_se-appl'!G38</f>
        <v>0.60756822547689815</v>
      </c>
      <c r="H10" s="38">
        <f>'SER_se-appl'!H38</f>
        <v>0.6233518467540895</v>
      </c>
      <c r="I10" s="38">
        <f>'SER_se-appl'!I38</f>
        <v>0.89696910648515704</v>
      </c>
      <c r="J10" s="38">
        <f>'SER_se-appl'!J38</f>
        <v>0.8102615287199848</v>
      </c>
      <c r="K10" s="38">
        <f>'SER_se-appl'!K38</f>
        <v>1.0291394322227134</v>
      </c>
      <c r="L10" s="38">
        <f>'SER_se-appl'!L38</f>
        <v>1.0465076196130614</v>
      </c>
      <c r="M10" s="38">
        <f>'SER_se-appl'!M38</f>
        <v>1.1214581538009067</v>
      </c>
      <c r="N10" s="38">
        <f>'SER_se-appl'!N38</f>
        <v>1.0672559029581787</v>
      </c>
      <c r="O10" s="38">
        <f>'SER_se-appl'!O38</f>
        <v>1.3327633219473736</v>
      </c>
      <c r="P10" s="38">
        <f>'SER_se-appl'!P38</f>
        <v>1.4277054887988303</v>
      </c>
      <c r="Q10" s="38">
        <f>'SER_se-appl'!Q38</f>
        <v>1.6152322373728065</v>
      </c>
      <c r="R10" s="38">
        <f>'SER_se-appl'!R38</f>
        <v>1.6929448080186695</v>
      </c>
      <c r="S10" s="38">
        <f>'SER_se-appl'!S38</f>
        <v>1.7097721197278819</v>
      </c>
      <c r="T10" s="38">
        <f>'SER_se-appl'!T38</f>
        <v>1.9070108578957594</v>
      </c>
      <c r="U10" s="38">
        <f>'SER_se-appl'!U38</f>
        <v>2.5356678398762114</v>
      </c>
      <c r="V10" s="38">
        <f>'SER_se-appl'!V38</f>
        <v>2.670542090782682</v>
      </c>
      <c r="W10" s="38">
        <f>'SER_se-appl'!W38</f>
        <v>3.1121072317363847</v>
      </c>
      <c r="X10" s="38">
        <f>'SER_se-appl'!X38</f>
        <v>2.7046576071778183</v>
      </c>
      <c r="Y10" s="38">
        <f>'SER_se-appl'!Y38</f>
        <v>2.842626260225412</v>
      </c>
      <c r="DA10" s="90" t="s">
        <v>936</v>
      </c>
    </row>
    <row r="11" spans="1:105" ht="12.95" customHeight="1" x14ac:dyDescent="0.25">
      <c r="A11" s="5"/>
      <c r="B11" s="177"/>
      <c r="C11" s="177"/>
      <c r="D11" s="177"/>
      <c r="E11" s="177"/>
      <c r="F11" s="177"/>
      <c r="G11" s="177"/>
      <c r="H11" s="177"/>
      <c r="I11" s="177"/>
      <c r="J11" s="177"/>
      <c r="K11" s="177"/>
      <c r="L11" s="177"/>
      <c r="M11" s="177"/>
      <c r="N11" s="177"/>
      <c r="O11" s="177"/>
      <c r="P11" s="177"/>
      <c r="Q11" s="177"/>
      <c r="R11" s="177"/>
      <c r="S11" s="177"/>
      <c r="T11" s="177"/>
      <c r="U11" s="177"/>
      <c r="V11" s="177"/>
      <c r="W11" s="177"/>
      <c r="X11" s="177"/>
      <c r="Y11" s="177"/>
      <c r="DA11" s="207"/>
    </row>
    <row r="12" spans="1:105" ht="12" customHeight="1" x14ac:dyDescent="0.25">
      <c r="A12" s="197" t="s">
        <v>104</v>
      </c>
      <c r="B12" s="204">
        <f>'SER_se-appl'!B46</f>
        <v>2029.3140684692357</v>
      </c>
      <c r="C12" s="204">
        <f>'SER_se-appl'!C46</f>
        <v>2042.6605227581106</v>
      </c>
      <c r="D12" s="204">
        <f>'SER_se-appl'!D46</f>
        <v>2054.6452056188909</v>
      </c>
      <c r="E12" s="204">
        <f>'SER_se-appl'!E46</f>
        <v>2067.184777540107</v>
      </c>
      <c r="F12" s="204">
        <f>'SER_se-appl'!F46</f>
        <v>2085.3721850391985</v>
      </c>
      <c r="G12" s="204">
        <f>'SER_se-appl'!G46</f>
        <v>2094.1780275561755</v>
      </c>
      <c r="H12" s="204">
        <f>'SER_se-appl'!H46</f>
        <v>2109.777886914304</v>
      </c>
      <c r="I12" s="204">
        <f>'SER_se-appl'!I46</f>
        <v>2117.8434098966404</v>
      </c>
      <c r="J12" s="204">
        <f>'SER_se-appl'!J46</f>
        <v>2127.0377770772743</v>
      </c>
      <c r="K12" s="204">
        <f>'SER_se-appl'!K46</f>
        <v>2131.3345059592662</v>
      </c>
      <c r="L12" s="204">
        <f>'SER_se-appl'!L46</f>
        <v>2132.8272774186098</v>
      </c>
      <c r="M12" s="204">
        <f>'SER_se-appl'!M46</f>
        <v>2139.8996990640653</v>
      </c>
      <c r="N12" s="204">
        <f>'SER_se-appl'!N46</f>
        <v>2146.9173180216953</v>
      </c>
      <c r="O12" s="204">
        <f>'SER_se-appl'!O46</f>
        <v>2154.6080130388809</v>
      </c>
      <c r="P12" s="204">
        <f>'SER_se-appl'!P46</f>
        <v>2164.4998153967958</v>
      </c>
      <c r="Q12" s="204">
        <f>'SER_se-appl'!Q46</f>
        <v>2173.0332828299429</v>
      </c>
      <c r="R12" s="204">
        <f>'SER_se-appl'!R46</f>
        <v>2165.9820603693943</v>
      </c>
      <c r="S12" s="204">
        <f>'SER_se-appl'!S46</f>
        <v>2189.1324300310057</v>
      </c>
      <c r="T12" s="204">
        <f>'SER_se-appl'!T46</f>
        <v>2190.100893841272</v>
      </c>
      <c r="U12" s="204">
        <f>'SER_se-appl'!U46</f>
        <v>2153.5188864106585</v>
      </c>
      <c r="V12" s="204">
        <f>'SER_se-appl'!V46</f>
        <v>2083.0710684567671</v>
      </c>
      <c r="W12" s="204">
        <f>'SER_se-appl'!W46</f>
        <v>2155.4845803946118</v>
      </c>
      <c r="X12" s="204">
        <f>'SER_se-appl'!X46</f>
        <v>2154.9918279942294</v>
      </c>
      <c r="Y12" s="204">
        <f>'SER_se-appl'!Y46</f>
        <v>2154.7454517940382</v>
      </c>
      <c r="DA12" s="208" t="s">
        <v>942</v>
      </c>
    </row>
    <row r="13" spans="1:105" ht="12.95" customHeight="1" x14ac:dyDescent="0.25">
      <c r="A13" s="4"/>
      <c r="B13" s="29"/>
      <c r="C13" s="29"/>
      <c r="D13" s="29"/>
      <c r="E13" s="29"/>
      <c r="F13" s="29"/>
      <c r="G13" s="29"/>
      <c r="H13" s="29"/>
      <c r="I13" s="29"/>
      <c r="J13" s="29"/>
      <c r="K13" s="29"/>
      <c r="L13" s="29"/>
      <c r="M13" s="29"/>
      <c r="N13" s="29"/>
      <c r="O13" s="29"/>
      <c r="P13" s="29"/>
      <c r="Q13" s="29"/>
      <c r="R13" s="29"/>
      <c r="S13" s="29"/>
      <c r="T13" s="29"/>
      <c r="U13" s="29"/>
      <c r="V13" s="29"/>
      <c r="W13" s="29"/>
      <c r="X13" s="29"/>
      <c r="Y13" s="29"/>
      <c r="DA13" s="209"/>
    </row>
    <row r="14" spans="1:105" ht="12.95" customHeight="1" x14ac:dyDescent="0.25">
      <c r="A14" s="199" t="str">
        <f>"W per appliance in average operating mode "&amp;MID('SER_se-appl'!A54,FIND("(",'SER_se-appl'!A54),100)</f>
        <v>W per appliance in average operating mode (W per appliance)</v>
      </c>
      <c r="B14" s="59">
        <f>'SER_se-appl'!B54</f>
        <v>46.492067187278934</v>
      </c>
      <c r="C14" s="59">
        <f>'SER_se-appl'!C54</f>
        <v>45.985749445041662</v>
      </c>
      <c r="D14" s="59">
        <f>'SER_se-appl'!D54</f>
        <v>45.358070669925475</v>
      </c>
      <c r="E14" s="59">
        <f>'SER_se-appl'!E54</f>
        <v>44.541554965484735</v>
      </c>
      <c r="F14" s="59">
        <f>'SER_se-appl'!F54</f>
        <v>43.704658792552422</v>
      </c>
      <c r="G14" s="59">
        <f>'SER_se-appl'!G54</f>
        <v>42.833353218362639</v>
      </c>
      <c r="H14" s="59">
        <f>'SER_se-appl'!H54</f>
        <v>41.953988179423867</v>
      </c>
      <c r="I14" s="59">
        <f>'SER_se-appl'!I54</f>
        <v>41.032644395223485</v>
      </c>
      <c r="J14" s="59">
        <f>'SER_se-appl'!J54</f>
        <v>40.169064422590026</v>
      </c>
      <c r="K14" s="59">
        <f>'SER_se-appl'!K54</f>
        <v>39.111429622654683</v>
      </c>
      <c r="L14" s="59">
        <f>'SER_se-appl'!L54</f>
        <v>37.969531914749858</v>
      </c>
      <c r="M14" s="59">
        <f>'SER_se-appl'!M54</f>
        <v>36.706796730374329</v>
      </c>
      <c r="N14" s="59">
        <f>'SER_se-appl'!N54</f>
        <v>35.373469047395915</v>
      </c>
      <c r="O14" s="59">
        <f>'SER_se-appl'!O54</f>
        <v>33.737180886355205</v>
      </c>
      <c r="P14" s="59">
        <f>'SER_se-appl'!P54</f>
        <v>32.117780189046066</v>
      </c>
      <c r="Q14" s="59">
        <f>'SER_se-appl'!Q54</f>
        <v>30.363109560210592</v>
      </c>
      <c r="R14" s="59">
        <f>'SER_se-appl'!R54</f>
        <v>28.558008612458977</v>
      </c>
      <c r="S14" s="59">
        <f>'SER_se-appl'!S54</f>
        <v>26.893256303642691</v>
      </c>
      <c r="T14" s="59">
        <f>'SER_se-appl'!T54</f>
        <v>25.133777256006301</v>
      </c>
      <c r="U14" s="59">
        <f>'SER_se-appl'!U54</f>
        <v>22.992585025400711</v>
      </c>
      <c r="V14" s="59">
        <f>'SER_se-appl'!V54</f>
        <v>20.954090586943586</v>
      </c>
      <c r="W14" s="59">
        <f>'SER_se-appl'!W54</f>
        <v>18.9687653667551</v>
      </c>
      <c r="X14" s="59">
        <f>'SER_se-appl'!X54</f>
        <v>17.650859568760634</v>
      </c>
      <c r="Y14" s="59">
        <f>'SER_se-appl'!Y54</f>
        <v>16.391004365413202</v>
      </c>
      <c r="DA14" s="104" t="s">
        <v>948</v>
      </c>
    </row>
    <row r="15" spans="1:105" ht="12" customHeight="1" x14ac:dyDescent="0.25">
      <c r="A15" s="203" t="str">
        <f>"W per new appliance in average operating mode "&amp;MID('SER_se-appl'!A54,FIND("(",'SER_se-appl'!A54),100)</f>
        <v>W per new appliance in average operating mode (W per appliance)</v>
      </c>
      <c r="B15" s="63"/>
      <c r="C15" s="63">
        <f>'SER_se-appl'!C62</f>
        <v>44.313280210365832</v>
      </c>
      <c r="D15" s="63">
        <f>'SER_se-appl'!D62</f>
        <v>43.155349242200266</v>
      </c>
      <c r="E15" s="63">
        <f>'SER_se-appl'!E62</f>
        <v>42.376597886424491</v>
      </c>
      <c r="F15" s="63">
        <f>'SER_se-appl'!F62</f>
        <v>41.635732328548336</v>
      </c>
      <c r="G15" s="63">
        <f>'SER_se-appl'!G62</f>
        <v>40.920101640834133</v>
      </c>
      <c r="H15" s="63">
        <f>'SER_se-appl'!H62</f>
        <v>40.050006798061283</v>
      </c>
      <c r="I15" s="63">
        <f>'SER_se-appl'!I62</f>
        <v>39.112378495812607</v>
      </c>
      <c r="J15" s="63">
        <f>'SER_se-appl'!J62</f>
        <v>37.98820953854765</v>
      </c>
      <c r="K15" s="63">
        <f>'SER_se-appl'!K62</f>
        <v>36.592045054245304</v>
      </c>
      <c r="L15" s="63">
        <f>'SER_se-appl'!L62</f>
        <v>35.102227249484585</v>
      </c>
      <c r="M15" s="63">
        <f>'SER_se-appl'!M62</f>
        <v>33.371958315363955</v>
      </c>
      <c r="N15" s="63">
        <f>'SER_se-appl'!N62</f>
        <v>31.806043456050773</v>
      </c>
      <c r="O15" s="63">
        <f>'SER_se-appl'!O62</f>
        <v>30.312329185903018</v>
      </c>
      <c r="P15" s="63">
        <f>'SER_se-appl'!P62</f>
        <v>28.653565769695412</v>
      </c>
      <c r="Q15" s="63">
        <f>'SER_se-appl'!Q62</f>
        <v>26.756218999958389</v>
      </c>
      <c r="R15" s="63">
        <f>'SER_se-appl'!R62</f>
        <v>23.558856094325183</v>
      </c>
      <c r="S15" s="63">
        <f>'SER_se-appl'!S62</f>
        <v>22.216430994417291</v>
      </c>
      <c r="T15" s="63">
        <f>'SER_se-appl'!T62</f>
        <v>19.859767765207472</v>
      </c>
      <c r="U15" s="63">
        <f>'SER_se-appl'!U62</f>
        <v>17.90146495924763</v>
      </c>
      <c r="V15" s="63">
        <f>'SER_se-appl'!V62</f>
        <v>16.464151117892687</v>
      </c>
      <c r="W15" s="63">
        <f>'SER_se-appl'!W62</f>
        <v>15.640943561998052</v>
      </c>
      <c r="X15" s="63">
        <f>'SER_se-appl'!X62</f>
        <v>14.817736006103416</v>
      </c>
      <c r="Y15" s="63">
        <f>'SER_se-appl'!Y62</f>
        <v>13.994528450208781</v>
      </c>
      <c r="DA15" s="105" t="s">
        <v>954</v>
      </c>
    </row>
    <row r="16" spans="1:105" ht="12.95" customHeight="1" x14ac:dyDescent="0.25">
      <c r="A16" s="203" t="s">
        <v>109</v>
      </c>
      <c r="B16" s="63">
        <v>0</v>
      </c>
      <c r="C16" s="63">
        <v>0</v>
      </c>
      <c r="D16" s="63">
        <v>0</v>
      </c>
      <c r="E16" s="63">
        <v>0</v>
      </c>
      <c r="F16" s="63">
        <v>0</v>
      </c>
      <c r="G16" s="63">
        <v>0</v>
      </c>
      <c r="H16" s="63">
        <v>0</v>
      </c>
      <c r="I16" s="63">
        <v>0</v>
      </c>
      <c r="J16" s="63">
        <v>0</v>
      </c>
      <c r="K16" s="63">
        <v>0</v>
      </c>
      <c r="L16" s="63">
        <v>0</v>
      </c>
      <c r="M16" s="63">
        <v>0</v>
      </c>
      <c r="N16" s="63">
        <v>0</v>
      </c>
      <c r="O16" s="63">
        <v>0</v>
      </c>
      <c r="P16" s="63">
        <v>0</v>
      </c>
      <c r="Q16" s="63">
        <v>0</v>
      </c>
      <c r="R16" s="63">
        <v>0</v>
      </c>
      <c r="S16" s="63">
        <v>0</v>
      </c>
      <c r="T16" s="63">
        <v>0</v>
      </c>
      <c r="U16" s="63">
        <v>0</v>
      </c>
      <c r="V16" s="63">
        <v>0</v>
      </c>
      <c r="W16" s="63">
        <v>0</v>
      </c>
      <c r="X16" s="63">
        <v>0</v>
      </c>
      <c r="Y16" s="63">
        <v>0</v>
      </c>
      <c r="DA16" s="105" t="s">
        <v>964</v>
      </c>
    </row>
  </sheetData>
  <pageMargins left="0.39370078740157483" right="0.39370078740157483" top="0.39370078740157483" bottom="0.39370078740157483" header="0.31496062992125984" footer="0.31496062992125984"/>
  <pageSetup paperSize="9" scale="60" orientation="landscape" horizontalDpi="1200" verticalDpi="1200" r:id="rId1"/>
  <headerFooter alignWithMargins="0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7">
    <tabColor theme="8" tint="0.59999389629810485"/>
    <pageSetUpPr fitToPage="1"/>
  </sheetPr>
  <dimension ref="A1:DA15"/>
  <sheetViews>
    <sheetView showGridLines="0" zoomScaleNormal="100" workbookViewId="0">
      <pane xSplit="1" ySplit="1" topLeftCell="I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61.7109375" style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12.95" customHeight="1" x14ac:dyDescent="0.25">
      <c r="A1" s="28" t="s">
        <v>970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X1" s="27">
        <v>2022</v>
      </c>
      <c r="Y1" s="27">
        <v>2023</v>
      </c>
      <c r="DA1" s="87" t="s">
        <v>150</v>
      </c>
    </row>
    <row r="2" spans="1:105" s="2" customFormat="1" ht="12" customHeight="1" x14ac:dyDescent="0.25">
      <c r="DA2" s="7"/>
    </row>
    <row r="3" spans="1:105" ht="12.95" customHeight="1" x14ac:dyDescent="0.25">
      <c r="A3" s="197" t="s">
        <v>81</v>
      </c>
      <c r="B3" s="198">
        <f>'SER_se-appl'!B7</f>
        <v>79.306547753852286</v>
      </c>
      <c r="C3" s="198">
        <f>'SER_se-appl'!C7</f>
        <v>83.715961319591486</v>
      </c>
      <c r="D3" s="198">
        <f>'SER_se-appl'!D7</f>
        <v>86.769904082625587</v>
      </c>
      <c r="E3" s="198">
        <f>'SER_se-appl'!E7</f>
        <v>93.305937404187929</v>
      </c>
      <c r="F3" s="198">
        <f>'SER_se-appl'!F7</f>
        <v>99.498830539179963</v>
      </c>
      <c r="G3" s="198">
        <f>'SER_se-appl'!G7</f>
        <v>108.35782654764655</v>
      </c>
      <c r="H3" s="198">
        <f>'SER_se-appl'!H7</f>
        <v>115.83017875176797</v>
      </c>
      <c r="I3" s="198">
        <f>'SER_se-appl'!I7</f>
        <v>125.02351296949975</v>
      </c>
      <c r="J3" s="198">
        <f>'SER_se-appl'!J7</f>
        <v>133.16253416382497</v>
      </c>
      <c r="K3" s="198">
        <f>'SER_se-appl'!K7</f>
        <v>137.33005051304855</v>
      </c>
      <c r="L3" s="198">
        <f>'SER_se-appl'!L7</f>
        <v>140.26064156217265</v>
      </c>
      <c r="M3" s="198">
        <f>'SER_se-appl'!M7</f>
        <v>140.45486385339447</v>
      </c>
      <c r="N3" s="198">
        <f>'SER_se-appl'!N7</f>
        <v>140.86983137902095</v>
      </c>
      <c r="O3" s="198">
        <f>'SER_se-appl'!O7</f>
        <v>141.92644475291425</v>
      </c>
      <c r="P3" s="198">
        <f>'SER_se-appl'!P7</f>
        <v>143.36274490817809</v>
      </c>
      <c r="Q3" s="198">
        <f>'SER_se-appl'!Q7</f>
        <v>145.82368116661232</v>
      </c>
      <c r="R3" s="198">
        <f>'SER_se-appl'!R7</f>
        <v>150.74840729905878</v>
      </c>
      <c r="S3" s="198">
        <f>'SER_se-appl'!S7</f>
        <v>152.29301678376024</v>
      </c>
      <c r="T3" s="198">
        <f>'SER_se-appl'!T7</f>
        <v>153.96941990561155</v>
      </c>
      <c r="U3" s="198">
        <f>'SER_se-appl'!U7</f>
        <v>158.21857678413582</v>
      </c>
      <c r="V3" s="198">
        <f>'SER_se-appl'!V7</f>
        <v>166.39588860904658</v>
      </c>
      <c r="W3" s="198">
        <f>'SER_se-appl'!W7</f>
        <v>170.55703796983678</v>
      </c>
      <c r="X3" s="198">
        <f>'SER_se-appl'!X7</f>
        <v>172.41015621844454</v>
      </c>
      <c r="Y3" s="198">
        <f>'SER_se-appl'!Y7</f>
        <v>173.37755864495415</v>
      </c>
      <c r="DA3" s="205" t="s">
        <v>912</v>
      </c>
    </row>
    <row r="4" spans="1:105" ht="12" customHeight="1" x14ac:dyDescent="0.25">
      <c r="A4" s="5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DA4" s="106"/>
    </row>
    <row r="5" spans="1:105" ht="12.95" customHeight="1" x14ac:dyDescent="0.25">
      <c r="A5" s="199" t="s">
        <v>108</v>
      </c>
      <c r="B5" s="59">
        <f>'SER_se-appl'!B15</f>
        <v>105.28940072800248</v>
      </c>
      <c r="C5" s="59">
        <f>'SER_se-appl'!C15</f>
        <v>111.14345093000561</v>
      </c>
      <c r="D5" s="59">
        <f>'SER_se-appl'!D15</f>
        <v>115.19794343389677</v>
      </c>
      <c r="E5" s="59">
        <f>'SER_se-appl'!E15</f>
        <v>123.87534840304862</v>
      </c>
      <c r="F5" s="59">
        <f>'SER_se-appl'!F15</f>
        <v>132.09719168614873</v>
      </c>
      <c r="G5" s="59">
        <f>'SER_se-appl'!G15</f>
        <v>143.8586213183938</v>
      </c>
      <c r="H5" s="59">
        <f>'SER_se-appl'!H15</f>
        <v>153.77910717843176</v>
      </c>
      <c r="I5" s="59">
        <f>'SER_se-appl'!I15</f>
        <v>165.98441276658482</v>
      </c>
      <c r="J5" s="59">
        <f>'SER_se-appl'!J15</f>
        <v>176.7899854252608</v>
      </c>
      <c r="K5" s="59">
        <f>'SER_se-appl'!K15</f>
        <v>182.32288669711818</v>
      </c>
      <c r="L5" s="59">
        <f>'SER_se-appl'!L15</f>
        <v>186.21361431142336</v>
      </c>
      <c r="M5" s="59">
        <f>'SER_se-appl'!M15</f>
        <v>186.47146879166417</v>
      </c>
      <c r="N5" s="59">
        <f>'SER_se-appl'!N15</f>
        <v>187.02239028972767</v>
      </c>
      <c r="O5" s="59">
        <f>'SER_se-appl'!O15</f>
        <v>188.42517722333247</v>
      </c>
      <c r="P5" s="59">
        <f>'SER_se-appl'!P15</f>
        <v>190.33204603677063</v>
      </c>
      <c r="Q5" s="59">
        <f>'SER_se-appl'!Q15</f>
        <v>193.59924794151837</v>
      </c>
      <c r="R5" s="59">
        <f>'SER_se-appl'!R15</f>
        <v>200.13744028402431</v>
      </c>
      <c r="S5" s="59">
        <f>'SER_se-appl'!S15</f>
        <v>202.1881033327775</v>
      </c>
      <c r="T5" s="59">
        <f>'SER_se-appl'!T15</f>
        <v>204.41373898427645</v>
      </c>
      <c r="U5" s="59">
        <f>'SER_se-appl'!U15</f>
        <v>210.05502831044515</v>
      </c>
      <c r="V5" s="59">
        <f>'SER_se-appl'!V15</f>
        <v>220.91143658940766</v>
      </c>
      <c r="W5" s="59">
        <f>'SER_se-appl'!W15</f>
        <v>226.43588488461202</v>
      </c>
      <c r="X5" s="59">
        <f>'SER_se-appl'!X15</f>
        <v>228.89613205713579</v>
      </c>
      <c r="Y5" s="59">
        <f>'SER_se-appl'!Y15</f>
        <v>230.18048025580097</v>
      </c>
      <c r="DA5" s="104" t="s">
        <v>919</v>
      </c>
    </row>
    <row r="6" spans="1:105" ht="12" customHeight="1" x14ac:dyDescent="0.25">
      <c r="A6" s="200" t="str">
        <f>"Penetration factor "&amp;MID('SER_se-appl'!A71,FIND("(",'SER_se-appl'!A71),100)</f>
        <v>Penetration factor (unit per capita)</v>
      </c>
      <c r="B6" s="201">
        <f>'SER_se-appl'!B71</f>
        <v>6.0291347091832696E-3</v>
      </c>
      <c r="C6" s="201">
        <f>'SER_se-appl'!C71</f>
        <v>6.4676971035945996E-3</v>
      </c>
      <c r="D6" s="201">
        <f>'SER_se-appl'!D71</f>
        <v>7.0000203172099476E-3</v>
      </c>
      <c r="E6" s="201">
        <f>'SER_se-appl'!E71</f>
        <v>7.7700418806485689E-3</v>
      </c>
      <c r="F6" s="201">
        <f>'SER_se-appl'!F71</f>
        <v>8.5185392251231409E-3</v>
      </c>
      <c r="G6" s="201">
        <f>'SER_se-appl'!G71</f>
        <v>9.5734684041266851E-3</v>
      </c>
      <c r="H6" s="201">
        <f>'SER_se-appl'!H71</f>
        <v>1.0529292586627754E-2</v>
      </c>
      <c r="I6" s="201">
        <f>'SER_se-appl'!I71</f>
        <v>1.1706839282767161E-2</v>
      </c>
      <c r="J6" s="201">
        <f>'SER_se-appl'!J71</f>
        <v>1.3058024199021436E-2</v>
      </c>
      <c r="K6" s="201">
        <f>'SER_se-appl'!K71</f>
        <v>1.3875267170534545E-2</v>
      </c>
      <c r="L6" s="201">
        <f>'SER_se-appl'!L71</f>
        <v>1.4562616557827207E-2</v>
      </c>
      <c r="M6" s="201">
        <f>'SER_se-appl'!M71</f>
        <v>1.4938717471140651E-2</v>
      </c>
      <c r="N6" s="201">
        <f>'SER_se-appl'!N71</f>
        <v>1.5308200887074056E-2</v>
      </c>
      <c r="O6" s="201">
        <f>'SER_se-appl'!O71</f>
        <v>1.5844863726927852E-2</v>
      </c>
      <c r="P6" s="201">
        <f>'SER_se-appl'!P71</f>
        <v>1.6461521066011377E-2</v>
      </c>
      <c r="Q6" s="201">
        <f>'SER_se-appl'!Q71</f>
        <v>1.7327521812282629E-2</v>
      </c>
      <c r="R6" s="201">
        <f>'SER_se-appl'!R71</f>
        <v>1.8536479193905473E-2</v>
      </c>
      <c r="S6" s="201">
        <f>'SER_se-appl'!S71</f>
        <v>1.9366605020340179E-2</v>
      </c>
      <c r="T6" s="201">
        <f>'SER_se-appl'!T71</f>
        <v>2.0199059267755812E-2</v>
      </c>
      <c r="U6" s="201">
        <f>'SER_se-appl'!U71</f>
        <v>2.1310017467234849E-2</v>
      </c>
      <c r="V6" s="201">
        <f>'SER_se-appl'!V71</f>
        <v>2.2965229934914819E-2</v>
      </c>
      <c r="W6" s="201">
        <f>'SER_se-appl'!W71</f>
        <v>2.4089621500021946E-2</v>
      </c>
      <c r="X6" s="201">
        <f>'SER_se-appl'!X71</f>
        <v>2.4909293000365349E-2</v>
      </c>
      <c r="Y6" s="201">
        <f>'SER_se-appl'!Y71</f>
        <v>2.5499601795859896E-2</v>
      </c>
      <c r="DA6" s="206" t="s">
        <v>961</v>
      </c>
    </row>
    <row r="7" spans="1:105" ht="12.95" customHeight="1" x14ac:dyDescent="0.25">
      <c r="A7" s="5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DA7" s="106"/>
    </row>
    <row r="8" spans="1:105" ht="12.95" customHeight="1" x14ac:dyDescent="0.25">
      <c r="A8" s="199" t="str">
        <f>"Stock of appliances "&amp;MID('SER_se-appl'!A23,FIND("(",'SER_se-appl'!A23),100)</f>
        <v>Stock of appliances (thousand units)</v>
      </c>
      <c r="B8" s="34">
        <f>'SER_se-appl'!B23</f>
        <v>135.38714402504428</v>
      </c>
      <c r="C8" s="34">
        <f>'SER_se-appl'!C23</f>
        <v>145.07340177120321</v>
      </c>
      <c r="D8" s="34">
        <f>'SER_se-appl'!D23</f>
        <v>152.834824595458</v>
      </c>
      <c r="E8" s="34">
        <f>'SER_se-appl'!E23</f>
        <v>168.04665070410385</v>
      </c>
      <c r="F8" s="34">
        <f>'SER_se-appl'!F23</f>
        <v>183.32869229644507</v>
      </c>
      <c r="G8" s="34">
        <f>'SER_se-appl'!G23</f>
        <v>204.70329042485184</v>
      </c>
      <c r="H8" s="34">
        <f>'SER_se-appl'!H23</f>
        <v>223.82134098262756</v>
      </c>
      <c r="I8" s="34">
        <f>'SER_se-appl'!I23</f>
        <v>247.37140258502933</v>
      </c>
      <c r="J8" s="34">
        <f>'SER_se-appl'!J23</f>
        <v>269.45833603793886</v>
      </c>
      <c r="K8" s="34">
        <f>'SER_se-appl'!K23</f>
        <v>283.61448479320558</v>
      </c>
      <c r="L8" s="34">
        <f>'SER_se-appl'!L23</f>
        <v>295.54368669165433</v>
      </c>
      <c r="M8" s="34">
        <f>'SER_se-appl'!M23</f>
        <v>301.74803558390079</v>
      </c>
      <c r="N8" s="34">
        <f>'SER_se-appl'!N23</f>
        <v>307.63354379383668</v>
      </c>
      <c r="O8" s="34">
        <f>'SER_se-appl'!O23</f>
        <v>317.21534433301139</v>
      </c>
      <c r="P8" s="34">
        <f>'SER_se-appl'!P23</f>
        <v>328.36308023678043</v>
      </c>
      <c r="Q8" s="34">
        <f>'SER_se-appl'!Q23</f>
        <v>344.3090693166684</v>
      </c>
      <c r="R8" s="34">
        <f>'SER_se-appl'!R23</f>
        <v>366.29167271190056</v>
      </c>
      <c r="S8" s="34">
        <f>'SER_se-appl'!S23</f>
        <v>380.43660132270645</v>
      </c>
      <c r="T8" s="34">
        <f>'SER_se-appl'!T23</f>
        <v>394.55794042458211</v>
      </c>
      <c r="U8" s="34">
        <f>'SER_se-appl'!U23</f>
        <v>413.72243909689729</v>
      </c>
      <c r="V8" s="34">
        <f>'SER_se-appl'!V23</f>
        <v>443.89120904471906</v>
      </c>
      <c r="W8" s="34">
        <f>'SER_se-appl'!W23</f>
        <v>462.56076975135443</v>
      </c>
      <c r="X8" s="34">
        <f>'SER_se-appl'!X23</f>
        <v>474.33409104127213</v>
      </c>
      <c r="Y8" s="34">
        <f>'SER_se-appl'!Y23</f>
        <v>485.88338640009857</v>
      </c>
      <c r="DA8" s="88" t="s">
        <v>925</v>
      </c>
    </row>
    <row r="9" spans="1:105" ht="12.95" customHeight="1" x14ac:dyDescent="0.25">
      <c r="A9" s="202" t="str">
        <f>"Number of new appliances "&amp;MID('SER_se-appl'!A31,FIND("(",'SER_se-appl'!A31),100)</f>
        <v>Number of new appliances (thousand units)</v>
      </c>
      <c r="B9" s="36"/>
      <c r="C9" s="36">
        <f>'SER_se-appl'!C31</f>
        <v>21.990661417624054</v>
      </c>
      <c r="D9" s="36">
        <f>'SER_se-appl'!D31</f>
        <v>20.325008733354309</v>
      </c>
      <c r="E9" s="36">
        <f>'SER_se-appl'!E31</f>
        <v>28.040053718032198</v>
      </c>
      <c r="F9" s="36">
        <f>'SER_se-appl'!F31</f>
        <v>28.380485363799238</v>
      </c>
      <c r="G9" s="36">
        <f>'SER_se-appl'!G31</f>
        <v>34.74894994521668</v>
      </c>
      <c r="H9" s="36">
        <f>'SER_se-appl'!H31</f>
        <v>32.774122198101253</v>
      </c>
      <c r="I9" s="36">
        <f>'SER_se-appl'!I31</f>
        <v>37.493787264778234</v>
      </c>
      <c r="J9" s="36">
        <f>'SER_se-appl'!J31</f>
        <v>36.324372334929109</v>
      </c>
      <c r="K9" s="36">
        <f>'SER_se-appl'!K31</f>
        <v>28.693487686581818</v>
      </c>
      <c r="L9" s="36">
        <f>'SER_se-appl'!L31</f>
        <v>26.772758029237366</v>
      </c>
      <c r="M9" s="36">
        <f>'SER_se-appl'!M31</f>
        <v>28.195010309870497</v>
      </c>
      <c r="N9" s="36">
        <f>'SER_se-appl'!N31</f>
        <v>26.210516943290202</v>
      </c>
      <c r="O9" s="36">
        <f>'SER_se-appl'!O31</f>
        <v>37.621854257206905</v>
      </c>
      <c r="P9" s="36">
        <f>'SER_se-appl'!P31</f>
        <v>39.528221267568256</v>
      </c>
      <c r="Q9" s="36">
        <f>'SER_se-appl'!Q31</f>
        <v>50.694939025104645</v>
      </c>
      <c r="R9" s="36">
        <f>'SER_se-appl'!R31</f>
        <v>54.756725593333385</v>
      </c>
      <c r="S9" s="36">
        <f>'SER_se-appl'!S31</f>
        <v>51.638715875584126</v>
      </c>
      <c r="T9" s="36">
        <f>'SER_se-appl'!T31</f>
        <v>50.445711436804743</v>
      </c>
      <c r="U9" s="36">
        <f>'SER_se-appl'!U31</f>
        <v>47.857986358896994</v>
      </c>
      <c r="V9" s="36">
        <f>'SER_se-appl'!V31</f>
        <v>56.941527977059138</v>
      </c>
      <c r="W9" s="36">
        <f>'SER_se-appl'!W31</f>
        <v>46.864571016505863</v>
      </c>
      <c r="X9" s="36">
        <f>'SER_se-appl'!X31</f>
        <v>37.983838233207905</v>
      </c>
      <c r="Y9" s="36">
        <f>'SER_se-appl'!Y31</f>
        <v>49.171149616033347</v>
      </c>
      <c r="DA9" s="89" t="s">
        <v>931</v>
      </c>
    </row>
    <row r="10" spans="1:105" ht="12" customHeight="1" x14ac:dyDescent="0.25">
      <c r="A10" s="203" t="str">
        <f>"Number of replaced appliances "&amp;MID('SER_se-appl'!A39,FIND("(",'SER_se-appl'!A39),100)</f>
        <v>Number of replaced appliances (thousand units)</v>
      </c>
      <c r="B10" s="38"/>
      <c r="C10" s="38">
        <f>'SER_se-appl'!C39</f>
        <v>12.30440367146511</v>
      </c>
      <c r="D10" s="38">
        <f>'SER_se-appl'!D39</f>
        <v>12.563585909099515</v>
      </c>
      <c r="E10" s="38">
        <f>'SER_se-appl'!E39</f>
        <v>12.828227609386346</v>
      </c>
      <c r="F10" s="38">
        <f>'SER_se-appl'!F39</f>
        <v>13.098443771458022</v>
      </c>
      <c r="G10" s="38">
        <f>'SER_se-appl'!G39</f>
        <v>13.374351816809906</v>
      </c>
      <c r="H10" s="38">
        <f>'SER_se-appl'!H39</f>
        <v>13.656071640325536</v>
      </c>
      <c r="I10" s="38">
        <f>'SER_se-appl'!I39</f>
        <v>13.943725662376494</v>
      </c>
      <c r="J10" s="38">
        <f>'SER_se-appl'!J39</f>
        <v>14.237438882019603</v>
      </c>
      <c r="K10" s="38">
        <f>'SER_se-appl'!K39</f>
        <v>14.537338931315105</v>
      </c>
      <c r="L10" s="38">
        <f>'SER_se-appl'!L39</f>
        <v>14.843556130788613</v>
      </c>
      <c r="M10" s="38">
        <f>'SER_se-appl'!M39</f>
        <v>21.99066141762404</v>
      </c>
      <c r="N10" s="38">
        <f>'SER_se-appl'!N39</f>
        <v>20.325008733354309</v>
      </c>
      <c r="O10" s="38">
        <f>'SER_se-appl'!O39</f>
        <v>28.040053718032198</v>
      </c>
      <c r="P10" s="38">
        <f>'SER_se-appl'!P39</f>
        <v>28.38048536379921</v>
      </c>
      <c r="Q10" s="38">
        <f>'SER_se-appl'!Q39</f>
        <v>34.74894994521668</v>
      </c>
      <c r="R10" s="38">
        <f>'SER_se-appl'!R39</f>
        <v>32.774122198101225</v>
      </c>
      <c r="S10" s="38">
        <f>'SER_se-appl'!S39</f>
        <v>37.493787264778234</v>
      </c>
      <c r="T10" s="38">
        <f>'SER_se-appl'!T39</f>
        <v>36.32437233492908</v>
      </c>
      <c r="U10" s="38">
        <f>'SER_se-appl'!U39</f>
        <v>28.693487686581818</v>
      </c>
      <c r="V10" s="38">
        <f>'SER_se-appl'!V39</f>
        <v>26.772758029237366</v>
      </c>
      <c r="W10" s="38">
        <f>'SER_se-appl'!W39</f>
        <v>28.195010309870497</v>
      </c>
      <c r="X10" s="38">
        <f>'SER_se-appl'!X39</f>
        <v>26.210516943290202</v>
      </c>
      <c r="Y10" s="38">
        <f>'SER_se-appl'!Y39</f>
        <v>37.621854257206849</v>
      </c>
      <c r="DA10" s="90" t="s">
        <v>937</v>
      </c>
    </row>
    <row r="11" spans="1:105" ht="12.95" customHeight="1" x14ac:dyDescent="0.25">
      <c r="A11" s="5"/>
      <c r="B11" s="177"/>
      <c r="C11" s="177"/>
      <c r="D11" s="177"/>
      <c r="E11" s="177"/>
      <c r="F11" s="177"/>
      <c r="G11" s="177"/>
      <c r="H11" s="177"/>
      <c r="I11" s="177"/>
      <c r="J11" s="177"/>
      <c r="K11" s="177"/>
      <c r="L11" s="177"/>
      <c r="M11" s="177"/>
      <c r="N11" s="177"/>
      <c r="O11" s="177"/>
      <c r="P11" s="177"/>
      <c r="Q11" s="177"/>
      <c r="R11" s="177"/>
      <c r="S11" s="177"/>
      <c r="T11" s="177"/>
      <c r="U11" s="177"/>
      <c r="V11" s="177"/>
      <c r="W11" s="177"/>
      <c r="X11" s="177"/>
      <c r="Y11" s="177"/>
      <c r="DA11" s="207"/>
    </row>
    <row r="12" spans="1:105" ht="12" customHeight="1" x14ac:dyDescent="0.25">
      <c r="A12" s="197" t="s">
        <v>104</v>
      </c>
      <c r="B12" s="204">
        <f>'SER_se-appl'!B47</f>
        <v>8760.0000000000036</v>
      </c>
      <c r="C12" s="204">
        <f>'SER_se-appl'!C47</f>
        <v>8759.9999999999982</v>
      </c>
      <c r="D12" s="204">
        <f>'SER_se-appl'!D47</f>
        <v>8759.9999999999982</v>
      </c>
      <c r="E12" s="204">
        <f>'SER_se-appl'!E47</f>
        <v>8759.9999999999982</v>
      </c>
      <c r="F12" s="204">
        <f>'SER_se-appl'!F47</f>
        <v>8760</v>
      </c>
      <c r="G12" s="204">
        <f>'SER_se-appl'!G47</f>
        <v>8759.9999999999982</v>
      </c>
      <c r="H12" s="204">
        <f>'SER_se-appl'!H47</f>
        <v>8759.9999999999964</v>
      </c>
      <c r="I12" s="204">
        <f>'SER_se-appl'!I47</f>
        <v>8759.9999999999945</v>
      </c>
      <c r="J12" s="204">
        <f>'SER_se-appl'!J47</f>
        <v>8759.9999999999982</v>
      </c>
      <c r="K12" s="204">
        <f>'SER_se-appl'!K47</f>
        <v>8759.9999999999964</v>
      </c>
      <c r="L12" s="204">
        <f>'SER_se-appl'!L47</f>
        <v>8759.9999999999964</v>
      </c>
      <c r="M12" s="204">
        <f>'SER_se-appl'!M47</f>
        <v>8759.9999999999982</v>
      </c>
      <c r="N12" s="204">
        <f>'SER_se-appl'!N47</f>
        <v>8759.9999999999964</v>
      </c>
      <c r="O12" s="204">
        <f>'SER_se-appl'!O47</f>
        <v>8760.0000000000018</v>
      </c>
      <c r="P12" s="204">
        <f>'SER_se-appl'!P47</f>
        <v>8760.0000000000018</v>
      </c>
      <c r="Q12" s="204">
        <f>'SER_se-appl'!Q47</f>
        <v>8760.0000000000018</v>
      </c>
      <c r="R12" s="204">
        <f>'SER_se-appl'!R47</f>
        <v>8760.0000000000036</v>
      </c>
      <c r="S12" s="204">
        <f>'SER_se-appl'!S47</f>
        <v>8760.0000000000036</v>
      </c>
      <c r="T12" s="204">
        <f>'SER_se-appl'!T47</f>
        <v>8760.0000000000018</v>
      </c>
      <c r="U12" s="204">
        <f>'SER_se-appl'!U47</f>
        <v>8760</v>
      </c>
      <c r="V12" s="204">
        <f>'SER_se-appl'!V47</f>
        <v>8760.0000000000018</v>
      </c>
      <c r="W12" s="204">
        <f>'SER_se-appl'!W47</f>
        <v>8760.0000000000018</v>
      </c>
      <c r="X12" s="204">
        <f>'SER_se-appl'!X47</f>
        <v>8760.0000000000018</v>
      </c>
      <c r="Y12" s="204">
        <f>'SER_se-appl'!Y47</f>
        <v>8760.0000000000018</v>
      </c>
      <c r="DA12" s="208" t="s">
        <v>943</v>
      </c>
    </row>
    <row r="13" spans="1:105" ht="12.95" customHeight="1" x14ac:dyDescent="0.25">
      <c r="A13" s="4"/>
      <c r="B13" s="29"/>
      <c r="C13" s="29"/>
      <c r="D13" s="29"/>
      <c r="E13" s="29"/>
      <c r="F13" s="29"/>
      <c r="G13" s="29"/>
      <c r="H13" s="29"/>
      <c r="I13" s="29"/>
      <c r="J13" s="29"/>
      <c r="K13" s="29"/>
      <c r="L13" s="29"/>
      <c r="M13" s="29"/>
      <c r="N13" s="29"/>
      <c r="O13" s="29"/>
      <c r="P13" s="29"/>
      <c r="Q13" s="29"/>
      <c r="R13" s="29"/>
      <c r="S13" s="29"/>
      <c r="T13" s="29"/>
      <c r="U13" s="29"/>
      <c r="V13" s="29"/>
      <c r="W13" s="29"/>
      <c r="X13" s="29"/>
      <c r="Y13" s="29"/>
      <c r="DA13" s="209"/>
    </row>
    <row r="14" spans="1:105" ht="12.95" customHeight="1" x14ac:dyDescent="0.25">
      <c r="A14" s="199" t="str">
        <f>"W per appliance in average operating mode "&amp;MID('SER_se-appl'!A55,FIND("(",'SER_se-appl'!A55),100)</f>
        <v>W per appliance in average operating mode (W per appliance)</v>
      </c>
      <c r="B14" s="59">
        <f>'SER_se-appl'!B55</f>
        <v>777.69127553592364</v>
      </c>
      <c r="C14" s="59">
        <f>'SER_se-appl'!C55</f>
        <v>766.11873419285439</v>
      </c>
      <c r="D14" s="59">
        <f>'SER_se-appl'!D55</f>
        <v>753.74145741205803</v>
      </c>
      <c r="E14" s="59">
        <f>'SER_se-appl'!E55</f>
        <v>737.14857085231665</v>
      </c>
      <c r="F14" s="59">
        <f>'SER_se-appl'!F55</f>
        <v>720.54837696952382</v>
      </c>
      <c r="G14" s="59">
        <f>'SER_se-appl'!G55</f>
        <v>702.76653110862139</v>
      </c>
      <c r="H14" s="59">
        <f>'SER_se-appl'!H55</f>
        <v>687.06186149768314</v>
      </c>
      <c r="I14" s="59">
        <f>'SER_se-appl'!I55</f>
        <v>670.99273008944829</v>
      </c>
      <c r="J14" s="59">
        <f>'SER_se-appl'!J55</f>
        <v>656.09395509801311</v>
      </c>
      <c r="K14" s="59">
        <f>'SER_se-appl'!K55</f>
        <v>642.85463709675093</v>
      </c>
      <c r="L14" s="59">
        <f>'SER_se-appl'!L55</f>
        <v>630.07136574601623</v>
      </c>
      <c r="M14" s="59">
        <f>'SER_se-appl'!M55</f>
        <v>617.97077959705871</v>
      </c>
      <c r="N14" s="59">
        <f>'SER_se-appl'!N55</f>
        <v>607.93887423103104</v>
      </c>
      <c r="O14" s="59">
        <f>'SER_se-appl'!O55</f>
        <v>593.99767567840115</v>
      </c>
      <c r="P14" s="59">
        <f>'SER_se-appl'!P55</f>
        <v>579.63899564933865</v>
      </c>
      <c r="Q14" s="59">
        <f>'SER_se-appl'!Q55</f>
        <v>562.28332389194497</v>
      </c>
      <c r="R14" s="59">
        <f>'SER_se-appl'!R55</f>
        <v>546.38817967734269</v>
      </c>
      <c r="S14" s="59">
        <f>'SER_se-appl'!S55</f>
        <v>531.46333089352481</v>
      </c>
      <c r="T14" s="59">
        <f>'SER_se-appl'!T55</f>
        <v>518.08294306359085</v>
      </c>
      <c r="U14" s="59">
        <f>'SER_se-appl'!U55</f>
        <v>507.71968948304612</v>
      </c>
      <c r="V14" s="59">
        <f>'SER_se-appl'!V55</f>
        <v>497.67022209072923</v>
      </c>
      <c r="W14" s="59">
        <f>'SER_se-appl'!W55</f>
        <v>489.52678154338662</v>
      </c>
      <c r="X14" s="59">
        <f>'SER_se-appl'!X55</f>
        <v>482.5631055837801</v>
      </c>
      <c r="Y14" s="59">
        <f>'SER_se-appl'!Y55</f>
        <v>473.73605827769518</v>
      </c>
      <c r="DA14" s="104" t="s">
        <v>949</v>
      </c>
    </row>
    <row r="15" spans="1:105" ht="12" customHeight="1" x14ac:dyDescent="0.25">
      <c r="A15" s="203" t="str">
        <f>"W per new appliance in average operating mode "&amp;MID('SER_se-appl'!A55,FIND("(",'SER_se-appl'!A55),100)</f>
        <v>W per new appliance in average operating mode (W per appliance)</v>
      </c>
      <c r="B15" s="63"/>
      <c r="C15" s="63">
        <f>'SER_se-appl'!C63</f>
        <v>701.34668962767807</v>
      </c>
      <c r="D15" s="63">
        <f>'SER_se-appl'!D63</f>
        <v>680.20062555526988</v>
      </c>
      <c r="E15" s="63">
        <f>'SER_se-appl'!E63</f>
        <v>665.25570347123312</v>
      </c>
      <c r="F15" s="63">
        <f>'SER_se-appl'!F63</f>
        <v>648.6283969879438</v>
      </c>
      <c r="G15" s="63">
        <f>'SER_se-appl'!G63</f>
        <v>637.79039053169697</v>
      </c>
      <c r="H15" s="63">
        <f>'SER_se-appl'!H63</f>
        <v>626.73512683743832</v>
      </c>
      <c r="I15" s="63">
        <f>'SER_se-appl'!I63</f>
        <v>614.74769730456444</v>
      </c>
      <c r="J15" s="63">
        <f>'SER_se-appl'!J63</f>
        <v>602.29271029030235</v>
      </c>
      <c r="K15" s="63">
        <f>'SER_se-appl'!K63</f>
        <v>586.83918498078322</v>
      </c>
      <c r="L15" s="63">
        <f>'SER_se-appl'!L63</f>
        <v>576.49763607813748</v>
      </c>
      <c r="M15" s="63">
        <f>'SER_se-appl'!M63</f>
        <v>556.15982742609526</v>
      </c>
      <c r="N15" s="63">
        <f>'SER_se-appl'!N63</f>
        <v>548.48232043693463</v>
      </c>
      <c r="O15" s="63">
        <f>'SER_se-appl'!O63</f>
        <v>533.11015608230912</v>
      </c>
      <c r="P15" s="63">
        <f>'SER_se-appl'!P63</f>
        <v>513.94312441190357</v>
      </c>
      <c r="Q15" s="63">
        <f>'SER_se-appl'!Q63</f>
        <v>501.62301700926872</v>
      </c>
      <c r="R15" s="63">
        <f>'SER_se-appl'!R63</f>
        <v>494.53077556952059</v>
      </c>
      <c r="S15" s="63">
        <f>'SER_se-appl'!S63</f>
        <v>486.06713020279852</v>
      </c>
      <c r="T15" s="63">
        <f>'SER_se-appl'!T63</f>
        <v>477.81148542017945</v>
      </c>
      <c r="U15" s="63">
        <f>'SER_se-appl'!U63</f>
        <v>469.71788753998567</v>
      </c>
      <c r="V15" s="63">
        <f>'SER_se-appl'!V63</f>
        <v>461.71644717194795</v>
      </c>
      <c r="W15" s="63">
        <f>'SER_se-appl'!W63</f>
        <v>452.48211822850897</v>
      </c>
      <c r="X15" s="63">
        <f>'SER_se-appl'!X63</f>
        <v>443.24778928507004</v>
      </c>
      <c r="Y15" s="63">
        <f>'SER_se-appl'!Y63</f>
        <v>434.01346034163106</v>
      </c>
      <c r="DA15" s="105" t="s">
        <v>955</v>
      </c>
    </row>
  </sheetData>
  <pageMargins left="0.39370078740157483" right="0.39370078740157483" top="0.39370078740157483" bottom="0.39370078740157483" header="0.31496062992125984" footer="0.31496062992125984"/>
  <pageSetup paperSize="9" scale="60" orientation="landscape" horizontalDpi="1200" verticalDpi="1200" r:id="rId1"/>
  <headerFooter alignWithMargins="0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6">
    <tabColor theme="8" tint="0.59999389629810485"/>
    <pageSetUpPr fitToPage="1"/>
  </sheetPr>
  <dimension ref="A1:DA15"/>
  <sheetViews>
    <sheetView showGridLines="0" zoomScaleNormal="100" workbookViewId="0">
      <pane xSplit="1" ySplit="1" topLeftCell="I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61.7109375" style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12.95" customHeight="1" x14ac:dyDescent="0.25">
      <c r="A1" s="28" t="s">
        <v>971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X1" s="27">
        <v>2022</v>
      </c>
      <c r="Y1" s="27">
        <v>2023</v>
      </c>
      <c r="DA1" s="87" t="s">
        <v>150</v>
      </c>
    </row>
    <row r="2" spans="1:105" s="2" customFormat="1" ht="12" customHeight="1" x14ac:dyDescent="0.25">
      <c r="DA2" s="7"/>
    </row>
    <row r="3" spans="1:105" ht="12.95" customHeight="1" x14ac:dyDescent="0.25">
      <c r="A3" s="197" t="s">
        <v>81</v>
      </c>
      <c r="B3" s="198">
        <f>'SER_se-appl'!B8</f>
        <v>6.6917028131736602</v>
      </c>
      <c r="C3" s="198">
        <f>'SER_se-appl'!C8</f>
        <v>7.586816934017822</v>
      </c>
      <c r="D3" s="198">
        <f>'SER_se-appl'!D8</f>
        <v>8.3293091301790732</v>
      </c>
      <c r="E3" s="198">
        <f>'SER_se-appl'!E8</f>
        <v>9.5653599601461519</v>
      </c>
      <c r="F3" s="198">
        <f>'SER_se-appl'!F8</f>
        <v>11.012269569873103</v>
      </c>
      <c r="G3" s="198">
        <f>'SER_se-appl'!G8</f>
        <v>12.783501038283266</v>
      </c>
      <c r="H3" s="198">
        <f>'SER_se-appl'!H8</f>
        <v>14.815437623167588</v>
      </c>
      <c r="I3" s="198">
        <f>'SER_se-appl'!I8</f>
        <v>16.436797451795925</v>
      </c>
      <c r="J3" s="198">
        <f>'SER_se-appl'!J8</f>
        <v>18.109711904743111</v>
      </c>
      <c r="K3" s="198">
        <f>'SER_se-appl'!K8</f>
        <v>19.348276363774811</v>
      </c>
      <c r="L3" s="198">
        <f>'SER_se-appl'!L8</f>
        <v>20.950884109754821</v>
      </c>
      <c r="M3" s="198">
        <f>'SER_se-appl'!M8</f>
        <v>22.44321988917098</v>
      </c>
      <c r="N3" s="198">
        <f>'SER_se-appl'!N8</f>
        <v>23.841056656989362</v>
      </c>
      <c r="O3" s="198">
        <f>'SER_se-appl'!O8</f>
        <v>25.394739866020483</v>
      </c>
      <c r="P3" s="198">
        <f>'SER_se-appl'!P8</f>
        <v>27.042629318324462</v>
      </c>
      <c r="Q3" s="198">
        <f>'SER_se-appl'!Q8</f>
        <v>28.715679763799486</v>
      </c>
      <c r="R3" s="198">
        <f>'SER_se-appl'!R8</f>
        <v>30.657047190483596</v>
      </c>
      <c r="S3" s="198">
        <f>'SER_se-appl'!S8</f>
        <v>33.145250128604594</v>
      </c>
      <c r="T3" s="198">
        <f>'SER_se-appl'!T8</f>
        <v>35.127436068372802</v>
      </c>
      <c r="U3" s="198">
        <f>'SER_se-appl'!U8</f>
        <v>36.509305416886669</v>
      </c>
      <c r="V3" s="198">
        <f>'SER_se-appl'!V8</f>
        <v>36.757996735949199</v>
      </c>
      <c r="W3" s="198">
        <f>'SER_se-appl'!W8</f>
        <v>39.35590135990482</v>
      </c>
      <c r="X3" s="198">
        <f>'SER_se-appl'!X8</f>
        <v>40.59434372953347</v>
      </c>
      <c r="Y3" s="198">
        <f>'SER_se-appl'!Y8</f>
        <v>41.587774286350601</v>
      </c>
      <c r="DA3" s="205" t="s">
        <v>913</v>
      </c>
    </row>
    <row r="4" spans="1:105" ht="12" customHeight="1" x14ac:dyDescent="0.25">
      <c r="A4" s="5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DA4" s="106"/>
    </row>
    <row r="5" spans="1:105" ht="12.95" customHeight="1" x14ac:dyDescent="0.25">
      <c r="A5" s="199" t="s">
        <v>108</v>
      </c>
      <c r="B5" s="59">
        <f>'SER_se-appl'!B16</f>
        <v>87.527037096402282</v>
      </c>
      <c r="C5" s="59">
        <f>'SER_se-appl'!C16</f>
        <v>98.76329092047213</v>
      </c>
      <c r="D5" s="59">
        <f>'SER_se-appl'!D16</f>
        <v>107.95816656848665</v>
      </c>
      <c r="E5" s="59">
        <f>'SER_se-appl'!E16</f>
        <v>123.48372798307032</v>
      </c>
      <c r="F5" s="59">
        <f>'SER_se-appl'!F16</f>
        <v>141.63677003649335</v>
      </c>
      <c r="G5" s="59">
        <f>'SER_se-appl'!G16</f>
        <v>163.85165418751856</v>
      </c>
      <c r="H5" s="59">
        <f>'SER_se-appl'!H16</f>
        <v>189.28407074554616</v>
      </c>
      <c r="I5" s="59">
        <f>'SER_se-appl'!I16</f>
        <v>209.36319607782741</v>
      </c>
      <c r="J5" s="59">
        <f>'SER_se-appl'!J16</f>
        <v>230.01359102713809</v>
      </c>
      <c r="K5" s="59">
        <f>'SER_se-appl'!K16</f>
        <v>245.08130497768906</v>
      </c>
      <c r="L5" s="59">
        <f>'SER_se-appl'!L16</f>
        <v>264.70152105306772</v>
      </c>
      <c r="M5" s="59">
        <f>'SER_se-appl'!M16</f>
        <v>283.09548101940715</v>
      </c>
      <c r="N5" s="59">
        <f>'SER_se-appl'!N16</f>
        <v>300.261621775187</v>
      </c>
      <c r="O5" s="59">
        <f>'SER_se-appl'!O16</f>
        <v>319.35563925759459</v>
      </c>
      <c r="P5" s="59">
        <f>'SER_se-appl'!P16</f>
        <v>339.59682611715726</v>
      </c>
      <c r="Q5" s="59">
        <f>'SER_se-appl'!Q16</f>
        <v>360.11635860020169</v>
      </c>
      <c r="R5" s="59">
        <f>'SER_se-appl'!R16</f>
        <v>386.37394238709101</v>
      </c>
      <c r="S5" s="59">
        <f>'SER_se-appl'!S16</f>
        <v>415.78502725199286</v>
      </c>
      <c r="T5" s="59">
        <f>'SER_se-appl'!T16</f>
        <v>439.42802666807682</v>
      </c>
      <c r="U5" s="59">
        <f>'SER_se-appl'!U16</f>
        <v>460.83057635717438</v>
      </c>
      <c r="V5" s="59">
        <f>'SER_se-appl'!V16</f>
        <v>479.66071340808196</v>
      </c>
      <c r="W5" s="59">
        <f>'SER_se-appl'!W16</f>
        <v>496.30807841715097</v>
      </c>
      <c r="X5" s="59">
        <f>'SER_se-appl'!X16</f>
        <v>511.30695846151963</v>
      </c>
      <c r="Y5" s="59">
        <f>'SER_se-appl'!Y16</f>
        <v>523.50332383237162</v>
      </c>
      <c r="DA5" s="104" t="s">
        <v>920</v>
      </c>
    </row>
    <row r="6" spans="1:105" ht="12" customHeight="1" x14ac:dyDescent="0.25">
      <c r="A6" s="200" t="str">
        <f>"Penetration factor "&amp;MID('SER_se-appl'!A72,FIND("(",'SER_se-appl'!A72),100)</f>
        <v>Penetration factor (sqm per building cell)</v>
      </c>
      <c r="B6" s="201">
        <f>'SER_se-appl'!B72</f>
        <v>48.806849295599633</v>
      </c>
      <c r="C6" s="201">
        <f>'SER_se-appl'!C72</f>
        <v>51.092378215101576</v>
      </c>
      <c r="D6" s="201">
        <f>'SER_se-appl'!D72</f>
        <v>54.098625344599036</v>
      </c>
      <c r="E6" s="201">
        <f>'SER_se-appl'!E72</f>
        <v>58.305600565281082</v>
      </c>
      <c r="F6" s="201">
        <f>'SER_se-appl'!F72</f>
        <v>63.329583108623098</v>
      </c>
      <c r="G6" s="201">
        <f>'SER_se-appl'!G72</f>
        <v>68.816304316303984</v>
      </c>
      <c r="H6" s="201">
        <f>'SER_se-appl'!H72</f>
        <v>76.053449465361368</v>
      </c>
      <c r="I6" s="201">
        <f>'SER_se-appl'!I72</f>
        <v>82.850056410726438</v>
      </c>
      <c r="J6" s="201">
        <f>'SER_se-appl'!J72</f>
        <v>89.417479538072996</v>
      </c>
      <c r="K6" s="201">
        <f>'SER_se-appl'!K72</f>
        <v>94.276883709616556</v>
      </c>
      <c r="L6" s="201">
        <f>'SER_se-appl'!L72</f>
        <v>99.268739335236077</v>
      </c>
      <c r="M6" s="201">
        <f>'SER_se-appl'!M72</f>
        <v>103.67931151428444</v>
      </c>
      <c r="N6" s="201">
        <f>'SER_se-appl'!N72</f>
        <v>108.97746272550378</v>
      </c>
      <c r="O6" s="201">
        <f>'SER_se-appl'!O72</f>
        <v>112.82203059593876</v>
      </c>
      <c r="P6" s="201">
        <f>'SER_se-appl'!P72</f>
        <v>117.61835402511016</v>
      </c>
      <c r="Q6" s="201">
        <f>'SER_se-appl'!Q72</f>
        <v>121.4266848302136</v>
      </c>
      <c r="R6" s="201">
        <f>'SER_se-appl'!R72</f>
        <v>128.51331446886627</v>
      </c>
      <c r="S6" s="201">
        <f>'SER_se-appl'!S72</f>
        <v>135.61637144622847</v>
      </c>
      <c r="T6" s="201">
        <f>'SER_se-appl'!T72</f>
        <v>142.64897606170518</v>
      </c>
      <c r="U6" s="201">
        <f>'SER_se-appl'!U72</f>
        <v>149.55843457437052</v>
      </c>
      <c r="V6" s="201">
        <f>'SER_se-appl'!V72</f>
        <v>156.24666504955459</v>
      </c>
      <c r="W6" s="201">
        <f>'SER_se-appl'!W72</f>
        <v>162.63261317420168</v>
      </c>
      <c r="X6" s="201">
        <f>'SER_se-appl'!X72</f>
        <v>167.92878559845119</v>
      </c>
      <c r="Y6" s="201">
        <f>'SER_se-appl'!Y72</f>
        <v>172.28963580503864</v>
      </c>
      <c r="DA6" s="206" t="s">
        <v>962</v>
      </c>
    </row>
    <row r="7" spans="1:105" ht="12.95" customHeight="1" x14ac:dyDescent="0.25">
      <c r="A7" s="5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DA7" s="106"/>
    </row>
    <row r="8" spans="1:105" ht="12.95" customHeight="1" x14ac:dyDescent="0.25">
      <c r="A8" s="199" t="str">
        <f>"Stock of appliances "&amp;MID('SER_se-appl'!A24,FIND("(",'SER_se-appl'!A24),100)</f>
        <v>Stock of appliances (serviced million m2)</v>
      </c>
      <c r="B8" s="34">
        <f>'SER_se-appl'!B24</f>
        <v>1.6027404037139894</v>
      </c>
      <c r="C8" s="34">
        <f>'SER_se-appl'!C24</f>
        <v>1.8250165468949331</v>
      </c>
      <c r="D8" s="34">
        <f>'SER_se-appl'!D24</f>
        <v>2.0101454531834992</v>
      </c>
      <c r="E8" s="34">
        <f>'SER_se-appl'!E24</f>
        <v>2.3239117828822038</v>
      </c>
      <c r="F8" s="34">
        <f>'SER_se-appl'!F24</f>
        <v>2.6957278291485842</v>
      </c>
      <c r="G8" s="34">
        <f>'SER_se-appl'!G24</f>
        <v>3.1594364358778031</v>
      </c>
      <c r="H8" s="34">
        <f>'SER_se-appl'!H24</f>
        <v>3.7008730683337423</v>
      </c>
      <c r="I8" s="34">
        <f>'SER_se-appl'!I24</f>
        <v>4.1427479600430415</v>
      </c>
      <c r="J8" s="34">
        <f>'SER_se-appl'!J24</f>
        <v>4.6078714781667314</v>
      </c>
      <c r="K8" s="34">
        <f>'SER_se-appl'!K24</f>
        <v>4.9651413281956689</v>
      </c>
      <c r="L8" s="34">
        <f>'SER_se-appl'!L24</f>
        <v>5.4390381208458241</v>
      </c>
      <c r="M8" s="34">
        <f>'SER_se-appl'!M24</f>
        <v>5.905675375283999</v>
      </c>
      <c r="N8" s="34">
        <f>'SER_se-appl'!N24</f>
        <v>6.366519042795681</v>
      </c>
      <c r="O8" s="34">
        <f>'SER_se-appl'!O24</f>
        <v>6.9014074047667409</v>
      </c>
      <c r="P8" s="34">
        <f>'SER_se-appl'!P24</f>
        <v>7.4953305341572127</v>
      </c>
      <c r="Q8" s="34">
        <f>'SER_se-appl'!Q24</f>
        <v>8.1350230528703715</v>
      </c>
      <c r="R8" s="34">
        <f>'SER_se-appl'!R24</f>
        <v>8.9464390029182628</v>
      </c>
      <c r="S8" s="34">
        <f>'SER_se-appl'!S24</f>
        <v>9.844316775656802</v>
      </c>
      <c r="T8" s="34">
        <f>'SER_se-appl'!T24</f>
        <v>10.648894206773116</v>
      </c>
      <c r="U8" s="34">
        <f>'SER_se-appl'!U24</f>
        <v>11.427058340497339</v>
      </c>
      <c r="V8" s="34">
        <f>'SER_se-appl'!V24</f>
        <v>12.177787818666786</v>
      </c>
      <c r="W8" s="34">
        <f>'SER_se-appl'!W24</f>
        <v>12.898243205899075</v>
      </c>
      <c r="X8" s="34">
        <f>'SER_se-appl'!X24</f>
        <v>13.532605202070332</v>
      </c>
      <c r="Y8" s="34">
        <f>'SER_se-appl'!Y24</f>
        <v>14.095813392060343</v>
      </c>
      <c r="DA8" s="88" t="s">
        <v>926</v>
      </c>
    </row>
    <row r="9" spans="1:105" ht="12.95" customHeight="1" x14ac:dyDescent="0.25">
      <c r="A9" s="202" t="str">
        <f>"Number of new appliances "&amp;MID('SER_se-appl'!A32,FIND("(",'SER_se-appl'!A32),100)</f>
        <v>Number of new appliances (serviced million m2)</v>
      </c>
      <c r="B9" s="36"/>
      <c r="C9" s="36">
        <f>'SER_se-appl'!C32</f>
        <v>0.26792612387717574</v>
      </c>
      <c r="D9" s="36">
        <f>'SER_se-appl'!D32</f>
        <v>0.23591594669632121</v>
      </c>
      <c r="E9" s="36">
        <f>'SER_se-appl'!E32</f>
        <v>0.37026851073011624</v>
      </c>
      <c r="F9" s="36">
        <f>'SER_se-appl'!F32</f>
        <v>0.43467650113192757</v>
      </c>
      <c r="G9" s="36">
        <f>'SER_se-appl'!G32</f>
        <v>0.53364284136888296</v>
      </c>
      <c r="H9" s="36">
        <f>'SER_se-appl'!H32</f>
        <v>0.61924066974928271</v>
      </c>
      <c r="I9" s="36">
        <f>'SER_se-appl'!I32</f>
        <v>0.52843433216552871</v>
      </c>
      <c r="J9" s="36">
        <f>'SER_se-appl'!J32</f>
        <v>0.56142362018454506</v>
      </c>
      <c r="K9" s="36">
        <f>'SER_se-appl'!K32</f>
        <v>0.46440674472294319</v>
      </c>
      <c r="L9" s="36">
        <f>'SER_se-appl'!L32</f>
        <v>0.59308996024847094</v>
      </c>
      <c r="M9" s="36">
        <f>'SER_se-appl'!M32</f>
        <v>0.59924340512694485</v>
      </c>
      <c r="N9" s="36">
        <f>'SER_se-appl'!N32</f>
        <v>0.6083721840769325</v>
      </c>
      <c r="O9" s="36">
        <f>'SER_se-appl'!O32</f>
        <v>0.69901848027172253</v>
      </c>
      <c r="P9" s="36">
        <f>'SER_se-appl'!P32</f>
        <v>0.77652305217539919</v>
      </c>
      <c r="Q9" s="36">
        <f>'SER_se-appl'!Q32</f>
        <v>0.84284068034417903</v>
      </c>
      <c r="R9" s="36">
        <f>'SER_se-appl'!R32</f>
        <v>1.0793420739250674</v>
      </c>
      <c r="S9" s="36">
        <f>'SER_se-appl'!S32</f>
        <v>1.1337937194348608</v>
      </c>
      <c r="T9" s="36">
        <f>'SER_se-appl'!T32</f>
        <v>1.1748459418464297</v>
      </c>
      <c r="U9" s="36">
        <f>'SER_se-appl'!U32</f>
        <v>1.2128406348561498</v>
      </c>
      <c r="V9" s="36">
        <f>'SER_se-appl'!V32</f>
        <v>1.2843723195383294</v>
      </c>
      <c r="W9" s="36">
        <f>'SER_se-appl'!W32</f>
        <v>1.3396960569815715</v>
      </c>
      <c r="X9" s="36">
        <f>'SER_se-appl'!X32</f>
        <v>1.1627963283367855</v>
      </c>
      <c r="Y9" s="36">
        <f>'SER_se-appl'!Y32</f>
        <v>1.1246318101745558</v>
      </c>
      <c r="DA9" s="89" t="s">
        <v>932</v>
      </c>
    </row>
    <row r="10" spans="1:105" ht="12" customHeight="1" x14ac:dyDescent="0.25">
      <c r="A10" s="203" t="str">
        <f>"Number of replaced appliances "&amp;MID('SER_se-appl'!A40,FIND("(",'SER_se-appl'!A40),100)</f>
        <v>Number of replaced appliances (serviced million m2)</v>
      </c>
      <c r="B10" s="38"/>
      <c r="C10" s="38">
        <f>'SER_se-appl'!C40</f>
        <v>4.5649980696232051E-2</v>
      </c>
      <c r="D10" s="38">
        <f>'SER_se-appl'!D40</f>
        <v>5.0787040407755057E-2</v>
      </c>
      <c r="E10" s="38">
        <f>'SER_se-appl'!E40</f>
        <v>5.6502181031411691E-2</v>
      </c>
      <c r="F10" s="38">
        <f>'SER_se-appl'!F40</f>
        <v>6.2860454865547144E-2</v>
      </c>
      <c r="G10" s="38">
        <f>'SER_se-appl'!G40</f>
        <v>6.9934234639664083E-2</v>
      </c>
      <c r="H10" s="38">
        <f>'SER_se-appl'!H40</f>
        <v>7.7804037293343509E-2</v>
      </c>
      <c r="I10" s="38">
        <f>'SER_se-appl'!I40</f>
        <v>8.6559440456229986E-2</v>
      </c>
      <c r="J10" s="38">
        <f>'SER_se-appl'!J40</f>
        <v>9.6300102060855153E-2</v>
      </c>
      <c r="K10" s="38">
        <f>'SER_se-appl'!K40</f>
        <v>0.10713689469400567</v>
      </c>
      <c r="L10" s="38">
        <f>'SER_se-appl'!L40</f>
        <v>0.11919316759831577</v>
      </c>
      <c r="M10" s="38">
        <f>'SER_se-appl'!M40</f>
        <v>0.13260615068876991</v>
      </c>
      <c r="N10" s="38">
        <f>'SER_se-appl'!N40</f>
        <v>0.14752851656525046</v>
      </c>
      <c r="O10" s="38">
        <f>'SER_se-appl'!O40</f>
        <v>0.16413011830066271</v>
      </c>
      <c r="P10" s="38">
        <f>'SER_se-appl'!P40</f>
        <v>0.18259992278492732</v>
      </c>
      <c r="Q10" s="38">
        <f>'SER_se-appl'!Q40</f>
        <v>0.20314816163102023</v>
      </c>
      <c r="R10" s="38">
        <f>'SER_se-appl'!R40</f>
        <v>0.26792612387717618</v>
      </c>
      <c r="S10" s="38">
        <f>'SER_se-appl'!S40</f>
        <v>0.23591594669632165</v>
      </c>
      <c r="T10" s="38">
        <f>'SER_se-appl'!T40</f>
        <v>0.37026851073011535</v>
      </c>
      <c r="U10" s="38">
        <f>'SER_se-appl'!U40</f>
        <v>0.43467650113192668</v>
      </c>
      <c r="V10" s="38">
        <f>'SER_se-appl'!V40</f>
        <v>0.53364284136888251</v>
      </c>
      <c r="W10" s="38">
        <f>'SER_se-appl'!W40</f>
        <v>0.61924066974928316</v>
      </c>
      <c r="X10" s="38">
        <f>'SER_se-appl'!X40</f>
        <v>0.52843433216552782</v>
      </c>
      <c r="Y10" s="38">
        <f>'SER_se-appl'!Y40</f>
        <v>0.56142362018454506</v>
      </c>
      <c r="DA10" s="90" t="s">
        <v>938</v>
      </c>
    </row>
    <row r="11" spans="1:105" ht="12.95" customHeight="1" x14ac:dyDescent="0.25">
      <c r="A11" s="5"/>
      <c r="B11" s="177"/>
      <c r="C11" s="177"/>
      <c r="D11" s="177"/>
      <c r="E11" s="177"/>
      <c r="F11" s="177"/>
      <c r="G11" s="177"/>
      <c r="H11" s="177"/>
      <c r="I11" s="177"/>
      <c r="J11" s="177"/>
      <c r="K11" s="177"/>
      <c r="L11" s="177"/>
      <c r="M11" s="177"/>
      <c r="N11" s="177"/>
      <c r="O11" s="177"/>
      <c r="P11" s="177"/>
      <c r="Q11" s="177"/>
      <c r="R11" s="177"/>
      <c r="S11" s="177"/>
      <c r="T11" s="177"/>
      <c r="U11" s="177"/>
      <c r="V11" s="177"/>
      <c r="W11" s="177"/>
      <c r="X11" s="177"/>
      <c r="Y11" s="177"/>
      <c r="DA11" s="207"/>
    </row>
    <row r="12" spans="1:105" ht="12" customHeight="1" x14ac:dyDescent="0.25">
      <c r="A12" s="197" t="s">
        <v>104</v>
      </c>
      <c r="B12" s="204">
        <f>'SER_se-appl'!B48</f>
        <v>889.14815694599315</v>
      </c>
      <c r="C12" s="204">
        <f>'SER_se-appl'!C48</f>
        <v>893.39551284978052</v>
      </c>
      <c r="D12" s="204">
        <f>'SER_se-appl'!D48</f>
        <v>897.29075866187657</v>
      </c>
      <c r="E12" s="204">
        <f>'SER_se-appl'!E48</f>
        <v>900.88903334495615</v>
      </c>
      <c r="F12" s="204">
        <f>'SER_se-appl'!F48</f>
        <v>904.23337855435204</v>
      </c>
      <c r="G12" s="204">
        <f>'SER_se-appl'!G48</f>
        <v>907.35804781737454</v>
      </c>
      <c r="H12" s="204">
        <f>'SER_se-appl'!H48</f>
        <v>910.29075441359259</v>
      </c>
      <c r="I12" s="204">
        <f>'SER_se-appl'!I48</f>
        <v>913.05424231929464</v>
      </c>
      <c r="J12" s="204">
        <f>'SER_se-appl'!J48</f>
        <v>915.66741126750594</v>
      </c>
      <c r="K12" s="204">
        <f>'SER_se-appl'!K48</f>
        <v>918.14613983382276</v>
      </c>
      <c r="L12" s="204">
        <f>'SER_se-appl'!L48</f>
        <v>920.50389898439425</v>
      </c>
      <c r="M12" s="204">
        <f>'SER_se-appl'!M48</f>
        <v>922.0021682125157</v>
      </c>
      <c r="N12" s="204">
        <f>'SER_se-appl'!N48</f>
        <v>923.43299580385951</v>
      </c>
      <c r="O12" s="204">
        <f>'SER_se-appl'!O48</f>
        <v>924.80228415066188</v>
      </c>
      <c r="P12" s="204">
        <f>'SER_se-appl'!P48</f>
        <v>926.11518949712558</v>
      </c>
      <c r="Q12" s="204">
        <f>'SER_se-appl'!Q48</f>
        <v>927.3762429208374</v>
      </c>
      <c r="R12" s="204">
        <f>'SER_se-appl'!R48</f>
        <v>922.78857270380058</v>
      </c>
      <c r="S12" s="204">
        <f>'SER_se-appl'!S48</f>
        <v>927.11192979550424</v>
      </c>
      <c r="T12" s="204">
        <f>'SER_se-appl'!T48</f>
        <v>929.69054471293782</v>
      </c>
      <c r="U12" s="204">
        <f>'SER_se-appl'!U48</f>
        <v>921.38682583704303</v>
      </c>
      <c r="V12" s="204">
        <f>'SER_se-appl'!V48</f>
        <v>891.24560358852636</v>
      </c>
      <c r="W12" s="204">
        <f>'SER_se-appl'!W48</f>
        <v>922.22785144952809</v>
      </c>
      <c r="X12" s="204">
        <f>'SER_se-appl'!X48</f>
        <v>923.34401040623607</v>
      </c>
      <c r="Y12" s="204">
        <f>'SER_se-appl'!Y48</f>
        <v>923.90208988459005</v>
      </c>
      <c r="DA12" s="208" t="s">
        <v>944</v>
      </c>
    </row>
    <row r="13" spans="1:105" ht="12.95" customHeight="1" x14ac:dyDescent="0.25">
      <c r="A13" s="4"/>
      <c r="B13" s="29"/>
      <c r="C13" s="29"/>
      <c r="D13" s="29"/>
      <c r="E13" s="29"/>
      <c r="F13" s="29"/>
      <c r="G13" s="29"/>
      <c r="H13" s="29"/>
      <c r="I13" s="29"/>
      <c r="J13" s="29"/>
      <c r="K13" s="29"/>
      <c r="L13" s="29"/>
      <c r="M13" s="29"/>
      <c r="N13" s="29"/>
      <c r="O13" s="29"/>
      <c r="P13" s="29"/>
      <c r="Q13" s="29"/>
      <c r="R13" s="29"/>
      <c r="S13" s="29"/>
      <c r="T13" s="29"/>
      <c r="U13" s="29"/>
      <c r="V13" s="29"/>
      <c r="W13" s="29"/>
      <c r="X13" s="29"/>
      <c r="Y13" s="29"/>
      <c r="DA13" s="209"/>
    </row>
    <row r="14" spans="1:105" ht="12.95" customHeight="1" x14ac:dyDescent="0.25">
      <c r="A14" s="199" t="str">
        <f>"W per appliance in average operating mode "&amp;MID('SER_se-appl'!A56,FIND("(",'SER_se-appl'!A56),100)</f>
        <v>W per appliance in average operating mode (W per serviced m2)</v>
      </c>
      <c r="B14" s="59">
        <f>'SER_se-appl'!B56</f>
        <v>54.610863302365196</v>
      </c>
      <c r="C14" s="59">
        <f>'SER_se-appl'!C56</f>
        <v>54.116381075287848</v>
      </c>
      <c r="D14" s="59">
        <f>'SER_se-appl'!D56</f>
        <v>53.706644162247855</v>
      </c>
      <c r="E14" s="59">
        <f>'SER_se-appl'!E56</f>
        <v>53.136151248358104</v>
      </c>
      <c r="F14" s="59">
        <f>'SER_se-appl'!F56</f>
        <v>52.541198152495888</v>
      </c>
      <c r="G14" s="59">
        <f>'SER_se-appl'!G56</f>
        <v>51.861038356986214</v>
      </c>
      <c r="H14" s="59">
        <f>'SER_se-appl'!H56</f>
        <v>51.145788372247047</v>
      </c>
      <c r="I14" s="59">
        <f>'SER_se-appl'!I56</f>
        <v>50.537275764092634</v>
      </c>
      <c r="J14" s="59">
        <f>'SER_se-appl'!J56</f>
        <v>49.917536137238436</v>
      </c>
      <c r="K14" s="59">
        <f>'SER_se-appl'!K56</f>
        <v>49.360388512193978</v>
      </c>
      <c r="L14" s="59">
        <f>'SER_se-appl'!L56</f>
        <v>48.666972941146447</v>
      </c>
      <c r="M14" s="59">
        <f>'SER_se-appl'!M56</f>
        <v>47.93617377009879</v>
      </c>
      <c r="N14" s="59">
        <f>'SER_se-appl'!N56</f>
        <v>47.162604832692907</v>
      </c>
      <c r="O14" s="59">
        <f>'SER_se-appl'!O56</f>
        <v>46.273987395240354</v>
      </c>
      <c r="P14" s="59">
        <f>'SER_se-appl'!P56</f>
        <v>45.307785236364111</v>
      </c>
      <c r="Q14" s="59">
        <f>'SER_se-appl'!Q56</f>
        <v>44.267404807554641</v>
      </c>
      <c r="R14" s="59">
        <f>'SER_se-appl'!R56</f>
        <v>43.187456177933889</v>
      </c>
      <c r="S14" s="59">
        <f>'SER_se-appl'!S56</f>
        <v>42.236047125195455</v>
      </c>
      <c r="T14" s="59">
        <f>'SER_se-appl'!T56</f>
        <v>41.265132147578598</v>
      </c>
      <c r="U14" s="59">
        <f>'SER_se-appl'!U56</f>
        <v>40.328014667081646</v>
      </c>
      <c r="V14" s="59">
        <f>'SER_se-appl'!V56</f>
        <v>39.388164792363312</v>
      </c>
      <c r="W14" s="59">
        <f>'SER_se-appl'!W56</f>
        <v>38.478734700099473</v>
      </c>
      <c r="X14" s="59">
        <f>'SER_se-appl'!X56</f>
        <v>37.783335198701842</v>
      </c>
      <c r="Y14" s="59">
        <f>'SER_se-appl'!Y56</f>
        <v>37.138922690849604</v>
      </c>
      <c r="DA14" s="104" t="s">
        <v>950</v>
      </c>
    </row>
    <row r="15" spans="1:105" ht="12" customHeight="1" x14ac:dyDescent="0.25">
      <c r="A15" s="203" t="str">
        <f>"W per new appliance in average operating mode "&amp;MID('SER_se-appl'!A56,FIND("(",'SER_se-appl'!A56),100)</f>
        <v>W per new appliance in average operating mode (W per serviced m2)</v>
      </c>
      <c r="B15" s="63"/>
      <c r="C15" s="63">
        <f>'SER_se-appl'!C64</f>
        <v>51.242627933964386</v>
      </c>
      <c r="D15" s="63">
        <f>'SER_se-appl'!D64</f>
        <v>50.73162682241329</v>
      </c>
      <c r="E15" s="63">
        <f>'SER_se-appl'!E64</f>
        <v>50.264048278037428</v>
      </c>
      <c r="F15" s="63">
        <f>'SER_se-appl'!F64</f>
        <v>49.659702571909861</v>
      </c>
      <c r="G15" s="63">
        <f>'SER_se-appl'!G64</f>
        <v>48.785537930773572</v>
      </c>
      <c r="H15" s="63">
        <f>'SER_se-appl'!H64</f>
        <v>47.931868258982178</v>
      </c>
      <c r="I15" s="63">
        <f>'SER_se-appl'!I64</f>
        <v>46.942845293396282</v>
      </c>
      <c r="J15" s="63">
        <f>'SER_se-appl'!J64</f>
        <v>46.149513001329048</v>
      </c>
      <c r="K15" s="63">
        <f>'SER_se-appl'!K64</f>
        <v>45.043601323673279</v>
      </c>
      <c r="L15" s="63">
        <f>'SER_se-appl'!L64</f>
        <v>44.056483179582834</v>
      </c>
      <c r="M15" s="63">
        <f>'SER_se-appl'!M64</f>
        <v>42.78010590575618</v>
      </c>
      <c r="N15" s="63">
        <f>'SER_se-appl'!N64</f>
        <v>41.459489876900562</v>
      </c>
      <c r="O15" s="63">
        <f>'SER_se-appl'!O64</f>
        <v>40.138144739491921</v>
      </c>
      <c r="P15" s="63">
        <f>'SER_se-appl'!P64</f>
        <v>38.908215534814985</v>
      </c>
      <c r="Q15" s="63">
        <f>'SER_se-appl'!Q64</f>
        <v>37.50842799269401</v>
      </c>
      <c r="R15" s="63">
        <f>'SER_se-appl'!R64</f>
        <v>37.047404555539131</v>
      </c>
      <c r="S15" s="63">
        <f>'SER_se-appl'!S64</f>
        <v>36.496484258866396</v>
      </c>
      <c r="T15" s="63">
        <f>'SER_se-appl'!T64</f>
        <v>35.965731514424171</v>
      </c>
      <c r="U15" s="63">
        <f>'SER_se-appl'!U64</f>
        <v>35.444438630147111</v>
      </c>
      <c r="V15" s="63">
        <f>'SER_se-appl'!V64</f>
        <v>34.930829205445377</v>
      </c>
      <c r="W15" s="63">
        <f>'SER_se-appl'!W64</f>
        <v>34.581520913390925</v>
      </c>
      <c r="X15" s="63">
        <f>'SER_se-appl'!X64</f>
        <v>34.232212621336473</v>
      </c>
      <c r="Y15" s="63">
        <f>'SER_se-appl'!Y64</f>
        <v>33.882904329282013</v>
      </c>
      <c r="DA15" s="105" t="s">
        <v>956</v>
      </c>
    </row>
  </sheetData>
  <pageMargins left="0.39370078740157483" right="0.39370078740157483" top="0.39370078740157483" bottom="0.39370078740157483" header="0.31496062992125984" footer="0.31496062992125984"/>
  <pageSetup paperSize="9" scale="60" orientation="landscape" horizontalDpi="1200" verticalDpi="1200" r:id="rId1"/>
  <headerFooter alignWithMargins="0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8">
    <tabColor theme="8" tint="0.59999389629810485"/>
    <pageSetUpPr fitToPage="1"/>
  </sheetPr>
  <dimension ref="A1:DA17"/>
  <sheetViews>
    <sheetView showGridLines="0" zoomScaleNormal="100" workbookViewId="0">
      <pane xSplit="1" ySplit="1" topLeftCell="I2" activePane="bottomRight" state="frozen"/>
      <selection activeCell="CY1" sqref="X1:CY1048576"/>
      <selection pane="topRight" activeCell="CY1" sqref="X1:CY1048576"/>
      <selection pane="bottomLeft" activeCell="CY1" sqref="X1:CY1048576"/>
      <selection pane="bottomRight" activeCell="DA2" sqref="DA2"/>
    </sheetView>
  </sheetViews>
  <sheetFormatPr defaultRowHeight="12" customHeight="1" x14ac:dyDescent="0.25"/>
  <cols>
    <col min="1" max="1" width="61.7109375" style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12.95" customHeight="1" x14ac:dyDescent="0.25">
      <c r="A1" s="28" t="s">
        <v>972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X1" s="27">
        <v>2022</v>
      </c>
      <c r="Y1" s="27">
        <v>2023</v>
      </c>
      <c r="DA1" s="87" t="s">
        <v>150</v>
      </c>
    </row>
    <row r="2" spans="1:105" s="2" customFormat="1" ht="12" customHeight="1" x14ac:dyDescent="0.25">
      <c r="DA2" s="7"/>
    </row>
    <row r="3" spans="1:105" ht="12.95" customHeight="1" x14ac:dyDescent="0.25">
      <c r="A3" s="197" t="s">
        <v>81</v>
      </c>
      <c r="B3" s="198">
        <f>'SER_se-appl'!B9</f>
        <v>16.060104661496098</v>
      </c>
      <c r="C3" s="198">
        <f>'SER_se-appl'!C9</f>
        <v>18.168364272671539</v>
      </c>
      <c r="D3" s="198">
        <f>'SER_se-appl'!D9</f>
        <v>20.506145150283995</v>
      </c>
      <c r="E3" s="198">
        <f>'SER_se-appl'!E9</f>
        <v>23.513178650117574</v>
      </c>
      <c r="F3" s="198">
        <f>'SER_se-appl'!F9</f>
        <v>28.724169149890106</v>
      </c>
      <c r="G3" s="198">
        <f>'SER_se-appl'!G9</f>
        <v>33.465273944438835</v>
      </c>
      <c r="H3" s="198">
        <f>'SER_se-appl'!H9</f>
        <v>38.286254317959319</v>
      </c>
      <c r="I3" s="198">
        <f>'SER_se-appl'!I9</f>
        <v>42.411301869556091</v>
      </c>
      <c r="J3" s="198">
        <f>'SER_se-appl'!J9</f>
        <v>46.305762881453241</v>
      </c>
      <c r="K3" s="198">
        <f>'SER_se-appl'!K9</f>
        <v>50.545264525641514</v>
      </c>
      <c r="L3" s="198">
        <f>'SER_se-appl'!L9</f>
        <v>54.081177709133044</v>
      </c>
      <c r="M3" s="198">
        <f>'SER_se-appl'!M9</f>
        <v>57.267372702437314</v>
      </c>
      <c r="N3" s="198">
        <f>'SER_se-appl'!N9</f>
        <v>60.180945372109832</v>
      </c>
      <c r="O3" s="198">
        <f>'SER_se-appl'!O9</f>
        <v>64.471933328171716</v>
      </c>
      <c r="P3" s="198">
        <f>'SER_se-appl'!P9</f>
        <v>72.067639313848815</v>
      </c>
      <c r="Q3" s="198">
        <f>'SER_se-appl'!Q9</f>
        <v>82.141506901448878</v>
      </c>
      <c r="R3" s="198">
        <f>'SER_se-appl'!R9</f>
        <v>88.671462615346243</v>
      </c>
      <c r="S3" s="198">
        <f>'SER_se-appl'!S9</f>
        <v>95.50974261980862</v>
      </c>
      <c r="T3" s="198">
        <f>'SER_se-appl'!T9</f>
        <v>101.89481955390663</v>
      </c>
      <c r="U3" s="198">
        <f>'SER_se-appl'!U9</f>
        <v>106.59948011847875</v>
      </c>
      <c r="V3" s="198">
        <f>'SER_se-appl'!V9</f>
        <v>109.07954618602585</v>
      </c>
      <c r="W3" s="198">
        <f>'SER_se-appl'!W9</f>
        <v>115.53649991979418</v>
      </c>
      <c r="X3" s="198">
        <f>'SER_se-appl'!X9</f>
        <v>118.47524015253285</v>
      </c>
      <c r="Y3" s="198">
        <f>'SER_se-appl'!Y9</f>
        <v>120.85146574722467</v>
      </c>
      <c r="DA3" s="205" t="s">
        <v>914</v>
      </c>
    </row>
    <row r="4" spans="1:105" ht="12" customHeight="1" x14ac:dyDescent="0.25">
      <c r="A4" s="5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DA4" s="106"/>
    </row>
    <row r="5" spans="1:105" ht="12.95" customHeight="1" x14ac:dyDescent="0.25">
      <c r="A5" s="199" t="s">
        <v>108</v>
      </c>
      <c r="B5" s="59">
        <f>'SER_se-appl'!B17</f>
        <v>75.929113653461968</v>
      </c>
      <c r="C5" s="59">
        <f>'SER_se-appl'!C17</f>
        <v>81.984895453043507</v>
      </c>
      <c r="D5" s="59">
        <f>'SER_se-appl'!D17</f>
        <v>88.997226329593417</v>
      </c>
      <c r="E5" s="59">
        <f>'SER_se-appl'!E17</f>
        <v>100.84963382992778</v>
      </c>
      <c r="F5" s="59">
        <f>'SER_se-appl'!F17</f>
        <v>127.90222402614637</v>
      </c>
      <c r="G5" s="59">
        <f>'SER_se-appl'!G17</f>
        <v>151.66666939481078</v>
      </c>
      <c r="H5" s="59">
        <f>'SER_se-appl'!H17</f>
        <v>176.65961862513885</v>
      </c>
      <c r="I5" s="59">
        <f>'SER_se-appl'!I17</f>
        <v>196.74587942713302</v>
      </c>
      <c r="J5" s="59">
        <f>'SER_se-appl'!J17</f>
        <v>215.68352083344982</v>
      </c>
      <c r="K5" s="59">
        <f>'SER_se-appl'!K17</f>
        <v>237.35218095991169</v>
      </c>
      <c r="L5" s="59">
        <f>'SER_se-appl'!L17</f>
        <v>253.1867881136063</v>
      </c>
      <c r="M5" s="59">
        <f>'SER_se-appl'!M17</f>
        <v>268.68082055257491</v>
      </c>
      <c r="N5" s="59">
        <f>'SER_se-appl'!N17</f>
        <v>283.76267319379235</v>
      </c>
      <c r="O5" s="59">
        <f>'SER_se-appl'!O17</f>
        <v>307.25569433826621</v>
      </c>
      <c r="P5" s="59">
        <f>'SER_se-appl'!P17</f>
        <v>350.2450718068352</v>
      </c>
      <c r="Q5" s="59">
        <f>'SER_se-appl'!Q17</f>
        <v>407.17756809416807</v>
      </c>
      <c r="R5" s="59">
        <f>'SER_se-appl'!R17</f>
        <v>443.92824007500144</v>
      </c>
      <c r="S5" s="59">
        <f>'SER_se-appl'!S17</f>
        <v>478.86060739642954</v>
      </c>
      <c r="T5" s="59">
        <f>'SER_se-appl'!T17</f>
        <v>511.48889982591578</v>
      </c>
      <c r="U5" s="59">
        <f>'SER_se-appl'!U17</f>
        <v>538.53243689443332</v>
      </c>
      <c r="V5" s="59">
        <f>'SER_se-appl'!V17</f>
        <v>562.36647113529136</v>
      </c>
      <c r="W5" s="59">
        <f>'SER_se-appl'!W17</f>
        <v>588.81174255026724</v>
      </c>
      <c r="X5" s="59">
        <f>'SER_se-appl'!X17</f>
        <v>606.77543556932824</v>
      </c>
      <c r="Y5" s="59">
        <f>'SER_se-appl'!Y17</f>
        <v>621.50892195391521</v>
      </c>
      <c r="DA5" s="104" t="s">
        <v>921</v>
      </c>
    </row>
    <row r="6" spans="1:105" ht="12" customHeight="1" x14ac:dyDescent="0.25">
      <c r="A6" s="200" t="str">
        <f>"Penetration factor "&amp;MID('SER_se-appl'!A73,FIND("(",'SER_se-appl'!A73),100)</f>
        <v>Penetration factor (unit per capita)</v>
      </c>
      <c r="B6" s="201">
        <f>'SER_se-appl'!B73</f>
        <v>8.2719015486261028E-3</v>
      </c>
      <c r="C6" s="201">
        <f>'SER_se-appl'!C73</f>
        <v>9.1241656739263436E-3</v>
      </c>
      <c r="D6" s="201">
        <f>'SER_se-appl'!D73</f>
        <v>1.0436841730832718E-2</v>
      </c>
      <c r="E6" s="201">
        <f>'SER_se-appl'!E73</f>
        <v>1.2345186943348361E-2</v>
      </c>
      <c r="F6" s="201">
        <f>'SER_se-appl'!F73</f>
        <v>1.6451649496075919E-2</v>
      </c>
      <c r="G6" s="201">
        <f>'SER_se-appl'!G73</f>
        <v>2.0459834189244356E-2</v>
      </c>
      <c r="H6" s="201">
        <f>'SER_se-appl'!H73</f>
        <v>2.5104126542486602E-2</v>
      </c>
      <c r="I6" s="201">
        <f>'SER_se-appl'!I73</f>
        <v>2.9332555616862835E-2</v>
      </c>
      <c r="J6" s="201">
        <f>'SER_se-appl'!J73</f>
        <v>3.4691871742793839E-2</v>
      </c>
      <c r="K6" s="201">
        <f>'SER_se-appl'!K73</f>
        <v>4.1453106569295031E-2</v>
      </c>
      <c r="L6" s="201">
        <f>'SER_se-appl'!L73</f>
        <v>4.7474134563923638E-2</v>
      </c>
      <c r="M6" s="201">
        <f>'SER_se-appl'!M73</f>
        <v>5.4012954861798503E-2</v>
      </c>
      <c r="N6" s="201">
        <f>'SER_se-appl'!N73</f>
        <v>6.0325067515804055E-2</v>
      </c>
      <c r="O6" s="201">
        <f>'SER_se-appl'!O73</f>
        <v>6.8187493660718246E-2</v>
      </c>
      <c r="P6" s="201">
        <f>'SER_se-appl'!P73</f>
        <v>8.0863241443466891E-2</v>
      </c>
      <c r="Q6" s="201">
        <f>'SER_se-appl'!Q73</f>
        <v>9.5814730930166014E-2</v>
      </c>
      <c r="R6" s="201">
        <f>'SER_se-appl'!R73</f>
        <v>0.10624590392030719</v>
      </c>
      <c r="S6" s="201">
        <f>'SER_se-appl'!S73</f>
        <v>0.11650583453525851</v>
      </c>
      <c r="T6" s="201">
        <f>'SER_se-appl'!T73</f>
        <v>0.12706570603150016</v>
      </c>
      <c r="U6" s="201">
        <f>'SER_se-appl'!U73</f>
        <v>0.1378648110852696</v>
      </c>
      <c r="V6" s="201">
        <f>'SER_se-appl'!V73</f>
        <v>0.1486952826365576</v>
      </c>
      <c r="W6" s="201">
        <f>'SER_se-appl'!W73</f>
        <v>0.16036796138849652</v>
      </c>
      <c r="X6" s="201">
        <f>'SER_se-appl'!X73</f>
        <v>0.16984480698896701</v>
      </c>
      <c r="Y6" s="201">
        <f>'SER_se-appl'!Y73</f>
        <v>0.17719550223199085</v>
      </c>
      <c r="DA6" s="206" t="s">
        <v>963</v>
      </c>
    </row>
    <row r="7" spans="1:105" ht="12.95" customHeight="1" x14ac:dyDescent="0.25">
      <c r="A7" s="5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DA7" s="106"/>
    </row>
    <row r="8" spans="1:105" ht="12.95" customHeight="1" x14ac:dyDescent="0.25">
      <c r="A8" s="199" t="str">
        <f>"Stock of appliances "&amp;MID('SER_se-appl'!A25,FIND("(",'SER_se-appl'!A25),100)</f>
        <v>Stock of appliances (thousand units)</v>
      </c>
      <c r="B8" s="34">
        <f>'SER_se-appl'!B25</f>
        <v>185.74956114665022</v>
      </c>
      <c r="C8" s="34">
        <f>'SER_se-appl'!C25</f>
        <v>204.65920580988086</v>
      </c>
      <c r="D8" s="34">
        <f>'SER_se-appl'!D25</f>
        <v>227.87260650382672</v>
      </c>
      <c r="E8" s="34">
        <f>'SER_se-appl'!E25</f>
        <v>266.99564172394918</v>
      </c>
      <c r="F8" s="34">
        <f>'SER_se-appl'!F25</f>
        <v>354.05828493927834</v>
      </c>
      <c r="G8" s="34">
        <f>'SER_se-appl'!G25</f>
        <v>437.47941741572583</v>
      </c>
      <c r="H8" s="34">
        <f>'SER_se-appl'!H25</f>
        <v>533.63881957966237</v>
      </c>
      <c r="I8" s="34">
        <f>'SER_se-appl'!I25</f>
        <v>619.81165445978695</v>
      </c>
      <c r="J8" s="34">
        <f>'SER_se-appl'!J25</f>
        <v>715.88273167355248</v>
      </c>
      <c r="K8" s="34">
        <f>'SER_se-appl'!K25</f>
        <v>847.31351967729552</v>
      </c>
      <c r="L8" s="34">
        <f>'SER_se-appl'!L25</f>
        <v>963.47251167417357</v>
      </c>
      <c r="M8" s="34">
        <f>'SER_se-appl'!M25</f>
        <v>1091.0108620178048</v>
      </c>
      <c r="N8" s="34">
        <f>'SER_se-appl'!N25</f>
        <v>1212.2923154973282</v>
      </c>
      <c r="O8" s="34">
        <f>'SER_se-appl'!O25</f>
        <v>1365.1186689621104</v>
      </c>
      <c r="P8" s="34">
        <f>'SER_se-appl'!P25</f>
        <v>1613.004225540923</v>
      </c>
      <c r="Q8" s="34">
        <f>'SER_se-appl'!Q25</f>
        <v>1903.9006957133106</v>
      </c>
      <c r="R8" s="34">
        <f>'SER_se-appl'!R25</f>
        <v>2099.4812153190637</v>
      </c>
      <c r="S8" s="34">
        <f>'SER_se-appl'!S25</f>
        <v>2288.6346718130567</v>
      </c>
      <c r="T8" s="34">
        <f>'SER_se-appl'!T25</f>
        <v>2482.0355545178936</v>
      </c>
      <c r="U8" s="34">
        <f>'SER_se-appl'!U25</f>
        <v>2676.5705844929012</v>
      </c>
      <c r="V8" s="34">
        <f>'SER_se-appl'!V25</f>
        <v>2874.1070294462343</v>
      </c>
      <c r="W8" s="34">
        <f>'SER_se-appl'!W25</f>
        <v>3079.3313902109608</v>
      </c>
      <c r="X8" s="34">
        <f>'SER_se-appl'!X25</f>
        <v>3234.2620940710899</v>
      </c>
      <c r="Y8" s="34">
        <f>'SER_se-appl'!Y25</f>
        <v>3376.3802026635767</v>
      </c>
      <c r="DA8" s="88" t="s">
        <v>927</v>
      </c>
    </row>
    <row r="9" spans="1:105" ht="12.95" customHeight="1" x14ac:dyDescent="0.25">
      <c r="A9" s="202" t="str">
        <f>"Number of new appliances "&amp;MID('SER_se-appl'!A33,FIND("(",'SER_se-appl'!A33),100)</f>
        <v>Number of new appliances (thousand units)</v>
      </c>
      <c r="B9" s="36"/>
      <c r="C9" s="36">
        <f>'SER_se-appl'!C33</f>
        <v>56.059556892560693</v>
      </c>
      <c r="D9" s="36">
        <f>'SER_se-appl'!D33</f>
        <v>60.363312923275913</v>
      </c>
      <c r="E9" s="36">
        <f>'SER_se-appl'!E33</f>
        <v>76.272947449452516</v>
      </c>
      <c r="F9" s="36">
        <f>'SER_se-appl'!F33</f>
        <v>124.21255544465922</v>
      </c>
      <c r="G9" s="36">
        <f>'SER_se-appl'!G33</f>
        <v>120.57104470577752</v>
      </c>
      <c r="H9" s="36">
        <f>'SER_se-appl'!H33</f>
        <v>152.21895905649723</v>
      </c>
      <c r="I9" s="36">
        <f>'SER_se-appl'!I33</f>
        <v>146.53614780340047</v>
      </c>
      <c r="J9" s="36">
        <f>'SER_se-appl'!J33</f>
        <v>172.34402466321808</v>
      </c>
      <c r="K9" s="36">
        <f>'SER_se-appl'!K33</f>
        <v>255.64334344840222</v>
      </c>
      <c r="L9" s="36">
        <f>'SER_se-appl'!L33</f>
        <v>236.73003670265553</v>
      </c>
      <c r="M9" s="36">
        <f>'SER_se-appl'!M33</f>
        <v>279.75730940012841</v>
      </c>
      <c r="N9" s="36">
        <f>'SER_se-appl'!N33</f>
        <v>267.81760128292387</v>
      </c>
      <c r="O9" s="36">
        <f>'SER_se-appl'!O33</f>
        <v>325.17037812800027</v>
      </c>
      <c r="P9" s="36">
        <f>'SER_se-appl'!P33</f>
        <v>503.52890002721483</v>
      </c>
      <c r="Q9" s="36">
        <f>'SER_se-appl'!Q33</f>
        <v>527.62650687504311</v>
      </c>
      <c r="R9" s="36">
        <f>'SER_se-appl'!R33</f>
        <v>475.33782900588153</v>
      </c>
      <c r="S9" s="36">
        <f>'SER_se-appl'!S33</f>
        <v>456.97105777691695</v>
      </c>
      <c r="T9" s="36">
        <f>'SER_se-appl'!T33</f>
        <v>518.5712608328372</v>
      </c>
      <c r="U9" s="36">
        <f>'SER_se-appl'!U33</f>
        <v>698.06393000222238</v>
      </c>
      <c r="V9" s="36">
        <f>'SER_se-appl'!V33</f>
        <v>725.16295182837621</v>
      </c>
      <c r="W9" s="36">
        <f>'SER_se-appl'!W33</f>
        <v>680.56218977060826</v>
      </c>
      <c r="X9" s="36">
        <f>'SER_se-appl'!X33</f>
        <v>611.90176163704609</v>
      </c>
      <c r="Y9" s="36">
        <f>'SER_se-appl'!Y33</f>
        <v>660.689369425324</v>
      </c>
      <c r="DA9" s="89" t="s">
        <v>933</v>
      </c>
    </row>
    <row r="10" spans="1:105" ht="12" customHeight="1" x14ac:dyDescent="0.25">
      <c r="A10" s="203" t="str">
        <f>"Number of replaced appliances "&amp;MID('SER_se-appl'!A41,FIND("(",'SER_se-appl'!A41),100)</f>
        <v>Number of replaced appliances (thousand units)</v>
      </c>
      <c r="B10" s="38"/>
      <c r="C10" s="38">
        <f>'SER_se-appl'!C41</f>
        <v>37.149912229330056</v>
      </c>
      <c r="D10" s="38">
        <f>'SER_se-appl'!D41</f>
        <v>37.149912229330027</v>
      </c>
      <c r="E10" s="38">
        <f>'SER_se-appl'!E41</f>
        <v>37.149912229330027</v>
      </c>
      <c r="F10" s="38">
        <f>'SER_se-appl'!F41</f>
        <v>37.149912229330084</v>
      </c>
      <c r="G10" s="38">
        <f>'SER_se-appl'!G41</f>
        <v>37.149912229330027</v>
      </c>
      <c r="H10" s="38">
        <f>'SER_se-appl'!H41</f>
        <v>56.059556892560749</v>
      </c>
      <c r="I10" s="38">
        <f>'SER_se-appl'!I41</f>
        <v>60.363312923275885</v>
      </c>
      <c r="J10" s="38">
        <f>'SER_se-appl'!J41</f>
        <v>76.272947449452545</v>
      </c>
      <c r="K10" s="38">
        <f>'SER_se-appl'!K41</f>
        <v>124.21255544465919</v>
      </c>
      <c r="L10" s="38">
        <f>'SER_se-appl'!L41</f>
        <v>120.57104470577747</v>
      </c>
      <c r="M10" s="38">
        <f>'SER_se-appl'!M41</f>
        <v>152.21895905649717</v>
      </c>
      <c r="N10" s="38">
        <f>'SER_se-appl'!N41</f>
        <v>146.53614780340058</v>
      </c>
      <c r="O10" s="38">
        <f>'SER_se-appl'!O41</f>
        <v>172.34402466321808</v>
      </c>
      <c r="P10" s="38">
        <f>'SER_se-appl'!P41</f>
        <v>255.64334344840222</v>
      </c>
      <c r="Q10" s="38">
        <f>'SER_se-appl'!Q41</f>
        <v>236.73003670265553</v>
      </c>
      <c r="R10" s="38">
        <f>'SER_se-appl'!R41</f>
        <v>279.75730940012863</v>
      </c>
      <c r="S10" s="38">
        <f>'SER_se-appl'!S41</f>
        <v>267.81760128292399</v>
      </c>
      <c r="T10" s="38">
        <f>'SER_se-appl'!T41</f>
        <v>325.17037812800027</v>
      </c>
      <c r="U10" s="38">
        <f>'SER_se-appl'!U41</f>
        <v>503.5289000272146</v>
      </c>
      <c r="V10" s="38">
        <f>'SER_se-appl'!V41</f>
        <v>527.62650687504311</v>
      </c>
      <c r="W10" s="38">
        <f>'SER_se-appl'!W41</f>
        <v>475.33782900588176</v>
      </c>
      <c r="X10" s="38">
        <f>'SER_se-appl'!X41</f>
        <v>456.97105777691695</v>
      </c>
      <c r="Y10" s="38">
        <f>'SER_se-appl'!Y41</f>
        <v>518.5712608328372</v>
      </c>
      <c r="DA10" s="90" t="s">
        <v>939</v>
      </c>
    </row>
    <row r="11" spans="1:105" ht="12.95" customHeight="1" x14ac:dyDescent="0.25">
      <c r="A11" s="5"/>
      <c r="B11" s="177"/>
      <c r="C11" s="177"/>
      <c r="D11" s="177"/>
      <c r="E11" s="177"/>
      <c r="F11" s="177"/>
      <c r="G11" s="177"/>
      <c r="H11" s="177"/>
      <c r="I11" s="177"/>
      <c r="J11" s="177"/>
      <c r="K11" s="177"/>
      <c r="L11" s="177"/>
      <c r="M11" s="177"/>
      <c r="N11" s="177"/>
      <c r="O11" s="177"/>
      <c r="P11" s="177"/>
      <c r="Q11" s="177"/>
      <c r="R11" s="177"/>
      <c r="S11" s="177"/>
      <c r="T11" s="177"/>
      <c r="U11" s="177"/>
      <c r="V11" s="177"/>
      <c r="W11" s="177"/>
      <c r="X11" s="177"/>
      <c r="Y11" s="177"/>
      <c r="DA11" s="207"/>
    </row>
    <row r="12" spans="1:105" ht="12" customHeight="1" x14ac:dyDescent="0.25">
      <c r="A12" s="197" t="s">
        <v>104</v>
      </c>
      <c r="B12" s="204">
        <f>'SER_se-appl'!B49</f>
        <v>2459.913045549999</v>
      </c>
      <c r="C12" s="204">
        <f>'SER_se-appl'!C49</f>
        <v>2577.2805505642204</v>
      </c>
      <c r="D12" s="204">
        <f>'SER_se-appl'!D49</f>
        <v>2679.7067496754244</v>
      </c>
      <c r="E12" s="204">
        <f>'SER_se-appl'!E49</f>
        <v>2711.5444778116475</v>
      </c>
      <c r="F12" s="204">
        <f>'SER_se-appl'!F49</f>
        <v>2611.8551867005176</v>
      </c>
      <c r="G12" s="204">
        <f>'SER_se-appl'!G49</f>
        <v>2566.1612899316424</v>
      </c>
      <c r="H12" s="204">
        <f>'SER_se-appl'!H49</f>
        <v>2520.4918995251619</v>
      </c>
      <c r="I12" s="204">
        <f>'SER_se-appl'!I49</f>
        <v>2507.0077308816799</v>
      </c>
      <c r="J12" s="204">
        <f>'SER_se-appl'!J49</f>
        <v>2496.8807085041844</v>
      </c>
      <c r="K12" s="204">
        <f>'SER_se-appl'!K49</f>
        <v>2476.6632607117103</v>
      </c>
      <c r="L12" s="204">
        <f>'SER_se-appl'!L49</f>
        <v>2484.1900378901196</v>
      </c>
      <c r="M12" s="204">
        <f>'SER_se-appl'!M49</f>
        <v>2478.8503442843275</v>
      </c>
      <c r="N12" s="204">
        <f>'SER_se-appl'!N49</f>
        <v>2466.5132548975034</v>
      </c>
      <c r="O12" s="204">
        <f>'SER_se-appl'!O49</f>
        <v>2440.3407273589933</v>
      </c>
      <c r="P12" s="204">
        <f>'SER_se-appl'!P49</f>
        <v>2393.0290893066749</v>
      </c>
      <c r="Q12" s="204">
        <f>'SER_se-appl'!Q49</f>
        <v>2346.1649170293108</v>
      </c>
      <c r="R12" s="204">
        <f>'SER_se-appl'!R49</f>
        <v>2323.0085791393849</v>
      </c>
      <c r="S12" s="204">
        <f>'SER_se-appl'!S49</f>
        <v>2319.6276526225206</v>
      </c>
      <c r="T12" s="204">
        <f>'SER_se-appl'!T49</f>
        <v>2316.837670993953</v>
      </c>
      <c r="U12" s="204">
        <f>'SER_se-appl'!U49</f>
        <v>2302.0933723643693</v>
      </c>
      <c r="V12" s="204">
        <f>'SER_se-appl'!V49</f>
        <v>2255.8157131638245</v>
      </c>
      <c r="W12" s="204">
        <f>'SER_se-appl'!W49</f>
        <v>2282.0358307519564</v>
      </c>
      <c r="X12" s="204">
        <f>'SER_se-appl'!X49</f>
        <v>2270.8022807171242</v>
      </c>
      <c r="Y12" s="204">
        <f>'SER_se-appl'!Y49</f>
        <v>2261.4358330071418</v>
      </c>
      <c r="DA12" s="208" t="s">
        <v>945</v>
      </c>
    </row>
    <row r="13" spans="1:105" ht="12.95" customHeight="1" x14ac:dyDescent="0.25">
      <c r="A13" s="4"/>
      <c r="B13" s="29"/>
      <c r="C13" s="29"/>
      <c r="D13" s="29"/>
      <c r="E13" s="29"/>
      <c r="F13" s="29"/>
      <c r="G13" s="29"/>
      <c r="H13" s="29"/>
      <c r="I13" s="29"/>
      <c r="J13" s="29"/>
      <c r="K13" s="29"/>
      <c r="L13" s="29"/>
      <c r="M13" s="29"/>
      <c r="N13" s="29"/>
      <c r="O13" s="29"/>
      <c r="P13" s="29"/>
      <c r="Q13" s="29"/>
      <c r="R13" s="29"/>
      <c r="S13" s="29"/>
      <c r="T13" s="29"/>
      <c r="U13" s="29"/>
      <c r="V13" s="29"/>
      <c r="W13" s="29"/>
      <c r="X13" s="29"/>
      <c r="Y13" s="29"/>
      <c r="DA13" s="209"/>
    </row>
    <row r="14" spans="1:105" ht="12.95" customHeight="1" x14ac:dyDescent="0.25">
      <c r="A14" s="199" t="str">
        <f>"W per appliance in average operating mode "&amp;MID('SER_se-appl'!A57,FIND("(",'SER_se-appl'!A57),100)</f>
        <v>W per appliance in average operating mode (W per appliance)</v>
      </c>
      <c r="B14" s="59">
        <f>'SER_se-appl'!B57</f>
        <v>408.77142957832103</v>
      </c>
      <c r="C14" s="59">
        <f>'SER_se-appl'!C57</f>
        <v>400.59226814944134</v>
      </c>
      <c r="D14" s="59">
        <f>'SER_se-appl'!D57</f>
        <v>390.5569330822521</v>
      </c>
      <c r="E14" s="59">
        <f>'SER_se-appl'!E57</f>
        <v>377.72014995734554</v>
      </c>
      <c r="F14" s="59">
        <f>'SER_se-appl'!F57</f>
        <v>361.24623957911859</v>
      </c>
      <c r="G14" s="59">
        <f>'SER_se-appl'!G57</f>
        <v>346.68298291776705</v>
      </c>
      <c r="H14" s="59">
        <f>'SER_se-appl'!H57</f>
        <v>331.04716550473302</v>
      </c>
      <c r="I14" s="59">
        <f>'SER_se-appl'!I57</f>
        <v>317.4284930131106</v>
      </c>
      <c r="J14" s="59">
        <f>'SER_se-appl'!J57</f>
        <v>301.28331260238167</v>
      </c>
      <c r="K14" s="59">
        <f>'SER_se-appl'!K57</f>
        <v>280.12320758237013</v>
      </c>
      <c r="L14" s="59">
        <f>'SER_se-appl'!L57</f>
        <v>262.78568931215011</v>
      </c>
      <c r="M14" s="59">
        <f>'SER_se-appl'!M57</f>
        <v>246.26777780713809</v>
      </c>
      <c r="N14" s="59">
        <f>'SER_se-appl'!N57</f>
        <v>234.07116383261257</v>
      </c>
      <c r="O14" s="59">
        <f>'SER_se-appl'!O57</f>
        <v>225.07617932723053</v>
      </c>
      <c r="P14" s="59">
        <f>'SER_se-appl'!P57</f>
        <v>217.13834735267358</v>
      </c>
      <c r="Q14" s="59">
        <f>'SER_se-appl'!Q57</f>
        <v>213.86491901123864</v>
      </c>
      <c r="R14" s="59">
        <f>'SER_se-appl'!R57</f>
        <v>211.44663588120576</v>
      </c>
      <c r="S14" s="59">
        <f>'SER_se-appl'!S57</f>
        <v>209.23418372276782</v>
      </c>
      <c r="T14" s="59">
        <f>'SER_se-appl'!T57</f>
        <v>206.07637908122814</v>
      </c>
      <c r="U14" s="59">
        <f>'SER_se-appl'!U57</f>
        <v>201.20240430590508</v>
      </c>
      <c r="V14" s="59">
        <f>'SER_se-appl'!V57</f>
        <v>195.66650280370553</v>
      </c>
      <c r="W14" s="59">
        <f>'SER_se-appl'!W57</f>
        <v>191.21415266381206</v>
      </c>
      <c r="X14" s="59">
        <f>'SER_se-appl'!X57</f>
        <v>187.60861609875184</v>
      </c>
      <c r="Y14" s="59">
        <f>'SER_se-appl'!Y57</f>
        <v>184.07551420412187</v>
      </c>
      <c r="DA14" s="104" t="s">
        <v>951</v>
      </c>
    </row>
    <row r="15" spans="1:105" ht="12" customHeight="1" x14ac:dyDescent="0.25">
      <c r="A15" s="203" t="str">
        <f>"W per new appliance in average operating mode "&amp;MID('SER_se-appl'!A57,FIND("(",'SER_se-appl'!A57),100)</f>
        <v>W per new appliance in average operating mode (W per appliance)</v>
      </c>
      <c r="B15" s="63"/>
      <c r="C15" s="63">
        <f>'SER_se-appl'!C65</f>
        <v>378.91138831125397</v>
      </c>
      <c r="D15" s="63">
        <f>'SER_se-appl'!D65</f>
        <v>367.74246694274444</v>
      </c>
      <c r="E15" s="63">
        <f>'SER_se-appl'!E65</f>
        <v>354.49305599400736</v>
      </c>
      <c r="F15" s="63">
        <f>'SER_se-appl'!F65</f>
        <v>340.04946420838752</v>
      </c>
      <c r="G15" s="63">
        <f>'SER_se-appl'!G65</f>
        <v>323.04827576475623</v>
      </c>
      <c r="H15" s="63">
        <f>'SER_se-appl'!H65</f>
        <v>303.73715631205755</v>
      </c>
      <c r="I15" s="63">
        <f>'SER_se-appl'!I65</f>
        <v>288.55961510580414</v>
      </c>
      <c r="J15" s="63">
        <f>'SER_se-appl'!J65</f>
        <v>266.76800502475339</v>
      </c>
      <c r="K15" s="63">
        <f>'SER_se-appl'!K65</f>
        <v>249.98528102207976</v>
      </c>
      <c r="L15" s="63">
        <f>'SER_se-appl'!L65</f>
        <v>231.42342229205107</v>
      </c>
      <c r="M15" s="63">
        <f>'SER_se-appl'!M65</f>
        <v>220.65048570824672</v>
      </c>
      <c r="N15" s="63">
        <f>'SER_se-appl'!N65</f>
        <v>214.19901744938647</v>
      </c>
      <c r="O15" s="63">
        <f>'SER_se-appl'!O65</f>
        <v>213.63844142799394</v>
      </c>
      <c r="P15" s="63">
        <f>'SER_se-appl'!P65</f>
        <v>212.29456842728251</v>
      </c>
      <c r="Q15" s="63">
        <f>'SER_se-appl'!Q65</f>
        <v>211.73570714263252</v>
      </c>
      <c r="R15" s="63">
        <f>'SER_se-appl'!R65</f>
        <v>207.17740556513843</v>
      </c>
      <c r="S15" s="63">
        <f>'SER_se-appl'!S65</f>
        <v>201.97916870468453</v>
      </c>
      <c r="T15" s="63">
        <f>'SER_se-appl'!T65</f>
        <v>196.88168805832623</v>
      </c>
      <c r="U15" s="63">
        <f>'SER_se-appl'!U65</f>
        <v>191.87352595346536</v>
      </c>
      <c r="V15" s="63">
        <f>'SER_se-appl'!V65</f>
        <v>186.92544267391509</v>
      </c>
      <c r="W15" s="63">
        <f>'SER_se-appl'!W65</f>
        <v>183.56078470578461</v>
      </c>
      <c r="X15" s="63">
        <f>'SER_se-appl'!X65</f>
        <v>180.19612673765414</v>
      </c>
      <c r="Y15" s="63">
        <f>'SER_se-appl'!Y65</f>
        <v>176.83146876952367</v>
      </c>
      <c r="DA15" s="105" t="s">
        <v>957</v>
      </c>
    </row>
    <row r="17" spans="1:105" ht="12" customHeight="1" x14ac:dyDescent="0.25">
      <c r="A17" s="197" t="s">
        <v>184</v>
      </c>
      <c r="B17" s="198">
        <v>7.701455729101454</v>
      </c>
      <c r="C17" s="198">
        <v>9.309716610055121</v>
      </c>
      <c r="D17" s="198">
        <v>10.927082352227213</v>
      </c>
      <c r="E17" s="198">
        <v>12.505399835351522</v>
      </c>
      <c r="F17" s="198">
        <v>14.015463525496495</v>
      </c>
      <c r="G17" s="198">
        <v>15.40291145820291</v>
      </c>
      <c r="H17" s="198">
        <v>16.589013033821352</v>
      </c>
      <c r="I17" s="198">
        <v>17.653436976622341</v>
      </c>
      <c r="J17" s="198">
        <v>18.646176939554202</v>
      </c>
      <c r="K17" s="198">
        <v>19.595225678035046</v>
      </c>
      <c r="L17" s="198">
        <v>20.537215277603874</v>
      </c>
      <c r="M17" s="198">
        <v>20.999290943516243</v>
      </c>
      <c r="N17" s="198">
        <v>21.253452837710611</v>
      </c>
      <c r="O17" s="198">
        <v>21.507614731904997</v>
      </c>
      <c r="P17" s="198">
        <v>21.761776626099362</v>
      </c>
      <c r="Q17" s="198">
        <v>22.015938520293751</v>
      </c>
      <c r="R17" s="198">
        <v>22.270100414488144</v>
      </c>
      <c r="S17" s="198">
        <v>22.52426230868252</v>
      </c>
      <c r="T17" s="198">
        <v>22.778424202876895</v>
      </c>
      <c r="U17" s="198">
        <v>23.032586097071292</v>
      </c>
      <c r="V17" s="198">
        <v>23.286747991265678</v>
      </c>
      <c r="W17" s="198">
        <v>23.540909885460067</v>
      </c>
      <c r="X17" s="198">
        <v>23.795071779654432</v>
      </c>
      <c r="Y17" s="198">
        <v>23.841319902130842</v>
      </c>
      <c r="DA17" s="205" t="s">
        <v>965</v>
      </c>
    </row>
  </sheetData>
  <pageMargins left="0.39370078740157483" right="0.39370078740157483" top="0.39370078740157483" bottom="0.39370078740157483" header="0.31496062992125984" footer="0.31496062992125984"/>
  <pageSetup paperSize="9" scale="60" orientation="landscape" horizontalDpi="1200" verticalDpi="1200" r:id="rId1"/>
  <headerFooter alignWithMargins="0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9">
    <tabColor theme="2" tint="-0.499984740745262"/>
    <pageSetUpPr fitToPage="1"/>
  </sheetPr>
  <dimension ref="A1:DA34"/>
  <sheetViews>
    <sheetView showGridLines="0" zoomScaleNormal="100" workbookViewId="0">
      <pane xSplit="1" ySplit="1" topLeftCell="E2" activePane="bottomRight" state="frozen"/>
      <selection activeCell="CY1" sqref="X1:CY1048576"/>
      <selection pane="topRight" activeCell="CY1" sqref="X1:CY1048576"/>
      <selection pane="bottomLeft" activeCell="CY1" sqref="X1:CY1048576"/>
      <selection pane="bottomRight" activeCell="DA2" sqref="DA2"/>
    </sheetView>
  </sheetViews>
  <sheetFormatPr defaultRowHeight="11.25" x14ac:dyDescent="0.25"/>
  <cols>
    <col min="1" max="1" width="50.7109375" style="1" customWidth="1"/>
    <col min="2" max="25" width="9.7109375" style="1" customWidth="1"/>
    <col min="26" max="103" width="9.140625" style="1" hidden="1" customWidth="1"/>
    <col min="104" max="104" width="2.7109375" style="1" customWidth="1"/>
    <col min="105" max="105" width="9.7109375" style="7" customWidth="1"/>
    <col min="106" max="16384" width="9.140625" style="1"/>
  </cols>
  <sheetData>
    <row r="1" spans="1:105" ht="12.75" x14ac:dyDescent="0.25">
      <c r="A1" s="28" t="s">
        <v>973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X1" s="27">
        <v>2022</v>
      </c>
      <c r="Y1" s="27">
        <v>2023</v>
      </c>
      <c r="DA1" s="27" t="s">
        <v>150</v>
      </c>
    </row>
    <row r="2" spans="1:105" x14ac:dyDescent="0.25">
      <c r="A2" s="6"/>
    </row>
    <row r="3" spans="1:105" x14ac:dyDescent="0.25">
      <c r="A3" s="218" t="s">
        <v>179</v>
      </c>
      <c r="B3" s="219">
        <v>15826.34918955124</v>
      </c>
      <c r="C3" s="219">
        <v>20184.033485501732</v>
      </c>
      <c r="D3" s="219">
        <v>18371.641386867352</v>
      </c>
      <c r="E3" s="219">
        <v>19981.61790405483</v>
      </c>
      <c r="F3" s="219">
        <v>23442.561342750821</v>
      </c>
      <c r="G3" s="219">
        <v>16473.889454124532</v>
      </c>
      <c r="H3" s="219">
        <v>16403.189566849938</v>
      </c>
      <c r="I3" s="219">
        <v>12338.111375178851</v>
      </c>
      <c r="J3" s="219">
        <v>15375.672877375569</v>
      </c>
      <c r="K3" s="219">
        <v>14068.63308061201</v>
      </c>
      <c r="L3" s="219">
        <v>11474.02685634529</v>
      </c>
      <c r="M3" s="219">
        <v>13907.375355480061</v>
      </c>
      <c r="N3" s="219">
        <v>10835.72473807496</v>
      </c>
      <c r="O3" s="219">
        <v>13241.055334002171</v>
      </c>
      <c r="P3" s="219">
        <v>12345.59023983187</v>
      </c>
      <c r="Q3" s="219">
        <v>11413.451725999999</v>
      </c>
      <c r="R3" s="219">
        <v>11165.881128723961</v>
      </c>
      <c r="S3" s="219">
        <v>12388.55334158531</v>
      </c>
      <c r="T3" s="219">
        <v>13266.98946244595</v>
      </c>
      <c r="U3" s="219">
        <v>13158.702800795631</v>
      </c>
      <c r="V3" s="219">
        <v>11988.704108135011</v>
      </c>
      <c r="W3" s="219">
        <v>14326.65920220917</v>
      </c>
      <c r="X3" s="219">
        <v>12042.861954696529</v>
      </c>
      <c r="Y3" s="219">
        <v>12576.6</v>
      </c>
      <c r="DA3" s="210" t="s">
        <v>974</v>
      </c>
    </row>
    <row r="5" spans="1:105" x14ac:dyDescent="0.25">
      <c r="A5" s="218" t="s">
        <v>120</v>
      </c>
      <c r="B5" s="219">
        <v>3707.225097702606</v>
      </c>
      <c r="C5" s="219">
        <v>2775.5083492122171</v>
      </c>
      <c r="D5" s="219">
        <v>2500.597916667889</v>
      </c>
      <c r="E5" s="219">
        <v>2068.499764891078</v>
      </c>
      <c r="F5" s="219">
        <v>2163.386718443634</v>
      </c>
      <c r="G5" s="219">
        <v>2010.078349975126</v>
      </c>
      <c r="H5" s="219">
        <v>2125.8371084922728</v>
      </c>
      <c r="I5" s="219">
        <v>2247.2872224294701</v>
      </c>
      <c r="J5" s="219">
        <v>2380.0003660683501</v>
      </c>
      <c r="K5" s="219">
        <v>2762.898751310287</v>
      </c>
      <c r="L5" s="219">
        <v>3060.7480195137141</v>
      </c>
      <c r="M5" s="219">
        <v>3806.7412289365898</v>
      </c>
      <c r="N5" s="219">
        <v>4214.0801126490269</v>
      </c>
      <c r="O5" s="219">
        <v>4022.1065343437931</v>
      </c>
      <c r="P5" s="219">
        <v>3686.8578106479349</v>
      </c>
      <c r="Q5" s="219">
        <v>3940.8821289441112</v>
      </c>
      <c r="R5" s="219">
        <v>3846.5618421360832</v>
      </c>
      <c r="S5" s="219">
        <v>4554.476773464763</v>
      </c>
      <c r="T5" s="219">
        <v>4920.2335444671253</v>
      </c>
      <c r="U5" s="219">
        <v>4875.8712089305363</v>
      </c>
      <c r="V5" s="219">
        <v>4386.9570986472099</v>
      </c>
      <c r="W5" s="219">
        <v>4903.3533388255446</v>
      </c>
      <c r="X5" s="219">
        <v>5610.4206202396699</v>
      </c>
      <c r="Y5" s="219">
        <v>5324.3097170908604</v>
      </c>
      <c r="DA5" s="210" t="s">
        <v>975</v>
      </c>
    </row>
    <row r="6" spans="1:105" x14ac:dyDescent="0.25">
      <c r="A6" s="220" t="s">
        <v>119</v>
      </c>
      <c r="B6" s="221">
        <v>4634.0313721282564</v>
      </c>
      <c r="C6" s="221">
        <v>4402.3298035218431</v>
      </c>
      <c r="D6" s="221">
        <v>4402.3298035218431</v>
      </c>
      <c r="E6" s="221">
        <v>4170.6282349154299</v>
      </c>
      <c r="F6" s="221">
        <v>3938.926666309017</v>
      </c>
      <c r="G6" s="221">
        <v>3938.926666309017</v>
      </c>
      <c r="H6" s="221">
        <v>3707.2250977026042</v>
      </c>
      <c r="I6" s="221">
        <v>3475.5235290961909</v>
      </c>
      <c r="J6" s="221">
        <v>3475.5235290961909</v>
      </c>
      <c r="K6" s="221">
        <v>3243.821960489779</v>
      </c>
      <c r="L6" s="221">
        <v>3243.821960489779</v>
      </c>
      <c r="M6" s="221">
        <v>4170.6282349154299</v>
      </c>
      <c r="N6" s="221">
        <v>4634.0313721282546</v>
      </c>
      <c r="O6" s="221">
        <v>4402.3298035218422</v>
      </c>
      <c r="P6" s="221">
        <v>4402.3298035218422</v>
      </c>
      <c r="Q6" s="221">
        <v>4170.6282349154289</v>
      </c>
      <c r="R6" s="221">
        <v>4170.6282349154289</v>
      </c>
      <c r="S6" s="221">
        <v>4865.7329407346679</v>
      </c>
      <c r="T6" s="221">
        <v>5329.1360779474944</v>
      </c>
      <c r="U6" s="221">
        <v>5329.1360779474944</v>
      </c>
      <c r="V6" s="221">
        <v>5329.1360779474944</v>
      </c>
      <c r="W6" s="221">
        <v>5329.1360779474944</v>
      </c>
      <c r="X6" s="221">
        <v>6024.2407837667324</v>
      </c>
      <c r="Y6" s="221">
        <v>6024.2407837667324</v>
      </c>
      <c r="DA6" s="211" t="s">
        <v>976</v>
      </c>
    </row>
    <row r="7" spans="1:105" x14ac:dyDescent="0.25">
      <c r="A7" s="224" t="s">
        <v>118</v>
      </c>
      <c r="B7" s="225"/>
      <c r="C7" s="225">
        <v>0</v>
      </c>
      <c r="D7" s="225">
        <v>0</v>
      </c>
      <c r="E7" s="225">
        <v>0</v>
      </c>
      <c r="F7" s="225">
        <v>0</v>
      </c>
      <c r="G7" s="225">
        <v>0</v>
      </c>
      <c r="H7" s="225">
        <v>0</v>
      </c>
      <c r="I7" s="225">
        <v>0</v>
      </c>
      <c r="J7" s="225">
        <v>0</v>
      </c>
      <c r="K7" s="225">
        <v>0</v>
      </c>
      <c r="L7" s="225">
        <v>231.70156860641279</v>
      </c>
      <c r="M7" s="225">
        <v>926.8062744256514</v>
      </c>
      <c r="N7" s="225">
        <v>695.10470581923857</v>
      </c>
      <c r="O7" s="225">
        <v>0</v>
      </c>
      <c r="P7" s="225">
        <v>0</v>
      </c>
      <c r="Q7" s="225">
        <v>0</v>
      </c>
      <c r="R7" s="225">
        <v>231.70156860641279</v>
      </c>
      <c r="S7" s="225">
        <v>695.10470581923892</v>
      </c>
      <c r="T7" s="225">
        <v>695.10470581923857</v>
      </c>
      <c r="U7" s="225">
        <v>231.70156860641279</v>
      </c>
      <c r="V7" s="225">
        <v>0</v>
      </c>
      <c r="W7" s="225">
        <v>231.70156860641279</v>
      </c>
      <c r="X7" s="225">
        <v>926.8062744256514</v>
      </c>
      <c r="Y7" s="225">
        <v>0</v>
      </c>
      <c r="DA7" s="212" t="s">
        <v>977</v>
      </c>
    </row>
    <row r="8" spans="1:105" x14ac:dyDescent="0.25">
      <c r="A8" s="226" t="s">
        <v>117</v>
      </c>
      <c r="B8" s="227"/>
      <c r="C8" s="227">
        <f t="shared" ref="C8" si="0">IF(B6=0,0,B6+C7-C6)</f>
        <v>231.70156860641328</v>
      </c>
      <c r="D8" s="227">
        <f t="shared" ref="D8" si="1">IF(C6=0,0,C6+D7-D6)</f>
        <v>0</v>
      </c>
      <c r="E8" s="227">
        <f t="shared" ref="E8" si="2">IF(D6=0,0,D6+E7-E6)</f>
        <v>231.70156860641328</v>
      </c>
      <c r="F8" s="227">
        <f t="shared" ref="F8" si="3">IF(E6=0,0,E6+F7-F6)</f>
        <v>231.70156860641282</v>
      </c>
      <c r="G8" s="227">
        <f t="shared" ref="G8" si="4">IF(F6=0,0,F6+G7-G6)</f>
        <v>0</v>
      </c>
      <c r="H8" s="227">
        <f t="shared" ref="H8" si="5">IF(G6=0,0,G6+H7-H6)</f>
        <v>231.70156860641282</v>
      </c>
      <c r="I8" s="227">
        <f t="shared" ref="I8" si="6">IF(H6=0,0,H6+I7-I6)</f>
        <v>231.70156860641328</v>
      </c>
      <c r="J8" s="227">
        <f t="shared" ref="J8" si="7">IF(I6=0,0,I6+J7-J6)</f>
        <v>0</v>
      </c>
      <c r="K8" s="227">
        <f t="shared" ref="K8" si="8">IF(J6=0,0,J6+K7-K6)</f>
        <v>231.70156860641191</v>
      </c>
      <c r="L8" s="227">
        <f t="shared" ref="L8" si="9">IF(K6=0,0,K6+L7-L6)</f>
        <v>231.70156860641282</v>
      </c>
      <c r="M8" s="227">
        <f t="shared" ref="M8" si="10">IF(L6=0,0,L6+M7-M6)</f>
        <v>9.0949470177292824E-13</v>
      </c>
      <c r="N8" s="227">
        <f t="shared" ref="N8" si="11">IF(M6=0,0,M6+N7-N6)</f>
        <v>231.70156860641418</v>
      </c>
      <c r="O8" s="227">
        <f t="shared" ref="O8" si="12">IF(N6=0,0,N6+O7-O6)</f>
        <v>231.70156860641237</v>
      </c>
      <c r="P8" s="227">
        <f t="shared" ref="P8" si="13">IF(O6=0,0,O6+P7-P6)</f>
        <v>0</v>
      </c>
      <c r="Q8" s="227">
        <f t="shared" ref="Q8" si="14">IF(P6=0,0,P6+Q7-Q6)</f>
        <v>231.70156860641328</v>
      </c>
      <c r="R8" s="227">
        <f t="shared" ref="R8" si="15">IF(Q6=0,0,Q6+R7-R6)</f>
        <v>231.70156860641237</v>
      </c>
      <c r="S8" s="227">
        <f t="shared" ref="S8" si="16">IF(R6=0,0,R6+S7-S6)</f>
        <v>0</v>
      </c>
      <c r="T8" s="227">
        <f t="shared" ref="T8" si="17">IF(S6=0,0,S6+T7-T6)</f>
        <v>231.70156860641237</v>
      </c>
      <c r="U8" s="227">
        <f t="shared" ref="U8" si="18">IF(T6=0,0,T6+U7-U6)</f>
        <v>231.70156860641237</v>
      </c>
      <c r="V8" s="227">
        <f t="shared" ref="V8" si="19">IF(U6=0,0,U6+V7-V6)</f>
        <v>0</v>
      </c>
      <c r="W8" s="227">
        <f t="shared" ref="W8" si="20">IF(V6=0,0,V6+W7-W6)</f>
        <v>231.70156860641237</v>
      </c>
      <c r="X8" s="227">
        <f t="shared" ref="X8" si="21">IF(W6=0,0,W6+X7-X6)</f>
        <v>231.70156860641328</v>
      </c>
      <c r="Y8" s="227">
        <f t="shared" ref="Y8" si="22">IF(X6=0,0,X6+Y7-Y6)</f>
        <v>0</v>
      </c>
      <c r="DA8" s="213" t="s">
        <v>978</v>
      </c>
    </row>
    <row r="9" spans="1:105" x14ac:dyDescent="0.25">
      <c r="A9" s="222" t="s">
        <v>116</v>
      </c>
      <c r="B9" s="223">
        <f>B6-B5</f>
        <v>926.80627442565037</v>
      </c>
      <c r="C9" s="223">
        <f t="shared" ref="C9:W9" si="23">C6-C5</f>
        <v>1626.821454309626</v>
      </c>
      <c r="D9" s="223">
        <f t="shared" si="23"/>
        <v>1901.7318868539542</v>
      </c>
      <c r="E9" s="223">
        <f t="shared" si="23"/>
        <v>2102.1284700243518</v>
      </c>
      <c r="F9" s="223">
        <f t="shared" si="23"/>
        <v>1775.5399478653831</v>
      </c>
      <c r="G9" s="223">
        <f t="shared" si="23"/>
        <v>1928.848316333891</v>
      </c>
      <c r="H9" s="223">
        <f t="shared" si="23"/>
        <v>1581.3879892103314</v>
      </c>
      <c r="I9" s="223">
        <f t="shared" si="23"/>
        <v>1228.2363066667208</v>
      </c>
      <c r="J9" s="223">
        <f t="shared" si="23"/>
        <v>1095.5231630278408</v>
      </c>
      <c r="K9" s="223">
        <f t="shared" si="23"/>
        <v>480.92320917949201</v>
      </c>
      <c r="L9" s="223">
        <f t="shared" si="23"/>
        <v>183.07394097606493</v>
      </c>
      <c r="M9" s="223">
        <f t="shared" si="23"/>
        <v>363.88700597884008</v>
      </c>
      <c r="N9" s="223">
        <f t="shared" si="23"/>
        <v>419.9512594792277</v>
      </c>
      <c r="O9" s="223">
        <f t="shared" si="23"/>
        <v>380.22326917804912</v>
      </c>
      <c r="P9" s="223">
        <f t="shared" si="23"/>
        <v>715.47199287390731</v>
      </c>
      <c r="Q9" s="223">
        <f t="shared" si="23"/>
        <v>229.74610597131777</v>
      </c>
      <c r="R9" s="223">
        <f t="shared" si="23"/>
        <v>324.06639277934573</v>
      </c>
      <c r="S9" s="223">
        <f t="shared" si="23"/>
        <v>311.25616726990484</v>
      </c>
      <c r="T9" s="223">
        <f t="shared" si="23"/>
        <v>408.90253348036913</v>
      </c>
      <c r="U9" s="223">
        <f t="shared" si="23"/>
        <v>453.26486901695807</v>
      </c>
      <c r="V9" s="223">
        <f t="shared" si="23"/>
        <v>942.17897930028448</v>
      </c>
      <c r="W9" s="223">
        <f t="shared" si="23"/>
        <v>425.78273912194982</v>
      </c>
      <c r="X9" s="223">
        <f t="shared" ref="X9:Y9" si="24">X6-X5</f>
        <v>413.8201635270625</v>
      </c>
      <c r="Y9" s="223">
        <f t="shared" si="24"/>
        <v>699.93106667587199</v>
      </c>
      <c r="DA9" s="214" t="s">
        <v>979</v>
      </c>
    </row>
    <row r="10" spans="1:105" x14ac:dyDescent="0.25">
      <c r="B10" s="215"/>
      <c r="C10" s="215"/>
      <c r="D10" s="215"/>
      <c r="E10" s="215"/>
      <c r="F10" s="215"/>
      <c r="G10" s="215"/>
      <c r="H10" s="215"/>
      <c r="I10" s="215"/>
      <c r="J10" s="215"/>
      <c r="K10" s="215"/>
      <c r="L10" s="215"/>
      <c r="M10" s="215"/>
      <c r="N10" s="215"/>
      <c r="O10" s="215"/>
      <c r="P10" s="215"/>
      <c r="Q10" s="215"/>
      <c r="R10" s="215"/>
      <c r="S10" s="215"/>
      <c r="T10" s="215"/>
      <c r="U10" s="215"/>
      <c r="V10" s="215"/>
      <c r="W10" s="215"/>
      <c r="X10" s="215"/>
      <c r="Y10" s="215"/>
    </row>
    <row r="11" spans="1:105" x14ac:dyDescent="0.25">
      <c r="A11" s="218" t="s">
        <v>115</v>
      </c>
      <c r="B11" s="230"/>
      <c r="C11" s="230"/>
      <c r="D11" s="230"/>
      <c r="E11" s="230"/>
      <c r="F11" s="230"/>
      <c r="G11" s="230"/>
      <c r="H11" s="230"/>
      <c r="I11" s="230"/>
      <c r="J11" s="230"/>
      <c r="K11" s="230"/>
      <c r="L11" s="230"/>
      <c r="M11" s="230"/>
      <c r="N11" s="230"/>
      <c r="O11" s="230"/>
      <c r="P11" s="230"/>
      <c r="Q11" s="230"/>
      <c r="R11" s="230"/>
      <c r="S11" s="230"/>
      <c r="T11" s="230"/>
      <c r="U11" s="230"/>
      <c r="V11" s="230"/>
      <c r="W11" s="230"/>
      <c r="X11" s="230"/>
      <c r="Y11" s="230"/>
      <c r="DA11" s="210"/>
    </row>
    <row r="12" spans="1:105" x14ac:dyDescent="0.25">
      <c r="A12" s="228" t="s">
        <v>114</v>
      </c>
      <c r="B12" s="229">
        <f>SUM(B13,B14,B18,B19,B26,B27)</f>
        <v>416.95795356835765</v>
      </c>
      <c r="C12" s="229">
        <f t="shared" ref="C12:W12" si="25">SUM(C13,C14,C18,C19,C26,C27)</f>
        <v>304.80472914875315</v>
      </c>
      <c r="D12" s="229">
        <f t="shared" si="25"/>
        <v>284.59071367153905</v>
      </c>
      <c r="E12" s="229">
        <f t="shared" si="25"/>
        <v>247.26405846947549</v>
      </c>
      <c r="F12" s="229">
        <f t="shared" si="25"/>
        <v>253.77858985382628</v>
      </c>
      <c r="G12" s="229">
        <f t="shared" si="25"/>
        <v>269.94153052450554</v>
      </c>
      <c r="H12" s="229">
        <f t="shared" si="25"/>
        <v>276.48048151332762</v>
      </c>
      <c r="I12" s="229">
        <f t="shared" si="25"/>
        <v>264.76345657781599</v>
      </c>
      <c r="J12" s="229">
        <f t="shared" si="25"/>
        <v>293.9209802235597</v>
      </c>
      <c r="K12" s="229">
        <f t="shared" si="25"/>
        <v>380.8202923473774</v>
      </c>
      <c r="L12" s="229">
        <f t="shared" si="25"/>
        <v>393.23319002579535</v>
      </c>
      <c r="M12" s="229">
        <f t="shared" si="25"/>
        <v>441.66311263972472</v>
      </c>
      <c r="N12" s="229">
        <f t="shared" si="25"/>
        <v>498.57695614789321</v>
      </c>
      <c r="O12" s="229">
        <f t="shared" si="25"/>
        <v>474.18555460017194</v>
      </c>
      <c r="P12" s="229">
        <f t="shared" si="25"/>
        <v>421.08581255374025</v>
      </c>
      <c r="Q12" s="229">
        <f t="shared" si="25"/>
        <v>459.81143594153048</v>
      </c>
      <c r="R12" s="229">
        <f t="shared" si="25"/>
        <v>455.48099742046423</v>
      </c>
      <c r="S12" s="229">
        <f t="shared" si="25"/>
        <v>497.62149613069647</v>
      </c>
      <c r="T12" s="229">
        <f t="shared" si="25"/>
        <v>566.02132416165091</v>
      </c>
      <c r="U12" s="229">
        <f t="shared" si="25"/>
        <v>557.3634565778159</v>
      </c>
      <c r="V12" s="229">
        <f t="shared" si="25"/>
        <v>530.92175408426476</v>
      </c>
      <c r="W12" s="229">
        <f t="shared" si="25"/>
        <v>566.89105760963025</v>
      </c>
      <c r="X12" s="229">
        <f t="shared" ref="X12:Y12" si="26">SUM(X13,X14,X18,X19,X26,X27)</f>
        <v>555.0193465176269</v>
      </c>
      <c r="Y12" s="229">
        <f t="shared" si="26"/>
        <v>539.7727429062769</v>
      </c>
      <c r="DA12" s="210" t="s">
        <v>980</v>
      </c>
    </row>
    <row r="13" spans="1:105" x14ac:dyDescent="0.25">
      <c r="A13" s="58" t="s">
        <v>29</v>
      </c>
      <c r="B13" s="59">
        <v>0.20997420464316419</v>
      </c>
      <c r="C13" s="59">
        <v>0.17110920034393809</v>
      </c>
      <c r="D13" s="59">
        <v>3.1298366294067064</v>
      </c>
      <c r="E13" s="59">
        <v>4.3602751504729147</v>
      </c>
      <c r="F13" s="59">
        <v>18.916595012897677</v>
      </c>
      <c r="G13" s="59">
        <v>13.302579535683575</v>
      </c>
      <c r="H13" s="59">
        <v>6.2435941530524506</v>
      </c>
      <c r="I13" s="59">
        <v>5.0386930352536554</v>
      </c>
      <c r="J13" s="59">
        <v>8.3978503869303527</v>
      </c>
      <c r="K13" s="59">
        <v>8.8177128116938945</v>
      </c>
      <c r="L13" s="59">
        <v>7.9779019776440236</v>
      </c>
      <c r="M13" s="59">
        <v>7.9779019776440236</v>
      </c>
      <c r="N13" s="59">
        <v>0.41986242476354252</v>
      </c>
      <c r="O13" s="59">
        <v>7.9779019776440236</v>
      </c>
      <c r="P13" s="59">
        <v>6.9282029234737754</v>
      </c>
      <c r="Q13" s="59">
        <v>8.1878761822871873</v>
      </c>
      <c r="R13" s="59">
        <v>9.4475494411006018</v>
      </c>
      <c r="S13" s="59">
        <v>11.835941530524508</v>
      </c>
      <c r="T13" s="59">
        <v>14.926655202063634</v>
      </c>
      <c r="U13" s="59">
        <v>14.678761822871879</v>
      </c>
      <c r="V13" s="59">
        <v>16.340670679277732</v>
      </c>
      <c r="W13" s="59">
        <v>17.648065348237317</v>
      </c>
      <c r="X13" s="59">
        <v>18.051934651762679</v>
      </c>
      <c r="Y13" s="59">
        <v>14.789337919174544</v>
      </c>
      <c r="DA13" s="9" t="s">
        <v>981</v>
      </c>
    </row>
    <row r="14" spans="1:105" x14ac:dyDescent="0.25">
      <c r="A14" s="60" t="s">
        <v>28</v>
      </c>
      <c r="B14" s="55">
        <f>SUM(B15:B17)</f>
        <v>262.36990541702488</v>
      </c>
      <c r="C14" s="55">
        <f t="shared" ref="C14:W14" si="27">SUM(C15:C17)</f>
        <v>175.8503009458297</v>
      </c>
      <c r="D14" s="55">
        <f t="shared" si="27"/>
        <v>155.17583834909712</v>
      </c>
      <c r="E14" s="55">
        <f t="shared" si="27"/>
        <v>128.44170249355116</v>
      </c>
      <c r="F14" s="55">
        <f t="shared" si="27"/>
        <v>133.74178847807391</v>
      </c>
      <c r="G14" s="55">
        <f t="shared" si="27"/>
        <v>161.38950988822009</v>
      </c>
      <c r="H14" s="55">
        <f t="shared" si="27"/>
        <v>174.21848667239902</v>
      </c>
      <c r="I14" s="55">
        <f t="shared" si="27"/>
        <v>129.99570077386068</v>
      </c>
      <c r="J14" s="55">
        <f t="shared" si="27"/>
        <v>162.28822012037827</v>
      </c>
      <c r="K14" s="55">
        <f t="shared" si="27"/>
        <v>235.05073086844362</v>
      </c>
      <c r="L14" s="55">
        <f t="shared" si="27"/>
        <v>228.81840068787616</v>
      </c>
      <c r="M14" s="55">
        <f t="shared" si="27"/>
        <v>276.266638005159</v>
      </c>
      <c r="N14" s="55">
        <f t="shared" si="27"/>
        <v>316.14935511607894</v>
      </c>
      <c r="O14" s="55">
        <f t="shared" si="27"/>
        <v>261.69819432502152</v>
      </c>
      <c r="P14" s="55">
        <f t="shared" si="27"/>
        <v>253.13000859845224</v>
      </c>
      <c r="Q14" s="55">
        <f t="shared" si="27"/>
        <v>279.0311263972485</v>
      </c>
      <c r="R14" s="55">
        <f t="shared" si="27"/>
        <v>293.26517626827166</v>
      </c>
      <c r="S14" s="55">
        <f t="shared" si="27"/>
        <v>296.26036113499572</v>
      </c>
      <c r="T14" s="55">
        <f t="shared" si="27"/>
        <v>363.43955288048153</v>
      </c>
      <c r="U14" s="55">
        <f t="shared" si="27"/>
        <v>355.80326741186576</v>
      </c>
      <c r="V14" s="55">
        <f t="shared" si="27"/>
        <v>347.21152192605331</v>
      </c>
      <c r="W14" s="55">
        <f t="shared" si="27"/>
        <v>379.80791057609628</v>
      </c>
      <c r="X14" s="55">
        <f t="shared" ref="X14:Y14" si="28">SUM(X15:X17)</f>
        <v>398.12115219260539</v>
      </c>
      <c r="Y14" s="55">
        <f t="shared" si="28"/>
        <v>410.01831470335344</v>
      </c>
      <c r="DA14" s="10"/>
    </row>
    <row r="15" spans="1:105" x14ac:dyDescent="0.25">
      <c r="A15" s="61" t="s">
        <v>52</v>
      </c>
      <c r="B15" s="55">
        <v>1.129750644883921</v>
      </c>
      <c r="C15" s="55">
        <v>1.129750644883921</v>
      </c>
      <c r="D15" s="55">
        <v>0</v>
      </c>
      <c r="E15" s="55">
        <v>0</v>
      </c>
      <c r="F15" s="55">
        <v>1.129750644883921</v>
      </c>
      <c r="G15" s="55">
        <v>1.149699054170249</v>
      </c>
      <c r="H15" s="55">
        <v>4.5992261392949274</v>
      </c>
      <c r="I15" s="55">
        <v>4.5987962166809977</v>
      </c>
      <c r="J15" s="55">
        <v>37.940412725709372</v>
      </c>
      <c r="K15" s="55">
        <v>36.796044711951843</v>
      </c>
      <c r="L15" s="55">
        <v>26.44333619948409</v>
      </c>
      <c r="M15" s="55">
        <v>19.54505588993981</v>
      </c>
      <c r="N15" s="55">
        <v>5.7485812553740319</v>
      </c>
      <c r="O15" s="55">
        <v>9.197678417884779</v>
      </c>
      <c r="P15" s="55">
        <v>5.7485812553740319</v>
      </c>
      <c r="Q15" s="55">
        <v>9.197678417884779</v>
      </c>
      <c r="R15" s="55">
        <v>11.49707652622528</v>
      </c>
      <c r="S15" s="55">
        <v>12.461306964746351</v>
      </c>
      <c r="T15" s="55">
        <v>12.62106620808254</v>
      </c>
      <c r="U15" s="55">
        <v>8.2347377472055019</v>
      </c>
      <c r="V15" s="55">
        <v>8.5830610490111781</v>
      </c>
      <c r="W15" s="55">
        <v>7.4919174548581253</v>
      </c>
      <c r="X15" s="55">
        <v>8.0128116938950971</v>
      </c>
      <c r="Y15" s="55">
        <v>5.9247635425623386</v>
      </c>
      <c r="DA15" s="10" t="s">
        <v>982</v>
      </c>
    </row>
    <row r="16" spans="1:105" x14ac:dyDescent="0.25">
      <c r="A16" s="61" t="s">
        <v>165</v>
      </c>
      <c r="B16" s="55">
        <v>248.54307824591569</v>
      </c>
      <c r="C16" s="55">
        <v>170.48822012037829</v>
      </c>
      <c r="D16" s="55">
        <v>152.00154772141011</v>
      </c>
      <c r="E16" s="55">
        <v>123.24445399828031</v>
      </c>
      <c r="F16" s="55">
        <v>128.3797076526225</v>
      </c>
      <c r="G16" s="55">
        <v>112.9741186586414</v>
      </c>
      <c r="H16" s="55">
        <v>142.75821152192611</v>
      </c>
      <c r="I16" s="55">
        <v>119.13637145313839</v>
      </c>
      <c r="J16" s="55">
        <v>112.9741186586414</v>
      </c>
      <c r="K16" s="55">
        <v>194.11006018916589</v>
      </c>
      <c r="L16" s="55">
        <v>198.2182287188306</v>
      </c>
      <c r="M16" s="55">
        <v>253.67824591573509</v>
      </c>
      <c r="N16" s="55">
        <v>300.00859845227848</v>
      </c>
      <c r="O16" s="55">
        <v>247.3043852106621</v>
      </c>
      <c r="P16" s="55">
        <v>244.26380051590709</v>
      </c>
      <c r="Q16" s="55">
        <v>260.48048151332762</v>
      </c>
      <c r="R16" s="55">
        <v>277.71066208082539</v>
      </c>
      <c r="S16" s="55">
        <v>279.66474634565776</v>
      </c>
      <c r="T16" s="55">
        <v>345.79845227858988</v>
      </c>
      <c r="U16" s="55">
        <v>340.43104041272562</v>
      </c>
      <c r="V16" s="55">
        <v>333.24582975064487</v>
      </c>
      <c r="W16" s="55">
        <v>364.98753224419602</v>
      </c>
      <c r="X16" s="55">
        <v>385.6568357695615</v>
      </c>
      <c r="Y16" s="55">
        <v>398.19346517626832</v>
      </c>
      <c r="DA16" s="10" t="s">
        <v>983</v>
      </c>
    </row>
    <row r="17" spans="1:105" x14ac:dyDescent="0.25">
      <c r="A17" s="61" t="s">
        <v>113</v>
      </c>
      <c r="B17" s="55">
        <v>12.697076526225279</v>
      </c>
      <c r="C17" s="55">
        <v>4.232330180567498</v>
      </c>
      <c r="D17" s="55">
        <v>3.1742906276870162</v>
      </c>
      <c r="E17" s="55">
        <v>5.1972484952708511</v>
      </c>
      <c r="F17" s="55">
        <v>4.232330180567498</v>
      </c>
      <c r="G17" s="55">
        <v>47.265692175408425</v>
      </c>
      <c r="H17" s="55">
        <v>26.861049011177979</v>
      </c>
      <c r="I17" s="55">
        <v>6.2605331040412722</v>
      </c>
      <c r="J17" s="55">
        <v>11.373688736027514</v>
      </c>
      <c r="K17" s="55">
        <v>4.1446259673258812</v>
      </c>
      <c r="L17" s="55">
        <v>4.1568357695614786</v>
      </c>
      <c r="M17" s="55">
        <v>3.0433361994840924</v>
      </c>
      <c r="N17" s="55">
        <v>10.39217540842648</v>
      </c>
      <c r="O17" s="55">
        <v>5.1961306964746337</v>
      </c>
      <c r="P17" s="55">
        <v>3.1176268271711089</v>
      </c>
      <c r="Q17" s="55">
        <v>9.3529664660361131</v>
      </c>
      <c r="R17" s="55">
        <v>4.0574376612209804</v>
      </c>
      <c r="S17" s="55">
        <v>4.1343078245915725</v>
      </c>
      <c r="T17" s="55">
        <v>5.0200343938091141</v>
      </c>
      <c r="U17" s="55">
        <v>7.1374892519346513</v>
      </c>
      <c r="V17" s="55">
        <v>5.3826311263972482</v>
      </c>
      <c r="W17" s="55">
        <v>7.3284608770421329</v>
      </c>
      <c r="X17" s="55">
        <v>4.4515047291487537</v>
      </c>
      <c r="Y17" s="55">
        <v>5.9000859845227858</v>
      </c>
      <c r="DA17" s="10" t="s">
        <v>984</v>
      </c>
    </row>
    <row r="18" spans="1:105" x14ac:dyDescent="0.25">
      <c r="A18" s="60" t="s">
        <v>149</v>
      </c>
      <c r="B18" s="55">
        <v>21.302665520206361</v>
      </c>
      <c r="C18" s="55">
        <v>15.15477214101462</v>
      </c>
      <c r="D18" s="55">
        <v>32.738607050730863</v>
      </c>
      <c r="E18" s="55">
        <v>22.678417884780739</v>
      </c>
      <c r="F18" s="55">
        <v>34.41530524505589</v>
      </c>
      <c r="G18" s="55">
        <v>36.263972484952703</v>
      </c>
      <c r="H18" s="55">
        <v>29.686156491831468</v>
      </c>
      <c r="I18" s="55">
        <v>25.12897678417885</v>
      </c>
      <c r="J18" s="55">
        <v>47.592433361994843</v>
      </c>
      <c r="K18" s="55">
        <v>62.446259673258808</v>
      </c>
      <c r="L18" s="55">
        <v>73.495270851246772</v>
      </c>
      <c r="M18" s="55">
        <v>56.276870163370589</v>
      </c>
      <c r="N18" s="55">
        <v>74.871023215821154</v>
      </c>
      <c r="O18" s="55">
        <v>62.725709372312984</v>
      </c>
      <c r="P18" s="55">
        <v>60.210662080825443</v>
      </c>
      <c r="Q18" s="55">
        <v>67.390369733447983</v>
      </c>
      <c r="R18" s="55">
        <v>68.422184006878766</v>
      </c>
      <c r="S18" s="55">
        <v>107.99974204643168</v>
      </c>
      <c r="T18" s="55">
        <v>112.7897678417885</v>
      </c>
      <c r="U18" s="55">
        <v>104.93078245915738</v>
      </c>
      <c r="V18" s="55">
        <v>102.21410146173686</v>
      </c>
      <c r="W18" s="55">
        <v>108.28779019776439</v>
      </c>
      <c r="X18" s="55">
        <v>79.246775580395521</v>
      </c>
      <c r="Y18" s="55">
        <v>60.236887360275148</v>
      </c>
      <c r="DA18" s="10" t="s">
        <v>985</v>
      </c>
    </row>
    <row r="19" spans="1:105" x14ac:dyDescent="0.25">
      <c r="A19" s="60" t="s">
        <v>51</v>
      </c>
      <c r="B19" s="55">
        <f>SUM(B20:B25)</f>
        <v>22.164918314703353</v>
      </c>
      <c r="C19" s="55">
        <f t="shared" ref="C19:W19" si="29">SUM(C20:C25)</f>
        <v>20.421324161650901</v>
      </c>
      <c r="D19" s="55">
        <f t="shared" si="29"/>
        <v>9.6971625107480648</v>
      </c>
      <c r="E19" s="55">
        <f t="shared" si="29"/>
        <v>6.8548581255374028</v>
      </c>
      <c r="F19" s="55">
        <f t="shared" si="29"/>
        <v>6.3772141014617372</v>
      </c>
      <c r="G19" s="55">
        <f t="shared" si="29"/>
        <v>3.964918314703354</v>
      </c>
      <c r="H19" s="55">
        <f t="shared" si="29"/>
        <v>7.8341358555460019</v>
      </c>
      <c r="I19" s="55">
        <f t="shared" si="29"/>
        <v>37.737575236457431</v>
      </c>
      <c r="J19" s="55">
        <f t="shared" si="29"/>
        <v>13.757523645743769</v>
      </c>
      <c r="K19" s="55">
        <f t="shared" si="29"/>
        <v>10.342046431642304</v>
      </c>
      <c r="L19" s="55">
        <f t="shared" si="29"/>
        <v>7.2131556319862424</v>
      </c>
      <c r="M19" s="55">
        <f t="shared" si="29"/>
        <v>11.727343078245916</v>
      </c>
      <c r="N19" s="55">
        <f t="shared" si="29"/>
        <v>6.2099742046431636</v>
      </c>
      <c r="O19" s="55">
        <f t="shared" si="29"/>
        <v>44.114875322441961</v>
      </c>
      <c r="P19" s="55">
        <f t="shared" si="29"/>
        <v>6.4250214961306957</v>
      </c>
      <c r="Q19" s="55">
        <f t="shared" si="29"/>
        <v>8.7895098882201204</v>
      </c>
      <c r="R19" s="55">
        <f t="shared" si="29"/>
        <v>7.2131556319862424</v>
      </c>
      <c r="S19" s="55">
        <f t="shared" si="29"/>
        <v>8.1484092863284605</v>
      </c>
      <c r="T19" s="55">
        <f t="shared" si="29"/>
        <v>5.4061049011177982</v>
      </c>
      <c r="U19" s="55">
        <f t="shared" si="29"/>
        <v>9.1291487532244187</v>
      </c>
      <c r="V19" s="55">
        <f t="shared" si="29"/>
        <v>9.9377472055030101</v>
      </c>
      <c r="W19" s="55">
        <f t="shared" si="29"/>
        <v>7.5265692175408425</v>
      </c>
      <c r="X19" s="55">
        <f t="shared" ref="X19:Y19" si="30">SUM(X20:X25)</f>
        <v>9.929750644883919</v>
      </c>
      <c r="Y19" s="55">
        <f t="shared" si="30"/>
        <v>7.6006878761822874</v>
      </c>
      <c r="DA19" s="10"/>
    </row>
    <row r="20" spans="1:105" x14ac:dyDescent="0.25">
      <c r="A20" s="61" t="s">
        <v>164</v>
      </c>
      <c r="B20" s="55">
        <v>22.164918314703353</v>
      </c>
      <c r="C20" s="55">
        <v>20.421324161650901</v>
      </c>
      <c r="D20" s="55">
        <v>9.6971625107480648</v>
      </c>
      <c r="E20" s="55">
        <v>6.8548581255374028</v>
      </c>
      <c r="F20" s="55">
        <v>6.3772141014617372</v>
      </c>
      <c r="G20" s="55">
        <v>3.964918314703354</v>
      </c>
      <c r="H20" s="55">
        <v>7.8341358555460019</v>
      </c>
      <c r="I20" s="55">
        <v>37.355460017196897</v>
      </c>
      <c r="J20" s="55">
        <v>13.39922613929493</v>
      </c>
      <c r="K20" s="55">
        <v>9.9837489251934652</v>
      </c>
      <c r="L20" s="55">
        <v>6.8071367153912297</v>
      </c>
      <c r="M20" s="55">
        <v>4.7530524505588989</v>
      </c>
      <c r="N20" s="55">
        <v>5.3979363714531381</v>
      </c>
      <c r="O20" s="55">
        <v>38.287016337059327</v>
      </c>
      <c r="P20" s="55">
        <v>6.1622527944969896</v>
      </c>
      <c r="Q20" s="55">
        <v>7.5236457437661217</v>
      </c>
      <c r="R20" s="55">
        <v>5.1112639724849522</v>
      </c>
      <c r="S20" s="55">
        <v>6.0687876182287184</v>
      </c>
      <c r="T20" s="55">
        <v>5.2185726569217534</v>
      </c>
      <c r="U20" s="55">
        <v>8.9541702493551156</v>
      </c>
      <c r="V20" s="55">
        <v>9.9353396388650044</v>
      </c>
      <c r="W20" s="55">
        <v>7.3368873602751501</v>
      </c>
      <c r="X20" s="55">
        <v>9.8100601891659487</v>
      </c>
      <c r="Y20" s="55">
        <v>7.5027515047291491</v>
      </c>
      <c r="DA20" s="10" t="s">
        <v>986</v>
      </c>
    </row>
    <row r="21" spans="1:105" x14ac:dyDescent="0.25">
      <c r="A21" s="61" t="s">
        <v>50</v>
      </c>
      <c r="B21" s="55">
        <v>0</v>
      </c>
      <c r="C21" s="55">
        <v>0</v>
      </c>
      <c r="D21" s="55">
        <v>0</v>
      </c>
      <c r="E21" s="55">
        <v>0</v>
      </c>
      <c r="F21" s="55">
        <v>0</v>
      </c>
      <c r="G21" s="55">
        <v>0</v>
      </c>
      <c r="H21" s="55">
        <v>0</v>
      </c>
      <c r="I21" s="55">
        <v>0.3821152192605331</v>
      </c>
      <c r="J21" s="55">
        <v>0.35829750644883918</v>
      </c>
      <c r="K21" s="55">
        <v>0.35829750644883918</v>
      </c>
      <c r="L21" s="55">
        <v>0.40601891659501288</v>
      </c>
      <c r="M21" s="55">
        <v>6.974290627687016</v>
      </c>
      <c r="N21" s="55">
        <v>0.81203783319002576</v>
      </c>
      <c r="O21" s="55">
        <v>4.6575236457437663</v>
      </c>
      <c r="P21" s="55">
        <v>0</v>
      </c>
      <c r="Q21" s="55">
        <v>1.026999140154772</v>
      </c>
      <c r="R21" s="55">
        <v>1.982459157351677</v>
      </c>
      <c r="S21" s="55">
        <v>1.743680137575236</v>
      </c>
      <c r="T21" s="55">
        <v>0</v>
      </c>
      <c r="U21" s="55">
        <v>0</v>
      </c>
      <c r="V21" s="55">
        <v>0</v>
      </c>
      <c r="W21" s="55">
        <v>0</v>
      </c>
      <c r="X21" s="55">
        <v>0</v>
      </c>
      <c r="Y21" s="55">
        <v>0</v>
      </c>
      <c r="DA21" s="10" t="s">
        <v>987</v>
      </c>
    </row>
    <row r="22" spans="1:105" x14ac:dyDescent="0.25">
      <c r="A22" s="61" t="s">
        <v>49</v>
      </c>
      <c r="B22" s="55">
        <v>0</v>
      </c>
      <c r="C22" s="55">
        <v>0</v>
      </c>
      <c r="D22" s="55">
        <v>0</v>
      </c>
      <c r="E22" s="55">
        <v>0</v>
      </c>
      <c r="F22" s="55">
        <v>0</v>
      </c>
      <c r="G22" s="55">
        <v>0</v>
      </c>
      <c r="H22" s="55">
        <v>0</v>
      </c>
      <c r="I22" s="55">
        <v>0</v>
      </c>
      <c r="J22" s="55">
        <v>0</v>
      </c>
      <c r="K22" s="55">
        <v>0</v>
      </c>
      <c r="L22" s="55">
        <v>0</v>
      </c>
      <c r="M22" s="55">
        <v>0</v>
      </c>
      <c r="N22" s="55">
        <v>0</v>
      </c>
      <c r="O22" s="55">
        <v>0</v>
      </c>
      <c r="P22" s="55">
        <v>0</v>
      </c>
      <c r="Q22" s="55">
        <v>0</v>
      </c>
      <c r="R22" s="55">
        <v>0</v>
      </c>
      <c r="S22" s="55">
        <v>0</v>
      </c>
      <c r="T22" s="55">
        <v>0</v>
      </c>
      <c r="U22" s="55">
        <v>0</v>
      </c>
      <c r="V22" s="55">
        <v>0</v>
      </c>
      <c r="W22" s="55">
        <v>0</v>
      </c>
      <c r="X22" s="55">
        <v>0</v>
      </c>
      <c r="Y22" s="55">
        <v>0</v>
      </c>
      <c r="DA22" s="10" t="s">
        <v>988</v>
      </c>
    </row>
    <row r="23" spans="1:105" x14ac:dyDescent="0.25">
      <c r="A23" s="61" t="s">
        <v>26</v>
      </c>
      <c r="B23" s="55">
        <v>0</v>
      </c>
      <c r="C23" s="55">
        <v>0</v>
      </c>
      <c r="D23" s="55">
        <v>0</v>
      </c>
      <c r="E23" s="55">
        <v>0</v>
      </c>
      <c r="F23" s="55">
        <v>0</v>
      </c>
      <c r="G23" s="55">
        <v>0</v>
      </c>
      <c r="H23" s="55">
        <v>0</v>
      </c>
      <c r="I23" s="55">
        <v>0</v>
      </c>
      <c r="J23" s="55">
        <v>0</v>
      </c>
      <c r="K23" s="55">
        <v>0</v>
      </c>
      <c r="L23" s="55">
        <v>0</v>
      </c>
      <c r="M23" s="55">
        <v>0</v>
      </c>
      <c r="N23" s="55">
        <v>0</v>
      </c>
      <c r="O23" s="55">
        <v>0</v>
      </c>
      <c r="P23" s="55">
        <v>0</v>
      </c>
      <c r="Q23" s="55">
        <v>0</v>
      </c>
      <c r="R23" s="55">
        <v>0</v>
      </c>
      <c r="S23" s="55">
        <v>0</v>
      </c>
      <c r="T23" s="55">
        <v>0</v>
      </c>
      <c r="U23" s="55">
        <v>0</v>
      </c>
      <c r="V23" s="55">
        <v>0</v>
      </c>
      <c r="W23" s="55">
        <v>0</v>
      </c>
      <c r="X23" s="55">
        <v>0</v>
      </c>
      <c r="Y23" s="55">
        <v>0</v>
      </c>
      <c r="DA23" s="10" t="s">
        <v>989</v>
      </c>
    </row>
    <row r="24" spans="1:105" x14ac:dyDescent="0.25">
      <c r="A24" s="61" t="s">
        <v>25</v>
      </c>
      <c r="B24" s="55">
        <v>0</v>
      </c>
      <c r="C24" s="55">
        <v>0</v>
      </c>
      <c r="D24" s="55">
        <v>0</v>
      </c>
      <c r="E24" s="55">
        <v>0</v>
      </c>
      <c r="F24" s="55">
        <v>0</v>
      </c>
      <c r="G24" s="55">
        <v>0</v>
      </c>
      <c r="H24" s="55">
        <v>0</v>
      </c>
      <c r="I24" s="55">
        <v>0</v>
      </c>
      <c r="J24" s="55">
        <v>0</v>
      </c>
      <c r="K24" s="55">
        <v>0</v>
      </c>
      <c r="L24" s="55">
        <v>0</v>
      </c>
      <c r="M24" s="55">
        <v>0</v>
      </c>
      <c r="N24" s="55">
        <v>0</v>
      </c>
      <c r="O24" s="55">
        <v>1.1703353396388649</v>
      </c>
      <c r="P24" s="55">
        <v>0.26276870163370591</v>
      </c>
      <c r="Q24" s="55">
        <v>0.23886500429922611</v>
      </c>
      <c r="R24" s="55">
        <v>0.1194325021496131</v>
      </c>
      <c r="S24" s="55">
        <v>0.33594153052450559</v>
      </c>
      <c r="T24" s="55">
        <v>0.1875322441960447</v>
      </c>
      <c r="U24" s="55">
        <v>0.1749785038693035</v>
      </c>
      <c r="V24" s="55">
        <v>2.407566638005159E-3</v>
      </c>
      <c r="W24" s="55">
        <v>0.1896818572656922</v>
      </c>
      <c r="X24" s="55">
        <v>0.1196904557179708</v>
      </c>
      <c r="Y24" s="55">
        <v>9.7936371453138424E-2</v>
      </c>
      <c r="DA24" s="10" t="s">
        <v>990</v>
      </c>
    </row>
    <row r="25" spans="1:105" x14ac:dyDescent="0.25">
      <c r="A25" s="61" t="s">
        <v>151</v>
      </c>
      <c r="B25" s="55">
        <v>0</v>
      </c>
      <c r="C25" s="55">
        <v>0</v>
      </c>
      <c r="D25" s="55">
        <v>0</v>
      </c>
      <c r="E25" s="55">
        <v>0</v>
      </c>
      <c r="F25" s="55">
        <v>0</v>
      </c>
      <c r="G25" s="55">
        <v>0</v>
      </c>
      <c r="H25" s="55">
        <v>0</v>
      </c>
      <c r="I25" s="55">
        <v>0</v>
      </c>
      <c r="J25" s="55">
        <v>0</v>
      </c>
      <c r="K25" s="55">
        <v>0</v>
      </c>
      <c r="L25" s="55">
        <v>0</v>
      </c>
      <c r="M25" s="55">
        <v>0</v>
      </c>
      <c r="N25" s="55">
        <v>0</v>
      </c>
      <c r="O25" s="55">
        <v>0</v>
      </c>
      <c r="P25" s="55">
        <v>0</v>
      </c>
      <c r="Q25" s="55">
        <v>0</v>
      </c>
      <c r="R25" s="55">
        <v>0</v>
      </c>
      <c r="S25" s="55">
        <v>0</v>
      </c>
      <c r="T25" s="55">
        <v>0</v>
      </c>
      <c r="U25" s="55">
        <v>0</v>
      </c>
      <c r="V25" s="55">
        <v>0</v>
      </c>
      <c r="W25" s="55">
        <v>0</v>
      </c>
      <c r="X25" s="55">
        <v>0</v>
      </c>
      <c r="Y25" s="55">
        <v>0</v>
      </c>
      <c r="DA25" s="10" t="s">
        <v>991</v>
      </c>
    </row>
    <row r="26" spans="1:105" x14ac:dyDescent="0.25">
      <c r="A26" s="60" t="s">
        <v>162</v>
      </c>
      <c r="B26" s="55">
        <v>58.373946689595869</v>
      </c>
      <c r="C26" s="55">
        <v>52.020636285468612</v>
      </c>
      <c r="D26" s="55">
        <v>47.649785038693032</v>
      </c>
      <c r="E26" s="55">
        <v>55.43611349957007</v>
      </c>
      <c r="F26" s="55">
        <v>28.255460017196899</v>
      </c>
      <c r="G26" s="55">
        <v>26.559673258813412</v>
      </c>
      <c r="H26" s="55">
        <v>20.49294926913155</v>
      </c>
      <c r="I26" s="55">
        <v>18.367239896818571</v>
      </c>
      <c r="J26" s="55">
        <v>14.16354256233878</v>
      </c>
      <c r="K26" s="55">
        <v>21.6871883061049</v>
      </c>
      <c r="L26" s="55">
        <v>18.032846087704211</v>
      </c>
      <c r="M26" s="55">
        <v>23.980137575236451</v>
      </c>
      <c r="N26" s="55">
        <v>30.333447979363719</v>
      </c>
      <c r="O26" s="55">
        <v>26.98959587274291</v>
      </c>
      <c r="P26" s="55">
        <v>20.875150472914871</v>
      </c>
      <c r="Q26" s="55">
        <v>17.220808254514189</v>
      </c>
      <c r="R26" s="55">
        <v>13.160447119518491</v>
      </c>
      <c r="S26" s="55">
        <v>9.6141014617368867</v>
      </c>
      <c r="T26" s="55">
        <v>4.730094582975064</v>
      </c>
      <c r="U26" s="55">
        <v>8.0549441100601893</v>
      </c>
      <c r="V26" s="55">
        <v>9.0731728288907991</v>
      </c>
      <c r="W26" s="55">
        <v>7.0933791917454849</v>
      </c>
      <c r="X26" s="55">
        <v>3.646775580395528</v>
      </c>
      <c r="Y26" s="55">
        <v>3.8280309544282032</v>
      </c>
      <c r="DA26" s="10" t="s">
        <v>992</v>
      </c>
    </row>
    <row r="27" spans="1:105" x14ac:dyDescent="0.25">
      <c r="A27" s="62" t="s">
        <v>24</v>
      </c>
      <c r="B27" s="63">
        <v>52.536543422184003</v>
      </c>
      <c r="C27" s="63">
        <v>41.186586414445387</v>
      </c>
      <c r="D27" s="63">
        <v>36.19948409286328</v>
      </c>
      <c r="E27" s="63">
        <v>29.492691315563199</v>
      </c>
      <c r="F27" s="63">
        <v>32.072226999140163</v>
      </c>
      <c r="G27" s="63">
        <v>28.46087704213241</v>
      </c>
      <c r="H27" s="63">
        <v>38.005159071367153</v>
      </c>
      <c r="I27" s="63">
        <v>48.495270851246772</v>
      </c>
      <c r="J27" s="63">
        <v>47.721410146173689</v>
      </c>
      <c r="K27" s="63">
        <v>42.476354256233883</v>
      </c>
      <c r="L27" s="63">
        <v>57.695614789337917</v>
      </c>
      <c r="M27" s="63">
        <v>65.434221840068787</v>
      </c>
      <c r="N27" s="63">
        <v>70.5932932072227</v>
      </c>
      <c r="O27" s="63">
        <v>70.679277730008593</v>
      </c>
      <c r="P27" s="63">
        <v>73.516766981943249</v>
      </c>
      <c r="Q27" s="63">
        <v>79.191745485812547</v>
      </c>
      <c r="R27" s="63">
        <v>63.972484952708513</v>
      </c>
      <c r="S27" s="63">
        <v>63.762940670679264</v>
      </c>
      <c r="T27" s="63">
        <v>64.729148753224422</v>
      </c>
      <c r="U27" s="63">
        <v>64.766552020636269</v>
      </c>
      <c r="V27" s="63">
        <v>46.144539982803089</v>
      </c>
      <c r="W27" s="63">
        <v>46.527343078245906</v>
      </c>
      <c r="X27" s="63">
        <v>46.022957867583827</v>
      </c>
      <c r="Y27" s="63">
        <v>43.299484092863288</v>
      </c>
      <c r="DA27" s="11" t="s">
        <v>993</v>
      </c>
    </row>
    <row r="29" spans="1:105" x14ac:dyDescent="0.25">
      <c r="A29" s="218" t="s">
        <v>84</v>
      </c>
      <c r="B29" s="219">
        <v>974.98938671999986</v>
      </c>
      <c r="C29" s="219">
        <v>678.31751855077482</v>
      </c>
      <c r="D29" s="219">
        <v>605.22043544767268</v>
      </c>
      <c r="E29" s="219">
        <v>501.03370034171127</v>
      </c>
      <c r="F29" s="219">
        <v>601.60759658171116</v>
      </c>
      <c r="G29" s="219">
        <v>643.91799580955524</v>
      </c>
      <c r="H29" s="219">
        <v>642.35987825291966</v>
      </c>
      <c r="I29" s="219">
        <v>481.30252079999991</v>
      </c>
      <c r="J29" s="219">
        <v>633.44047259999991</v>
      </c>
      <c r="K29" s="219">
        <v>897.35260703999984</v>
      </c>
      <c r="L29" s="219">
        <v>904.89686700000004</v>
      </c>
      <c r="M29" s="219">
        <v>1015.3866791999998</v>
      </c>
      <c r="N29" s="219">
        <v>1153.8111640799998</v>
      </c>
      <c r="O29" s="219">
        <v>989.34185676000004</v>
      </c>
      <c r="P29" s="219">
        <v>954.20150267999975</v>
      </c>
      <c r="Q29" s="219">
        <v>1054.1683909200001</v>
      </c>
      <c r="R29" s="219">
        <v>1106.6645358000001</v>
      </c>
      <c r="S29" s="219">
        <v>1218.9522215810325</v>
      </c>
      <c r="T29" s="219">
        <v>1452.0725386367417</v>
      </c>
      <c r="U29" s="219">
        <v>1410.6604508595467</v>
      </c>
      <c r="V29" s="219">
        <v>1385.2420185087208</v>
      </c>
      <c r="W29" s="219">
        <v>1506.5709716509887</v>
      </c>
      <c r="X29" s="219">
        <v>1496.9638654227999</v>
      </c>
      <c r="Y29" s="219">
        <v>1475.5890173195744</v>
      </c>
      <c r="DA29" s="8"/>
    </row>
    <row r="31" spans="1:105" x14ac:dyDescent="0.25">
      <c r="A31" s="33" t="s">
        <v>183</v>
      </c>
      <c r="B31" s="59">
        <f t="shared" ref="B31:Y31" si="31">IF(B$12=0,"",B$12/B$3*1000)</f>
        <v>26.345807777553571</v>
      </c>
      <c r="C31" s="59">
        <f t="shared" si="31"/>
        <v>15.101279403232041</v>
      </c>
      <c r="D31" s="59">
        <f t="shared" si="31"/>
        <v>15.490761422927282</v>
      </c>
      <c r="E31" s="59">
        <f t="shared" si="31"/>
        <v>12.37457645605858</v>
      </c>
      <c r="F31" s="59">
        <f t="shared" si="31"/>
        <v>10.825548716429086</v>
      </c>
      <c r="G31" s="59">
        <f t="shared" si="31"/>
        <v>16.386022941104589</v>
      </c>
      <c r="H31" s="59">
        <f t="shared" si="31"/>
        <v>16.85528783207392</v>
      </c>
      <c r="I31" s="59">
        <f t="shared" si="31"/>
        <v>21.458993887058995</v>
      </c>
      <c r="J31" s="59">
        <f t="shared" si="31"/>
        <v>19.115975123017073</v>
      </c>
      <c r="K31" s="59">
        <f t="shared" si="31"/>
        <v>27.068748624355415</v>
      </c>
      <c r="L31" s="59">
        <f t="shared" si="31"/>
        <v>34.271594005232103</v>
      </c>
      <c r="M31" s="59">
        <f t="shared" si="31"/>
        <v>31.757474099215408</v>
      </c>
      <c r="N31" s="59">
        <f t="shared" si="31"/>
        <v>46.01233126529835</v>
      </c>
      <c r="O31" s="59">
        <f t="shared" si="31"/>
        <v>35.811764443162943</v>
      </c>
      <c r="P31" s="59">
        <f t="shared" si="31"/>
        <v>34.108196074347823</v>
      </c>
      <c r="Q31" s="59">
        <f t="shared" si="31"/>
        <v>40.286799031538699</v>
      </c>
      <c r="R31" s="59">
        <f t="shared" si="31"/>
        <v>40.792212649367215</v>
      </c>
      <c r="S31" s="59">
        <f t="shared" si="31"/>
        <v>40.167845462658192</v>
      </c>
      <c r="T31" s="59">
        <f t="shared" si="31"/>
        <v>42.663885862263818</v>
      </c>
      <c r="U31" s="59">
        <f t="shared" si="31"/>
        <v>42.357021434066837</v>
      </c>
      <c r="V31" s="59">
        <f t="shared" si="31"/>
        <v>44.285166211084018</v>
      </c>
      <c r="W31" s="59">
        <f t="shared" si="31"/>
        <v>39.568963678721111</v>
      </c>
      <c r="X31" s="59">
        <f t="shared" si="31"/>
        <v>46.086997310566865</v>
      </c>
      <c r="Y31" s="59">
        <f t="shared" si="31"/>
        <v>42.918812946764376</v>
      </c>
      <c r="DA31" s="211"/>
    </row>
    <row r="32" spans="1:105" x14ac:dyDescent="0.25">
      <c r="A32" s="35" t="s">
        <v>112</v>
      </c>
      <c r="B32" s="55">
        <f t="shared" ref="B32:Y32" si="32">IF(B$12=0,"",B$12/B$5*1000)</f>
        <v>112.47171201628666</v>
      </c>
      <c r="C32" s="55">
        <f t="shared" si="32"/>
        <v>109.81942433546166</v>
      </c>
      <c r="D32" s="55">
        <f t="shared" si="32"/>
        <v>113.80906613357637</v>
      </c>
      <c r="E32" s="55">
        <f t="shared" si="32"/>
        <v>119.53787119840248</v>
      </c>
      <c r="F32" s="55">
        <f t="shared" si="32"/>
        <v>117.30616060932351</v>
      </c>
      <c r="G32" s="55">
        <f t="shared" si="32"/>
        <v>134.29403412451359</v>
      </c>
      <c r="H32" s="55">
        <f t="shared" si="32"/>
        <v>130.05722800154638</v>
      </c>
      <c r="I32" s="55">
        <f t="shared" si="32"/>
        <v>117.81469406104162</v>
      </c>
      <c r="J32" s="55">
        <f t="shared" si="32"/>
        <v>123.49619118298854</v>
      </c>
      <c r="K32" s="55">
        <f t="shared" si="32"/>
        <v>137.83360398812147</v>
      </c>
      <c r="L32" s="55">
        <f t="shared" si="32"/>
        <v>128.47617233393538</v>
      </c>
      <c r="M32" s="55">
        <f t="shared" si="32"/>
        <v>116.02131221383361</v>
      </c>
      <c r="N32" s="55">
        <f t="shared" si="32"/>
        <v>118.31216844961239</v>
      </c>
      <c r="O32" s="55">
        <f t="shared" si="32"/>
        <v>117.89482713876829</v>
      </c>
      <c r="P32" s="55">
        <f t="shared" si="32"/>
        <v>114.21265320772918</v>
      </c>
      <c r="Q32" s="55">
        <f t="shared" si="32"/>
        <v>116.67728719019787</v>
      </c>
      <c r="R32" s="55">
        <f t="shared" si="32"/>
        <v>118.41249825520165</v>
      </c>
      <c r="S32" s="55">
        <f t="shared" si="32"/>
        <v>109.25986032686185</v>
      </c>
      <c r="T32" s="55">
        <f t="shared" si="32"/>
        <v>115.03952384499109</v>
      </c>
      <c r="U32" s="55">
        <f t="shared" si="32"/>
        <v>114.31053707016737</v>
      </c>
      <c r="V32" s="55">
        <f t="shared" si="32"/>
        <v>121.02278233994656</v>
      </c>
      <c r="W32" s="55">
        <f t="shared" si="32"/>
        <v>115.61293230102248</v>
      </c>
      <c r="X32" s="55">
        <f t="shared" si="32"/>
        <v>98.926512660278433</v>
      </c>
      <c r="Y32" s="55">
        <f t="shared" si="32"/>
        <v>101.37891512464499</v>
      </c>
      <c r="DA32" s="216"/>
    </row>
    <row r="33" spans="1:105" x14ac:dyDescent="0.25">
      <c r="A33" s="35" t="s">
        <v>111</v>
      </c>
      <c r="B33" s="55">
        <f>IF(AGR_ued!B$5=0,"",AGR_ued!B$5/B$5*1000)</f>
        <v>46.248588715366111</v>
      </c>
      <c r="C33" s="55">
        <f>IF(AGR_ued!C$5=0,"",AGR_ued!C$5/C$5*1000)</f>
        <v>46.156966691684424</v>
      </c>
      <c r="D33" s="55">
        <f>IF(AGR_ued!D$5=0,"",AGR_ued!D$5/D$5*1000)</f>
        <v>48.038328324495346</v>
      </c>
      <c r="E33" s="55">
        <f>IF(AGR_ued!E$5=0,"",AGR_ued!E$5/E$5*1000)</f>
        <v>51.84553513751603</v>
      </c>
      <c r="F33" s="55">
        <f>IF(AGR_ued!F$5=0,"",AGR_ued!F$5/F$5*1000)</f>
        <v>47.715873881442434</v>
      </c>
      <c r="G33" s="55">
        <f>IF(AGR_ued!G$5=0,"",AGR_ued!G$5/G$5*1000)</f>
        <v>52.912213361129346</v>
      </c>
      <c r="H33" s="55">
        <f>IF(AGR_ued!H$5=0,"",AGR_ued!H$5/H$5*1000)</f>
        <v>51.815726097708946</v>
      </c>
      <c r="I33" s="55">
        <f>IF(AGR_ued!I$5=0,"",AGR_ued!I$5/I$5*1000)</f>
        <v>47.545771362070035</v>
      </c>
      <c r="J33" s="55">
        <f>IF(AGR_ued!J$5=0,"",AGR_ued!J$5/J$5*1000)</f>
        <v>49.501956878262448</v>
      </c>
      <c r="K33" s="55">
        <f>IF(AGR_ued!K$5=0,"",AGR_ued!K$5/K$5*1000)</f>
        <v>54.546327487226648</v>
      </c>
      <c r="L33" s="55">
        <f>IF(AGR_ued!L$5=0,"",AGR_ued!L$5/L$5*1000)</f>
        <v>51.737604588009944</v>
      </c>
      <c r="M33" s="55">
        <f>IF(AGR_ued!M$5=0,"",AGR_ued!M$5/M$5*1000)</f>
        <v>46.81084732108917</v>
      </c>
      <c r="N33" s="55">
        <f>IF(AGR_ued!N$5=0,"",AGR_ued!N$5/N$5*1000)</f>
        <v>47.850703408354676</v>
      </c>
      <c r="O33" s="55">
        <f>IF(AGR_ued!O$5=0,"",AGR_ued!O$5/O$5*1000)</f>
        <v>47.169797445837482</v>
      </c>
      <c r="P33" s="55">
        <f>IF(AGR_ued!P$5=0,"",AGR_ued!P$5/P$5*1000)</f>
        <v>46.639512941264933</v>
      </c>
      <c r="Q33" s="55">
        <f>IF(AGR_ued!Q$5=0,"",AGR_ued!Q$5/Q$5*1000)</f>
        <v>47.252202927746708</v>
      </c>
      <c r="R33" s="55">
        <f>IF(AGR_ued!R$5=0,"",AGR_ued!R$5/R$5*1000)</f>
        <v>47.07352017382059</v>
      </c>
      <c r="S33" s="55">
        <f>IF(AGR_ued!S$5=0,"",AGR_ued!S$5/S$5*1000)</f>
        <v>43.302047531024897</v>
      </c>
      <c r="T33" s="55">
        <f>IF(AGR_ued!T$5=0,"",AGR_ued!T$5/T$5*1000)</f>
        <v>44.968000179698926</v>
      </c>
      <c r="U33" s="55">
        <f>IF(AGR_ued!U$5=0,"",AGR_ued!U$5/U$5*1000)</f>
        <v>44.72969843537976</v>
      </c>
      <c r="V33" s="55">
        <f>IF(AGR_ued!V$5=0,"",AGR_ued!V$5/V$5*1000)</f>
        <v>46.812483916984057</v>
      </c>
      <c r="W33" s="55">
        <f>IF(AGR_ued!W$5=0,"",AGR_ued!W$5/W$5*1000)</f>
        <v>44.560010737665152</v>
      </c>
      <c r="X33" s="55">
        <f>IF(AGR_ued!X$5=0,"",AGR_ued!X$5/X$5*1000)</f>
        <v>37.795655585363036</v>
      </c>
      <c r="Y33" s="55">
        <f>IF(AGR_ued!Y$5=0,"",AGR_ued!Y$5/Y$5*1000)</f>
        <v>38.597888147159878</v>
      </c>
      <c r="DA33" s="216"/>
    </row>
    <row r="34" spans="1:105" x14ac:dyDescent="0.25">
      <c r="A34" s="37" t="s">
        <v>110</v>
      </c>
      <c r="B34" s="217">
        <f t="shared" ref="B34:Y34" si="33">IF(B$12=0,"",B$29/B$12)</f>
        <v>2.3383398214999067</v>
      </c>
      <c r="C34" s="217">
        <f t="shared" si="33"/>
        <v>2.2254166477178807</v>
      </c>
      <c r="D34" s="217">
        <f t="shared" si="33"/>
        <v>2.1266345188838067</v>
      </c>
      <c r="E34" s="217">
        <f t="shared" si="33"/>
        <v>2.0263102670199169</v>
      </c>
      <c r="F34" s="217">
        <f t="shared" si="33"/>
        <v>2.3706002816401126</v>
      </c>
      <c r="G34" s="217">
        <f t="shared" si="33"/>
        <v>2.3853980325235646</v>
      </c>
      <c r="H34" s="217">
        <f t="shared" si="33"/>
        <v>2.323346207793533</v>
      </c>
      <c r="I34" s="217">
        <f t="shared" si="33"/>
        <v>1.8178585784497849</v>
      </c>
      <c r="J34" s="217">
        <f t="shared" si="33"/>
        <v>2.1551386774710597</v>
      </c>
      <c r="K34" s="217">
        <f t="shared" si="33"/>
        <v>2.3563676229244921</v>
      </c>
      <c r="L34" s="217">
        <f t="shared" si="33"/>
        <v>2.3011711370056034</v>
      </c>
      <c r="M34" s="217">
        <f t="shared" si="33"/>
        <v>2.2990072073967274</v>
      </c>
      <c r="N34" s="217">
        <f t="shared" si="33"/>
        <v>2.31420876928324</v>
      </c>
      <c r="O34" s="217">
        <f t="shared" si="33"/>
        <v>2.0864023527545084</v>
      </c>
      <c r="P34" s="217">
        <f t="shared" si="33"/>
        <v>2.2660499932142018</v>
      </c>
      <c r="Q34" s="217">
        <f t="shared" si="33"/>
        <v>2.2926102060977187</v>
      </c>
      <c r="R34" s="217">
        <f t="shared" si="33"/>
        <v>2.4296612637352561</v>
      </c>
      <c r="S34" s="217">
        <f t="shared" si="33"/>
        <v>2.4495570047900102</v>
      </c>
      <c r="T34" s="217">
        <f t="shared" si="33"/>
        <v>2.565402532824085</v>
      </c>
      <c r="U34" s="217">
        <f t="shared" si="33"/>
        <v>2.530952530546104</v>
      </c>
      <c r="V34" s="217">
        <f t="shared" si="33"/>
        <v>2.6091265009436087</v>
      </c>
      <c r="W34" s="217">
        <f t="shared" si="33"/>
        <v>2.657602287825179</v>
      </c>
      <c r="X34" s="217">
        <f t="shared" si="33"/>
        <v>2.6971381715164369</v>
      </c>
      <c r="Y34" s="217">
        <f t="shared" si="33"/>
        <v>2.7337227318567794</v>
      </c>
      <c r="DA34" s="214"/>
    </row>
  </sheetData>
  <pageMargins left="0.39370078740157483" right="0.39370078740157483" top="0.39370078740157483" bottom="0.39370078740157483" header="0.31496062992125984" footer="0.31496062992125984"/>
  <pageSetup paperSize="9" scale="88" orientation="landscape" horizontalDpi="1200" verticalDpi="1200" r:id="rId1"/>
  <headerFooter alignWithMargins="0"/>
  <ignoredErrors>
    <ignoredError sqref="B14:Y14 B19:Y19" formulaRange="1"/>
  </ignoredErrors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7">
    <tabColor theme="2" tint="-0.499984740745262"/>
    <pageSetUpPr fitToPage="1"/>
  </sheetPr>
  <dimension ref="A1:DA53"/>
  <sheetViews>
    <sheetView showGridLines="0" zoomScaleNormal="100" workbookViewId="0">
      <pane xSplit="1" ySplit="1" topLeftCell="E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1.25" x14ac:dyDescent="0.25"/>
  <cols>
    <col min="1" max="1" width="50.7109375" style="1" customWidth="1"/>
    <col min="2" max="25" width="9.7109375" style="1" customWidth="1"/>
    <col min="26" max="103" width="9.140625" style="1" hidden="1" customWidth="1"/>
    <col min="104" max="104" width="2.7109375" style="1" customWidth="1"/>
    <col min="105" max="105" width="9.7109375" style="118" customWidth="1"/>
    <col min="106" max="16384" width="9.140625" style="1"/>
  </cols>
  <sheetData>
    <row r="1" spans="1:105" ht="25.5" x14ac:dyDescent="0.25">
      <c r="A1" s="28" t="s">
        <v>994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X1" s="27">
        <v>2022</v>
      </c>
      <c r="Y1" s="27">
        <v>2023</v>
      </c>
      <c r="DA1" s="87" t="s">
        <v>150</v>
      </c>
    </row>
    <row r="3" spans="1:105" ht="12.75" x14ac:dyDescent="0.25">
      <c r="A3" s="178" t="s">
        <v>130</v>
      </c>
      <c r="B3" s="231"/>
      <c r="C3" s="231"/>
      <c r="D3" s="231"/>
      <c r="E3" s="231"/>
      <c r="F3" s="231"/>
      <c r="G3" s="231"/>
      <c r="H3" s="231"/>
      <c r="I3" s="231"/>
      <c r="J3" s="231"/>
      <c r="K3" s="231"/>
      <c r="L3" s="231"/>
      <c r="M3" s="231"/>
      <c r="N3" s="231"/>
      <c r="O3" s="231"/>
      <c r="P3" s="231"/>
      <c r="Q3" s="231"/>
      <c r="R3" s="231"/>
      <c r="S3" s="231"/>
      <c r="T3" s="231"/>
      <c r="U3" s="231"/>
      <c r="V3" s="231"/>
      <c r="W3" s="231"/>
      <c r="X3" s="231"/>
      <c r="Y3" s="231"/>
      <c r="DA3" s="266"/>
    </row>
    <row r="5" spans="1:105" ht="12.75" x14ac:dyDescent="0.25">
      <c r="A5" s="233" t="s">
        <v>126</v>
      </c>
      <c r="B5" s="80">
        <f t="shared" ref="B5" si="0">SUM(B6:B9,B16:B17,B25:B27)</f>
        <v>416.95795356835754</v>
      </c>
      <c r="C5" s="80">
        <f t="shared" ref="C5:W5" si="1">SUM(C6:C9,C16:C17,C25:C27)</f>
        <v>304.80472914875293</v>
      </c>
      <c r="D5" s="80">
        <f t="shared" si="1"/>
        <v>284.59071367153905</v>
      </c>
      <c r="E5" s="80">
        <f t="shared" si="1"/>
        <v>247.2640584694754</v>
      </c>
      <c r="F5" s="80">
        <f t="shared" si="1"/>
        <v>253.77858985382622</v>
      </c>
      <c r="G5" s="80">
        <f t="shared" si="1"/>
        <v>269.94153052450542</v>
      </c>
      <c r="H5" s="80">
        <f t="shared" si="1"/>
        <v>276.48048151332762</v>
      </c>
      <c r="I5" s="80">
        <f t="shared" si="1"/>
        <v>264.76345657781582</v>
      </c>
      <c r="J5" s="80">
        <f t="shared" si="1"/>
        <v>293.9209802235597</v>
      </c>
      <c r="K5" s="80">
        <f t="shared" si="1"/>
        <v>380.82029234737735</v>
      </c>
      <c r="L5" s="80">
        <f t="shared" si="1"/>
        <v>393.23319002579547</v>
      </c>
      <c r="M5" s="80">
        <f t="shared" si="1"/>
        <v>441.66311263972466</v>
      </c>
      <c r="N5" s="80">
        <f t="shared" si="1"/>
        <v>498.57695614789316</v>
      </c>
      <c r="O5" s="80">
        <f t="shared" si="1"/>
        <v>474.18555460017171</v>
      </c>
      <c r="P5" s="80">
        <f t="shared" si="1"/>
        <v>421.08581255374003</v>
      </c>
      <c r="Q5" s="80">
        <f t="shared" si="1"/>
        <v>459.81143594153053</v>
      </c>
      <c r="R5" s="80">
        <f t="shared" si="1"/>
        <v>455.48099742046412</v>
      </c>
      <c r="S5" s="80">
        <f t="shared" si="1"/>
        <v>497.62149613069664</v>
      </c>
      <c r="T5" s="80">
        <f t="shared" si="1"/>
        <v>566.02132416165057</v>
      </c>
      <c r="U5" s="80">
        <f t="shared" si="1"/>
        <v>557.36345657781601</v>
      </c>
      <c r="V5" s="80">
        <f t="shared" si="1"/>
        <v>530.92175408426465</v>
      </c>
      <c r="W5" s="80">
        <f t="shared" si="1"/>
        <v>566.89105760963014</v>
      </c>
      <c r="X5" s="80">
        <f t="shared" ref="X5:Y5" si="2">SUM(X6:X9,X16:X17,X25:X27)</f>
        <v>555.01934651762656</v>
      </c>
      <c r="Y5" s="80">
        <f t="shared" si="2"/>
        <v>539.77274290627679</v>
      </c>
      <c r="DA5" s="103"/>
    </row>
    <row r="6" spans="1:105" x14ac:dyDescent="0.25">
      <c r="A6" s="238" t="s">
        <v>125</v>
      </c>
      <c r="B6" s="239">
        <v>9.447291380496166</v>
      </c>
      <c r="C6" s="239">
        <v>7.3520530174723939</v>
      </c>
      <c r="D6" s="239">
        <v>6.5589892543567156</v>
      </c>
      <c r="E6" s="239">
        <v>5.4406237951143792</v>
      </c>
      <c r="F6" s="239">
        <v>5.7166750519204017</v>
      </c>
      <c r="G6" s="239">
        <v>5.1461945920433827</v>
      </c>
      <c r="H6" s="239">
        <v>6.5450902614510449</v>
      </c>
      <c r="I6" s="239">
        <v>7.5909054241597236</v>
      </c>
      <c r="J6" s="239">
        <v>7.6666201455348961</v>
      </c>
      <c r="K6" s="239">
        <v>7.6500815509810467</v>
      </c>
      <c r="L6" s="239">
        <v>9.8242546932649084</v>
      </c>
      <c r="M6" s="239">
        <v>11.189475219624571</v>
      </c>
      <c r="N6" s="239">
        <v>12.29618140084113</v>
      </c>
      <c r="O6" s="239">
        <v>11.970539888892629</v>
      </c>
      <c r="P6" s="239">
        <v>12.054135588779531</v>
      </c>
      <c r="Q6" s="239">
        <v>12.939470425837291</v>
      </c>
      <c r="R6" s="239">
        <v>11.05571538172962</v>
      </c>
      <c r="S6" s="239">
        <v>11.248863686941579</v>
      </c>
      <c r="T6" s="239">
        <v>11.66253592485805</v>
      </c>
      <c r="U6" s="239">
        <v>11.63712286862147</v>
      </c>
      <c r="V6" s="239">
        <v>8.6668611095014256</v>
      </c>
      <c r="W6" s="239">
        <v>8.7959993233579787</v>
      </c>
      <c r="X6" s="239">
        <v>8.6805792929914141</v>
      </c>
      <c r="Y6" s="239">
        <v>8.1999604299783844</v>
      </c>
      <c r="DA6" s="267" t="s">
        <v>995</v>
      </c>
    </row>
    <row r="7" spans="1:105" x14ac:dyDescent="0.25">
      <c r="A7" s="240" t="s">
        <v>124</v>
      </c>
      <c r="B7" s="241">
        <v>6.1407393973225064</v>
      </c>
      <c r="C7" s="241">
        <v>4.7788344613570546</v>
      </c>
      <c r="D7" s="241">
        <v>4.2633430153318637</v>
      </c>
      <c r="E7" s="241">
        <v>3.536405466824343</v>
      </c>
      <c r="F7" s="241">
        <v>3.7158387837482598</v>
      </c>
      <c r="G7" s="241">
        <v>3.3450264848281979</v>
      </c>
      <c r="H7" s="241">
        <v>4.2543086699431791</v>
      </c>
      <c r="I7" s="241">
        <v>4.9340885257038192</v>
      </c>
      <c r="J7" s="241">
        <v>4.9833030945976819</v>
      </c>
      <c r="K7" s="241">
        <v>4.9725530081376794</v>
      </c>
      <c r="L7" s="241">
        <v>6.3857655506221871</v>
      </c>
      <c r="M7" s="241">
        <v>7.2731588927559656</v>
      </c>
      <c r="N7" s="241">
        <v>7.9925179105467334</v>
      </c>
      <c r="O7" s="241">
        <v>7.7808509277802074</v>
      </c>
      <c r="P7" s="241">
        <v>7.8351881327066888</v>
      </c>
      <c r="Q7" s="241">
        <v>8.410655776794238</v>
      </c>
      <c r="R7" s="241">
        <v>7.1862149981242496</v>
      </c>
      <c r="S7" s="241">
        <v>7.3117613965120229</v>
      </c>
      <c r="T7" s="241">
        <v>7.5806483511577314</v>
      </c>
      <c r="U7" s="241">
        <v>7.5641298646039514</v>
      </c>
      <c r="V7" s="241">
        <v>5.6334597211759263</v>
      </c>
      <c r="W7" s="241">
        <v>5.7173995601826864</v>
      </c>
      <c r="X7" s="241">
        <v>5.6423765404444177</v>
      </c>
      <c r="Y7" s="241">
        <v>5.3299742794859446</v>
      </c>
      <c r="DA7" s="268" t="s">
        <v>996</v>
      </c>
    </row>
    <row r="8" spans="1:105" x14ac:dyDescent="0.25">
      <c r="A8" s="240" t="s">
        <v>123</v>
      </c>
      <c r="B8" s="241">
        <v>8.5025622424465492</v>
      </c>
      <c r="C8" s="241">
        <v>6.6168477157251564</v>
      </c>
      <c r="D8" s="241">
        <v>5.9030903289210439</v>
      </c>
      <c r="E8" s="241">
        <v>4.8965614156029398</v>
      </c>
      <c r="F8" s="241">
        <v>5.1450075467283609</v>
      </c>
      <c r="G8" s="241">
        <v>4.6315751328390444</v>
      </c>
      <c r="H8" s="241">
        <v>5.8905812353059401</v>
      </c>
      <c r="I8" s="241">
        <v>6.8318148817437514</v>
      </c>
      <c r="J8" s="241">
        <v>6.8999581309814069</v>
      </c>
      <c r="K8" s="241">
        <v>6.8850733958829409</v>
      </c>
      <c r="L8" s="241">
        <v>8.8418292239384115</v>
      </c>
      <c r="M8" s="241">
        <v>10.07052769766211</v>
      </c>
      <c r="N8" s="241">
        <v>11.066563260757009</v>
      </c>
      <c r="O8" s="241">
        <v>10.77348590000337</v>
      </c>
      <c r="P8" s="241">
        <v>10.84872202990157</v>
      </c>
      <c r="Q8" s="241">
        <v>11.645523383253559</v>
      </c>
      <c r="R8" s="241">
        <v>9.9501438435566563</v>
      </c>
      <c r="S8" s="241">
        <v>10.12397731824742</v>
      </c>
      <c r="T8" s="241">
        <v>10.49628233237225</v>
      </c>
      <c r="U8" s="241">
        <v>10.473410581759319</v>
      </c>
      <c r="V8" s="241">
        <v>7.8001749985512827</v>
      </c>
      <c r="W8" s="241">
        <v>7.9163993910221793</v>
      </c>
      <c r="X8" s="241">
        <v>7.8125213636922712</v>
      </c>
      <c r="Y8" s="241">
        <v>7.3799643869805438</v>
      </c>
      <c r="DA8" s="268" t="s">
        <v>997</v>
      </c>
    </row>
    <row r="9" spans="1:105" x14ac:dyDescent="0.25">
      <c r="A9" s="242" t="s">
        <v>122</v>
      </c>
      <c r="B9" s="243">
        <f t="shared" ref="B9" si="3">SUM(B10:B15)</f>
        <v>104.12000060999483</v>
      </c>
      <c r="C9" s="243">
        <f t="shared" ref="C9:W9" si="4">SUM(C10:C15)</f>
        <v>80.825270101787254</v>
      </c>
      <c r="D9" s="243">
        <f t="shared" si="4"/>
        <v>76.316277127901472</v>
      </c>
      <c r="E9" s="243">
        <f t="shared" si="4"/>
        <v>74.013752374656164</v>
      </c>
      <c r="F9" s="243">
        <f t="shared" si="4"/>
        <v>60.336190594631937</v>
      </c>
      <c r="G9" s="243">
        <f t="shared" si="4"/>
        <v>60.573251612275712</v>
      </c>
      <c r="H9" s="243">
        <f t="shared" si="4"/>
        <v>59.834016825118397</v>
      </c>
      <c r="I9" s="243">
        <f t="shared" si="4"/>
        <v>56.165867443332033</v>
      </c>
      <c r="J9" s="243">
        <f t="shared" si="4"/>
        <v>60.08796555334952</v>
      </c>
      <c r="K9" s="243">
        <f t="shared" si="4"/>
        <v>82.098010141792798</v>
      </c>
      <c r="L9" s="243">
        <f t="shared" si="4"/>
        <v>83.664227651550462</v>
      </c>
      <c r="M9" s="243">
        <f t="shared" si="4"/>
        <v>95.235083447775608</v>
      </c>
      <c r="N9" s="243">
        <f t="shared" si="4"/>
        <v>110.12579837820098</v>
      </c>
      <c r="O9" s="243">
        <f t="shared" si="4"/>
        <v>101.37075863830745</v>
      </c>
      <c r="P9" s="243">
        <f t="shared" si="4"/>
        <v>90.541035276778317</v>
      </c>
      <c r="Q9" s="243">
        <f t="shared" si="4"/>
        <v>96.327669922794797</v>
      </c>
      <c r="R9" s="243">
        <f t="shared" si="4"/>
        <v>94.749172802909428</v>
      </c>
      <c r="S9" s="243">
        <f t="shared" si="4"/>
        <v>103.83428857091675</v>
      </c>
      <c r="T9" s="243">
        <f t="shared" si="4"/>
        <v>116.39937088700444</v>
      </c>
      <c r="U9" s="243">
        <f t="shared" si="4"/>
        <v>115.21584550365583</v>
      </c>
      <c r="V9" s="243">
        <f t="shared" si="4"/>
        <v>112.63959193023972</v>
      </c>
      <c r="W9" s="243">
        <f t="shared" si="4"/>
        <v>120.14269849503115</v>
      </c>
      <c r="X9" s="243">
        <f t="shared" ref="X9:Y9" si="5">SUM(X10:X15)</f>
        <v>115.23919357346672</v>
      </c>
      <c r="Y9" s="243">
        <f t="shared" si="5"/>
        <v>112.19448017078122</v>
      </c>
      <c r="DA9" s="269"/>
    </row>
    <row r="10" spans="1:105" x14ac:dyDescent="0.25">
      <c r="A10" s="253" t="s">
        <v>166</v>
      </c>
      <c r="B10" s="254">
        <v>34.775728698362506</v>
      </c>
      <c r="C10" s="254">
        <v>20.780174581790941</v>
      </c>
      <c r="D10" s="254">
        <v>17.580455287237349</v>
      </c>
      <c r="E10" s="254">
        <v>11.780677507260471</v>
      </c>
      <c r="F10" s="254">
        <v>18.104227602954261</v>
      </c>
      <c r="G10" s="254">
        <v>17.197977885571241</v>
      </c>
      <c r="H10" s="254">
        <v>23.61223124711848</v>
      </c>
      <c r="I10" s="254">
        <v>18.242766311034369</v>
      </c>
      <c r="J10" s="254">
        <v>17.029817436348999</v>
      </c>
      <c r="K10" s="254">
        <v>32.84646015659127</v>
      </c>
      <c r="L10" s="254">
        <v>31.436601408023819</v>
      </c>
      <c r="M10" s="254">
        <v>41.337582265593333</v>
      </c>
      <c r="N10" s="254">
        <v>47.553802279909107</v>
      </c>
      <c r="O10" s="254">
        <v>40.057488003856179</v>
      </c>
      <c r="P10" s="254">
        <v>38.070382623825161</v>
      </c>
      <c r="Q10" s="254">
        <v>42.411823351049243</v>
      </c>
      <c r="R10" s="254">
        <v>48.961851960183388</v>
      </c>
      <c r="S10" s="254">
        <v>47.91479308716184</v>
      </c>
      <c r="T10" s="254">
        <v>64.199500042525315</v>
      </c>
      <c r="U10" s="254">
        <v>62.750617946816163</v>
      </c>
      <c r="V10" s="254">
        <v>63.103377960911153</v>
      </c>
      <c r="W10" s="254">
        <v>70.355020041392194</v>
      </c>
      <c r="X10" s="254">
        <v>79.183923221589794</v>
      </c>
      <c r="Y10" s="254">
        <v>83.667606504541993</v>
      </c>
      <c r="DA10" s="270" t="s">
        <v>998</v>
      </c>
    </row>
    <row r="11" spans="1:105" x14ac:dyDescent="0.25">
      <c r="A11" s="253" t="s">
        <v>169</v>
      </c>
      <c r="B11" s="255">
        <v>5.6702387016666806</v>
      </c>
      <c r="C11" s="255">
        <v>3.598137906894852</v>
      </c>
      <c r="D11" s="255">
        <v>7.6814989804274134</v>
      </c>
      <c r="E11" s="255">
        <v>4.5073890271450114</v>
      </c>
      <c r="F11" s="255">
        <v>10.487651234160991</v>
      </c>
      <c r="G11" s="255">
        <v>14.085696385071399</v>
      </c>
      <c r="H11" s="255">
        <v>10.44912854395344</v>
      </c>
      <c r="I11" s="255">
        <v>9.0151175044427525</v>
      </c>
      <c r="J11" s="255">
        <v>19.50629613514203</v>
      </c>
      <c r="K11" s="255">
        <v>23.338415177321959</v>
      </c>
      <c r="L11" s="255">
        <v>25.620438832190629</v>
      </c>
      <c r="M11" s="255">
        <v>20.43051786432703</v>
      </c>
      <c r="N11" s="255">
        <v>23.126161915332691</v>
      </c>
      <c r="O11" s="255">
        <v>23.09595787628265</v>
      </c>
      <c r="P11" s="255">
        <v>18.269681408957091</v>
      </c>
      <c r="Q11" s="255">
        <v>22.123405693308989</v>
      </c>
      <c r="R11" s="255">
        <v>23.892435208049601</v>
      </c>
      <c r="S11" s="255">
        <v>38.668401847327708</v>
      </c>
      <c r="T11" s="255">
        <v>40.985162302732803</v>
      </c>
      <c r="U11" s="255">
        <v>37.766368037839513</v>
      </c>
      <c r="V11" s="255">
        <v>37.651919845425397</v>
      </c>
      <c r="W11" s="255">
        <v>40.076752522734132</v>
      </c>
      <c r="X11" s="255">
        <v>29.743510224301929</v>
      </c>
      <c r="Y11" s="255">
        <v>22.362802121438691</v>
      </c>
      <c r="DA11" s="271" t="s">
        <v>999</v>
      </c>
    </row>
    <row r="12" spans="1:105" x14ac:dyDescent="0.25">
      <c r="A12" s="253" t="s">
        <v>152</v>
      </c>
      <c r="B12" s="255">
        <v>0</v>
      </c>
      <c r="C12" s="255">
        <v>0</v>
      </c>
      <c r="D12" s="255">
        <v>0</v>
      </c>
      <c r="E12" s="255">
        <v>0</v>
      </c>
      <c r="F12" s="255">
        <v>0</v>
      </c>
      <c r="G12" s="255">
        <v>0</v>
      </c>
      <c r="H12" s="255">
        <v>0</v>
      </c>
      <c r="I12" s="255">
        <v>0</v>
      </c>
      <c r="J12" s="255">
        <v>0</v>
      </c>
      <c r="K12" s="255">
        <v>0</v>
      </c>
      <c r="L12" s="255">
        <v>0</v>
      </c>
      <c r="M12" s="255">
        <v>0</v>
      </c>
      <c r="N12" s="255">
        <v>0</v>
      </c>
      <c r="O12" s="255">
        <v>0.40113859924442791</v>
      </c>
      <c r="P12" s="255">
        <v>7.9731733503424287E-2</v>
      </c>
      <c r="Q12" s="255">
        <v>7.7239266622611685E-2</v>
      </c>
      <c r="R12" s="255">
        <v>4.0530470592522412E-2</v>
      </c>
      <c r="S12" s="255">
        <v>0.118369938179502</v>
      </c>
      <c r="T12" s="255">
        <v>6.814482920252049E-2</v>
      </c>
      <c r="U12" s="255">
        <v>6.2977730852343719E-2</v>
      </c>
      <c r="V12" s="255">
        <v>8.8685910046007259E-4</v>
      </c>
      <c r="W12" s="255">
        <v>7.0200276853065388E-2</v>
      </c>
      <c r="X12" s="255">
        <v>4.4923143778729559E-2</v>
      </c>
      <c r="Y12" s="255">
        <v>3.6358646524996097E-2</v>
      </c>
      <c r="DA12" s="271" t="s">
        <v>1000</v>
      </c>
    </row>
    <row r="13" spans="1:105" x14ac:dyDescent="0.25">
      <c r="A13" s="253" t="s">
        <v>151</v>
      </c>
      <c r="B13" s="255">
        <v>0</v>
      </c>
      <c r="C13" s="255">
        <v>0</v>
      </c>
      <c r="D13" s="255">
        <v>0</v>
      </c>
      <c r="E13" s="255">
        <v>0</v>
      </c>
      <c r="F13" s="255">
        <v>0</v>
      </c>
      <c r="G13" s="255">
        <v>0</v>
      </c>
      <c r="H13" s="255">
        <v>0</v>
      </c>
      <c r="I13" s="255">
        <v>0</v>
      </c>
      <c r="J13" s="255">
        <v>0</v>
      </c>
      <c r="K13" s="255">
        <v>0</v>
      </c>
      <c r="L13" s="255">
        <v>0</v>
      </c>
      <c r="M13" s="255">
        <v>0</v>
      </c>
      <c r="N13" s="255">
        <v>0</v>
      </c>
      <c r="O13" s="255">
        <v>0</v>
      </c>
      <c r="P13" s="255">
        <v>0</v>
      </c>
      <c r="Q13" s="255">
        <v>0</v>
      </c>
      <c r="R13" s="255">
        <v>0</v>
      </c>
      <c r="S13" s="255">
        <v>0</v>
      </c>
      <c r="T13" s="255">
        <v>0</v>
      </c>
      <c r="U13" s="255">
        <v>0</v>
      </c>
      <c r="V13" s="255">
        <v>0</v>
      </c>
      <c r="W13" s="255">
        <v>0</v>
      </c>
      <c r="X13" s="255">
        <v>0</v>
      </c>
      <c r="Y13" s="255">
        <v>0</v>
      </c>
      <c r="DA13" s="271" t="s">
        <v>1001</v>
      </c>
    </row>
    <row r="14" spans="1:105" x14ac:dyDescent="0.25">
      <c r="A14" s="253" t="s">
        <v>162</v>
      </c>
      <c r="B14" s="254">
        <v>58.373946689569053</v>
      </c>
      <c r="C14" s="254">
        <v>52.020636285463368</v>
      </c>
      <c r="D14" s="254">
        <v>47.649785038668199</v>
      </c>
      <c r="E14" s="254">
        <v>55.436113499522982</v>
      </c>
      <c r="F14" s="254">
        <v>28.255460017172169</v>
      </c>
      <c r="G14" s="254">
        <v>26.559673258786471</v>
      </c>
      <c r="H14" s="254">
        <v>20.492949269129191</v>
      </c>
      <c r="I14" s="254">
        <v>18.367239896854329</v>
      </c>
      <c r="J14" s="254">
        <v>14.16354256236769</v>
      </c>
      <c r="K14" s="254">
        <v>21.6871883060927</v>
      </c>
      <c r="L14" s="254">
        <v>18.032846087700481</v>
      </c>
      <c r="M14" s="254">
        <v>23.980137575230358</v>
      </c>
      <c r="N14" s="254">
        <v>30.333447979352549</v>
      </c>
      <c r="O14" s="254">
        <v>26.989595872741901</v>
      </c>
      <c r="P14" s="254">
        <v>20.87515047291237</v>
      </c>
      <c r="Q14" s="254">
        <v>17.220808254516811</v>
      </c>
      <c r="R14" s="254">
        <v>13.16044711951371</v>
      </c>
      <c r="S14" s="254">
        <v>9.6141014617319307</v>
      </c>
      <c r="T14" s="254">
        <v>4.7300945829718364</v>
      </c>
      <c r="U14" s="254">
        <v>8.0549441100554624</v>
      </c>
      <c r="V14" s="254">
        <v>9.0731728288822779</v>
      </c>
      <c r="W14" s="254">
        <v>7.0933791917365454</v>
      </c>
      <c r="X14" s="254">
        <v>3.646775580391318</v>
      </c>
      <c r="Y14" s="254">
        <v>3.8280309544229429</v>
      </c>
      <c r="DA14" s="270" t="s">
        <v>1002</v>
      </c>
    </row>
    <row r="15" spans="1:105" x14ac:dyDescent="0.25">
      <c r="A15" s="253" t="s">
        <v>24</v>
      </c>
      <c r="B15" s="255">
        <v>5.3000865203965919</v>
      </c>
      <c r="C15" s="255">
        <v>4.4263213276380942</v>
      </c>
      <c r="D15" s="255">
        <v>3.404537821568514</v>
      </c>
      <c r="E15" s="255">
        <v>2.2895723407277031</v>
      </c>
      <c r="F15" s="255">
        <v>3.4888517403445172</v>
      </c>
      <c r="G15" s="255">
        <v>2.7299040828465988</v>
      </c>
      <c r="H15" s="255">
        <v>5.2797077649172817</v>
      </c>
      <c r="I15" s="255">
        <v>10.54074373100058</v>
      </c>
      <c r="J15" s="255">
        <v>9.3883094194908026</v>
      </c>
      <c r="K15" s="255">
        <v>4.2259465017868658</v>
      </c>
      <c r="L15" s="255">
        <v>8.5743413236355384</v>
      </c>
      <c r="M15" s="255">
        <v>9.4868457426248831</v>
      </c>
      <c r="N15" s="255">
        <v>9.1123862036066328</v>
      </c>
      <c r="O15" s="255">
        <v>10.82657828618229</v>
      </c>
      <c r="P15" s="255">
        <v>13.24608903758028</v>
      </c>
      <c r="Q15" s="255">
        <v>14.49439335729714</v>
      </c>
      <c r="R15" s="255">
        <v>8.693908044570211</v>
      </c>
      <c r="S15" s="255">
        <v>7.5186222365157844</v>
      </c>
      <c r="T15" s="255">
        <v>6.4164691295719596</v>
      </c>
      <c r="U15" s="255">
        <v>6.5809376780923534</v>
      </c>
      <c r="V15" s="255">
        <v>2.8102344359204179</v>
      </c>
      <c r="W15" s="255">
        <v>2.5473464623152049</v>
      </c>
      <c r="X15" s="255">
        <v>2.6200614034049532</v>
      </c>
      <c r="Y15" s="255">
        <v>2.2996819438525899</v>
      </c>
      <c r="DA15" s="271" t="s">
        <v>1003</v>
      </c>
    </row>
    <row r="16" spans="1:105" x14ac:dyDescent="0.25">
      <c r="A16" s="256" t="s">
        <v>168</v>
      </c>
      <c r="B16" s="257">
        <v>98.890596932057434</v>
      </c>
      <c r="C16" s="257">
        <v>69.592686944145626</v>
      </c>
      <c r="D16" s="257">
        <v>64.65040041817042</v>
      </c>
      <c r="E16" s="257">
        <v>53.660077087990047</v>
      </c>
      <c r="F16" s="257">
        <v>57.853515475474822</v>
      </c>
      <c r="G16" s="257">
        <v>57.624477223246963</v>
      </c>
      <c r="H16" s="257">
        <v>63.477684517287898</v>
      </c>
      <c r="I16" s="257">
        <v>56.630702319813011</v>
      </c>
      <c r="J16" s="257">
        <v>59.649050484058392</v>
      </c>
      <c r="K16" s="257">
        <v>88.678652557281112</v>
      </c>
      <c r="L16" s="257">
        <v>90.206486471912982</v>
      </c>
      <c r="M16" s="257">
        <v>105.43949815817621</v>
      </c>
      <c r="N16" s="257">
        <v>121.1107889871019</v>
      </c>
      <c r="O16" s="257">
        <v>109.4110694265535</v>
      </c>
      <c r="P16" s="257">
        <v>99.648471128153773</v>
      </c>
      <c r="Q16" s="257">
        <v>108.47594796540641</v>
      </c>
      <c r="R16" s="257">
        <v>111.925673661381</v>
      </c>
      <c r="S16" s="257">
        <v>120.5204581456324</v>
      </c>
      <c r="T16" s="257">
        <v>141.86338718016231</v>
      </c>
      <c r="U16" s="257">
        <v>139.31333329154549</v>
      </c>
      <c r="V16" s="257">
        <v>135.83628663022429</v>
      </c>
      <c r="W16" s="257">
        <v>146.69826345426549</v>
      </c>
      <c r="X16" s="257">
        <v>146.52757592499071</v>
      </c>
      <c r="Y16" s="257">
        <v>144.96794247882389</v>
      </c>
      <c r="DA16" s="272" t="s">
        <v>1004</v>
      </c>
    </row>
    <row r="17" spans="1:105" x14ac:dyDescent="0.25">
      <c r="A17" s="256" t="s">
        <v>121</v>
      </c>
      <c r="B17" s="257">
        <f t="shared" ref="B17" si="6">SUM(B18:B24)</f>
        <v>147.70824679626907</v>
      </c>
      <c r="C17" s="257">
        <f t="shared" ref="C17:W17" si="7">SUM(C18:C24)</f>
        <v>104.25369225281105</v>
      </c>
      <c r="D17" s="257">
        <f t="shared" si="7"/>
        <v>98.405976634660362</v>
      </c>
      <c r="E17" s="257">
        <f t="shared" si="7"/>
        <v>82.075879030462943</v>
      </c>
      <c r="F17" s="257">
        <f t="shared" si="7"/>
        <v>95.888473390204666</v>
      </c>
      <c r="G17" s="257">
        <f t="shared" si="7"/>
        <v>114.93980520376051</v>
      </c>
      <c r="H17" s="257">
        <f t="shared" si="7"/>
        <v>108.24556277808961</v>
      </c>
      <c r="I17" s="257">
        <f t="shared" si="7"/>
        <v>103.13029829840863</v>
      </c>
      <c r="J17" s="257">
        <f t="shared" si="7"/>
        <v>124.38880130916979</v>
      </c>
      <c r="K17" s="257">
        <f t="shared" si="7"/>
        <v>154.75287978099436</v>
      </c>
      <c r="L17" s="257">
        <f t="shared" si="7"/>
        <v>152.90727430435913</v>
      </c>
      <c r="M17" s="257">
        <f t="shared" si="7"/>
        <v>164.78007666075268</v>
      </c>
      <c r="N17" s="257">
        <f t="shared" si="7"/>
        <v>182.58701437047785</v>
      </c>
      <c r="O17" s="257">
        <f t="shared" si="7"/>
        <v>182.52677829874804</v>
      </c>
      <c r="P17" s="257">
        <f t="shared" si="7"/>
        <v>151.47734403465978</v>
      </c>
      <c r="Q17" s="257">
        <f t="shared" si="7"/>
        <v>169.46590851384795</v>
      </c>
      <c r="R17" s="257">
        <f t="shared" si="7"/>
        <v>172.0201230956832</v>
      </c>
      <c r="S17" s="257">
        <f t="shared" si="7"/>
        <v>193.86342056237612</v>
      </c>
      <c r="T17" s="257">
        <f t="shared" si="7"/>
        <v>222.1856543730396</v>
      </c>
      <c r="U17" s="257">
        <f t="shared" si="7"/>
        <v>217.87844544849935</v>
      </c>
      <c r="V17" s="257">
        <f t="shared" si="7"/>
        <v>213.00949547800977</v>
      </c>
      <c r="W17" s="257">
        <f t="shared" si="7"/>
        <v>227.88080517779039</v>
      </c>
      <c r="X17" s="257">
        <f t="shared" ref="X17:Y17" si="8">SUM(X18:X24)</f>
        <v>221.69318571967202</v>
      </c>
      <c r="Y17" s="257">
        <f t="shared" si="8"/>
        <v>213.7537198364771</v>
      </c>
      <c r="DA17" s="272"/>
    </row>
    <row r="18" spans="1:105" x14ac:dyDescent="0.25">
      <c r="A18" s="61" t="s">
        <v>29</v>
      </c>
      <c r="B18" s="55">
        <v>0.20997420464264641</v>
      </c>
      <c r="C18" s="55">
        <v>0.17110920034343269</v>
      </c>
      <c r="D18" s="55">
        <v>3.1298366293987101</v>
      </c>
      <c r="E18" s="55">
        <v>4.3602751504527841</v>
      </c>
      <c r="F18" s="55">
        <v>18.916595012810649</v>
      </c>
      <c r="G18" s="55">
        <v>13.302579535618539</v>
      </c>
      <c r="H18" s="55">
        <v>6.2435941530245724</v>
      </c>
      <c r="I18" s="55">
        <v>5.0386930352333881</v>
      </c>
      <c r="J18" s="55">
        <v>8.3978503868811956</v>
      </c>
      <c r="K18" s="55">
        <v>8.8177128116797689</v>
      </c>
      <c r="L18" s="55">
        <v>7.977901977625609</v>
      </c>
      <c r="M18" s="55">
        <v>7.9779019776260496</v>
      </c>
      <c r="N18" s="55">
        <v>0.41986242476284141</v>
      </c>
      <c r="O18" s="55">
        <v>7.9779019776277558</v>
      </c>
      <c r="P18" s="55">
        <v>6.9282029234857703</v>
      </c>
      <c r="Q18" s="55">
        <v>8.1878761822686172</v>
      </c>
      <c r="R18" s="55">
        <v>9.4475494410858971</v>
      </c>
      <c r="S18" s="55">
        <v>11.835941530507441</v>
      </c>
      <c r="T18" s="55">
        <v>14.926655202042349</v>
      </c>
      <c r="U18" s="55">
        <v>14.67876182285292</v>
      </c>
      <c r="V18" s="55">
        <v>16.340670679255091</v>
      </c>
      <c r="W18" s="55">
        <v>17.64806534820627</v>
      </c>
      <c r="X18" s="55">
        <v>18.051934651733159</v>
      </c>
      <c r="Y18" s="55">
        <v>14.789337919146581</v>
      </c>
      <c r="DA18" s="101" t="s">
        <v>1005</v>
      </c>
    </row>
    <row r="19" spans="1:105" x14ac:dyDescent="0.25">
      <c r="A19" s="61" t="s">
        <v>27</v>
      </c>
      <c r="B19" s="55">
        <v>1.129750644881135</v>
      </c>
      <c r="C19" s="55">
        <v>1.1297506448805841</v>
      </c>
      <c r="D19" s="55">
        <v>0</v>
      </c>
      <c r="E19" s="55">
        <v>0</v>
      </c>
      <c r="F19" s="55">
        <v>1.1297506448787229</v>
      </c>
      <c r="G19" s="55">
        <v>1.1496990541646279</v>
      </c>
      <c r="H19" s="55">
        <v>4.5992261392743918</v>
      </c>
      <c r="I19" s="55">
        <v>4.5987962166624996</v>
      </c>
      <c r="J19" s="55">
        <v>37.940412725487278</v>
      </c>
      <c r="K19" s="55">
        <v>36.79604471189289</v>
      </c>
      <c r="L19" s="55">
        <v>26.443336199423062</v>
      </c>
      <c r="M19" s="55">
        <v>19.545055889895771</v>
      </c>
      <c r="N19" s="55">
        <v>5.7485812553644324</v>
      </c>
      <c r="O19" s="55">
        <v>9.197678417866026</v>
      </c>
      <c r="P19" s="55">
        <v>5.7485812553839821</v>
      </c>
      <c r="Q19" s="55">
        <v>9.197678417863921</v>
      </c>
      <c r="R19" s="55">
        <v>11.49707652620739</v>
      </c>
      <c r="S19" s="55">
        <v>12.461306964728379</v>
      </c>
      <c r="T19" s="55">
        <v>12.621066208064541</v>
      </c>
      <c r="U19" s="55">
        <v>8.2347377471948686</v>
      </c>
      <c r="V19" s="55">
        <v>8.5830610489992836</v>
      </c>
      <c r="W19" s="55">
        <v>7.4919174548449474</v>
      </c>
      <c r="X19" s="55">
        <v>8.0128116938819929</v>
      </c>
      <c r="Y19" s="55">
        <v>5.9247635425511369</v>
      </c>
      <c r="DA19" s="101" t="s">
        <v>1006</v>
      </c>
    </row>
    <row r="20" spans="1:105" x14ac:dyDescent="0.25">
      <c r="A20" s="61" t="s">
        <v>166</v>
      </c>
      <c r="B20" s="55">
        <v>95.87410028740409</v>
      </c>
      <c r="C20" s="55">
        <v>66.742543831356187</v>
      </c>
      <c r="D20" s="55">
        <v>57.347578796624028</v>
      </c>
      <c r="E20" s="55">
        <v>47.492468401709537</v>
      </c>
      <c r="F20" s="55">
        <v>41.304929439759249</v>
      </c>
      <c r="G20" s="55">
        <v>27.07864002435743</v>
      </c>
      <c r="H20" s="55">
        <v>43.47052967143064</v>
      </c>
      <c r="I20" s="55">
        <v>33.38084142650218</v>
      </c>
      <c r="J20" s="55">
        <v>24.83318858844893</v>
      </c>
      <c r="K20" s="55">
        <v>55.544605362615627</v>
      </c>
      <c r="L20" s="55">
        <v>59.241212706848621</v>
      </c>
      <c r="M20" s="55">
        <v>86.640087216576532</v>
      </c>
      <c r="N20" s="55">
        <v>108.07155977691509</v>
      </c>
      <c r="O20" s="55">
        <v>76.811578987733171</v>
      </c>
      <c r="P20" s="55">
        <v>87.396662594036528</v>
      </c>
      <c r="Q20" s="55">
        <v>88.748152786083054</v>
      </c>
      <c r="R20" s="55">
        <v>95.315685507041508</v>
      </c>
      <c r="S20" s="55">
        <v>88.070484695433294</v>
      </c>
      <c r="T20" s="55">
        <v>112.4753329582978</v>
      </c>
      <c r="U20" s="55">
        <v>111.5968711829568</v>
      </c>
      <c r="V20" s="55">
        <v>108.2040906607902</v>
      </c>
      <c r="W20" s="55">
        <v>119.74495488217561</v>
      </c>
      <c r="X20" s="55">
        <v>131.7888417878481</v>
      </c>
      <c r="Y20" s="55">
        <v>141.7011179218907</v>
      </c>
      <c r="DA20" s="101" t="s">
        <v>1007</v>
      </c>
    </row>
    <row r="21" spans="1:105" x14ac:dyDescent="0.25">
      <c r="A21" s="61" t="s">
        <v>129</v>
      </c>
      <c r="B21" s="55">
        <v>12.697076526193969</v>
      </c>
      <c r="C21" s="55">
        <v>4.2323301805549978</v>
      </c>
      <c r="D21" s="55">
        <v>3.1742906276789071</v>
      </c>
      <c r="E21" s="55">
        <v>5.1972484952468561</v>
      </c>
      <c r="F21" s="55">
        <v>4.2323301805480247</v>
      </c>
      <c r="G21" s="55">
        <v>47.265692175177357</v>
      </c>
      <c r="H21" s="55">
        <v>26.861049011058039</v>
      </c>
      <c r="I21" s="55">
        <v>6.2605331040160914</v>
      </c>
      <c r="J21" s="55">
        <v>11.373688735960931</v>
      </c>
      <c r="K21" s="55">
        <v>4.1446259673192412</v>
      </c>
      <c r="L21" s="55">
        <v>4.1568357695518836</v>
      </c>
      <c r="M21" s="55">
        <v>3.0433361994772361</v>
      </c>
      <c r="N21" s="55">
        <v>10.39217540840913</v>
      </c>
      <c r="O21" s="55">
        <v>5.1961306964640377</v>
      </c>
      <c r="P21" s="55">
        <v>3.117626827176506</v>
      </c>
      <c r="Q21" s="55">
        <v>9.3529664660149017</v>
      </c>
      <c r="R21" s="55">
        <v>4.0574376612146663</v>
      </c>
      <c r="S21" s="55">
        <v>4.1343078245856111</v>
      </c>
      <c r="T21" s="55">
        <v>5.0200343938019563</v>
      </c>
      <c r="U21" s="55">
        <v>7.1374892519254347</v>
      </c>
      <c r="V21" s="55">
        <v>5.3826311263897892</v>
      </c>
      <c r="W21" s="55">
        <v>7.328460877029241</v>
      </c>
      <c r="X21" s="55">
        <v>4.4515047291414742</v>
      </c>
      <c r="Y21" s="55">
        <v>5.9000859845116302</v>
      </c>
      <c r="DA21" s="101" t="s">
        <v>1008</v>
      </c>
    </row>
    <row r="22" spans="1:105" x14ac:dyDescent="0.25">
      <c r="A22" s="61" t="s">
        <v>169</v>
      </c>
      <c r="B22" s="55">
        <v>15.63242681849853</v>
      </c>
      <c r="C22" s="55">
        <v>11.556634234085269</v>
      </c>
      <c r="D22" s="55">
        <v>25.057108070235429</v>
      </c>
      <c r="E22" s="55">
        <v>18.171028857548009</v>
      </c>
      <c r="F22" s="55">
        <v>23.92765401077563</v>
      </c>
      <c r="G22" s="55">
        <v>22.178276099758591</v>
      </c>
      <c r="H22" s="55">
        <v>19.237027947790938</v>
      </c>
      <c r="I22" s="55">
        <v>16.495974498947831</v>
      </c>
      <c r="J22" s="55">
        <v>28.44443473317498</v>
      </c>
      <c r="K22" s="55">
        <v>39.466142002309347</v>
      </c>
      <c r="L22" s="55">
        <v>48.280850935534417</v>
      </c>
      <c r="M22" s="55">
        <v>42.820642926628899</v>
      </c>
      <c r="N22" s="55">
        <v>52.556899133582228</v>
      </c>
      <c r="O22" s="55">
        <v>44.287275141682947</v>
      </c>
      <c r="P22" s="55">
        <v>41.94098067193876</v>
      </c>
      <c r="Q22" s="55">
        <v>46.293963180192137</v>
      </c>
      <c r="R22" s="55">
        <v>46.512207956099772</v>
      </c>
      <c r="S22" s="55">
        <v>71.075020336556804</v>
      </c>
      <c r="T22" s="55">
        <v>71.804605538925344</v>
      </c>
      <c r="U22" s="55">
        <v>67.164414421208974</v>
      </c>
      <c r="V22" s="55">
        <v>64.562181616186635</v>
      </c>
      <c r="W22" s="55">
        <v>68.211037674859767</v>
      </c>
      <c r="X22" s="55">
        <v>49.5032653559783</v>
      </c>
      <c r="Y22" s="55">
        <v>37.874085238734118</v>
      </c>
      <c r="DA22" s="101" t="s">
        <v>1009</v>
      </c>
    </row>
    <row r="23" spans="1:105" x14ac:dyDescent="0.25">
      <c r="A23" s="61" t="s">
        <v>164</v>
      </c>
      <c r="B23" s="55">
        <v>22.164918314648698</v>
      </c>
      <c r="C23" s="55">
        <v>20.42132416159059</v>
      </c>
      <c r="D23" s="55">
        <v>9.6971625107232899</v>
      </c>
      <c r="E23" s="55">
        <v>6.8548581255057561</v>
      </c>
      <c r="F23" s="55">
        <v>6.3772141014323953</v>
      </c>
      <c r="G23" s="55">
        <v>3.9649183146839708</v>
      </c>
      <c r="H23" s="55">
        <v>7.8341358555110201</v>
      </c>
      <c r="I23" s="55">
        <v>37.355460017046653</v>
      </c>
      <c r="J23" s="55">
        <v>13.39922613921649</v>
      </c>
      <c r="K23" s="55">
        <v>9.9837489251774709</v>
      </c>
      <c r="L23" s="55">
        <v>6.8071367153755196</v>
      </c>
      <c r="M23" s="55">
        <v>4.7530524505481893</v>
      </c>
      <c r="N23" s="55">
        <v>5.3979363714441249</v>
      </c>
      <c r="O23" s="55">
        <v>38.287016336981253</v>
      </c>
      <c r="P23" s="55">
        <v>6.1622527945076566</v>
      </c>
      <c r="Q23" s="55">
        <v>7.5236457437490589</v>
      </c>
      <c r="R23" s="55">
        <v>5.1112639724769968</v>
      </c>
      <c r="S23" s="55">
        <v>6.0687876182199672</v>
      </c>
      <c r="T23" s="55">
        <v>5.2185726569143123</v>
      </c>
      <c r="U23" s="55">
        <v>8.9541702493435533</v>
      </c>
      <c r="V23" s="55">
        <v>9.9353396388512376</v>
      </c>
      <c r="W23" s="55">
        <v>7.3368873602622413</v>
      </c>
      <c r="X23" s="55">
        <v>9.8100601891499064</v>
      </c>
      <c r="Y23" s="55">
        <v>7.5027515047149649</v>
      </c>
      <c r="DA23" s="101" t="s">
        <v>1010</v>
      </c>
    </row>
    <row r="24" spans="1:105" x14ac:dyDescent="0.25">
      <c r="A24" s="61" t="s">
        <v>152</v>
      </c>
      <c r="B24" s="55">
        <v>0</v>
      </c>
      <c r="C24" s="55">
        <v>0</v>
      </c>
      <c r="D24" s="55">
        <v>0</v>
      </c>
      <c r="E24" s="55">
        <v>0</v>
      </c>
      <c r="F24" s="55">
        <v>0</v>
      </c>
      <c r="G24" s="55">
        <v>0</v>
      </c>
      <c r="H24" s="55">
        <v>0</v>
      </c>
      <c r="I24" s="55">
        <v>0</v>
      </c>
      <c r="J24" s="55">
        <v>0</v>
      </c>
      <c r="K24" s="55">
        <v>0</v>
      </c>
      <c r="L24" s="55">
        <v>0</v>
      </c>
      <c r="M24" s="55">
        <v>0</v>
      </c>
      <c r="N24" s="55">
        <v>0</v>
      </c>
      <c r="O24" s="55">
        <v>0.76919674039285357</v>
      </c>
      <c r="P24" s="55">
        <v>0.1830369681305889</v>
      </c>
      <c r="Q24" s="55">
        <v>0.16162573767625971</v>
      </c>
      <c r="R24" s="55">
        <v>7.8902031556953203E-2</v>
      </c>
      <c r="S24" s="55">
        <v>0.21757159234462889</v>
      </c>
      <c r="T24" s="55">
        <v>0.1193874149933075</v>
      </c>
      <c r="U24" s="55">
        <v>0.1120007730167782</v>
      </c>
      <c r="V24" s="55">
        <v>1.520707537542146E-3</v>
      </c>
      <c r="W24" s="55">
        <v>0.11948158041232811</v>
      </c>
      <c r="X24" s="55">
        <v>7.4767311939067105E-2</v>
      </c>
      <c r="Y24" s="55">
        <v>6.1577724927975933E-2</v>
      </c>
      <c r="DA24" s="101" t="s">
        <v>1011</v>
      </c>
    </row>
    <row r="25" spans="1:105" x14ac:dyDescent="0.25">
      <c r="A25" s="256" t="s">
        <v>167</v>
      </c>
      <c r="B25" s="257">
        <v>19.002652327555339</v>
      </c>
      <c r="C25" s="257">
        <v>13.372814762647071</v>
      </c>
      <c r="D25" s="257">
        <v>12.423113219023129</v>
      </c>
      <c r="E25" s="257">
        <v>10.31123100079439</v>
      </c>
      <c r="F25" s="257">
        <v>11.11703513391279</v>
      </c>
      <c r="G25" s="257">
        <v>11.07302352500535</v>
      </c>
      <c r="H25" s="257">
        <v>12.19776608557649</v>
      </c>
      <c r="I25" s="257">
        <v>10.88206139546355</v>
      </c>
      <c r="J25" s="257">
        <v>11.46206214930748</v>
      </c>
      <c r="K25" s="257">
        <v>17.04034211240381</v>
      </c>
      <c r="L25" s="257">
        <v>17.333928131648332</v>
      </c>
      <c r="M25" s="257">
        <v>20.261078274897312</v>
      </c>
      <c r="N25" s="257">
        <v>23.272447407906789</v>
      </c>
      <c r="O25" s="257">
        <v>21.024248792099591</v>
      </c>
      <c r="P25" s="257">
        <v>19.148284170250541</v>
      </c>
      <c r="Q25" s="257">
        <v>20.844557410294879</v>
      </c>
      <c r="R25" s="257">
        <v>21.507450951842401</v>
      </c>
      <c r="S25" s="257">
        <v>23.159010417063399</v>
      </c>
      <c r="T25" s="257">
        <v>27.260232097154059</v>
      </c>
      <c r="U25" s="257">
        <v>26.77021799100795</v>
      </c>
      <c r="V25" s="257">
        <v>26.10207449828367</v>
      </c>
      <c r="W25" s="257">
        <v>28.18929386575326</v>
      </c>
      <c r="X25" s="257">
        <v>28.15649483454014</v>
      </c>
      <c r="Y25" s="257">
        <v>27.856798270302619</v>
      </c>
      <c r="DA25" s="272" t="s">
        <v>1012</v>
      </c>
    </row>
    <row r="26" spans="1:105" x14ac:dyDescent="0.25">
      <c r="A26" s="256" t="s">
        <v>170</v>
      </c>
      <c r="B26" s="257">
        <v>9.447291380496166</v>
      </c>
      <c r="C26" s="257">
        <v>7.3520530174723939</v>
      </c>
      <c r="D26" s="257">
        <v>6.5589892543567156</v>
      </c>
      <c r="E26" s="257">
        <v>5.4406237951143792</v>
      </c>
      <c r="F26" s="257">
        <v>5.7166750519204017</v>
      </c>
      <c r="G26" s="257">
        <v>5.1461945920433827</v>
      </c>
      <c r="H26" s="257">
        <v>6.5450902614510449</v>
      </c>
      <c r="I26" s="257">
        <v>7.5909054241597236</v>
      </c>
      <c r="J26" s="257">
        <v>7.6666201455348961</v>
      </c>
      <c r="K26" s="257">
        <v>7.6500815509810467</v>
      </c>
      <c r="L26" s="257">
        <v>9.8242546932649084</v>
      </c>
      <c r="M26" s="257">
        <v>11.189475219624571</v>
      </c>
      <c r="N26" s="257">
        <v>12.29618140084113</v>
      </c>
      <c r="O26" s="257">
        <v>11.970539888892629</v>
      </c>
      <c r="P26" s="257">
        <v>12.054135588779531</v>
      </c>
      <c r="Q26" s="257">
        <v>12.939470425837291</v>
      </c>
      <c r="R26" s="257">
        <v>11.05571538172962</v>
      </c>
      <c r="S26" s="257">
        <v>11.248863686941579</v>
      </c>
      <c r="T26" s="257">
        <v>11.66253592485805</v>
      </c>
      <c r="U26" s="257">
        <v>11.63712286862147</v>
      </c>
      <c r="V26" s="257">
        <v>8.6668611095014256</v>
      </c>
      <c r="W26" s="257">
        <v>8.7959993233579787</v>
      </c>
      <c r="X26" s="257">
        <v>8.6805792929914141</v>
      </c>
      <c r="Y26" s="257">
        <v>8.1999604299783844</v>
      </c>
      <c r="DA26" s="272" t="s">
        <v>1013</v>
      </c>
    </row>
    <row r="27" spans="1:105" x14ac:dyDescent="0.25">
      <c r="A27" s="128" t="s">
        <v>33</v>
      </c>
      <c r="B27" s="258">
        <v>13.69857250171944</v>
      </c>
      <c r="C27" s="258">
        <v>10.66047687533497</v>
      </c>
      <c r="D27" s="258">
        <v>9.5105344188172367</v>
      </c>
      <c r="E27" s="258">
        <v>7.8889045029158487</v>
      </c>
      <c r="F27" s="258">
        <v>8.2891788252845817</v>
      </c>
      <c r="G27" s="258">
        <v>7.4619821584629076</v>
      </c>
      <c r="H27" s="258">
        <v>9.4903808791040163</v>
      </c>
      <c r="I27" s="258">
        <v>11.0068128650316</v>
      </c>
      <c r="J27" s="258">
        <v>11.1165992110256</v>
      </c>
      <c r="K27" s="258">
        <v>11.09261824892252</v>
      </c>
      <c r="L27" s="258">
        <v>14.245169305234111</v>
      </c>
      <c r="M27" s="258">
        <v>16.224739068455619</v>
      </c>
      <c r="N27" s="258">
        <v>17.829463031219639</v>
      </c>
      <c r="O27" s="258">
        <v>17.35728283889431</v>
      </c>
      <c r="P27" s="258">
        <v>17.478496603730321</v>
      </c>
      <c r="Q27" s="258">
        <v>18.76223211746408</v>
      </c>
      <c r="R27" s="258">
        <v>16.030787303507939</v>
      </c>
      <c r="S27" s="258">
        <v>16.310852346065278</v>
      </c>
      <c r="T27" s="258">
        <v>16.910677091044171</v>
      </c>
      <c r="U27" s="258">
        <v>16.87382815950113</v>
      </c>
      <c r="V27" s="258">
        <v>12.56694860877707</v>
      </c>
      <c r="W27" s="258">
        <v>12.75419901886907</v>
      </c>
      <c r="X27" s="258">
        <v>12.586839974837551</v>
      </c>
      <c r="Y27" s="258">
        <v>11.889942623468659</v>
      </c>
      <c r="DA27" s="273" t="s">
        <v>1014</v>
      </c>
    </row>
    <row r="29" spans="1:105" ht="12.75" x14ac:dyDescent="0.25">
      <c r="A29" s="178" t="s">
        <v>127</v>
      </c>
      <c r="B29" s="231"/>
      <c r="C29" s="231"/>
      <c r="D29" s="231"/>
      <c r="E29" s="231"/>
      <c r="F29" s="231"/>
      <c r="G29" s="231"/>
      <c r="H29" s="231"/>
      <c r="I29" s="231"/>
      <c r="J29" s="231"/>
      <c r="K29" s="231"/>
      <c r="L29" s="231"/>
      <c r="M29" s="231"/>
      <c r="N29" s="231"/>
      <c r="O29" s="231"/>
      <c r="P29" s="231"/>
      <c r="Q29" s="231"/>
      <c r="R29" s="231"/>
      <c r="S29" s="231"/>
      <c r="T29" s="231"/>
      <c r="U29" s="231"/>
      <c r="V29" s="231"/>
      <c r="W29" s="231"/>
      <c r="X29" s="231"/>
      <c r="Y29" s="231"/>
      <c r="DA29" s="266"/>
    </row>
    <row r="31" spans="1:105" x14ac:dyDescent="0.25">
      <c r="A31" s="234" t="s">
        <v>126</v>
      </c>
      <c r="B31" s="235">
        <f t="shared" ref="B31:Q31" si="9">SUM(B32:B40)</f>
        <v>0.99999999999999978</v>
      </c>
      <c r="C31" s="235">
        <f t="shared" si="9"/>
        <v>1.0000000000000002</v>
      </c>
      <c r="D31" s="235">
        <f t="shared" si="9"/>
        <v>0.99999999999999967</v>
      </c>
      <c r="E31" s="235">
        <f t="shared" si="9"/>
        <v>1</v>
      </c>
      <c r="F31" s="235">
        <f t="shared" si="9"/>
        <v>1</v>
      </c>
      <c r="G31" s="235">
        <f t="shared" si="9"/>
        <v>1</v>
      </c>
      <c r="H31" s="235">
        <f t="shared" si="9"/>
        <v>1</v>
      </c>
      <c r="I31" s="235">
        <f t="shared" si="9"/>
        <v>1.0000000000000002</v>
      </c>
      <c r="J31" s="235">
        <f t="shared" si="9"/>
        <v>0.99999999999999989</v>
      </c>
      <c r="K31" s="235">
        <f t="shared" si="9"/>
        <v>1</v>
      </c>
      <c r="L31" s="235">
        <f t="shared" si="9"/>
        <v>1</v>
      </c>
      <c r="M31" s="235">
        <f t="shared" si="9"/>
        <v>1</v>
      </c>
      <c r="N31" s="235">
        <f t="shared" si="9"/>
        <v>1.0000000000000002</v>
      </c>
      <c r="O31" s="235">
        <f t="shared" si="9"/>
        <v>1</v>
      </c>
      <c r="P31" s="235">
        <f t="shared" si="9"/>
        <v>1</v>
      </c>
      <c r="Q31" s="235">
        <f t="shared" si="9"/>
        <v>0.99999999999999978</v>
      </c>
      <c r="R31" s="235">
        <f t="shared" ref="R31:W31" si="10">SUM(R32:R40)</f>
        <v>1</v>
      </c>
      <c r="S31" s="235">
        <f t="shared" si="10"/>
        <v>1</v>
      </c>
      <c r="T31" s="235">
        <f t="shared" si="10"/>
        <v>1</v>
      </c>
      <c r="U31" s="235">
        <f t="shared" si="10"/>
        <v>0.99999999999999978</v>
      </c>
      <c r="V31" s="235">
        <f t="shared" si="10"/>
        <v>0.99999999999999978</v>
      </c>
      <c r="W31" s="235">
        <f t="shared" si="10"/>
        <v>1</v>
      </c>
      <c r="X31" s="235">
        <f t="shared" ref="X31:Y31" si="11">SUM(X32:X40)</f>
        <v>1.0000000000000002</v>
      </c>
      <c r="Y31" s="235">
        <f t="shared" si="11"/>
        <v>0.99999999999999989</v>
      </c>
      <c r="DA31" s="274"/>
    </row>
    <row r="32" spans="1:105" x14ac:dyDescent="0.25">
      <c r="A32" s="238" t="s">
        <v>125</v>
      </c>
      <c r="B32" s="244">
        <f t="shared" ref="B32:Y32" si="12">IF(B$6=0,0,B$6/B$5)</f>
        <v>2.2657659602474386E-2</v>
      </c>
      <c r="C32" s="244">
        <f t="shared" si="12"/>
        <v>2.4120534605893185E-2</v>
      </c>
      <c r="D32" s="244">
        <f t="shared" si="12"/>
        <v>2.3047095141434538E-2</v>
      </c>
      <c r="E32" s="244">
        <f t="shared" si="12"/>
        <v>2.2003294084837734E-2</v>
      </c>
      <c r="F32" s="244">
        <f t="shared" si="12"/>
        <v>2.2526230661196227E-2</v>
      </c>
      <c r="G32" s="244">
        <f t="shared" si="12"/>
        <v>1.9064108372076553E-2</v>
      </c>
      <c r="H32" s="244">
        <f t="shared" si="12"/>
        <v>2.3672883617773727E-2</v>
      </c>
      <c r="I32" s="244">
        <f t="shared" si="12"/>
        <v>2.8670517911631447E-2</v>
      </c>
      <c r="J32" s="244">
        <f t="shared" si="12"/>
        <v>2.608394997765582E-2</v>
      </c>
      <c r="K32" s="244">
        <f t="shared" si="12"/>
        <v>2.0088429384437272E-2</v>
      </c>
      <c r="L32" s="244">
        <f t="shared" si="12"/>
        <v>2.4983279495356059E-2</v>
      </c>
      <c r="M32" s="244">
        <f t="shared" si="12"/>
        <v>2.5334864740565503E-2</v>
      </c>
      <c r="N32" s="244">
        <f t="shared" si="12"/>
        <v>2.4662554595069788E-2</v>
      </c>
      <c r="O32" s="244">
        <f t="shared" si="12"/>
        <v>2.5244421245573502E-2</v>
      </c>
      <c r="P32" s="244">
        <f t="shared" si="12"/>
        <v>2.8626316131800691E-2</v>
      </c>
      <c r="Q32" s="244">
        <f t="shared" si="12"/>
        <v>2.8140819071500147E-2</v>
      </c>
      <c r="R32" s="244">
        <f t="shared" si="12"/>
        <v>2.4272616079137666E-2</v>
      </c>
      <c r="S32" s="244">
        <f t="shared" si="12"/>
        <v>2.2605260774319822E-2</v>
      </c>
      <c r="T32" s="244">
        <f t="shared" si="12"/>
        <v>2.0604410871148265E-2</v>
      </c>
      <c r="U32" s="244">
        <f t="shared" si="12"/>
        <v>2.0878876667072555E-2</v>
      </c>
      <c r="V32" s="244">
        <f t="shared" si="12"/>
        <v>1.6324177796123749E-2</v>
      </c>
      <c r="W32" s="244">
        <f t="shared" si="12"/>
        <v>1.5516207576897497E-2</v>
      </c>
      <c r="X32" s="244">
        <f t="shared" si="12"/>
        <v>1.5640138217624694E-2</v>
      </c>
      <c r="Y32" s="244">
        <f t="shared" si="12"/>
        <v>1.5191505198702078E-2</v>
      </c>
      <c r="DA32" s="275"/>
    </row>
    <row r="33" spans="1:105" x14ac:dyDescent="0.25">
      <c r="A33" s="240" t="s">
        <v>124</v>
      </c>
      <c r="B33" s="245">
        <f t="shared" ref="B33:Y33" si="13">IF(B$7=0,0,B$7/B$5)</f>
        <v>1.4727478741608348E-2</v>
      </c>
      <c r="C33" s="245">
        <f t="shared" si="13"/>
        <v>1.5678347493830565E-2</v>
      </c>
      <c r="D33" s="245">
        <f t="shared" si="13"/>
        <v>1.4980611841932445E-2</v>
      </c>
      <c r="E33" s="245">
        <f t="shared" si="13"/>
        <v>1.4302141155144511E-2</v>
      </c>
      <c r="F33" s="245">
        <f t="shared" si="13"/>
        <v>1.4642049929777542E-2</v>
      </c>
      <c r="G33" s="245">
        <f t="shared" si="13"/>
        <v>1.2391670441849757E-2</v>
      </c>
      <c r="H33" s="245">
        <f t="shared" si="13"/>
        <v>1.5387374351552921E-2</v>
      </c>
      <c r="I33" s="245">
        <f t="shared" si="13"/>
        <v>1.8635836642560438E-2</v>
      </c>
      <c r="J33" s="245">
        <f t="shared" si="13"/>
        <v>1.6954567485476281E-2</v>
      </c>
      <c r="K33" s="245">
        <f t="shared" si="13"/>
        <v>1.3057479099884223E-2</v>
      </c>
      <c r="L33" s="245">
        <f t="shared" si="13"/>
        <v>1.6239131671981429E-2</v>
      </c>
      <c r="M33" s="245">
        <f t="shared" si="13"/>
        <v>1.6467662081367566E-2</v>
      </c>
      <c r="N33" s="245">
        <f t="shared" si="13"/>
        <v>1.603066048679536E-2</v>
      </c>
      <c r="O33" s="245">
        <f t="shared" si="13"/>
        <v>1.6408873809622773E-2</v>
      </c>
      <c r="P33" s="245">
        <f t="shared" si="13"/>
        <v>1.8607105485670437E-2</v>
      </c>
      <c r="Q33" s="245">
        <f t="shared" si="13"/>
        <v>1.8291532396475095E-2</v>
      </c>
      <c r="R33" s="245">
        <f t="shared" si="13"/>
        <v>1.5777200451439478E-2</v>
      </c>
      <c r="S33" s="245">
        <f t="shared" si="13"/>
        <v>1.4693419503307876E-2</v>
      </c>
      <c r="T33" s="245">
        <f t="shared" si="13"/>
        <v>1.3392867066246371E-2</v>
      </c>
      <c r="U33" s="245">
        <f t="shared" si="13"/>
        <v>1.3571269833597153E-2</v>
      </c>
      <c r="V33" s="245">
        <f t="shared" si="13"/>
        <v>1.0610715567480436E-2</v>
      </c>
      <c r="W33" s="245">
        <f t="shared" si="13"/>
        <v>1.0085534924983373E-2</v>
      </c>
      <c r="X33" s="245">
        <f t="shared" si="13"/>
        <v>1.0166089841456049E-2</v>
      </c>
      <c r="Y33" s="245">
        <f t="shared" si="13"/>
        <v>9.8744783791563408E-3</v>
      </c>
      <c r="DA33" s="276"/>
    </row>
    <row r="34" spans="1:105" x14ac:dyDescent="0.25">
      <c r="A34" s="240" t="s">
        <v>123</v>
      </c>
      <c r="B34" s="245">
        <f t="shared" ref="B34:Y34" si="14">IF(B$8=0,0,B$8/B$5)</f>
        <v>2.039189364222695E-2</v>
      </c>
      <c r="C34" s="245">
        <f t="shared" si="14"/>
        <v>2.1708481145303871E-2</v>
      </c>
      <c r="D34" s="245">
        <f t="shared" si="14"/>
        <v>2.0742385627291086E-2</v>
      </c>
      <c r="E34" s="245">
        <f t="shared" si="14"/>
        <v>1.9802964676353951E-2</v>
      </c>
      <c r="F34" s="245">
        <f t="shared" si="14"/>
        <v>2.0273607595076602E-2</v>
      </c>
      <c r="G34" s="245">
        <f t="shared" si="14"/>
        <v>1.7157697534868899E-2</v>
      </c>
      <c r="H34" s="245">
        <f t="shared" si="14"/>
        <v>2.1305595255996353E-2</v>
      </c>
      <c r="I34" s="245">
        <f t="shared" si="14"/>
        <v>2.5803466120468303E-2</v>
      </c>
      <c r="J34" s="245">
        <f t="shared" si="14"/>
        <v>2.3475554979890238E-2</v>
      </c>
      <c r="K34" s="245">
        <f t="shared" si="14"/>
        <v>1.8079586445993539E-2</v>
      </c>
      <c r="L34" s="245">
        <f t="shared" si="14"/>
        <v>2.2484951545820437E-2</v>
      </c>
      <c r="M34" s="245">
        <f t="shared" si="14"/>
        <v>2.2801378266508944E-2</v>
      </c>
      <c r="N34" s="245">
        <f t="shared" si="14"/>
        <v>2.2196299135562793E-2</v>
      </c>
      <c r="O34" s="245">
        <f t="shared" si="14"/>
        <v>2.271997912101616E-2</v>
      </c>
      <c r="P34" s="245">
        <f t="shared" si="14"/>
        <v>2.5763684518620603E-2</v>
      </c>
      <c r="Q34" s="245">
        <f t="shared" si="14"/>
        <v>2.5326737164350129E-2</v>
      </c>
      <c r="R34" s="245">
        <f t="shared" si="14"/>
        <v>2.1845354471223898E-2</v>
      </c>
      <c r="S34" s="245">
        <f t="shared" si="14"/>
        <v>2.0344734696887835E-2</v>
      </c>
      <c r="T34" s="245">
        <f t="shared" si="14"/>
        <v>1.854396978403345E-2</v>
      </c>
      <c r="U34" s="245">
        <f t="shared" si="14"/>
        <v>1.8790989000365292E-2</v>
      </c>
      <c r="V34" s="245">
        <f t="shared" si="14"/>
        <v>1.4691760016511372E-2</v>
      </c>
      <c r="W34" s="245">
        <f t="shared" si="14"/>
        <v>1.3964586819207744E-2</v>
      </c>
      <c r="X34" s="245">
        <f t="shared" si="14"/>
        <v>1.4076124395862222E-2</v>
      </c>
      <c r="Y34" s="245">
        <f t="shared" si="14"/>
        <v>1.3672354678831867E-2</v>
      </c>
      <c r="DA34" s="276"/>
    </row>
    <row r="35" spans="1:105" x14ac:dyDescent="0.25">
      <c r="A35" s="242" t="s">
        <v>122</v>
      </c>
      <c r="B35" s="246">
        <f t="shared" ref="B35:Y35" si="15">IF(B$9=0,0,B$9/B$5)</f>
        <v>0.24971342966101986</v>
      </c>
      <c r="C35" s="246">
        <f t="shared" si="15"/>
        <v>0.26517065639864906</v>
      </c>
      <c r="D35" s="246">
        <f t="shared" si="15"/>
        <v>0.26816151568452812</v>
      </c>
      <c r="E35" s="246">
        <f t="shared" si="15"/>
        <v>0.29933081594142447</v>
      </c>
      <c r="F35" s="246">
        <f t="shared" si="15"/>
        <v>0.23775130372260694</v>
      </c>
      <c r="G35" s="246">
        <f t="shared" si="15"/>
        <v>0.22439396966661579</v>
      </c>
      <c r="H35" s="246">
        <f t="shared" si="15"/>
        <v>0.21641316774918204</v>
      </c>
      <c r="I35" s="246">
        <f t="shared" si="15"/>
        <v>0.21213602575408474</v>
      </c>
      <c r="J35" s="246">
        <f t="shared" si="15"/>
        <v>0.20443578239173643</v>
      </c>
      <c r="K35" s="246">
        <f t="shared" si="15"/>
        <v>0.21558202593601417</v>
      </c>
      <c r="L35" s="246">
        <f t="shared" si="15"/>
        <v>0.21275983252090758</v>
      </c>
      <c r="M35" s="246">
        <f t="shared" si="15"/>
        <v>0.21562833916234517</v>
      </c>
      <c r="N35" s="246">
        <f t="shared" si="15"/>
        <v>0.22088024129525616</v>
      </c>
      <c r="O35" s="246">
        <f t="shared" si="15"/>
        <v>0.21377867304241735</v>
      </c>
      <c r="P35" s="246">
        <f t="shared" si="15"/>
        <v>0.21501801432747925</v>
      </c>
      <c r="Q35" s="246">
        <f t="shared" si="15"/>
        <v>0.20949385420471314</v>
      </c>
      <c r="R35" s="246">
        <f t="shared" si="15"/>
        <v>0.2080200345118777</v>
      </c>
      <c r="S35" s="246">
        <f t="shared" si="15"/>
        <v>0.20866117998979175</v>
      </c>
      <c r="T35" s="246">
        <f t="shared" si="15"/>
        <v>0.20564485102996197</v>
      </c>
      <c r="U35" s="246">
        <f t="shared" si="15"/>
        <v>0.20671582276146233</v>
      </c>
      <c r="V35" s="246">
        <f t="shared" si="15"/>
        <v>0.21215855455861063</v>
      </c>
      <c r="W35" s="246">
        <f t="shared" si="15"/>
        <v>0.21193260483174398</v>
      </c>
      <c r="X35" s="246">
        <f t="shared" si="15"/>
        <v>0.20763094889667399</v>
      </c>
      <c r="Y35" s="246">
        <f t="shared" si="15"/>
        <v>0.20785503092782523</v>
      </c>
      <c r="DA35" s="277"/>
    </row>
    <row r="36" spans="1:105" x14ac:dyDescent="0.25">
      <c r="A36" s="127" t="s">
        <v>168</v>
      </c>
      <c r="B36" s="259">
        <f t="shared" ref="B36:Y36" si="16">IF(B$16=0,0,B$16/B$5)</f>
        <v>0.23717162866362007</v>
      </c>
      <c r="C36" s="259">
        <f t="shared" si="16"/>
        <v>0.22831892122704736</v>
      </c>
      <c r="D36" s="259">
        <f t="shared" si="16"/>
        <v>0.22716974698193002</v>
      </c>
      <c r="E36" s="259">
        <f t="shared" si="16"/>
        <v>0.21701527274176952</v>
      </c>
      <c r="F36" s="259">
        <f t="shared" si="16"/>
        <v>0.22796846459269016</v>
      </c>
      <c r="G36" s="259">
        <f t="shared" si="16"/>
        <v>0.21347021746257672</v>
      </c>
      <c r="H36" s="259">
        <f t="shared" si="16"/>
        <v>0.22959191972554482</v>
      </c>
      <c r="I36" s="259">
        <f t="shared" si="16"/>
        <v>0.21389168675990924</v>
      </c>
      <c r="J36" s="259">
        <f t="shared" si="16"/>
        <v>0.20294247262882914</v>
      </c>
      <c r="K36" s="259">
        <f t="shared" si="16"/>
        <v>0.23286220387749207</v>
      </c>
      <c r="L36" s="259">
        <f t="shared" si="16"/>
        <v>0.22939692976067352</v>
      </c>
      <c r="M36" s="259">
        <f t="shared" si="16"/>
        <v>0.23873286027440052</v>
      </c>
      <c r="N36" s="259">
        <f t="shared" si="16"/>
        <v>0.24291292947597992</v>
      </c>
      <c r="O36" s="259">
        <f t="shared" si="16"/>
        <v>0.23073471632599132</v>
      </c>
      <c r="P36" s="259">
        <f t="shared" si="16"/>
        <v>0.23664647004804129</v>
      </c>
      <c r="Q36" s="259">
        <f t="shared" si="16"/>
        <v>0.23591398448645842</v>
      </c>
      <c r="R36" s="259">
        <f t="shared" si="16"/>
        <v>0.24573072048066155</v>
      </c>
      <c r="S36" s="259">
        <f t="shared" si="16"/>
        <v>0.24219303041116735</v>
      </c>
      <c r="T36" s="259">
        <f t="shared" si="16"/>
        <v>0.25063258418802503</v>
      </c>
      <c r="U36" s="259">
        <f t="shared" si="16"/>
        <v>0.24995060520638085</v>
      </c>
      <c r="V36" s="259">
        <f t="shared" si="16"/>
        <v>0.25584991683852759</v>
      </c>
      <c r="W36" s="259">
        <f t="shared" si="16"/>
        <v>0.25877681696521687</v>
      </c>
      <c r="X36" s="259">
        <f t="shared" si="16"/>
        <v>0.2640044474924213</v>
      </c>
      <c r="Y36" s="259">
        <f t="shared" si="16"/>
        <v>0.26857218039258296</v>
      </c>
      <c r="DA36" s="278"/>
    </row>
    <row r="37" spans="1:105" x14ac:dyDescent="0.25">
      <c r="A37" s="127" t="s">
        <v>121</v>
      </c>
      <c r="B37" s="259">
        <f t="shared" ref="B37:Y37" si="17">IF(B$17=0,0,B$17/B$5)</f>
        <v>0.35425213869209299</v>
      </c>
      <c r="C37" s="259">
        <f t="shared" si="17"/>
        <v>0.34203436588391134</v>
      </c>
      <c r="D37" s="259">
        <f t="shared" si="17"/>
        <v>0.34578070157354401</v>
      </c>
      <c r="E37" s="259">
        <f t="shared" si="17"/>
        <v>0.33193614768963747</v>
      </c>
      <c r="F37" s="259">
        <f t="shared" si="17"/>
        <v>0.3778430380806963</v>
      </c>
      <c r="G37" s="259">
        <f t="shared" si="17"/>
        <v>0.42579518972285824</v>
      </c>
      <c r="H37" s="259">
        <f t="shared" si="17"/>
        <v>0.39151249370517199</v>
      </c>
      <c r="I37" s="259">
        <f t="shared" si="17"/>
        <v>0.38951862780239055</v>
      </c>
      <c r="J37" s="259">
        <f t="shared" si="17"/>
        <v>0.42320490770872576</v>
      </c>
      <c r="K37" s="259">
        <f t="shared" si="17"/>
        <v>0.40636721017962879</v>
      </c>
      <c r="L37" s="259">
        <f t="shared" si="17"/>
        <v>0.38884630845714896</v>
      </c>
      <c r="M37" s="259">
        <f t="shared" si="17"/>
        <v>0.37308996822464502</v>
      </c>
      <c r="N37" s="259">
        <f t="shared" si="17"/>
        <v>0.36621631248500175</v>
      </c>
      <c r="O37" s="259">
        <f t="shared" si="17"/>
        <v>0.38492690578196276</v>
      </c>
      <c r="P37" s="259">
        <f t="shared" si="17"/>
        <v>0.35973034359909206</v>
      </c>
      <c r="Q37" s="259">
        <f t="shared" si="17"/>
        <v>0.3685552277899351</v>
      </c>
      <c r="R37" s="259">
        <f t="shared" si="17"/>
        <v>0.37766695881911361</v>
      </c>
      <c r="S37" s="259">
        <f t="shared" si="17"/>
        <v>0.38958007656377308</v>
      </c>
      <c r="T37" s="259">
        <f t="shared" si="17"/>
        <v>0.39253937067145794</v>
      </c>
      <c r="U37" s="259">
        <f t="shared" si="17"/>
        <v>0.39090909688672848</v>
      </c>
      <c r="V37" s="259">
        <f t="shared" si="17"/>
        <v>0.40120694591881839</v>
      </c>
      <c r="W37" s="259">
        <f t="shared" si="17"/>
        <v>0.40198341836380247</v>
      </c>
      <c r="X37" s="259">
        <f t="shared" si="17"/>
        <v>0.39943325779659355</v>
      </c>
      <c r="Y37" s="259">
        <f t="shared" si="17"/>
        <v>0.39600688001689655</v>
      </c>
      <c r="DA37" s="278"/>
    </row>
    <row r="38" spans="1:105" x14ac:dyDescent="0.25">
      <c r="A38" s="127" t="s">
        <v>167</v>
      </c>
      <c r="B38" s="259">
        <f t="shared" ref="B38:Y38" si="18">IF(B$25=0,0,B$25/B$5)</f>
        <v>4.5574504970895054E-2</v>
      </c>
      <c r="C38" s="259">
        <f t="shared" si="18"/>
        <v>4.3873383460926479E-2</v>
      </c>
      <c r="D38" s="259">
        <f t="shared" si="18"/>
        <v>4.3652560052824814E-2</v>
      </c>
      <c r="E38" s="259">
        <f t="shared" si="18"/>
        <v>4.1701293202980022E-2</v>
      </c>
      <c r="F38" s="259">
        <f t="shared" si="18"/>
        <v>4.380604029802547E-2</v>
      </c>
      <c r="G38" s="259">
        <f t="shared" si="18"/>
        <v>4.1020081287566589E-2</v>
      </c>
      <c r="H38" s="259">
        <f t="shared" si="18"/>
        <v>4.4118000731232454E-2</v>
      </c>
      <c r="I38" s="259">
        <f t="shared" si="18"/>
        <v>4.1101070125458335E-2</v>
      </c>
      <c r="J38" s="259">
        <f t="shared" si="18"/>
        <v>3.8997087382429463E-2</v>
      </c>
      <c r="K38" s="259">
        <f t="shared" si="18"/>
        <v>4.4746413084678582E-2</v>
      </c>
      <c r="L38" s="259">
        <f t="shared" si="18"/>
        <v>4.4080531784489639E-2</v>
      </c>
      <c r="M38" s="259">
        <f t="shared" si="18"/>
        <v>4.5874508635781783E-2</v>
      </c>
      <c r="N38" s="259">
        <f t="shared" si="18"/>
        <v>4.6677743768413299E-2</v>
      </c>
      <c r="O38" s="259">
        <f t="shared" si="18"/>
        <v>4.4337598621761093E-2</v>
      </c>
      <c r="P38" s="259">
        <f t="shared" si="18"/>
        <v>4.5473591366383993E-2</v>
      </c>
      <c r="Q38" s="259">
        <f t="shared" si="18"/>
        <v>4.5332838161392455E-2</v>
      </c>
      <c r="R38" s="259">
        <f t="shared" si="18"/>
        <v>4.7219205792658828E-2</v>
      </c>
      <c r="S38" s="259">
        <f t="shared" si="18"/>
        <v>4.6539409163668555E-2</v>
      </c>
      <c r="T38" s="259">
        <f t="shared" si="18"/>
        <v>4.816113975481387E-2</v>
      </c>
      <c r="U38" s="259">
        <f t="shared" si="18"/>
        <v>4.8030091810065484E-2</v>
      </c>
      <c r="V38" s="259">
        <f t="shared" si="18"/>
        <v>4.9163693703424535E-2</v>
      </c>
      <c r="W38" s="259">
        <f t="shared" si="18"/>
        <v>4.9726121954749264E-2</v>
      </c>
      <c r="X38" s="259">
        <f t="shared" si="18"/>
        <v>5.0730654726187881E-2</v>
      </c>
      <c r="Y38" s="259">
        <f t="shared" si="18"/>
        <v>5.1608382669184764E-2</v>
      </c>
      <c r="DA38" s="278"/>
    </row>
    <row r="39" spans="1:105" x14ac:dyDescent="0.25">
      <c r="A39" s="127" t="s">
        <v>170</v>
      </c>
      <c r="B39" s="259">
        <f t="shared" ref="B39:Y39" si="19">IF(B$26=0,0,B$26/B$5)</f>
        <v>2.2657659602474386E-2</v>
      </c>
      <c r="C39" s="259">
        <f t="shared" si="19"/>
        <v>2.4120534605893185E-2</v>
      </c>
      <c r="D39" s="259">
        <f t="shared" si="19"/>
        <v>2.3047095141434538E-2</v>
      </c>
      <c r="E39" s="259">
        <f t="shared" si="19"/>
        <v>2.2003294084837734E-2</v>
      </c>
      <c r="F39" s="259">
        <f t="shared" si="19"/>
        <v>2.2526230661196227E-2</v>
      </c>
      <c r="G39" s="259">
        <f t="shared" si="19"/>
        <v>1.9064108372076553E-2</v>
      </c>
      <c r="H39" s="259">
        <f t="shared" si="19"/>
        <v>2.3672883617773727E-2</v>
      </c>
      <c r="I39" s="259">
        <f t="shared" si="19"/>
        <v>2.8670517911631447E-2</v>
      </c>
      <c r="J39" s="259">
        <f t="shared" si="19"/>
        <v>2.608394997765582E-2</v>
      </c>
      <c r="K39" s="259">
        <f t="shared" si="19"/>
        <v>2.0088429384437272E-2</v>
      </c>
      <c r="L39" s="259">
        <f t="shared" si="19"/>
        <v>2.4983279495356059E-2</v>
      </c>
      <c r="M39" s="259">
        <f t="shared" si="19"/>
        <v>2.5334864740565503E-2</v>
      </c>
      <c r="N39" s="259">
        <f t="shared" si="19"/>
        <v>2.4662554595069788E-2</v>
      </c>
      <c r="O39" s="259">
        <f t="shared" si="19"/>
        <v>2.5244421245573502E-2</v>
      </c>
      <c r="P39" s="259">
        <f t="shared" si="19"/>
        <v>2.8626316131800691E-2</v>
      </c>
      <c r="Q39" s="259">
        <f t="shared" si="19"/>
        <v>2.8140819071500147E-2</v>
      </c>
      <c r="R39" s="259">
        <f t="shared" si="19"/>
        <v>2.4272616079137666E-2</v>
      </c>
      <c r="S39" s="259">
        <f t="shared" si="19"/>
        <v>2.2605260774319822E-2</v>
      </c>
      <c r="T39" s="259">
        <f t="shared" si="19"/>
        <v>2.0604410871148265E-2</v>
      </c>
      <c r="U39" s="259">
        <f t="shared" si="19"/>
        <v>2.0878876667072555E-2</v>
      </c>
      <c r="V39" s="259">
        <f t="shared" si="19"/>
        <v>1.6324177796123749E-2</v>
      </c>
      <c r="W39" s="259">
        <f t="shared" si="19"/>
        <v>1.5516207576897497E-2</v>
      </c>
      <c r="X39" s="259">
        <f t="shared" si="19"/>
        <v>1.5640138217624694E-2</v>
      </c>
      <c r="Y39" s="259">
        <f t="shared" si="19"/>
        <v>1.5191505198702078E-2</v>
      </c>
      <c r="DA39" s="278"/>
    </row>
    <row r="40" spans="1:105" x14ac:dyDescent="0.25">
      <c r="A40" s="260" t="s">
        <v>33</v>
      </c>
      <c r="B40" s="261">
        <f t="shared" ref="B40:Y40" si="20">IF(B$27=0,0,B$27/B$5)</f>
        <v>3.285360642358786E-2</v>
      </c>
      <c r="C40" s="261">
        <f t="shared" si="20"/>
        <v>3.4974775178545116E-2</v>
      </c>
      <c r="D40" s="261">
        <f t="shared" si="20"/>
        <v>3.3418287955080075E-2</v>
      </c>
      <c r="E40" s="261">
        <f t="shared" si="20"/>
        <v>3.1904776423014709E-2</v>
      </c>
      <c r="F40" s="261">
        <f t="shared" si="20"/>
        <v>3.2663034458734523E-2</v>
      </c>
      <c r="G40" s="261">
        <f t="shared" si="20"/>
        <v>2.7642957139511013E-2</v>
      </c>
      <c r="H40" s="261">
        <f t="shared" si="20"/>
        <v>3.4325681245771907E-2</v>
      </c>
      <c r="I40" s="261">
        <f t="shared" si="20"/>
        <v>4.1572250971865607E-2</v>
      </c>
      <c r="J40" s="261">
        <f t="shared" si="20"/>
        <v>3.7821727467600937E-2</v>
      </c>
      <c r="K40" s="261">
        <f t="shared" si="20"/>
        <v>2.9128222607434046E-2</v>
      </c>
      <c r="L40" s="261">
        <f t="shared" si="20"/>
        <v>3.6225755268266269E-2</v>
      </c>
      <c r="M40" s="261">
        <f t="shared" si="20"/>
        <v>3.6735553873819965E-2</v>
      </c>
      <c r="N40" s="261">
        <f t="shared" si="20"/>
        <v>3.5760704162851195E-2</v>
      </c>
      <c r="O40" s="261">
        <f t="shared" si="20"/>
        <v>3.6604410806081573E-2</v>
      </c>
      <c r="P40" s="261">
        <f t="shared" si="20"/>
        <v>4.1508158391111008E-2</v>
      </c>
      <c r="Q40" s="261">
        <f t="shared" si="20"/>
        <v>4.0804187653675231E-2</v>
      </c>
      <c r="R40" s="261">
        <f t="shared" si="20"/>
        <v>3.5195293314749597E-2</v>
      </c>
      <c r="S40" s="261">
        <f t="shared" si="20"/>
        <v>3.2777628122763719E-2</v>
      </c>
      <c r="T40" s="261">
        <f t="shared" si="20"/>
        <v>2.9876395763164983E-2</v>
      </c>
      <c r="U40" s="261">
        <f t="shared" si="20"/>
        <v>3.0274371167255204E-2</v>
      </c>
      <c r="V40" s="261">
        <f t="shared" si="20"/>
        <v>2.3670057804379439E-2</v>
      </c>
      <c r="W40" s="261">
        <f t="shared" si="20"/>
        <v>2.2498500986501371E-2</v>
      </c>
      <c r="X40" s="261">
        <f t="shared" si="20"/>
        <v>2.2678200415555808E-2</v>
      </c>
      <c r="Y40" s="261">
        <f t="shared" si="20"/>
        <v>2.2027682538118019E-2</v>
      </c>
      <c r="DA40" s="279"/>
    </row>
    <row r="42" spans="1:105" ht="12.75" x14ac:dyDescent="0.25">
      <c r="A42" s="178" t="s">
        <v>23</v>
      </c>
      <c r="B42" s="231"/>
      <c r="C42" s="231"/>
      <c r="D42" s="231"/>
      <c r="E42" s="231"/>
      <c r="F42" s="231"/>
      <c r="G42" s="231"/>
      <c r="H42" s="231"/>
      <c r="I42" s="231"/>
      <c r="J42" s="231"/>
      <c r="K42" s="231"/>
      <c r="L42" s="231"/>
      <c r="M42" s="231"/>
      <c r="N42" s="231"/>
      <c r="O42" s="231"/>
      <c r="P42" s="231"/>
      <c r="Q42" s="231"/>
      <c r="R42" s="231"/>
      <c r="S42" s="231"/>
      <c r="T42" s="231"/>
      <c r="U42" s="231"/>
      <c r="V42" s="231"/>
      <c r="W42" s="231"/>
      <c r="X42" s="231"/>
      <c r="Y42" s="231"/>
      <c r="DA42" s="266"/>
    </row>
    <row r="44" spans="1:105" x14ac:dyDescent="0.25">
      <c r="A44" s="234" t="s">
        <v>126</v>
      </c>
      <c r="B44" s="236">
        <f t="shared" ref="B44:Y44" si="21">SUM(B$45:B$53)</f>
        <v>112.47171201628663</v>
      </c>
      <c r="C44" s="236">
        <f t="shared" si="21"/>
        <v>109.81942433546158</v>
      </c>
      <c r="D44" s="236">
        <f t="shared" si="21"/>
        <v>113.80906613357634</v>
      </c>
      <c r="E44" s="236">
        <f t="shared" si="21"/>
        <v>119.53787119840244</v>
      </c>
      <c r="F44" s="236">
        <f t="shared" si="21"/>
        <v>117.30616060932348</v>
      </c>
      <c r="G44" s="236">
        <f t="shared" si="21"/>
        <v>134.29403412451356</v>
      </c>
      <c r="H44" s="236">
        <f t="shared" si="21"/>
        <v>130.05722800154638</v>
      </c>
      <c r="I44" s="236">
        <f t="shared" si="21"/>
        <v>117.81469406104155</v>
      </c>
      <c r="J44" s="236">
        <f t="shared" si="21"/>
        <v>123.49619118298853</v>
      </c>
      <c r="K44" s="236">
        <f t="shared" si="21"/>
        <v>137.83360398812147</v>
      </c>
      <c r="L44" s="236">
        <f t="shared" si="21"/>
        <v>128.47617233393541</v>
      </c>
      <c r="M44" s="236">
        <f t="shared" si="21"/>
        <v>116.0213122138336</v>
      </c>
      <c r="N44" s="236">
        <f t="shared" si="21"/>
        <v>118.31216844961239</v>
      </c>
      <c r="O44" s="236">
        <f t="shared" si="21"/>
        <v>117.89482713876825</v>
      </c>
      <c r="P44" s="236">
        <f t="shared" si="21"/>
        <v>114.2126532077291</v>
      </c>
      <c r="Q44" s="236">
        <f t="shared" si="21"/>
        <v>116.67728719019789</v>
      </c>
      <c r="R44" s="236">
        <f t="shared" si="21"/>
        <v>118.41249825520163</v>
      </c>
      <c r="S44" s="236">
        <f t="shared" si="21"/>
        <v>109.25986032686188</v>
      </c>
      <c r="T44" s="236">
        <f t="shared" si="21"/>
        <v>115.03952384499104</v>
      </c>
      <c r="U44" s="236">
        <f t="shared" si="21"/>
        <v>114.31053707016741</v>
      </c>
      <c r="V44" s="236">
        <f t="shared" si="21"/>
        <v>121.02278233994653</v>
      </c>
      <c r="W44" s="236">
        <f t="shared" si="21"/>
        <v>115.61293230102248</v>
      </c>
      <c r="X44" s="236">
        <f t="shared" si="21"/>
        <v>98.926512660278377</v>
      </c>
      <c r="Y44" s="236">
        <f t="shared" si="21"/>
        <v>101.37891512464498</v>
      </c>
      <c r="DA44" s="280"/>
    </row>
    <row r="45" spans="1:105" x14ac:dyDescent="0.25">
      <c r="A45" s="238" t="s">
        <v>125</v>
      </c>
      <c r="B45" s="247">
        <f>IF(B$6=0,0,B$6/AGR!B$5*1000)</f>
        <v>2.5483457657725506</v>
      </c>
      <c r="C45" s="247">
        <f>IF(C$6=0,0,C$6/AGR!C$5*1000)</f>
        <v>2.6489032250827691</v>
      </c>
      <c r="D45" s="247">
        <f>IF(D$6=0,0,D$6/AGR!D$5*1000)</f>
        <v>2.6229683751383499</v>
      </c>
      <c r="E45" s="247">
        <f>IF(E$6=0,0,E$6/AGR!E$5*1000)</f>
        <v>2.6302269342539026</v>
      </c>
      <c r="F45" s="247">
        <f>IF(F$6=0,0,F$6/AGR!F$5*1000)</f>
        <v>2.642465631864952</v>
      </c>
      <c r="G45" s="247">
        <f>IF(G$6=0,0,G$6/AGR!G$5*1000)</f>
        <v>2.5601960202730729</v>
      </c>
      <c r="H45" s="247">
        <f>IF(H$6=0,0,H$6/AGR!H$5*1000)</f>
        <v>3.0788296221308697</v>
      </c>
      <c r="I45" s="247">
        <f>IF(I$6=0,0,I$6/AGR!I$5*1000)</f>
        <v>3.3778082963304703</v>
      </c>
      <c r="J45" s="247">
        <f>IF(J$6=0,0,J$6/AGR!J$5*1000)</f>
        <v>3.221268473248093</v>
      </c>
      <c r="K45" s="247">
        <f>IF(K$6=0,0,K$6/AGR!K$5*1000)</f>
        <v>2.7688606205178692</v>
      </c>
      <c r="L45" s="247">
        <f>IF(L$6=0,0,L$6/AGR!L$5*1000)</f>
        <v>3.2097561219122399</v>
      </c>
      <c r="M45" s="247">
        <f>IF(M$6=0,0,M$6/AGR!M$5*1000)</f>
        <v>2.9393842519603948</v>
      </c>
      <c r="N45" s="247">
        <f>IF(N$6=0,0,N$6/AGR!N$5*1000)</f>
        <v>2.9178803136496581</v>
      </c>
      <c r="O45" s="247">
        <f>IF(O$6=0,0,O$6/AGR!O$5*1000)</f>
        <v>2.9761866789651368</v>
      </c>
      <c r="P45" s="247">
        <f>IF(P$6=0,0,P$6/AGR!P$5*1000)</f>
        <v>3.2694875169761741</v>
      </c>
      <c r="Q45" s="247">
        <f>IF(Q$6=0,0,Q$6/AGR!Q$5*1000)</f>
        <v>3.2833944285728207</v>
      </c>
      <c r="R45" s="247">
        <f>IF(R$6=0,0,R$6/AGR!R$5*1000)</f>
        <v>2.8741811091200682</v>
      </c>
      <c r="S45" s="247">
        <f>IF(S$6=0,0,S$6/AGR!S$5*1000)</f>
        <v>2.4698476348544736</v>
      </c>
      <c r="T45" s="247">
        <f>IF(T$6=0,0,T$6/AGR!T$5*1000)</f>
        <v>2.3703216157234532</v>
      </c>
      <c r="U45" s="247">
        <f>IF(U$6=0,0,U$6/AGR!U$5*1000)</f>
        <v>2.3866756052348506</v>
      </c>
      <c r="V45" s="247">
        <f>IF(V$6=0,0,V$6/AGR!V$5*1000)</f>
        <v>1.9755974162988725</v>
      </c>
      <c r="W45" s="247">
        <f>IF(W$6=0,0,W$6/AGR!W$5*1000)</f>
        <v>1.7938742561564622</v>
      </c>
      <c r="X45" s="247">
        <f>IF(X$6=0,0,X$6/AGR!X$5*1000)</f>
        <v>1.547224331394353</v>
      </c>
      <c r="Y45" s="247">
        <f>IF(Y$6=0,0,Y$6/AGR!Y$5*1000)</f>
        <v>1.5400983161548207</v>
      </c>
      <c r="DA45" s="281"/>
    </row>
    <row r="46" spans="1:105" x14ac:dyDescent="0.25">
      <c r="A46" s="240" t="s">
        <v>124</v>
      </c>
      <c r="B46" s="248">
        <f>IF(B$7=0,0,B$7/AGR!B$5*1000)</f>
        <v>1.6564247477521574</v>
      </c>
      <c r="C46" s="248">
        <f>IF(C$7=0,0,C$7/AGR!C$5*1000)</f>
        <v>1.7217870963037991</v>
      </c>
      <c r="D46" s="248">
        <f>IF(D$7=0,0,D$7/AGR!D$5*1000)</f>
        <v>1.7049294438399267</v>
      </c>
      <c r="E46" s="248">
        <f>IF(E$7=0,0,E$7/AGR!E$5*1000)</f>
        <v>1.7096475072650352</v>
      </c>
      <c r="F46" s="248">
        <f>IF(F$7=0,0,F$7/AGR!F$5*1000)</f>
        <v>1.7176026607122179</v>
      </c>
      <c r="G46" s="248">
        <f>IF(G$7=0,0,G$7/AGR!G$5*1000)</f>
        <v>1.664127413177497</v>
      </c>
      <c r="H46" s="248">
        <f>IF(H$7=0,0,H$7/AGR!H$5*1000)</f>
        <v>2.0012392543850654</v>
      </c>
      <c r="I46" s="248">
        <f>IF(I$7=0,0,I$7/AGR!I$5*1000)</f>
        <v>2.1955753926148054</v>
      </c>
      <c r="J46" s="248">
        <f>IF(J$7=0,0,J$7/AGR!J$5*1000)</f>
        <v>2.0938245076112603</v>
      </c>
      <c r="K46" s="248">
        <f>IF(K$7=0,0,K$7/AGR!K$5*1000)</f>
        <v>1.7997594033366144</v>
      </c>
      <c r="L46" s="248">
        <f>IF(L$7=0,0,L$7/AGR!L$5*1000)</f>
        <v>2.0863414792429551</v>
      </c>
      <c r="M46" s="248">
        <f>IF(M$7=0,0,M$7/AGR!M$5*1000)</f>
        <v>1.9105997637742551</v>
      </c>
      <c r="N46" s="248">
        <f>IF(N$7=0,0,N$7/AGR!N$5*1000)</f>
        <v>1.8966222038722778</v>
      </c>
      <c r="O46" s="248">
        <f>IF(O$7=0,0,O$7/AGR!O$5*1000)</f>
        <v>1.9345213413273383</v>
      </c>
      <c r="P46" s="248">
        <f>IF(P$7=0,0,P$7/AGR!P$5*1000)</f>
        <v>2.1251668860345116</v>
      </c>
      <c r="Q46" s="248">
        <f>IF(Q$7=0,0,Q$7/AGR!Q$5*1000)</f>
        <v>2.1342063785723333</v>
      </c>
      <c r="R46" s="248">
        <f>IF(R$7=0,0,R$7/AGR!R$5*1000)</f>
        <v>1.8682177209280433</v>
      </c>
      <c r="S46" s="248">
        <f>IF(S$7=0,0,S$7/AGR!S$5*1000)</f>
        <v>1.6054009626554071</v>
      </c>
      <c r="T46" s="248">
        <f>IF(T$7=0,0,T$7/AGR!T$5*1000)</f>
        <v>1.5407090502202443</v>
      </c>
      <c r="U46" s="248">
        <f>IF(U$7=0,0,U$7/AGR!U$5*1000)</f>
        <v>1.551339143402652</v>
      </c>
      <c r="V46" s="248">
        <f>IF(V$7=0,0,V$7/AGR!V$5*1000)</f>
        <v>1.2841383205942671</v>
      </c>
      <c r="W46" s="248">
        <f>IF(W$7=0,0,W$7/AGR!W$5*1000)</f>
        <v>1.1660182665017005</v>
      </c>
      <c r="X46" s="248">
        <f>IF(X$7=0,0,X$7/AGR!X$5*1000)</f>
        <v>1.0056958154063291</v>
      </c>
      <c r="Y46" s="248">
        <f>IF(Y$7=0,0,Y$7/AGR!Y$5*1000)</f>
        <v>1.0010639055006325</v>
      </c>
      <c r="DA46" s="282"/>
    </row>
    <row r="47" spans="1:105" x14ac:dyDescent="0.25">
      <c r="A47" s="240" t="s">
        <v>123</v>
      </c>
      <c r="B47" s="248">
        <f>IF(B$8=0,0,B$8/AGR!B$5*1000)</f>
        <v>2.2935111891952955</v>
      </c>
      <c r="C47" s="248">
        <f>IF(C$8=0,0,C$8/AGR!C$5*1000)</f>
        <v>2.3840129025744927</v>
      </c>
      <c r="D47" s="248">
        <f>IF(D$8=0,0,D$8/AGR!D$5*1000)</f>
        <v>2.3606715376245146</v>
      </c>
      <c r="E47" s="248">
        <f>IF(E$8=0,0,E$8/AGR!E$5*1000)</f>
        <v>2.3672042408285119</v>
      </c>
      <c r="F47" s="248">
        <f>IF(F$8=0,0,F$8/AGR!F$5*1000)</f>
        <v>2.3782190686784563</v>
      </c>
      <c r="G47" s="248">
        <f>IF(G$8=0,0,G$8/AGR!G$5*1000)</f>
        <v>2.3041764182457656</v>
      </c>
      <c r="H47" s="248">
        <f>IF(H$8=0,0,H$8/AGR!H$5*1000)</f>
        <v>2.7709466599177826</v>
      </c>
      <c r="I47" s="248">
        <f>IF(I$8=0,0,I$8/AGR!I$5*1000)</f>
        <v>3.0400274666974236</v>
      </c>
      <c r="J47" s="248">
        <f>IF(J$8=0,0,J$8/AGR!J$5*1000)</f>
        <v>2.8991416259232836</v>
      </c>
      <c r="K47" s="248">
        <f>IF(K$8=0,0,K$8/AGR!K$5*1000)</f>
        <v>2.4919745584660817</v>
      </c>
      <c r="L47" s="248">
        <f>IF(L$8=0,0,L$8/AGR!L$5*1000)</f>
        <v>2.888780509721014</v>
      </c>
      <c r="M47" s="248">
        <f>IF(M$8=0,0,M$8/AGR!M$5*1000)</f>
        <v>2.6454458267643539</v>
      </c>
      <c r="N47" s="248">
        <f>IF(N$8=0,0,N$8/AGR!N$5*1000)</f>
        <v>2.6260922822846906</v>
      </c>
      <c r="O47" s="248">
        <f>IF(O$8=0,0,O$8/AGR!O$5*1000)</f>
        <v>2.6785680110686241</v>
      </c>
      <c r="P47" s="248">
        <f>IF(P$8=0,0,P$8/AGR!P$5*1000)</f>
        <v>2.9425387652785546</v>
      </c>
      <c r="Q47" s="248">
        <f>IF(Q$8=0,0,Q$8/AGR!Q$5*1000)</f>
        <v>2.9550549857155382</v>
      </c>
      <c r="R47" s="248">
        <f>IF(R$8=0,0,R$8/AGR!R$5*1000)</f>
        <v>2.5867629982080609</v>
      </c>
      <c r="S47" s="248">
        <f>IF(S$8=0,0,S$8/AGR!S$5*1000)</f>
        <v>2.2228628713690259</v>
      </c>
      <c r="T47" s="248">
        <f>IF(T$8=0,0,T$8/AGR!T$5*1000)</f>
        <v>2.1332894541511092</v>
      </c>
      <c r="U47" s="248">
        <f>IF(U$8=0,0,U$8/AGR!U$5*1000)</f>
        <v>2.1480080447113648</v>
      </c>
      <c r="V47" s="248">
        <f>IF(V$8=0,0,V$8/AGR!V$5*1000)</f>
        <v>1.778037674668985</v>
      </c>
      <c r="W47" s="248">
        <f>IF(W$8=0,0,W$8/AGR!W$5*1000)</f>
        <v>1.6144868305408155</v>
      </c>
      <c r="X47" s="248">
        <f>IF(X$8=0,0,X$8/AGR!X$5*1000)</f>
        <v>1.3925018982549173</v>
      </c>
      <c r="Y47" s="248">
        <f>IF(Y$8=0,0,Y$8/AGR!Y$5*1000)</f>
        <v>1.3860884845393382</v>
      </c>
      <c r="DA47" s="282"/>
    </row>
    <row r="48" spans="1:105" x14ac:dyDescent="0.25">
      <c r="A48" s="242" t="s">
        <v>122</v>
      </c>
      <c r="B48" s="249">
        <f>IF(B$9=0,0,B$9/AGR!B$5*1000)</f>
        <v>28.085696947433473</v>
      </c>
      <c r="C48" s="249">
        <f>IF(C$9=0,0,C$9/AGR!C$5*1000)</f>
        <v>29.120888836356116</v>
      </c>
      <c r="D48" s="249">
        <f>IF(D$9=0,0,D$9/AGR!D$5*1000)</f>
        <v>30.519211673020536</v>
      </c>
      <c r="E48" s="249">
        <f>IF(E$9=0,0,E$9/AGR!E$5*1000)</f>
        <v>35.781368521718704</v>
      </c>
      <c r="F48" s="249">
        <f>IF(F$9=0,0,F$9/AGR!F$5*1000)</f>
        <v>27.889692619560183</v>
      </c>
      <c r="G48" s="249">
        <f>IF(G$9=0,0,G$9/AGR!G$5*1000)</f>
        <v>30.134771419743558</v>
      </c>
      <c r="H48" s="249">
        <f>IF(H$9=0,0,H$9/AGR!H$5*1000)</f>
        <v>28.146096700492276</v>
      </c>
      <c r="I48" s="249">
        <f>IF(I$9=0,0,I$9/AGR!I$5*1000)</f>
        <v>24.992740973542723</v>
      </c>
      <c r="J48" s="249">
        <f>IF(J$9=0,0,J$9/AGR!J$5*1000)</f>
        <v>25.247040466893726</v>
      </c>
      <c r="K48" s="249">
        <f>IF(K$9=0,0,K$9/AGR!K$5*1000)</f>
        <v>29.714447589821503</v>
      </c>
      <c r="L48" s="249">
        <f>IF(L$9=0,0,L$9/AGR!L$5*1000)</f>
        <v>27.33456890869536</v>
      </c>
      <c r="M48" s="249">
        <f>IF(M$9=0,0,M$9/AGR!M$5*1000)</f>
        <v>25.017482860104849</v>
      </c>
      <c r="N48" s="249">
        <f>IF(N$9=0,0,N$9/AGR!N$5*1000)</f>
        <v>26.132820315315371</v>
      </c>
      <c r="O48" s="249">
        <f>IF(O$9=0,0,O$9/AGR!O$5*1000)</f>
        <v>25.203399704291051</v>
      </c>
      <c r="P48" s="249">
        <f>IF(P$9=0,0,P$9/AGR!P$5*1000)</f>
        <v>24.557777903798922</v>
      </c>
      <c r="Q48" s="249">
        <f>IF(Q$9=0,0,Q$9/AGR!Q$5*1000)</f>
        <v>24.443174591624761</v>
      </c>
      <c r="R48" s="249">
        <f>IF(R$9=0,0,R$9/AGR!R$5*1000)</f>
        <v>24.632171973684699</v>
      </c>
      <c r="S48" s="249">
        <f>IF(S$9=0,0,S$9/AGR!S$5*1000)</f>
        <v>22.798291381322841</v>
      </c>
      <c r="T48" s="249">
        <f>IF(T$9=0,0,T$9/AGR!T$5*1000)</f>
        <v>23.657285743660935</v>
      </c>
      <c r="U48" s="249">
        <f>IF(U$9=0,0,U$9/AGR!U$5*1000)</f>
        <v>23.629796720764297</v>
      </c>
      <c r="V48" s="249">
        <f>IF(V$9=0,0,V$9/AGR!V$5*1000)</f>
        <v>25.676018569904407</v>
      </c>
      <c r="W48" s="249">
        <f>IF(W$9=0,0,W$9/AGR!W$5*1000)</f>
        <v>24.502149894791764</v>
      </c>
      <c r="X48" s="249">
        <f>IF(X$9=0,0,X$9/AGR!X$5*1000)</f>
        <v>20.540205694692435</v>
      </c>
      <c r="Y48" s="249">
        <f>IF(Y$9=0,0,Y$9/AGR!Y$5*1000)</f>
        <v>21.07211753866245</v>
      </c>
      <c r="DA48" s="283"/>
    </row>
    <row r="49" spans="1:105" x14ac:dyDescent="0.25">
      <c r="A49" s="127" t="s">
        <v>168</v>
      </c>
      <c r="B49" s="262">
        <f>IF(B$16=0,0,B$16/AGR!B$5*1000)</f>
        <v>26.675099117488347</v>
      </c>
      <c r="C49" s="262">
        <f>IF(C$16=0,0,C$16/AGR!C$5*1000)</f>
        <v>25.073852494047937</v>
      </c>
      <c r="D49" s="262">
        <f>IF(D$16=0,0,D$16/AGR!D$5*1000)</f>
        <v>25.853976757814284</v>
      </c>
      <c r="E49" s="262">
        <f>IF(E$16=0,0,E$16/AGR!E$5*1000)</f>
        <v>25.941543721091818</v>
      </c>
      <c r="F49" s="262">
        <f>IF(F$16=0,0,F$16/AGR!F$5*1000)</f>
        <v>26.742105321370989</v>
      </c>
      <c r="G49" s="262">
        <f>IF(G$16=0,0,G$16/AGR!G$5*1000)</f>
        <v>28.667776668486603</v>
      </c>
      <c r="H49" s="262">
        <f>IF(H$16=0,0,H$16/AGR!H$5*1000)</f>
        <v>29.860088651057918</v>
      </c>
      <c r="I49" s="262">
        <f>IF(I$16=0,0,I$16/AGR!I$5*1000)</f>
        <v>25.199583637818833</v>
      </c>
      <c r="J49" s="262">
        <f>IF(J$16=0,0,J$16/AGR!J$5*1000)</f>
        <v>25.062622398918304</v>
      </c>
      <c r="K49" s="262">
        <f>IF(K$16=0,0,K$16/AGR!K$5*1000)</f>
        <v>32.096236793051439</v>
      </c>
      <c r="L49" s="262">
        <f>IF(L$16=0,0,L$16/AGR!L$5*1000)</f>
        <v>29.472039480807968</v>
      </c>
      <c r="M49" s="262">
        <f>IF(M$16=0,0,M$16/AGR!M$5*1000)</f>
        <v>27.698099717597735</v>
      </c>
      <c r="N49" s="262">
        <f>IF(N$16=0,0,N$16/AGR!N$5*1000)</f>
        <v>28.739555430750944</v>
      </c>
      <c r="O49" s="262">
        <f>IF(O$16=0,0,O$16/AGR!O$5*1000)</f>
        <v>27.202429496165475</v>
      </c>
      <c r="P49" s="262">
        <f>IF(P$16=0,0,P$16/AGR!P$5*1000)</f>
        <v>27.028021216430197</v>
      </c>
      <c r="Q49" s="262">
        <f>IF(Q$16=0,0,Q$16/AGR!Q$5*1000)</f>
        <v>27.5258037201104</v>
      </c>
      <c r="R49" s="262">
        <f>IF(R$16=0,0,R$16/AGR!R$5*1000)</f>
        <v>29.097588510165775</v>
      </c>
      <c r="S49" s="262">
        <f>IF(S$16=0,0,S$16/AGR!S$5*1000)</f>
        <v>26.461976674863561</v>
      </c>
      <c r="T49" s="262">
        <f>IF(T$16=0,0,T$16/AGR!T$5*1000)</f>
        <v>28.832653145030029</v>
      </c>
      <c r="U49" s="262">
        <f>IF(U$16=0,0,U$16/AGR!U$5*1000)</f>
        <v>28.571987922154776</v>
      </c>
      <c r="V49" s="262">
        <f>IF(V$16=0,0,V$16/AGR!V$5*1000)</f>
        <v>30.963668797242544</v>
      </c>
      <c r="W49" s="262">
        <f>IF(W$16=0,0,W$16/AGR!W$5*1000)</f>
        <v>29.9179466208737</v>
      </c>
      <c r="X49" s="262">
        <f>IF(X$16=0,0,X$16/AGR!X$5*1000)</f>
        <v>26.117039317228812</v>
      </c>
      <c r="Y49" s="262">
        <f>IF(Y$16=0,0,Y$16/AGR!Y$5*1000)</f>
        <v>27.227556280860508</v>
      </c>
      <c r="DA49" s="284"/>
    </row>
    <row r="50" spans="1:105" x14ac:dyDescent="0.25">
      <c r="A50" s="127" t="s">
        <v>121</v>
      </c>
      <c r="B50" s="262">
        <f>IF(B$17=0,0,B$17/AGR!B$5*1000)</f>
        <v>39.843344524130707</v>
      </c>
      <c r="C50" s="262">
        <f>IF(C$17=0,0,C$17/AGR!C$5*1000)</f>
        <v>37.562017164315776</v>
      </c>
      <c r="D50" s="262">
        <f>IF(D$17=0,0,D$17/AGR!D$5*1000)</f>
        <v>39.352978733097906</v>
      </c>
      <c r="E50" s="262">
        <f>IF(E$17=0,0,E$17/AGR!E$5*1000)</f>
        <v>39.678940468617775</v>
      </c>
      <c r="F50" s="262">
        <f>IF(F$17=0,0,F$17/AGR!F$5*1000)</f>
        <v>44.323316110208893</v>
      </c>
      <c r="G50" s="262">
        <f>IF(G$17=0,0,G$17/AGR!G$5*1000)</f>
        <v>57.181753738695235</v>
      </c>
      <c r="H50" s="262">
        <f>IF(H$17=0,0,H$17/AGR!H$5*1000)</f>
        <v>50.919029659267551</v>
      </c>
      <c r="I50" s="262">
        <f>IF(I$17=0,0,I$17/AGR!I$5*1000)</f>
        <v>45.891017965615347</v>
      </c>
      <c r="J50" s="262">
        <f>IF(J$17=0,0,J$17/AGR!J$5*1000)</f>
        <v>52.264194191975825</v>
      </c>
      <c r="K50" s="262">
        <f>IF(K$17=0,0,K$17/AGR!K$5*1000)</f>
        <v>56.01105712165667</v>
      </c>
      <c r="L50" s="262">
        <f>IF(L$17=0,0,L$17/AGR!L$5*1000)</f>
        <v>49.957485336755276</v>
      </c>
      <c r="M50" s="262">
        <f>IF(M$17=0,0,M$17/AGR!M$5*1000)</f>
        <v>43.286387687240797</v>
      </c>
      <c r="N50" s="262">
        <f>IF(N$17=0,0,N$17/AGR!N$5*1000)</f>
        <v>43.327846051721409</v>
      </c>
      <c r="O50" s="262">
        <f>IF(O$17=0,0,O$17/AGR!O$5*1000)</f>
        <v>45.380891018225427</v>
      </c>
      <c r="P50" s="262">
        <f>IF(P$17=0,0,P$17/AGR!P$5*1000)</f>
        <v>41.085756981780342</v>
      </c>
      <c r="Q50" s="262">
        <f>IF(Q$17=0,0,Q$17/AGR!Q$5*1000)</f>
        <v>43.002024158295065</v>
      </c>
      <c r="R50" s="262">
        <f>IF(R$17=0,0,R$17/AGR!R$5*1000)</f>
        <v>44.72048810221559</v>
      </c>
      <c r="S50" s="262">
        <f>IF(S$17=0,0,S$17/AGR!S$5*1000)</f>
        <v>42.565464751486019</v>
      </c>
      <c r="T50" s="262">
        <f>IF(T$17=0,0,T$17/AGR!T$5*1000)</f>
        <v>45.157542292456959</v>
      </c>
      <c r="U50" s="262">
        <f>IF(U$17=0,0,U$17/AGR!U$5*1000)</f>
        <v>44.685028810736036</v>
      </c>
      <c r="V50" s="262">
        <f>IF(V$17=0,0,V$17/AGR!V$5*1000)</f>
        <v>48.555180889207854</v>
      </c>
      <c r="W50" s="262">
        <f>IF(W$17=0,0,W$17/AGR!W$5*1000)</f>
        <v>46.474481733427886</v>
      </c>
      <c r="X50" s="262">
        <f>IF(X$17=0,0,X$17/AGR!X$5*1000)</f>
        <v>39.514539234350949</v>
      </c>
      <c r="Y50" s="262">
        <f>IF(Y$17=0,0,Y$17/AGR!Y$5*1000)</f>
        <v>40.146747878008419</v>
      </c>
      <c r="DA50" s="284"/>
    </row>
    <row r="51" spans="1:105" x14ac:dyDescent="0.25">
      <c r="A51" s="127" t="s">
        <v>167</v>
      </c>
      <c r="B51" s="262">
        <f>IF(B$25=0,0,B$25/AGR!B$5*1000)</f>
        <v>5.1258425983713307</v>
      </c>
      <c r="C51" s="262">
        <f>IF(C$25=0,0,C$25/AGR!C$5*1000)</f>
        <v>4.8181497153279063</v>
      </c>
      <c r="D51" s="262">
        <f>IF(D$25=0,0,D$25/AGR!D$5*1000)</f>
        <v>4.9680570939518534</v>
      </c>
      <c r="E51" s="262">
        <f>IF(E$25=0,0,E$25/AGR!E$5*1000)</f>
        <v>4.9848838157046407</v>
      </c>
      <c r="F51" s="262">
        <f>IF(F$25=0,0,F$25/AGR!F$5*1000)</f>
        <v>5.1387183988586731</v>
      </c>
      <c r="G51" s="262">
        <f>IF(G$25=0,0,G$25/AGR!G$5*1000)</f>
        <v>5.5087521962227868</v>
      </c>
      <c r="H51" s="262">
        <f>IF(H$25=0,0,H$25/AGR!H$5*1000)</f>
        <v>5.73786488007429</v>
      </c>
      <c r="I51" s="262">
        <f>IF(I$25=0,0,I$25/AGR!I$5*1000)</f>
        <v>4.8423100024122876</v>
      </c>
      <c r="J51" s="262">
        <f>IF(J$25=0,0,J$25/AGR!J$5*1000)</f>
        <v>4.8159917589602195</v>
      </c>
      <c r="K51" s="262">
        <f>IF(K$25=0,0,K$25/AGR!K$5*1000)</f>
        <v>6.1675593810024845</v>
      </c>
      <c r="L51" s="262">
        <f>IF(L$25=0,0,L$25/AGR!L$5*1000)</f>
        <v>5.6632979981156089</v>
      </c>
      <c r="M51" s="262">
        <f>IF(M$25=0,0,M$25/AGR!M$5*1000)</f>
        <v>5.3224206890882435</v>
      </c>
      <c r="N51" s="262">
        <f>IF(N$25=0,0,N$25/AGR!N$5*1000)</f>
        <v>5.5225450835763574</v>
      </c>
      <c r="O51" s="262">
        <f>IF(O$25=0,0,O$25/AGR!O$5*1000)</f>
        <v>5.2271735252606124</v>
      </c>
      <c r="P51" s="262">
        <f>IF(P$25=0,0,P$25/AGR!P$5*1000)</f>
        <v>5.1936595208387999</v>
      </c>
      <c r="Q51" s="262">
        <f>IF(Q$25=0,0,Q$25/AGR!Q$5*1000)</f>
        <v>5.2893125773035505</v>
      </c>
      <c r="R51" s="262">
        <f>IF(R$25=0,0,R$25/AGR!R$5*1000)</f>
        <v>5.5913441235352197</v>
      </c>
      <c r="S51" s="262">
        <f>IF(S$25=0,0,S$25/AGR!S$5*1000)</f>
        <v>5.0848893449171033</v>
      </c>
      <c r="T51" s="262">
        <f>IF(T$25=0,0,T$25/AGR!T$5*1000)</f>
        <v>5.5404345852258556</v>
      </c>
      <c r="U51" s="262">
        <f>IF(U$25=0,0,U$25/AGR!U$5*1000)</f>
        <v>5.490345590338034</v>
      </c>
      <c r="V51" s="262">
        <f>IF(V$25=0,0,V$25/AGR!V$5*1000)</f>
        <v>5.9499270020973469</v>
      </c>
      <c r="W51" s="262">
        <f>IF(W$25=0,0,W$25/AGR!W$5*1000)</f>
        <v>5.7489827711468138</v>
      </c>
      <c r="X51" s="262">
        <f>IF(X$25=0,0,X$25/AGR!X$5*1000)</f>
        <v>5.0186067570344361</v>
      </c>
      <c r="Y51" s="262">
        <f>IF(Y$25=0,0,Y$25/AGR!Y$5*1000)</f>
        <v>5.2320018463394806</v>
      </c>
      <c r="DA51" s="284"/>
    </row>
    <row r="52" spans="1:105" x14ac:dyDescent="0.25">
      <c r="A52" s="127" t="s">
        <v>170</v>
      </c>
      <c r="B52" s="262">
        <f>IF(B$26=0,0,B$26/AGR!B$5*1000)</f>
        <v>2.5483457657725506</v>
      </c>
      <c r="C52" s="262">
        <f>IF(C$26=0,0,C$26/AGR!C$5*1000)</f>
        <v>2.6489032250827691</v>
      </c>
      <c r="D52" s="262">
        <f>IF(D$26=0,0,D$26/AGR!D$5*1000)</f>
        <v>2.6229683751383499</v>
      </c>
      <c r="E52" s="262">
        <f>IF(E$26=0,0,E$26/AGR!E$5*1000)</f>
        <v>2.6302269342539026</v>
      </c>
      <c r="F52" s="262">
        <f>IF(F$26=0,0,F$26/AGR!F$5*1000)</f>
        <v>2.642465631864952</v>
      </c>
      <c r="G52" s="262">
        <f>IF(G$26=0,0,G$26/AGR!G$5*1000)</f>
        <v>2.5601960202730729</v>
      </c>
      <c r="H52" s="262">
        <f>IF(H$26=0,0,H$26/AGR!H$5*1000)</f>
        <v>3.0788296221308697</v>
      </c>
      <c r="I52" s="262">
        <f>IF(I$26=0,0,I$26/AGR!I$5*1000)</f>
        <v>3.3778082963304703</v>
      </c>
      <c r="J52" s="262">
        <f>IF(J$26=0,0,J$26/AGR!J$5*1000)</f>
        <v>3.221268473248093</v>
      </c>
      <c r="K52" s="262">
        <f>IF(K$26=0,0,K$26/AGR!K$5*1000)</f>
        <v>2.7688606205178692</v>
      </c>
      <c r="L52" s="262">
        <f>IF(L$26=0,0,L$26/AGR!L$5*1000)</f>
        <v>3.2097561219122399</v>
      </c>
      <c r="M52" s="262">
        <f>IF(M$26=0,0,M$26/AGR!M$5*1000)</f>
        <v>2.9393842519603948</v>
      </c>
      <c r="N52" s="262">
        <f>IF(N$26=0,0,N$26/AGR!N$5*1000)</f>
        <v>2.9178803136496581</v>
      </c>
      <c r="O52" s="262">
        <f>IF(O$26=0,0,O$26/AGR!O$5*1000)</f>
        <v>2.9761866789651368</v>
      </c>
      <c r="P52" s="262">
        <f>IF(P$26=0,0,P$26/AGR!P$5*1000)</f>
        <v>3.2694875169761741</v>
      </c>
      <c r="Q52" s="262">
        <f>IF(Q$26=0,0,Q$26/AGR!Q$5*1000)</f>
        <v>3.2833944285728207</v>
      </c>
      <c r="R52" s="262">
        <f>IF(R$26=0,0,R$26/AGR!R$5*1000)</f>
        <v>2.8741811091200682</v>
      </c>
      <c r="S52" s="262">
        <f>IF(S$26=0,0,S$26/AGR!S$5*1000)</f>
        <v>2.4698476348544736</v>
      </c>
      <c r="T52" s="262">
        <f>IF(T$26=0,0,T$26/AGR!T$5*1000)</f>
        <v>2.3703216157234532</v>
      </c>
      <c r="U52" s="262">
        <f>IF(U$26=0,0,U$26/AGR!U$5*1000)</f>
        <v>2.3866756052348506</v>
      </c>
      <c r="V52" s="262">
        <f>IF(V$26=0,0,V$26/AGR!V$5*1000)</f>
        <v>1.9755974162988725</v>
      </c>
      <c r="W52" s="262">
        <f>IF(W$26=0,0,W$26/AGR!W$5*1000)</f>
        <v>1.7938742561564622</v>
      </c>
      <c r="X52" s="262">
        <f>IF(X$26=0,0,X$26/AGR!X$5*1000)</f>
        <v>1.547224331394353</v>
      </c>
      <c r="Y52" s="262">
        <f>IF(Y$26=0,0,Y$26/AGR!Y$5*1000)</f>
        <v>1.5400983161548207</v>
      </c>
      <c r="DA52" s="284"/>
    </row>
    <row r="53" spans="1:105" x14ac:dyDescent="0.25">
      <c r="A53" s="260" t="s">
        <v>33</v>
      </c>
      <c r="B53" s="263">
        <f>IF(B$27=0,0,B$27/AGR!B$5*1000)</f>
        <v>3.6951013603701983</v>
      </c>
      <c r="C53" s="263">
        <f>IF(C$27=0,0,C$27/AGR!C$5*1000)</f>
        <v>3.8409096763700141</v>
      </c>
      <c r="D53" s="263">
        <f>IF(D$27=0,0,D$27/AGR!D$5*1000)</f>
        <v>3.8033041439506072</v>
      </c>
      <c r="E53" s="263">
        <f>IF(E$27=0,0,E$27/AGR!E$5*1000)</f>
        <v>3.813829054668159</v>
      </c>
      <c r="F53" s="263">
        <f>IF(F$27=0,0,F$27/AGR!F$5*1000)</f>
        <v>3.8315751662041797</v>
      </c>
      <c r="G53" s="263">
        <f>IF(G$27=0,0,G$27/AGR!G$5*1000)</f>
        <v>3.7122842293959573</v>
      </c>
      <c r="H53" s="263">
        <f>IF(H$27=0,0,H$27/AGR!H$5*1000)</f>
        <v>4.4643029520897617</v>
      </c>
      <c r="I53" s="263">
        <f>IF(I$27=0,0,I$27/AGR!I$5*1000)</f>
        <v>4.8978220296791823</v>
      </c>
      <c r="J53" s="263">
        <f>IF(J$27=0,0,J$27/AGR!J$5*1000)</f>
        <v>4.6708392862097341</v>
      </c>
      <c r="K53" s="263">
        <f>IF(K$27=0,0,K$27/AGR!K$5*1000)</f>
        <v>4.0148478997509107</v>
      </c>
      <c r="L53" s="263">
        <f>IF(L$27=0,0,L$27/AGR!L$5*1000)</f>
        <v>4.6541463767727462</v>
      </c>
      <c r="M53" s="263">
        <f>IF(M$27=0,0,M$27/AGR!M$5*1000)</f>
        <v>4.2621071653425693</v>
      </c>
      <c r="N53" s="263">
        <f>IF(N$27=0,0,N$27/AGR!N$5*1000)</f>
        <v>4.2309264547920051</v>
      </c>
      <c r="O53" s="263">
        <f>IF(O$27=0,0,O$27/AGR!O$5*1000)</f>
        <v>4.3154706844994477</v>
      </c>
      <c r="P53" s="263">
        <f>IF(P$27=0,0,P$27/AGR!P$5*1000)</f>
        <v>4.7407568996154525</v>
      </c>
      <c r="Q53" s="263">
        <f>IF(Q$27=0,0,Q$27/AGR!Q$5*1000)</f>
        <v>4.760921921430592</v>
      </c>
      <c r="R53" s="263">
        <f>IF(R$27=0,0,R$27/AGR!R$5*1000)</f>
        <v>4.1675626082240953</v>
      </c>
      <c r="S53" s="263">
        <f>IF(S$27=0,0,S$27/AGR!S$5*1000)</f>
        <v>3.5812790705389839</v>
      </c>
      <c r="T53" s="263">
        <f>IF(T$27=0,0,T$27/AGR!T$5*1000)</f>
        <v>3.4369663427990069</v>
      </c>
      <c r="U53" s="263">
        <f>IF(U$27=0,0,U$27/AGR!U$5*1000)</f>
        <v>3.4606796275905327</v>
      </c>
      <c r="V53" s="263">
        <f>IF(V$27=0,0,V$27/AGR!V$5*1000)</f>
        <v>2.8646162536333657</v>
      </c>
      <c r="W53" s="263">
        <f>IF(W$27=0,0,W$27/AGR!W$5*1000)</f>
        <v>2.6011176714268704</v>
      </c>
      <c r="X53" s="263">
        <f>IF(X$27=0,0,X$27/AGR!X$5*1000)</f>
        <v>2.2434752805218121</v>
      </c>
      <c r="Y53" s="263">
        <f>IF(Y$27=0,0,Y$27/AGR!Y$5*1000)</f>
        <v>2.2331425584244906</v>
      </c>
      <c r="DA53" s="285"/>
    </row>
  </sheetData>
  <pageMargins left="0.39370078740157483" right="0.39370078740157483" top="0.39370078740157483" bottom="0.39370078740157483" header="0.31496062992125984" footer="0.31496062992125984"/>
  <pageSetup paperSize="9" scale="68" orientation="landscape" horizontalDpi="1200" verticalDpi="1200" r:id="rId1"/>
  <headerFooter alignWithMargins="0"/>
  <ignoredErrors>
    <ignoredError sqref="B5:Y5 B9:Y9 B17:Y17" formulaRange="1"/>
  </ignoredErrors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9">
    <tabColor theme="2" tint="-0.499984740745262"/>
    <pageSetUpPr fitToPage="1"/>
  </sheetPr>
  <dimension ref="A1:DA53"/>
  <sheetViews>
    <sheetView showGridLines="0" zoomScaleNormal="100" workbookViewId="0">
      <pane xSplit="1" ySplit="1" topLeftCell="E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1.25" x14ac:dyDescent="0.25"/>
  <cols>
    <col min="1" max="1" width="50.7109375" style="1" customWidth="1"/>
    <col min="2" max="25" width="9.7109375" style="1" customWidth="1"/>
    <col min="26" max="103" width="9.140625" style="1" hidden="1" customWidth="1"/>
    <col min="104" max="104" width="2.7109375" style="1" customWidth="1"/>
    <col min="105" max="105" width="9.7109375" style="118" customWidth="1"/>
    <col min="106" max="16384" width="9.140625" style="1"/>
  </cols>
  <sheetData>
    <row r="1" spans="1:105" ht="25.5" x14ac:dyDescent="0.25">
      <c r="A1" s="28" t="s">
        <v>1015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X1" s="27">
        <v>2022</v>
      </c>
      <c r="Y1" s="27">
        <v>2023</v>
      </c>
      <c r="DA1" s="87" t="s">
        <v>150</v>
      </c>
    </row>
    <row r="3" spans="1:105" ht="12.75" x14ac:dyDescent="0.25">
      <c r="A3" s="178" t="s">
        <v>133</v>
      </c>
      <c r="B3" s="231"/>
      <c r="C3" s="231"/>
      <c r="D3" s="231"/>
      <c r="E3" s="231"/>
      <c r="F3" s="231"/>
      <c r="G3" s="231"/>
      <c r="H3" s="231"/>
      <c r="I3" s="231"/>
      <c r="J3" s="231"/>
      <c r="K3" s="231"/>
      <c r="L3" s="231"/>
      <c r="M3" s="231"/>
      <c r="N3" s="231"/>
      <c r="O3" s="231"/>
      <c r="P3" s="231"/>
      <c r="Q3" s="231"/>
      <c r="R3" s="231"/>
      <c r="S3" s="231"/>
      <c r="T3" s="231"/>
      <c r="U3" s="231"/>
      <c r="V3" s="231"/>
      <c r="W3" s="231"/>
      <c r="X3" s="231"/>
      <c r="Y3" s="231"/>
      <c r="DA3" s="266"/>
    </row>
    <row r="5" spans="1:105" ht="12.75" x14ac:dyDescent="0.25">
      <c r="A5" s="233" t="s">
        <v>126</v>
      </c>
      <c r="B5" s="80">
        <f t="shared" ref="B5" si="0">SUM(B6:B9,B16:B17,B25:B27)</f>
        <v>171.45392881893079</v>
      </c>
      <c r="C5" s="80">
        <f t="shared" ref="C5:W5" si="1">SUM(C6:C9,C16:C17,C25:C27)</f>
        <v>128.10904642708033</v>
      </c>
      <c r="D5" s="80">
        <f t="shared" si="1"/>
        <v>120.1245437284411</v>
      </c>
      <c r="E5" s="80">
        <f t="shared" si="1"/>
        <v>107.24247724260404</v>
      </c>
      <c r="F5" s="80">
        <f t="shared" si="1"/>
        <v>103.22788781404405</v>
      </c>
      <c r="G5" s="80">
        <f t="shared" si="1"/>
        <v>106.35769452647069</v>
      </c>
      <c r="H5" s="80">
        <f t="shared" si="1"/>
        <v>110.15179334198118</v>
      </c>
      <c r="I5" s="80">
        <f t="shared" si="1"/>
        <v>106.84900446253302</v>
      </c>
      <c r="J5" s="80">
        <f t="shared" si="1"/>
        <v>117.81467549136431</v>
      </c>
      <c r="K5" s="80">
        <f t="shared" si="1"/>
        <v>150.70598010302049</v>
      </c>
      <c r="L5" s="80">
        <f t="shared" si="1"/>
        <v>158.35577077713509</v>
      </c>
      <c r="M5" s="80">
        <f t="shared" si="1"/>
        <v>178.19678245864606</v>
      </c>
      <c r="N5" s="80">
        <f t="shared" si="1"/>
        <v>201.64669760941445</v>
      </c>
      <c r="O5" s="80">
        <f t="shared" si="1"/>
        <v>189.72195053057609</v>
      </c>
      <c r="P5" s="80">
        <f t="shared" si="1"/>
        <v>171.95325257231806</v>
      </c>
      <c r="Q5" s="80">
        <f t="shared" si="1"/>
        <v>186.2153620711976</v>
      </c>
      <c r="R5" s="80">
        <f t="shared" si="1"/>
        <v>181.07120647564142</v>
      </c>
      <c r="S5" s="80">
        <f t="shared" si="1"/>
        <v>197.21816972352008</v>
      </c>
      <c r="T5" s="80">
        <f t="shared" si="1"/>
        <v>221.25306291175835</v>
      </c>
      <c r="U5" s="80">
        <f t="shared" si="1"/>
        <v>218.09624878521342</v>
      </c>
      <c r="V5" s="80">
        <f t="shared" si="1"/>
        <v>205.36435862492158</v>
      </c>
      <c r="W5" s="80">
        <f t="shared" si="1"/>
        <v>218.49347742863256</v>
      </c>
      <c r="X5" s="80">
        <f t="shared" ref="X5:Y5" si="2">SUM(X6:X9,X16:X17,X25:X27)</f>
        <v>212.04952545159742</v>
      </c>
      <c r="Y5" s="80">
        <f t="shared" si="2"/>
        <v>205.50711092110947</v>
      </c>
      <c r="DA5" s="103"/>
    </row>
    <row r="6" spans="1:105" x14ac:dyDescent="0.25">
      <c r="A6" s="238" t="s">
        <v>125</v>
      </c>
      <c r="B6" s="239">
        <v>4.4595918785346482</v>
      </c>
      <c r="C6" s="239">
        <v>3.470535056742801</v>
      </c>
      <c r="D6" s="239">
        <v>3.0961694767362009</v>
      </c>
      <c r="E6" s="239">
        <v>2.568245300546681</v>
      </c>
      <c r="F6" s="239">
        <v>2.6985552373665569</v>
      </c>
      <c r="G6" s="239">
        <v>2.429260058117344</v>
      </c>
      <c r="H6" s="239">
        <v>3.089608460103443</v>
      </c>
      <c r="I6" s="239">
        <v>3.5832852843085918</v>
      </c>
      <c r="J6" s="239">
        <v>3.619026402363585</v>
      </c>
      <c r="K6" s="239">
        <v>3.611219362336537</v>
      </c>
      <c r="L6" s="239">
        <v>4.6375373298202538</v>
      </c>
      <c r="M6" s="239">
        <v>5.2819893877224393</v>
      </c>
      <c r="N6" s="239">
        <v>5.8044098042099277</v>
      </c>
      <c r="O6" s="239">
        <v>5.6506907980408823</v>
      </c>
      <c r="P6" s="239">
        <v>5.690152130319218</v>
      </c>
      <c r="Q6" s="239">
        <v>6.1080742510741359</v>
      </c>
      <c r="R6" s="239">
        <v>5.2188480848107996</v>
      </c>
      <c r="S6" s="239">
        <v>5.3100237010360232</v>
      </c>
      <c r="T6" s="239">
        <v>5.5052975925978043</v>
      </c>
      <c r="U6" s="239">
        <v>5.4933013648287119</v>
      </c>
      <c r="V6" s="239">
        <v>4.0911899357856409</v>
      </c>
      <c r="W6" s="239">
        <v>4.1521496020569817</v>
      </c>
      <c r="X6" s="239">
        <v>4.0976656013723396</v>
      </c>
      <c r="Y6" s="239">
        <v>3.8707895697313122</v>
      </c>
      <c r="DA6" s="267" t="s">
        <v>1016</v>
      </c>
    </row>
    <row r="7" spans="1:105" x14ac:dyDescent="0.25">
      <c r="A7" s="240" t="s">
        <v>124</v>
      </c>
      <c r="B7" s="241">
        <v>2.87446626399923</v>
      </c>
      <c r="C7" s="241">
        <v>2.2369616346847812</v>
      </c>
      <c r="D7" s="241">
        <v>1.99566125127726</v>
      </c>
      <c r="E7" s="241">
        <v>1.6553834241266301</v>
      </c>
      <c r="F7" s="241">
        <v>1.739375755141388</v>
      </c>
      <c r="G7" s="241">
        <v>1.565799354230047</v>
      </c>
      <c r="H7" s="241">
        <v>1.9914322945740299</v>
      </c>
      <c r="I7" s="241">
        <v>2.3096357120944369</v>
      </c>
      <c r="J7" s="241">
        <v>2.332672940810633</v>
      </c>
      <c r="K7" s="241">
        <v>2.3276408495810599</v>
      </c>
      <c r="L7" s="241">
        <v>2.9891624538040831</v>
      </c>
      <c r="M7" s="241">
        <v>3.4045492761097602</v>
      </c>
      <c r="N7" s="241">
        <v>3.7412796101221062</v>
      </c>
      <c r="O7" s="241">
        <v>3.642198772816069</v>
      </c>
      <c r="P7" s="241">
        <v>3.6676338959071559</v>
      </c>
      <c r="Q7" s="241">
        <v>3.9370090023762612</v>
      </c>
      <c r="R7" s="241">
        <v>3.3638510350985</v>
      </c>
      <c r="S7" s="241">
        <v>3.4226190210660552</v>
      </c>
      <c r="T7" s="241">
        <v>3.5484843981728549</v>
      </c>
      <c r="U7" s="241">
        <v>3.5407521318676158</v>
      </c>
      <c r="V7" s="241">
        <v>2.637009791553651</v>
      </c>
      <c r="W7" s="241">
        <v>2.6763018409012691</v>
      </c>
      <c r="X7" s="241">
        <v>2.6411837345450491</v>
      </c>
      <c r="Y7" s="241">
        <v>2.4949489406839458</v>
      </c>
      <c r="DA7" s="268" t="s">
        <v>1017</v>
      </c>
    </row>
    <row r="8" spans="1:105" x14ac:dyDescent="0.25">
      <c r="A8" s="240" t="s">
        <v>123</v>
      </c>
      <c r="B8" s="241">
        <v>5.7122320108658524</v>
      </c>
      <c r="C8" s="241">
        <v>4.4453622631657472</v>
      </c>
      <c r="D8" s="241">
        <v>3.965842363559434</v>
      </c>
      <c r="E8" s="241">
        <v>3.2896312974628081</v>
      </c>
      <c r="F8" s="241">
        <v>3.456543564932673</v>
      </c>
      <c r="G8" s="241">
        <v>3.111606946251622</v>
      </c>
      <c r="H8" s="241">
        <v>3.957438444489203</v>
      </c>
      <c r="I8" s="241">
        <v>4.589782532256681</v>
      </c>
      <c r="J8" s="241">
        <v>4.6355628557074793</v>
      </c>
      <c r="K8" s="241">
        <v>4.6255629218195207</v>
      </c>
      <c r="L8" s="241">
        <v>5.9401599761835184</v>
      </c>
      <c r="M8" s="241">
        <v>6.765630058398048</v>
      </c>
      <c r="N8" s="241">
        <v>7.4347914317859347</v>
      </c>
      <c r="O8" s="241">
        <v>7.2378947982747484</v>
      </c>
      <c r="P8" s="241">
        <v>7.2884402947172999</v>
      </c>
      <c r="Q8" s="241">
        <v>7.8237511889082736</v>
      </c>
      <c r="R8" s="241">
        <v>6.6847532020570712</v>
      </c>
      <c r="S8" s="241">
        <v>6.8015388380070734</v>
      </c>
      <c r="T8" s="241">
        <v>7.0516625723412751</v>
      </c>
      <c r="U8" s="241">
        <v>7.0362967635097364</v>
      </c>
      <c r="V8" s="241">
        <v>5.2403508550217168</v>
      </c>
      <c r="W8" s="241">
        <v>5.3184332819637223</v>
      </c>
      <c r="X8" s="241">
        <v>5.248645449070569</v>
      </c>
      <c r="Y8" s="241">
        <v>4.9580429532063217</v>
      </c>
      <c r="DA8" s="268" t="s">
        <v>1018</v>
      </c>
    </row>
    <row r="9" spans="1:105" x14ac:dyDescent="0.25">
      <c r="A9" s="242" t="s">
        <v>122</v>
      </c>
      <c r="B9" s="243">
        <f t="shared" ref="B9" si="3">SUM(B10:B15)</f>
        <v>69.529807978069513</v>
      </c>
      <c r="C9" s="243">
        <f t="shared" ref="C9:W9" si="4">SUM(C10:C15)</f>
        <v>54.559770869765167</v>
      </c>
      <c r="D9" s="243">
        <f t="shared" si="4"/>
        <v>51.496267772967961</v>
      </c>
      <c r="E9" s="243">
        <f t="shared" si="4"/>
        <v>50.293256905308148</v>
      </c>
      <c r="F9" s="243">
        <f t="shared" si="4"/>
        <v>40.394058662370874</v>
      </c>
      <c r="G9" s="243">
        <f t="shared" si="4"/>
        <v>40.45677994432959</v>
      </c>
      <c r="H9" s="243">
        <f t="shared" si="4"/>
        <v>39.84586364540985</v>
      </c>
      <c r="I9" s="243">
        <f t="shared" si="4"/>
        <v>38.568989509997905</v>
      </c>
      <c r="J9" s="243">
        <f t="shared" si="4"/>
        <v>41.014556648257724</v>
      </c>
      <c r="K9" s="243">
        <f t="shared" si="4"/>
        <v>54.02644152381454</v>
      </c>
      <c r="L9" s="243">
        <f t="shared" si="4"/>
        <v>55.822138078127807</v>
      </c>
      <c r="M9" s="243">
        <f t="shared" si="4"/>
        <v>63.19290990277031</v>
      </c>
      <c r="N9" s="243">
        <f t="shared" si="4"/>
        <v>72.830888934014141</v>
      </c>
      <c r="O9" s="243">
        <f t="shared" si="4"/>
        <v>67.711432768553507</v>
      </c>
      <c r="P9" s="243">
        <f t="shared" si="4"/>
        <v>60.830093537124206</v>
      </c>
      <c r="Q9" s="243">
        <f t="shared" si="4"/>
        <v>64.565723715504177</v>
      </c>
      <c r="R9" s="243">
        <f t="shared" si="4"/>
        <v>62.036811433696734</v>
      </c>
      <c r="S9" s="243">
        <f t="shared" si="4"/>
        <v>67.952755580384235</v>
      </c>
      <c r="T9" s="243">
        <f t="shared" si="4"/>
        <v>75.032263814178421</v>
      </c>
      <c r="U9" s="243">
        <f t="shared" si="4"/>
        <v>74.421345689243935</v>
      </c>
      <c r="V9" s="243">
        <f t="shared" si="4"/>
        <v>72.058727895931384</v>
      </c>
      <c r="W9" s="243">
        <f t="shared" si="4"/>
        <v>76.541958608466757</v>
      </c>
      <c r="X9" s="243">
        <f t="shared" ref="X9:Y9" si="5">SUM(X10:X15)</f>
        <v>72.612564132057429</v>
      </c>
      <c r="Y9" s="243">
        <f t="shared" si="5"/>
        <v>70.221660155736544</v>
      </c>
      <c r="DA9" s="269"/>
    </row>
    <row r="10" spans="1:105" x14ac:dyDescent="0.25">
      <c r="A10" s="253" t="s">
        <v>166</v>
      </c>
      <c r="B10" s="254">
        <v>21.039970137045561</v>
      </c>
      <c r="C10" s="254">
        <v>12.572396582564259</v>
      </c>
      <c r="D10" s="254">
        <v>10.63650620947465</v>
      </c>
      <c r="E10" s="254">
        <v>7.1275315349062964</v>
      </c>
      <c r="F10" s="254">
        <v>10.953398314795621</v>
      </c>
      <c r="G10" s="254">
        <v>10.40510018549308</v>
      </c>
      <c r="H10" s="254">
        <v>14.28584414772536</v>
      </c>
      <c r="I10" s="254">
        <v>11.037216839667179</v>
      </c>
      <c r="J10" s="254">
        <v>10.30335994992371</v>
      </c>
      <c r="K10" s="254">
        <v>19.872726371795011</v>
      </c>
      <c r="L10" s="254">
        <v>19.019735303667989</v>
      </c>
      <c r="M10" s="254">
        <v>25.010015000683548</v>
      </c>
      <c r="N10" s="254">
        <v>28.77094506201875</v>
      </c>
      <c r="O10" s="254">
        <v>24.23553388849276</v>
      </c>
      <c r="P10" s="254">
        <v>23.03329774794615</v>
      </c>
      <c r="Q10" s="254">
        <v>25.659951068278989</v>
      </c>
      <c r="R10" s="254">
        <v>29.622841609792381</v>
      </c>
      <c r="S10" s="254">
        <v>28.98935129212898</v>
      </c>
      <c r="T10" s="254">
        <v>38.841905382462663</v>
      </c>
      <c r="U10" s="254">
        <v>37.965304455125199</v>
      </c>
      <c r="V10" s="254">
        <v>38.178730900519902</v>
      </c>
      <c r="W10" s="254">
        <v>42.566110792434237</v>
      </c>
      <c r="X10" s="254">
        <v>47.907763324447792</v>
      </c>
      <c r="Y10" s="254">
        <v>50.62047606716385</v>
      </c>
      <c r="DA10" s="270" t="s">
        <v>1019</v>
      </c>
    </row>
    <row r="11" spans="1:105" x14ac:dyDescent="0.25">
      <c r="A11" s="253" t="s">
        <v>169</v>
      </c>
      <c r="B11" s="255">
        <v>3.8059701267603332</v>
      </c>
      <c r="C11" s="255">
        <v>2.415137370068829</v>
      </c>
      <c r="D11" s="255">
        <v>5.1559655927101176</v>
      </c>
      <c r="E11" s="255">
        <v>3.0254437052109968</v>
      </c>
      <c r="F11" s="255">
        <v>7.0395073994619057</v>
      </c>
      <c r="G11" s="255">
        <v>9.4545825099814618</v>
      </c>
      <c r="H11" s="255">
        <v>7.0136502502577107</v>
      </c>
      <c r="I11" s="255">
        <v>6.0511152557048451</v>
      </c>
      <c r="J11" s="255">
        <v>13.092990309608879</v>
      </c>
      <c r="K11" s="255">
        <v>15.6651801880419</v>
      </c>
      <c r="L11" s="255">
        <v>17.19691708942451</v>
      </c>
      <c r="M11" s="255">
        <v>13.713345197093069</v>
      </c>
      <c r="N11" s="255">
        <v>15.52271183407276</v>
      </c>
      <c r="O11" s="255">
        <v>15.50243831890343</v>
      </c>
      <c r="P11" s="255">
        <v>12.26295140758023</v>
      </c>
      <c r="Q11" s="255">
        <v>14.84964312810745</v>
      </c>
      <c r="R11" s="255">
        <v>16.037048780797349</v>
      </c>
      <c r="S11" s="255">
        <v>25.95495357845072</v>
      </c>
      <c r="T11" s="255">
        <v>27.51000646917641</v>
      </c>
      <c r="U11" s="255">
        <v>25.34949163709879</v>
      </c>
      <c r="V11" s="255">
        <v>25.27267187265717</v>
      </c>
      <c r="W11" s="255">
        <v>26.900264857325801</v>
      </c>
      <c r="X11" s="255">
        <v>19.964399619615559</v>
      </c>
      <c r="Y11" s="255">
        <v>15.010330482177199</v>
      </c>
      <c r="DA11" s="271" t="s">
        <v>1020</v>
      </c>
    </row>
    <row r="12" spans="1:105" x14ac:dyDescent="0.25">
      <c r="A12" s="253" t="s">
        <v>152</v>
      </c>
      <c r="B12" s="255">
        <v>0</v>
      </c>
      <c r="C12" s="255">
        <v>0</v>
      </c>
      <c r="D12" s="255">
        <v>0</v>
      </c>
      <c r="E12" s="255">
        <v>0</v>
      </c>
      <c r="F12" s="255">
        <v>0</v>
      </c>
      <c r="G12" s="255">
        <v>0</v>
      </c>
      <c r="H12" s="255">
        <v>0</v>
      </c>
      <c r="I12" s="255">
        <v>0</v>
      </c>
      <c r="J12" s="255">
        <v>0</v>
      </c>
      <c r="K12" s="255">
        <v>0</v>
      </c>
      <c r="L12" s="255">
        <v>0</v>
      </c>
      <c r="M12" s="255">
        <v>0</v>
      </c>
      <c r="N12" s="255">
        <v>0</v>
      </c>
      <c r="O12" s="255">
        <v>0.30828892479336317</v>
      </c>
      <c r="P12" s="255">
        <v>6.1276602251642047E-2</v>
      </c>
      <c r="Q12" s="255">
        <v>5.9361055016307132E-2</v>
      </c>
      <c r="R12" s="255">
        <v>3.114907222559268E-2</v>
      </c>
      <c r="S12" s="255">
        <v>9.0971402497667886E-2</v>
      </c>
      <c r="T12" s="255">
        <v>5.2371664468697329E-2</v>
      </c>
      <c r="U12" s="255">
        <v>4.8400570194354231E-2</v>
      </c>
      <c r="V12" s="255">
        <v>6.8158197450713894E-4</v>
      </c>
      <c r="W12" s="255">
        <v>5.3951347269976233E-2</v>
      </c>
      <c r="X12" s="255">
        <v>3.4524993904770873E-2</v>
      </c>
      <c r="Y12" s="255">
        <v>2.79428807530511E-2</v>
      </c>
      <c r="DA12" s="271" t="s">
        <v>1021</v>
      </c>
    </row>
    <row r="13" spans="1:105" x14ac:dyDescent="0.25">
      <c r="A13" s="253" t="s">
        <v>151</v>
      </c>
      <c r="B13" s="255">
        <v>0</v>
      </c>
      <c r="C13" s="255">
        <v>0</v>
      </c>
      <c r="D13" s="255">
        <v>0</v>
      </c>
      <c r="E13" s="255">
        <v>0</v>
      </c>
      <c r="F13" s="255">
        <v>0</v>
      </c>
      <c r="G13" s="255">
        <v>0</v>
      </c>
      <c r="H13" s="255">
        <v>0</v>
      </c>
      <c r="I13" s="255">
        <v>0</v>
      </c>
      <c r="J13" s="255">
        <v>0</v>
      </c>
      <c r="K13" s="255">
        <v>0</v>
      </c>
      <c r="L13" s="255">
        <v>0</v>
      </c>
      <c r="M13" s="255">
        <v>0</v>
      </c>
      <c r="N13" s="255">
        <v>0</v>
      </c>
      <c r="O13" s="255">
        <v>0</v>
      </c>
      <c r="P13" s="255">
        <v>0</v>
      </c>
      <c r="Q13" s="255">
        <v>0</v>
      </c>
      <c r="R13" s="255">
        <v>0</v>
      </c>
      <c r="S13" s="255">
        <v>0</v>
      </c>
      <c r="T13" s="255">
        <v>0</v>
      </c>
      <c r="U13" s="255">
        <v>0</v>
      </c>
      <c r="V13" s="255">
        <v>0</v>
      </c>
      <c r="W13" s="255">
        <v>0</v>
      </c>
      <c r="X13" s="255">
        <v>0</v>
      </c>
      <c r="Y13" s="255">
        <v>0</v>
      </c>
      <c r="DA13" s="271" t="s">
        <v>1022</v>
      </c>
    </row>
    <row r="14" spans="1:105" x14ac:dyDescent="0.25">
      <c r="A14" s="253" t="s">
        <v>162</v>
      </c>
      <c r="B14" s="254">
        <v>40.251158569578237</v>
      </c>
      <c r="C14" s="254">
        <v>35.87029828823794</v>
      </c>
      <c r="D14" s="254">
        <v>32.856422465272061</v>
      </c>
      <c r="E14" s="254">
        <v>38.225405707391779</v>
      </c>
      <c r="F14" s="254">
        <v>19.483263786424839</v>
      </c>
      <c r="G14" s="254">
        <v>18.313951351975881</v>
      </c>
      <c r="H14" s="254">
        <v>14.13070380484378</v>
      </c>
      <c r="I14" s="254">
        <v>12.664942624238821</v>
      </c>
      <c r="J14" s="254">
        <v>9.7663260737979947</v>
      </c>
      <c r="K14" s="254">
        <v>14.9541791319864</v>
      </c>
      <c r="L14" s="254">
        <v>12.43436478942982</v>
      </c>
      <c r="M14" s="254">
        <v>16.535258874887369</v>
      </c>
      <c r="N14" s="254">
        <v>20.916119156239048</v>
      </c>
      <c r="O14" s="254">
        <v>18.610400098177571</v>
      </c>
      <c r="P14" s="254">
        <v>14.394246740201099</v>
      </c>
      <c r="Q14" s="254">
        <v>11.874432397642209</v>
      </c>
      <c r="R14" s="254">
        <v>9.074651859178692</v>
      </c>
      <c r="S14" s="254">
        <v>6.6293054416575163</v>
      </c>
      <c r="T14" s="254">
        <v>3.261588395261338</v>
      </c>
      <c r="U14" s="254">
        <v>5.5542044187474522</v>
      </c>
      <c r="V14" s="254">
        <v>6.2563136292065824</v>
      </c>
      <c r="W14" s="254">
        <v>4.8911671530298273</v>
      </c>
      <c r="X14" s="254">
        <v>2.5145968446266842</v>
      </c>
      <c r="Y14" s="254">
        <v>2.6395796360170571</v>
      </c>
      <c r="DA14" s="270" t="s">
        <v>1023</v>
      </c>
    </row>
    <row r="15" spans="1:105" x14ac:dyDescent="0.25">
      <c r="A15" s="253" t="s">
        <v>24</v>
      </c>
      <c r="B15" s="255">
        <v>4.4327091446853739</v>
      </c>
      <c r="C15" s="255">
        <v>3.7019386288941418</v>
      </c>
      <c r="D15" s="255">
        <v>2.847373505511138</v>
      </c>
      <c r="E15" s="255">
        <v>1.9148759577990739</v>
      </c>
      <c r="F15" s="255">
        <v>2.917889161688517</v>
      </c>
      <c r="G15" s="255">
        <v>2.2831458968791671</v>
      </c>
      <c r="H15" s="255">
        <v>4.4156654425830002</v>
      </c>
      <c r="I15" s="255">
        <v>8.8157147903870587</v>
      </c>
      <c r="J15" s="255">
        <v>7.8518803149271461</v>
      </c>
      <c r="K15" s="255">
        <v>3.5343558319912312</v>
      </c>
      <c r="L15" s="255">
        <v>7.1711208956054806</v>
      </c>
      <c r="M15" s="255">
        <v>7.9342908301063266</v>
      </c>
      <c r="N15" s="255">
        <v>7.6211128816835787</v>
      </c>
      <c r="O15" s="255">
        <v>9.0547715381863814</v>
      </c>
      <c r="P15" s="255">
        <v>11.078321039145081</v>
      </c>
      <c r="Q15" s="255">
        <v>12.122336066459219</v>
      </c>
      <c r="R15" s="255">
        <v>7.2711201117027144</v>
      </c>
      <c r="S15" s="255">
        <v>6.2881738656493624</v>
      </c>
      <c r="T15" s="255">
        <v>5.3663919028093066</v>
      </c>
      <c r="U15" s="255">
        <v>5.5039446080781502</v>
      </c>
      <c r="V15" s="255">
        <v>2.3503299115732288</v>
      </c>
      <c r="W15" s="255">
        <v>2.1304644584069199</v>
      </c>
      <c r="X15" s="255">
        <v>2.1912793494626359</v>
      </c>
      <c r="Y15" s="255">
        <v>1.9233310896253879</v>
      </c>
      <c r="DA15" s="271" t="s">
        <v>1024</v>
      </c>
    </row>
    <row r="16" spans="1:105" x14ac:dyDescent="0.25">
      <c r="A16" s="256" t="s">
        <v>168</v>
      </c>
      <c r="B16" s="257">
        <v>33.404180505431853</v>
      </c>
      <c r="C16" s="257">
        <v>23.50766148309755</v>
      </c>
      <c r="D16" s="257">
        <v>21.83821022741683</v>
      </c>
      <c r="E16" s="257">
        <v>18.125797159603771</v>
      </c>
      <c r="F16" s="257">
        <v>19.54229556470683</v>
      </c>
      <c r="G16" s="257">
        <v>19.464928905414389</v>
      </c>
      <c r="H16" s="257">
        <v>21.44207940355717</v>
      </c>
      <c r="I16" s="257">
        <v>19.129242426760779</v>
      </c>
      <c r="J16" s="257">
        <v>20.148807987437529</v>
      </c>
      <c r="K16" s="257">
        <v>29.954695480674399</v>
      </c>
      <c r="L16" s="257">
        <v>30.47078135182905</v>
      </c>
      <c r="M16" s="257">
        <v>35.616328934668431</v>
      </c>
      <c r="N16" s="257">
        <v>40.909922500113382</v>
      </c>
      <c r="O16" s="257">
        <v>36.957883012152763</v>
      </c>
      <c r="P16" s="257">
        <v>33.660182261232819</v>
      </c>
      <c r="Q16" s="257">
        <v>36.64200903574099</v>
      </c>
      <c r="R16" s="257">
        <v>37.807289289046928</v>
      </c>
      <c r="S16" s="257">
        <v>40.710515088305378</v>
      </c>
      <c r="T16" s="257">
        <v>47.919927065804991</v>
      </c>
      <c r="U16" s="257">
        <v>47.058546276967597</v>
      </c>
      <c r="V16" s="257">
        <v>45.884037295285736</v>
      </c>
      <c r="W16" s="257">
        <v>49.553096293133379</v>
      </c>
      <c r="X16" s="257">
        <v>49.495439880746289</v>
      </c>
      <c r="Y16" s="257">
        <v>48.968612469704787</v>
      </c>
      <c r="DA16" s="272" t="s">
        <v>1025</v>
      </c>
    </row>
    <row r="17" spans="1:105" x14ac:dyDescent="0.25">
      <c r="A17" s="256" t="s">
        <v>121</v>
      </c>
      <c r="B17" s="257">
        <f t="shared" ref="B17" si="6">SUM(B18:B24)</f>
        <v>39.818366065684614</v>
      </c>
      <c r="C17" s="257">
        <f t="shared" ref="C17:W17" si="7">SUM(C18:C24)</f>
        <v>28.040203045086425</v>
      </c>
      <c r="D17" s="257">
        <f t="shared" si="7"/>
        <v>27.045411829048621</v>
      </c>
      <c r="E17" s="257">
        <f t="shared" si="7"/>
        <v>22.443900998763191</v>
      </c>
      <c r="F17" s="257">
        <f t="shared" si="7"/>
        <v>26.01410544243787</v>
      </c>
      <c r="G17" s="257">
        <f t="shared" si="7"/>
        <v>30.630800192138853</v>
      </c>
      <c r="H17" s="257">
        <f t="shared" si="7"/>
        <v>29.208095959190498</v>
      </c>
      <c r="I17" s="257">
        <f t="shared" si="7"/>
        <v>27.126255447538043</v>
      </c>
      <c r="J17" s="257">
        <f t="shared" si="7"/>
        <v>34.295634867715762</v>
      </c>
      <c r="K17" s="257">
        <f t="shared" si="7"/>
        <v>43.092548573335634</v>
      </c>
      <c r="L17" s="257">
        <f t="shared" si="7"/>
        <v>42.789895883433886</v>
      </c>
      <c r="M17" s="257">
        <f t="shared" si="7"/>
        <v>45.924126938463736</v>
      </c>
      <c r="N17" s="257">
        <f t="shared" si="7"/>
        <v>50.894528353310065</v>
      </c>
      <c r="O17" s="257">
        <f t="shared" si="7"/>
        <v>49.40731391347316</v>
      </c>
      <c r="P17" s="257">
        <f t="shared" si="7"/>
        <v>42.047021389563511</v>
      </c>
      <c r="Q17" s="257">
        <f t="shared" si="7"/>
        <v>46.921946716138841</v>
      </c>
      <c r="R17" s="257">
        <f t="shared" si="7"/>
        <v>47.811736021310558</v>
      </c>
      <c r="S17" s="257">
        <f t="shared" si="7"/>
        <v>54.254078298499579</v>
      </c>
      <c r="T17" s="257">
        <f t="shared" si="7"/>
        <v>61.970286778420615</v>
      </c>
      <c r="U17" s="257">
        <f t="shared" si="7"/>
        <v>60.466756671602013</v>
      </c>
      <c r="V17" s="257">
        <f t="shared" si="7"/>
        <v>59.041168197070434</v>
      </c>
      <c r="W17" s="257">
        <f t="shared" si="7"/>
        <v>63.193556999393763</v>
      </c>
      <c r="X17" s="257">
        <f t="shared" ref="X17:Y17" si="8">SUM(X18:X24)</f>
        <v>61.040171069781799</v>
      </c>
      <c r="Y17" s="257">
        <f t="shared" si="8"/>
        <v>58.717920762552659</v>
      </c>
      <c r="DA17" s="272"/>
    </row>
    <row r="18" spans="1:105" x14ac:dyDescent="0.25">
      <c r="A18" s="61" t="s">
        <v>29</v>
      </c>
      <c r="B18" s="55">
        <v>5.1848615404046491E-2</v>
      </c>
      <c r="C18" s="55">
        <v>4.2251738187552103E-2</v>
      </c>
      <c r="D18" s="55">
        <v>0.77284586433543179</v>
      </c>
      <c r="E18" s="55">
        <v>1.0766762027573891</v>
      </c>
      <c r="F18" s="55">
        <v>4.6710464327870094</v>
      </c>
      <c r="G18" s="55">
        <v>3.2847860116810792</v>
      </c>
      <c r="H18" s="55">
        <v>1.541721339200042</v>
      </c>
      <c r="I18" s="55">
        <v>1.24419691346126</v>
      </c>
      <c r="J18" s="55">
        <v>2.0736685997747162</v>
      </c>
      <c r="K18" s="55">
        <v>2.177344598562474</v>
      </c>
      <c r="L18" s="55">
        <v>1.969971368973958</v>
      </c>
      <c r="M18" s="55">
        <v>1.9699713689740661</v>
      </c>
      <c r="N18" s="55">
        <v>0.1036759987789355</v>
      </c>
      <c r="O18" s="55">
        <v>1.969971368974488</v>
      </c>
      <c r="P18" s="55">
        <v>1.710770756019075</v>
      </c>
      <c r="Q18" s="55">
        <v>2.021819984378094</v>
      </c>
      <c r="R18" s="55">
        <v>2.3328692127456141</v>
      </c>
      <c r="S18" s="55">
        <v>2.9226312889455861</v>
      </c>
      <c r="T18" s="55">
        <v>3.6858165799777329</v>
      </c>
      <c r="U18" s="55">
        <v>3.6246046396792742</v>
      </c>
      <c r="V18" s="55">
        <v>4.0349773008298344</v>
      </c>
      <c r="W18" s="55">
        <v>4.3578103054225457</v>
      </c>
      <c r="X18" s="55">
        <v>4.4575371467633813</v>
      </c>
      <c r="Y18" s="55">
        <v>3.6519090292797398</v>
      </c>
      <c r="DA18" s="101" t="s">
        <v>1026</v>
      </c>
    </row>
    <row r="19" spans="1:105" x14ac:dyDescent="0.25">
      <c r="A19" s="61" t="s">
        <v>27</v>
      </c>
      <c r="B19" s="55">
        <v>0.32378417581591418</v>
      </c>
      <c r="C19" s="55">
        <v>0.32378417581575619</v>
      </c>
      <c r="D19" s="55">
        <v>0</v>
      </c>
      <c r="E19" s="55">
        <v>0</v>
      </c>
      <c r="F19" s="55">
        <v>0.32378417581522279</v>
      </c>
      <c r="G19" s="55">
        <v>0.32950134826273658</v>
      </c>
      <c r="H19" s="55">
        <v>1.318128607974945</v>
      </c>
      <c r="I19" s="55">
        <v>1.318005393052089</v>
      </c>
      <c r="J19" s="55">
        <v>10.87364306459857</v>
      </c>
      <c r="K19" s="55">
        <v>10.545669581431641</v>
      </c>
      <c r="L19" s="55">
        <v>7.5786049390165662</v>
      </c>
      <c r="M19" s="55">
        <v>5.6015722064506637</v>
      </c>
      <c r="N19" s="55">
        <v>1.647531384303675</v>
      </c>
      <c r="O19" s="55">
        <v>2.6360354290940942</v>
      </c>
      <c r="P19" s="55">
        <v>1.6475313843092769</v>
      </c>
      <c r="Q19" s="55">
        <v>2.6360354290934911</v>
      </c>
      <c r="R19" s="55">
        <v>3.2950381256230372</v>
      </c>
      <c r="S19" s="55">
        <v>3.57138455591517</v>
      </c>
      <c r="T19" s="55">
        <v>3.617171221465616</v>
      </c>
      <c r="U19" s="55">
        <v>2.3600586435745878</v>
      </c>
      <c r="V19" s="55">
        <v>2.459887374545648</v>
      </c>
      <c r="W19" s="55">
        <v>2.147167898853517</v>
      </c>
      <c r="X19" s="55">
        <v>2.2964551000939388</v>
      </c>
      <c r="Y19" s="55">
        <v>1.6980248599290959</v>
      </c>
      <c r="DA19" s="101" t="s">
        <v>1027</v>
      </c>
    </row>
    <row r="20" spans="1:105" x14ac:dyDescent="0.25">
      <c r="A20" s="61" t="s">
        <v>166</v>
      </c>
      <c r="B20" s="55">
        <v>26.266078791511742</v>
      </c>
      <c r="C20" s="55">
        <v>18.285072921311631</v>
      </c>
      <c r="D20" s="55">
        <v>15.711188096254309</v>
      </c>
      <c r="E20" s="55">
        <v>13.01123987920826</v>
      </c>
      <c r="F20" s="55">
        <v>11.31607522668023</v>
      </c>
      <c r="G20" s="55">
        <v>7.4185800994702982</v>
      </c>
      <c r="H20" s="55">
        <v>11.90937233346382</v>
      </c>
      <c r="I20" s="55">
        <v>9.1451581647922602</v>
      </c>
      <c r="J20" s="55">
        <v>6.8034066150643708</v>
      </c>
      <c r="K20" s="55">
        <v>15.21723777875768</v>
      </c>
      <c r="L20" s="55">
        <v>16.229976145781091</v>
      </c>
      <c r="M20" s="55">
        <v>23.736289055252069</v>
      </c>
      <c r="N20" s="55">
        <v>29.607746990194808</v>
      </c>
      <c r="O20" s="55">
        <v>21.043628881462269</v>
      </c>
      <c r="P20" s="55">
        <v>23.943563683295611</v>
      </c>
      <c r="Q20" s="55">
        <v>24.313823719779251</v>
      </c>
      <c r="R20" s="55">
        <v>26.1130930886433</v>
      </c>
      <c r="S20" s="55">
        <v>24.128166869700429</v>
      </c>
      <c r="T20" s="55">
        <v>30.814223536158721</v>
      </c>
      <c r="U20" s="55">
        <v>30.573556388959741</v>
      </c>
      <c r="V20" s="55">
        <v>29.64405571828442</v>
      </c>
      <c r="W20" s="55">
        <v>32.805840267524928</v>
      </c>
      <c r="X20" s="55">
        <v>36.105435063952037</v>
      </c>
      <c r="Y20" s="55">
        <v>38.821044651520602</v>
      </c>
      <c r="DA20" s="101" t="s">
        <v>1028</v>
      </c>
    </row>
    <row r="21" spans="1:105" x14ac:dyDescent="0.25">
      <c r="A21" s="61" t="s">
        <v>129</v>
      </c>
      <c r="B21" s="55">
        <v>3.2426620915496911</v>
      </c>
      <c r="C21" s="55">
        <v>1.080880044086906</v>
      </c>
      <c r="D21" s="55">
        <v>0.81067101270919895</v>
      </c>
      <c r="E21" s="55">
        <v>1.3273071672154779</v>
      </c>
      <c r="F21" s="55">
        <v>1.0808800440851249</v>
      </c>
      <c r="G21" s="55">
        <v>12.071020280228799</v>
      </c>
      <c r="H21" s="55">
        <v>6.8599496260203594</v>
      </c>
      <c r="I21" s="55">
        <v>1.598855715125014</v>
      </c>
      <c r="J21" s="55">
        <v>2.9046866992650608</v>
      </c>
      <c r="K21" s="55">
        <v>1.058481570946882</v>
      </c>
      <c r="L21" s="55">
        <v>1.061599789756025</v>
      </c>
      <c r="M21" s="55">
        <v>0.77722701800899452</v>
      </c>
      <c r="N21" s="55">
        <v>2.6540214336791501</v>
      </c>
      <c r="O21" s="55">
        <v>1.3270216964827819</v>
      </c>
      <c r="P21" s="55">
        <v>0.79619984232023466</v>
      </c>
      <c r="Q21" s="55">
        <v>2.388621486238546</v>
      </c>
      <c r="R21" s="55">
        <v>1.036214853529807</v>
      </c>
      <c r="S21" s="55">
        <v>1.0558464564598169</v>
      </c>
      <c r="T21" s="55">
        <v>1.2820490759014711</v>
      </c>
      <c r="U21" s="55">
        <v>1.8228184872568991</v>
      </c>
      <c r="V21" s="55">
        <v>1.3746513908404041</v>
      </c>
      <c r="W21" s="55">
        <v>1.871590064557251</v>
      </c>
      <c r="X21" s="55">
        <v>1.1368542676546449</v>
      </c>
      <c r="Y21" s="55">
        <v>1.5068023823744281</v>
      </c>
      <c r="DA21" s="101" t="s">
        <v>1029</v>
      </c>
    </row>
    <row r="22" spans="1:105" x14ac:dyDescent="0.25">
      <c r="A22" s="61" t="s">
        <v>169</v>
      </c>
      <c r="B22" s="55">
        <v>4.6375621383348093</v>
      </c>
      <c r="C22" s="55">
        <v>3.428425412947202</v>
      </c>
      <c r="D22" s="55">
        <v>7.4335160517225836</v>
      </c>
      <c r="E22" s="55">
        <v>5.3906713540238256</v>
      </c>
      <c r="F22" s="55">
        <v>7.0984488581284904</v>
      </c>
      <c r="G22" s="55">
        <v>6.5794732147452404</v>
      </c>
      <c r="H22" s="55">
        <v>5.7069138081103503</v>
      </c>
      <c r="I22" s="55">
        <v>4.8937447562991236</v>
      </c>
      <c r="J22" s="55">
        <v>8.4384104334209749</v>
      </c>
      <c r="K22" s="55">
        <v>11.708142825237569</v>
      </c>
      <c r="L22" s="55">
        <v>14.32314054016642</v>
      </c>
      <c r="M22" s="55">
        <v>12.7032990258874</v>
      </c>
      <c r="N22" s="55">
        <v>15.59168569027038</v>
      </c>
      <c r="O22" s="55">
        <v>13.138394491893241</v>
      </c>
      <c r="P22" s="55">
        <v>12.44233581049938</v>
      </c>
      <c r="Q22" s="55">
        <v>13.73370452141643</v>
      </c>
      <c r="R22" s="55">
        <v>13.798449664406061</v>
      </c>
      <c r="S22" s="55">
        <v>21.085326489687759</v>
      </c>
      <c r="T22" s="55">
        <v>21.301767401292722</v>
      </c>
      <c r="U22" s="55">
        <v>19.925194531833039</v>
      </c>
      <c r="V22" s="55">
        <v>19.153208424249051</v>
      </c>
      <c r="W22" s="55">
        <v>20.23568889272703</v>
      </c>
      <c r="X22" s="55">
        <v>14.685785630364229</v>
      </c>
      <c r="Y22" s="55">
        <v>11.23583854039682</v>
      </c>
      <c r="DA22" s="101" t="s">
        <v>1030</v>
      </c>
    </row>
    <row r="23" spans="1:105" x14ac:dyDescent="0.25">
      <c r="A23" s="61" t="s">
        <v>164</v>
      </c>
      <c r="B23" s="55">
        <v>5.296430253068416</v>
      </c>
      <c r="C23" s="55">
        <v>4.8797887527373769</v>
      </c>
      <c r="D23" s="55">
        <v>2.3171908040270952</v>
      </c>
      <c r="E23" s="55">
        <v>1.63800639555824</v>
      </c>
      <c r="F23" s="55">
        <v>1.523870704941797</v>
      </c>
      <c r="G23" s="55">
        <v>0.94743923775069683</v>
      </c>
      <c r="H23" s="55">
        <v>1.872010244420981</v>
      </c>
      <c r="I23" s="55">
        <v>8.9262945048082951</v>
      </c>
      <c r="J23" s="55">
        <v>3.201819455592076</v>
      </c>
      <c r="K23" s="55">
        <v>2.3856722183993888</v>
      </c>
      <c r="L23" s="55">
        <v>1.626603099739828</v>
      </c>
      <c r="M23" s="55">
        <v>1.13576826389055</v>
      </c>
      <c r="N23" s="55">
        <v>1.289866856083117</v>
      </c>
      <c r="O23" s="55">
        <v>9.1488950578668611</v>
      </c>
      <c r="P23" s="55">
        <v>1.47250450755397</v>
      </c>
      <c r="Q23" s="55">
        <v>1.797816908904476</v>
      </c>
      <c r="R23" s="55">
        <v>1.221364895234214</v>
      </c>
      <c r="S23" s="55">
        <v>1.450170484920946</v>
      </c>
      <c r="T23" s="55">
        <v>1.247006900975113</v>
      </c>
      <c r="U23" s="55">
        <v>2.1396486793459228</v>
      </c>
      <c r="V23" s="55">
        <v>2.374104550746031</v>
      </c>
      <c r="W23" s="55">
        <v>1.7531899566066189</v>
      </c>
      <c r="X23" s="55">
        <v>2.344168330902288</v>
      </c>
      <c r="Y23" s="55">
        <v>1.7928241145181381</v>
      </c>
      <c r="DA23" s="101" t="s">
        <v>1031</v>
      </c>
    </row>
    <row r="24" spans="1:105" x14ac:dyDescent="0.25">
      <c r="A24" s="61" t="s">
        <v>152</v>
      </c>
      <c r="B24" s="55">
        <v>0</v>
      </c>
      <c r="C24" s="55">
        <v>0</v>
      </c>
      <c r="D24" s="55">
        <v>0</v>
      </c>
      <c r="E24" s="55">
        <v>0</v>
      </c>
      <c r="F24" s="55">
        <v>0</v>
      </c>
      <c r="G24" s="55">
        <v>0</v>
      </c>
      <c r="H24" s="55">
        <v>0</v>
      </c>
      <c r="I24" s="55">
        <v>0</v>
      </c>
      <c r="J24" s="55">
        <v>0</v>
      </c>
      <c r="K24" s="55">
        <v>0</v>
      </c>
      <c r="L24" s="55">
        <v>0</v>
      </c>
      <c r="M24" s="55">
        <v>0</v>
      </c>
      <c r="N24" s="55">
        <v>0</v>
      </c>
      <c r="O24" s="55">
        <v>0.1433669876994291</v>
      </c>
      <c r="P24" s="55">
        <v>3.4115405565962972E-2</v>
      </c>
      <c r="Q24" s="55">
        <v>3.0124666328550601E-2</v>
      </c>
      <c r="R24" s="55">
        <v>1.470618112852155E-2</v>
      </c>
      <c r="S24" s="55">
        <v>4.0552152869871183E-2</v>
      </c>
      <c r="T24" s="55">
        <v>2.225206264923893E-2</v>
      </c>
      <c r="U24" s="55">
        <v>2.087530095255221E-2</v>
      </c>
      <c r="V24" s="55">
        <v>2.8343757504469469E-4</v>
      </c>
      <c r="W24" s="55">
        <v>2.2269613701865011E-2</v>
      </c>
      <c r="X24" s="55">
        <v>1.3935530051275289E-2</v>
      </c>
      <c r="Y24" s="55">
        <v>1.147718453382824E-2</v>
      </c>
      <c r="DA24" s="101" t="s">
        <v>1032</v>
      </c>
    </row>
    <row r="25" spans="1:105" x14ac:dyDescent="0.25">
      <c r="A25" s="256" t="s">
        <v>167</v>
      </c>
      <c r="B25" s="257">
        <v>4.4932241657659082</v>
      </c>
      <c r="C25" s="257">
        <v>3.162035142257797</v>
      </c>
      <c r="D25" s="257">
        <v>2.9374758621888519</v>
      </c>
      <c r="E25" s="257">
        <v>2.4381160857414002</v>
      </c>
      <c r="F25" s="257">
        <v>2.628650467015714</v>
      </c>
      <c r="G25" s="257">
        <v>2.6182438131808499</v>
      </c>
      <c r="H25" s="257">
        <v>2.8841919748538052</v>
      </c>
      <c r="I25" s="257">
        <v>2.5730903451063352</v>
      </c>
      <c r="J25" s="257">
        <v>2.7102329585906131</v>
      </c>
      <c r="K25" s="257">
        <v>4.0292310595686924</v>
      </c>
      <c r="L25" s="257">
        <v>4.0986502003108312</v>
      </c>
      <c r="M25" s="257">
        <v>4.7907820950463638</v>
      </c>
      <c r="N25" s="257">
        <v>5.502827778314435</v>
      </c>
      <c r="O25" s="257">
        <v>4.9712356523385157</v>
      </c>
      <c r="P25" s="257">
        <v>4.5276591753437136</v>
      </c>
      <c r="Q25" s="257">
        <v>4.9287471804564049</v>
      </c>
      <c r="R25" s="257">
        <v>5.0854899987151176</v>
      </c>
      <c r="S25" s="257">
        <v>5.4760053211245916</v>
      </c>
      <c r="T25" s="257">
        <v>6.4457493360390146</v>
      </c>
      <c r="U25" s="257">
        <v>6.3298842880788833</v>
      </c>
      <c r="V25" s="257">
        <v>6.1719001058731902</v>
      </c>
      <c r="W25" s="257">
        <v>6.6654282902293112</v>
      </c>
      <c r="X25" s="257">
        <v>6.6576728781362942</v>
      </c>
      <c r="Y25" s="257">
        <v>6.5868088839097432</v>
      </c>
      <c r="DA25" s="272" t="s">
        <v>1033</v>
      </c>
    </row>
    <row r="26" spans="1:105" x14ac:dyDescent="0.25">
      <c r="A26" s="256" t="s">
        <v>170</v>
      </c>
      <c r="B26" s="257">
        <v>4.4222557907680473</v>
      </c>
      <c r="C26" s="257">
        <v>3.4414794379765872</v>
      </c>
      <c r="D26" s="257">
        <v>3.0702480788880928</v>
      </c>
      <c r="E26" s="257">
        <v>2.5467437294255859</v>
      </c>
      <c r="F26" s="257">
        <v>2.675962700217521</v>
      </c>
      <c r="G26" s="257">
        <v>2.4089220834308431</v>
      </c>
      <c r="H26" s="257">
        <v>3.0637419916523538</v>
      </c>
      <c r="I26" s="257">
        <v>3.5532857109145199</v>
      </c>
      <c r="J26" s="257">
        <v>3.5887276012471281</v>
      </c>
      <c r="K26" s="257">
        <v>3.580985922432403</v>
      </c>
      <c r="L26" s="257">
        <v>4.5987114673908991</v>
      </c>
      <c r="M26" s="257">
        <v>5.2377681170919406</v>
      </c>
      <c r="N26" s="257">
        <v>5.755814784803241</v>
      </c>
      <c r="O26" s="257">
        <v>5.6033827274093397</v>
      </c>
      <c r="P26" s="257">
        <v>5.6425136860110108</v>
      </c>
      <c r="Q26" s="257">
        <v>6.0569369267327096</v>
      </c>
      <c r="R26" s="257">
        <v>5.1751554386130776</v>
      </c>
      <c r="S26" s="257">
        <v>5.265567724717009</v>
      </c>
      <c r="T26" s="257">
        <v>5.4592067664197774</v>
      </c>
      <c r="U26" s="257">
        <v>5.4473109721040256</v>
      </c>
      <c r="V26" s="257">
        <v>4.0569381408517708</v>
      </c>
      <c r="W26" s="257">
        <v>4.1173874475404126</v>
      </c>
      <c r="X26" s="257">
        <v>4.0633595916077683</v>
      </c>
      <c r="Y26" s="257">
        <v>3.8383829856676122</v>
      </c>
      <c r="DA26" s="272" t="s">
        <v>1034</v>
      </c>
    </row>
    <row r="27" spans="1:105" x14ac:dyDescent="0.25">
      <c r="A27" s="128" t="s">
        <v>33</v>
      </c>
      <c r="B27" s="258">
        <v>6.7398041598111416</v>
      </c>
      <c r="C27" s="258">
        <v>5.2450374943034843</v>
      </c>
      <c r="D27" s="258">
        <v>4.6792568663578447</v>
      </c>
      <c r="E27" s="258">
        <v>3.8814023416258339</v>
      </c>
      <c r="F27" s="258">
        <v>4.0783404198546238</v>
      </c>
      <c r="G27" s="258">
        <v>3.6713532293771598</v>
      </c>
      <c r="H27" s="258">
        <v>4.6693411681508206</v>
      </c>
      <c r="I27" s="258">
        <v>5.4154374935557152</v>
      </c>
      <c r="J27" s="258">
        <v>5.4694532292338636</v>
      </c>
      <c r="K27" s="258">
        <v>5.4576544094576906</v>
      </c>
      <c r="L27" s="258">
        <v>7.0087340362347801</v>
      </c>
      <c r="M27" s="258">
        <v>7.9826977483750072</v>
      </c>
      <c r="N27" s="258">
        <v>8.7722344127411631</v>
      </c>
      <c r="O27" s="258">
        <v>8.5399180875171155</v>
      </c>
      <c r="P27" s="258">
        <v>8.5995562020991674</v>
      </c>
      <c r="Q27" s="258">
        <v>9.2311640542658129</v>
      </c>
      <c r="R27" s="258">
        <v>7.8872719722926448</v>
      </c>
      <c r="S27" s="258">
        <v>8.025066150380086</v>
      </c>
      <c r="T27" s="258">
        <v>8.3201845877836149</v>
      </c>
      <c r="U27" s="258">
        <v>8.3020546270108948</v>
      </c>
      <c r="V27" s="258">
        <v>6.1830364075480988</v>
      </c>
      <c r="W27" s="258">
        <v>6.2751650649469637</v>
      </c>
      <c r="X27" s="258">
        <v>6.1928231142799079</v>
      </c>
      <c r="Y27" s="258">
        <v>5.84994419991654</v>
      </c>
      <c r="DA27" s="273" t="s">
        <v>1035</v>
      </c>
    </row>
    <row r="29" spans="1:105" ht="12.75" x14ac:dyDescent="0.25">
      <c r="A29" s="178" t="s">
        <v>132</v>
      </c>
      <c r="B29" s="231"/>
      <c r="C29" s="231"/>
      <c r="D29" s="231"/>
      <c r="E29" s="231"/>
      <c r="F29" s="231"/>
      <c r="G29" s="231"/>
      <c r="H29" s="231"/>
      <c r="I29" s="231"/>
      <c r="J29" s="231"/>
      <c r="K29" s="231"/>
      <c r="L29" s="231"/>
      <c r="M29" s="231"/>
      <c r="N29" s="231"/>
      <c r="O29" s="231"/>
      <c r="P29" s="231"/>
      <c r="Q29" s="231"/>
      <c r="R29" s="231"/>
      <c r="S29" s="231"/>
      <c r="T29" s="231"/>
      <c r="U29" s="231"/>
      <c r="V29" s="231"/>
      <c r="W29" s="231"/>
      <c r="X29" s="231"/>
      <c r="Y29" s="231"/>
      <c r="DA29" s="266"/>
    </row>
    <row r="31" spans="1:105" x14ac:dyDescent="0.25">
      <c r="A31" s="234" t="s">
        <v>126</v>
      </c>
      <c r="B31" s="235">
        <f t="shared" ref="B31:Q31" si="9">SUM(B32:B40)</f>
        <v>1</v>
      </c>
      <c r="C31" s="235">
        <f t="shared" si="9"/>
        <v>1.0000000000000002</v>
      </c>
      <c r="D31" s="235">
        <f t="shared" si="9"/>
        <v>1.0000000000000002</v>
      </c>
      <c r="E31" s="235">
        <f t="shared" si="9"/>
        <v>1.0000000000000002</v>
      </c>
      <c r="F31" s="235">
        <f t="shared" si="9"/>
        <v>1.0000000000000002</v>
      </c>
      <c r="G31" s="235">
        <f t="shared" si="9"/>
        <v>1</v>
      </c>
      <c r="H31" s="235">
        <f t="shared" si="9"/>
        <v>1</v>
      </c>
      <c r="I31" s="235">
        <f t="shared" si="9"/>
        <v>0.99999999999999978</v>
      </c>
      <c r="J31" s="235">
        <f t="shared" si="9"/>
        <v>1</v>
      </c>
      <c r="K31" s="235">
        <f t="shared" si="9"/>
        <v>0.99999999999999989</v>
      </c>
      <c r="L31" s="235">
        <f t="shared" si="9"/>
        <v>1.0000000000000002</v>
      </c>
      <c r="M31" s="235">
        <f t="shared" si="9"/>
        <v>0.99999999999999989</v>
      </c>
      <c r="N31" s="235">
        <f t="shared" si="9"/>
        <v>0.99999999999999978</v>
      </c>
      <c r="O31" s="235">
        <f t="shared" si="9"/>
        <v>1</v>
      </c>
      <c r="P31" s="235">
        <f t="shared" si="9"/>
        <v>1.0000000000000002</v>
      </c>
      <c r="Q31" s="235">
        <f t="shared" si="9"/>
        <v>1</v>
      </c>
      <c r="R31" s="235">
        <f t="shared" ref="R31:W31" si="10">SUM(R32:R40)</f>
        <v>1.0000000000000002</v>
      </c>
      <c r="S31" s="235">
        <f t="shared" si="10"/>
        <v>0.99999999999999989</v>
      </c>
      <c r="T31" s="235">
        <f t="shared" si="10"/>
        <v>1</v>
      </c>
      <c r="U31" s="235">
        <f t="shared" si="10"/>
        <v>1</v>
      </c>
      <c r="V31" s="235">
        <f t="shared" si="10"/>
        <v>1.0000000000000002</v>
      </c>
      <c r="W31" s="235">
        <f t="shared" si="10"/>
        <v>1</v>
      </c>
      <c r="X31" s="235">
        <f t="shared" ref="X31:Y31" si="11">SUM(X32:X40)</f>
        <v>1</v>
      </c>
      <c r="Y31" s="235">
        <f t="shared" si="11"/>
        <v>1</v>
      </c>
      <c r="DA31" s="274"/>
    </row>
    <row r="32" spans="1:105" x14ac:dyDescent="0.25">
      <c r="A32" s="238" t="s">
        <v>125</v>
      </c>
      <c r="B32" s="244">
        <f t="shared" ref="B32:Y32" si="12">IF(B$6=0,0,B$6/B$5)</f>
        <v>2.6010438543198025E-2</v>
      </c>
      <c r="C32" s="244">
        <f t="shared" si="12"/>
        <v>2.7090476071244738E-2</v>
      </c>
      <c r="D32" s="244">
        <f t="shared" si="12"/>
        <v>2.577466170223747E-2</v>
      </c>
      <c r="E32" s="244">
        <f t="shared" si="12"/>
        <v>2.3948022897091362E-2</v>
      </c>
      <c r="F32" s="244">
        <f t="shared" si="12"/>
        <v>2.614172676116135E-2</v>
      </c>
      <c r="G32" s="244">
        <f t="shared" si="12"/>
        <v>2.2840473074684228E-2</v>
      </c>
      <c r="H32" s="244">
        <f t="shared" si="12"/>
        <v>2.8048644206012469E-2</v>
      </c>
      <c r="I32" s="244">
        <f t="shared" si="12"/>
        <v>3.3535972584237635E-2</v>
      </c>
      <c r="J32" s="244">
        <f t="shared" si="12"/>
        <v>3.0717959263308038E-2</v>
      </c>
      <c r="K32" s="244">
        <f t="shared" si="12"/>
        <v>2.3962017697426195E-2</v>
      </c>
      <c r="L32" s="244">
        <f t="shared" si="12"/>
        <v>2.9285559389856258E-2</v>
      </c>
      <c r="M32" s="244">
        <f t="shared" si="12"/>
        <v>2.9641328619096841E-2</v>
      </c>
      <c r="N32" s="244">
        <f t="shared" si="12"/>
        <v>2.8785047675082442E-2</v>
      </c>
      <c r="O32" s="244">
        <f t="shared" si="12"/>
        <v>2.9784064428170644E-2</v>
      </c>
      <c r="P32" s="244">
        <f t="shared" si="12"/>
        <v>3.3091273617671876E-2</v>
      </c>
      <c r="Q32" s="244">
        <f t="shared" si="12"/>
        <v>3.2801129741050976E-2</v>
      </c>
      <c r="R32" s="244">
        <f t="shared" si="12"/>
        <v>2.8822076057204958E-2</v>
      </c>
      <c r="S32" s="244">
        <f t="shared" si="12"/>
        <v>2.6924617080059811E-2</v>
      </c>
      <c r="T32" s="244">
        <f t="shared" si="12"/>
        <v>2.488235652038618E-2</v>
      </c>
      <c r="U32" s="244">
        <f t="shared" si="12"/>
        <v>2.5187509622133165E-2</v>
      </c>
      <c r="V32" s="244">
        <f t="shared" si="12"/>
        <v>1.992161621022959E-2</v>
      </c>
      <c r="W32" s="244">
        <f t="shared" si="12"/>
        <v>1.9003540292928039E-2</v>
      </c>
      <c r="X32" s="244">
        <f t="shared" si="12"/>
        <v>1.9324097012929538E-2</v>
      </c>
      <c r="Y32" s="244">
        <f t="shared" si="12"/>
        <v>1.8835307218236549E-2</v>
      </c>
      <c r="DA32" s="275"/>
    </row>
    <row r="33" spans="1:105" x14ac:dyDescent="0.25">
      <c r="A33" s="240" t="s">
        <v>124</v>
      </c>
      <c r="B33" s="245">
        <f t="shared" ref="B33:Y33" si="13">IF(B$7=0,0,B$7/B$5)</f>
        <v>1.6765239990708516E-2</v>
      </c>
      <c r="C33" s="245">
        <f t="shared" si="13"/>
        <v>1.7461386975181802E-2</v>
      </c>
      <c r="D33" s="245">
        <f t="shared" si="13"/>
        <v>1.6613268107712784E-2</v>
      </c>
      <c r="E33" s="245">
        <f t="shared" si="13"/>
        <v>1.543589318980221E-2</v>
      </c>
      <c r="F33" s="245">
        <f t="shared" si="13"/>
        <v>1.6849862880801359E-2</v>
      </c>
      <c r="G33" s="245">
        <f t="shared" si="13"/>
        <v>1.47220129319402E-2</v>
      </c>
      <c r="H33" s="245">
        <f t="shared" si="13"/>
        <v>1.8078982049718959E-2</v>
      </c>
      <c r="I33" s="245">
        <f t="shared" si="13"/>
        <v>2.1615884244427553E-2</v>
      </c>
      <c r="J33" s="245">
        <f t="shared" si="13"/>
        <v>1.9799510808665051E-2</v>
      </c>
      <c r="K33" s="245">
        <f t="shared" si="13"/>
        <v>1.5444913652330965E-2</v>
      </c>
      <c r="L33" s="245">
        <f t="shared" si="13"/>
        <v>1.8876245804839886E-2</v>
      </c>
      <c r="M33" s="245">
        <f t="shared" si="13"/>
        <v>1.910555975891344E-2</v>
      </c>
      <c r="N33" s="245">
        <f t="shared" si="13"/>
        <v>1.8553636902940453E-2</v>
      </c>
      <c r="O33" s="245">
        <f t="shared" si="13"/>
        <v>1.9197561287085135E-2</v>
      </c>
      <c r="P33" s="245">
        <f t="shared" si="13"/>
        <v>2.13292499039218E-2</v>
      </c>
      <c r="Q33" s="245">
        <f t="shared" si="13"/>
        <v>2.114223530532881E-2</v>
      </c>
      <c r="R33" s="245">
        <f t="shared" si="13"/>
        <v>1.857750384819478E-2</v>
      </c>
      <c r="S33" s="245">
        <f t="shared" si="13"/>
        <v>1.7354481211666353E-2</v>
      </c>
      <c r="T33" s="245">
        <f t="shared" si="13"/>
        <v>1.6038125535862459E-2</v>
      </c>
      <c r="U33" s="245">
        <f t="shared" si="13"/>
        <v>1.6234814452744835E-2</v>
      </c>
      <c r="V33" s="245">
        <f t="shared" si="13"/>
        <v>1.2840639968933937E-2</v>
      </c>
      <c r="W33" s="245">
        <f t="shared" si="13"/>
        <v>1.2248886659673585E-2</v>
      </c>
      <c r="X33" s="245">
        <f t="shared" si="13"/>
        <v>1.2455504104148196E-2</v>
      </c>
      <c r="Y33" s="245">
        <f t="shared" si="13"/>
        <v>1.2140450661299561E-2</v>
      </c>
      <c r="DA33" s="276"/>
    </row>
    <row r="34" spans="1:105" x14ac:dyDescent="0.25">
      <c r="A34" s="240" t="s">
        <v>123</v>
      </c>
      <c r="B34" s="245">
        <f t="shared" ref="B34:Y34" si="14">IF(B$8=0,0,B$8/B$5)</f>
        <v>3.3316425294041711E-2</v>
      </c>
      <c r="C34" s="245">
        <f t="shared" si="14"/>
        <v>3.4699831020099332E-2</v>
      </c>
      <c r="D34" s="245">
        <f t="shared" si="14"/>
        <v>3.3014421869728756E-2</v>
      </c>
      <c r="E34" s="245">
        <f t="shared" si="14"/>
        <v>3.0674704483196532E-2</v>
      </c>
      <c r="F34" s="245">
        <f t="shared" si="14"/>
        <v>3.3484590628835999E-2</v>
      </c>
      <c r="G34" s="245">
        <f t="shared" si="14"/>
        <v>2.9256058624674248E-2</v>
      </c>
      <c r="H34" s="245">
        <f t="shared" si="14"/>
        <v>3.5927135858812562E-2</v>
      </c>
      <c r="I34" s="245">
        <f t="shared" si="14"/>
        <v>4.295578190310706E-2</v>
      </c>
      <c r="J34" s="245">
        <f t="shared" si="14"/>
        <v>3.9346226065421375E-2</v>
      </c>
      <c r="K34" s="245">
        <f t="shared" si="14"/>
        <v>3.0692630237085156E-2</v>
      </c>
      <c r="L34" s="245">
        <f t="shared" si="14"/>
        <v>3.7511484090740919E-2</v>
      </c>
      <c r="M34" s="245">
        <f t="shared" si="14"/>
        <v>3.7967184171622967E-2</v>
      </c>
      <c r="N34" s="245">
        <f t="shared" si="14"/>
        <v>3.6870385282415957E-2</v>
      </c>
      <c r="O34" s="245">
        <f t="shared" si="14"/>
        <v>3.815001257383905E-2</v>
      </c>
      <c r="P34" s="245">
        <f t="shared" si="14"/>
        <v>4.2386172902731306E-2</v>
      </c>
      <c r="Q34" s="245">
        <f t="shared" si="14"/>
        <v>4.2014531464471441E-2</v>
      </c>
      <c r="R34" s="245">
        <f t="shared" si="14"/>
        <v>3.6917814445315118E-2</v>
      </c>
      <c r="S34" s="245">
        <f t="shared" si="14"/>
        <v>3.4487384441008365E-2</v>
      </c>
      <c r="T34" s="245">
        <f t="shared" si="14"/>
        <v>3.1871480012702319E-2</v>
      </c>
      <c r="U34" s="245">
        <f t="shared" si="14"/>
        <v>3.2262346568093681E-2</v>
      </c>
      <c r="V34" s="245">
        <f t="shared" si="14"/>
        <v>2.5517333631356734E-2</v>
      </c>
      <c r="W34" s="245">
        <f t="shared" si="14"/>
        <v>2.4341382381544568E-2</v>
      </c>
      <c r="X34" s="245">
        <f t="shared" si="14"/>
        <v>2.4751979226987842E-2</v>
      </c>
      <c r="Y34" s="245">
        <f t="shared" si="14"/>
        <v>2.4125894870419478E-2</v>
      </c>
      <c r="DA34" s="276"/>
    </row>
    <row r="35" spans="1:105" x14ac:dyDescent="0.25">
      <c r="A35" s="242" t="s">
        <v>122</v>
      </c>
      <c r="B35" s="246">
        <f t="shared" ref="B35:Y35" si="15">IF(B$9=0,0,B$9/B$5)</f>
        <v>0.40553056122440106</v>
      </c>
      <c r="C35" s="246">
        <f t="shared" si="15"/>
        <v>0.42588538742125903</v>
      </c>
      <c r="D35" s="246">
        <f t="shared" si="15"/>
        <v>0.42869064201719442</v>
      </c>
      <c r="E35" s="246">
        <f t="shared" si="15"/>
        <v>0.46896769077363526</v>
      </c>
      <c r="F35" s="246">
        <f t="shared" si="15"/>
        <v>0.39130955323950067</v>
      </c>
      <c r="G35" s="246">
        <f t="shared" si="15"/>
        <v>0.38038413792676334</v>
      </c>
      <c r="H35" s="246">
        <f t="shared" si="15"/>
        <v>0.36173595033267381</v>
      </c>
      <c r="I35" s="246">
        <f t="shared" si="15"/>
        <v>0.36096723319048102</v>
      </c>
      <c r="J35" s="246">
        <f t="shared" si="15"/>
        <v>0.34812773941107233</v>
      </c>
      <c r="K35" s="246">
        <f t="shared" si="15"/>
        <v>0.35848903598173626</v>
      </c>
      <c r="L35" s="246">
        <f t="shared" si="15"/>
        <v>0.35251091768982717</v>
      </c>
      <c r="M35" s="246">
        <f t="shared" si="15"/>
        <v>0.35462430371005954</v>
      </c>
      <c r="N35" s="246">
        <f t="shared" si="15"/>
        <v>0.36118066795760817</v>
      </c>
      <c r="O35" s="246">
        <f t="shared" si="15"/>
        <v>0.35689825336073039</v>
      </c>
      <c r="P35" s="246">
        <f t="shared" si="15"/>
        <v>0.35375948187744227</v>
      </c>
      <c r="Q35" s="246">
        <f t="shared" si="15"/>
        <v>0.34672608638388336</v>
      </c>
      <c r="R35" s="246">
        <f t="shared" si="15"/>
        <v>0.34261002972906257</v>
      </c>
      <c r="S35" s="246">
        <f t="shared" si="15"/>
        <v>0.34455626312548748</v>
      </c>
      <c r="T35" s="246">
        <f t="shared" si="15"/>
        <v>0.33912418127338334</v>
      </c>
      <c r="U35" s="246">
        <f t="shared" si="15"/>
        <v>0.34123166310180747</v>
      </c>
      <c r="V35" s="246">
        <f t="shared" si="15"/>
        <v>0.35088234578980559</v>
      </c>
      <c r="W35" s="246">
        <f t="shared" si="15"/>
        <v>0.35031690423558742</v>
      </c>
      <c r="X35" s="246">
        <f t="shared" si="15"/>
        <v>0.34243209918728174</v>
      </c>
      <c r="Y35" s="246">
        <f t="shared" si="15"/>
        <v>0.34169941780113577</v>
      </c>
      <c r="DA35" s="277"/>
    </row>
    <row r="36" spans="1:105" x14ac:dyDescent="0.25">
      <c r="A36" s="127" t="s">
        <v>168</v>
      </c>
      <c r="B36" s="259">
        <f t="shared" ref="B36:Y36" si="16">IF(B$16=0,0,B$16/B$5)</f>
        <v>0.19482890089214211</v>
      </c>
      <c r="C36" s="259">
        <f t="shared" si="16"/>
        <v>0.18349727937814378</v>
      </c>
      <c r="D36" s="259">
        <f t="shared" si="16"/>
        <v>0.18179640521078907</v>
      </c>
      <c r="E36" s="259">
        <f t="shared" si="16"/>
        <v>0.16901695695260352</v>
      </c>
      <c r="F36" s="259">
        <f t="shared" si="16"/>
        <v>0.18931217114420237</v>
      </c>
      <c r="G36" s="259">
        <f t="shared" si="16"/>
        <v>0.18301382887318873</v>
      </c>
      <c r="H36" s="259">
        <f t="shared" si="16"/>
        <v>0.19465937642056655</v>
      </c>
      <c r="I36" s="259">
        <f t="shared" si="16"/>
        <v>0.17903060981226565</v>
      </c>
      <c r="J36" s="259">
        <f t="shared" si="16"/>
        <v>0.17102120685223476</v>
      </c>
      <c r="K36" s="259">
        <f t="shared" si="16"/>
        <v>0.19876248746199579</v>
      </c>
      <c r="L36" s="259">
        <f t="shared" si="16"/>
        <v>0.19241977227790874</v>
      </c>
      <c r="M36" s="259">
        <f t="shared" si="16"/>
        <v>0.19987077456313712</v>
      </c>
      <c r="N36" s="259">
        <f t="shared" si="16"/>
        <v>0.20287920895860675</v>
      </c>
      <c r="O36" s="259">
        <f t="shared" si="16"/>
        <v>0.19480024798815535</v>
      </c>
      <c r="P36" s="259">
        <f t="shared" si="16"/>
        <v>0.19575193698110721</v>
      </c>
      <c r="Q36" s="259">
        <f t="shared" si="16"/>
        <v>0.19677221378616055</v>
      </c>
      <c r="R36" s="259">
        <f t="shared" si="16"/>
        <v>0.20879790898246955</v>
      </c>
      <c r="S36" s="259">
        <f t="shared" si="16"/>
        <v>0.20642375469449595</v>
      </c>
      <c r="T36" s="259">
        <f t="shared" si="16"/>
        <v>0.21658424265483159</v>
      </c>
      <c r="U36" s="259">
        <f t="shared" si="16"/>
        <v>0.21576962712142755</v>
      </c>
      <c r="V36" s="259">
        <f t="shared" si="16"/>
        <v>0.2234274613302718</v>
      </c>
      <c r="W36" s="259">
        <f t="shared" si="16"/>
        <v>0.2267943962277735</v>
      </c>
      <c r="X36" s="259">
        <f t="shared" si="16"/>
        <v>0.23341452792849637</v>
      </c>
      <c r="Y36" s="259">
        <f t="shared" si="16"/>
        <v>0.23828183973888362</v>
      </c>
      <c r="DA36" s="278"/>
    </row>
    <row r="37" spans="1:105" x14ac:dyDescent="0.25">
      <c r="A37" s="127" t="s">
        <v>121</v>
      </c>
      <c r="B37" s="259">
        <f t="shared" ref="B37:Y37" si="17">IF(B$17=0,0,B$17/B$5)</f>
        <v>0.23223944962927054</v>
      </c>
      <c r="C37" s="259">
        <f t="shared" si="17"/>
        <v>0.21887761892792568</v>
      </c>
      <c r="D37" s="259">
        <f t="shared" si="17"/>
        <v>0.22514476217440366</v>
      </c>
      <c r="E37" s="259">
        <f t="shared" si="17"/>
        <v>0.20928182167958109</v>
      </c>
      <c r="F37" s="259">
        <f t="shared" si="17"/>
        <v>0.25200656521520609</v>
      </c>
      <c r="G37" s="259">
        <f t="shared" si="17"/>
        <v>0.28799797070173749</v>
      </c>
      <c r="H37" s="259">
        <f t="shared" si="17"/>
        <v>0.26516223724574328</v>
      </c>
      <c r="I37" s="259">
        <f t="shared" si="17"/>
        <v>0.25387466719027746</v>
      </c>
      <c r="J37" s="259">
        <f t="shared" si="17"/>
        <v>0.29109815669975336</v>
      </c>
      <c r="K37" s="259">
        <f t="shared" si="17"/>
        <v>0.28593788079197768</v>
      </c>
      <c r="L37" s="259">
        <f t="shared" si="17"/>
        <v>0.27021368197345352</v>
      </c>
      <c r="M37" s="259">
        <f t="shared" si="17"/>
        <v>0.25771580330930666</v>
      </c>
      <c r="N37" s="259">
        <f t="shared" si="17"/>
        <v>0.25239455422122375</v>
      </c>
      <c r="O37" s="259">
        <f t="shared" si="17"/>
        <v>0.26041959707509199</v>
      </c>
      <c r="P37" s="259">
        <f t="shared" si="17"/>
        <v>0.24452588573094813</v>
      </c>
      <c r="Q37" s="259">
        <f t="shared" si="17"/>
        <v>0.25197677675055991</v>
      </c>
      <c r="R37" s="259">
        <f t="shared" si="17"/>
        <v>0.26404935909974414</v>
      </c>
      <c r="S37" s="259">
        <f t="shared" si="17"/>
        <v>0.27509675388712057</v>
      </c>
      <c r="T37" s="259">
        <f t="shared" si="17"/>
        <v>0.28008781421089762</v>
      </c>
      <c r="U37" s="259">
        <f t="shared" si="17"/>
        <v>0.27724803616934818</v>
      </c>
      <c r="V37" s="259">
        <f t="shared" si="17"/>
        <v>0.28749471715734032</v>
      </c>
      <c r="W37" s="259">
        <f t="shared" si="17"/>
        <v>0.28922399763642803</v>
      </c>
      <c r="X37" s="259">
        <f t="shared" si="17"/>
        <v>0.28785808852807299</v>
      </c>
      <c r="Y37" s="259">
        <f t="shared" si="17"/>
        <v>0.28572208766582985</v>
      </c>
      <c r="DA37" s="278"/>
    </row>
    <row r="38" spans="1:105" x14ac:dyDescent="0.25">
      <c r="A38" s="127" t="s">
        <v>167</v>
      </c>
      <c r="B38" s="259">
        <f t="shared" ref="B38:Y38" si="18">IF(B$25=0,0,B$25/B$5)</f>
        <v>2.6206597869863433E-2</v>
      </c>
      <c r="C38" s="259">
        <f t="shared" si="18"/>
        <v>2.4682372013889179E-2</v>
      </c>
      <c r="D38" s="259">
        <f t="shared" si="18"/>
        <v>2.4453586011776586E-2</v>
      </c>
      <c r="E38" s="259">
        <f t="shared" si="18"/>
        <v>2.2734611773522272E-2</v>
      </c>
      <c r="F38" s="259">
        <f t="shared" si="18"/>
        <v>2.5464537952679962E-2</v>
      </c>
      <c r="G38" s="259">
        <f t="shared" si="18"/>
        <v>2.461734268345965E-2</v>
      </c>
      <c r="H38" s="259">
        <f t="shared" si="18"/>
        <v>2.6183794991874895E-2</v>
      </c>
      <c r="I38" s="259">
        <f t="shared" si="18"/>
        <v>2.4081556567133001E-2</v>
      </c>
      <c r="J38" s="259">
        <f t="shared" si="18"/>
        <v>2.3004205098279714E-2</v>
      </c>
      <c r="K38" s="259">
        <f t="shared" si="18"/>
        <v>2.6735707878442292E-2</v>
      </c>
      <c r="L38" s="259">
        <f t="shared" si="18"/>
        <v>2.5882543971694861E-2</v>
      </c>
      <c r="M38" s="259">
        <f t="shared" si="18"/>
        <v>2.6884784500293409E-2</v>
      </c>
      <c r="N38" s="259">
        <f t="shared" si="18"/>
        <v>2.7289451518681951E-2</v>
      </c>
      <c r="O38" s="259">
        <f t="shared" si="18"/>
        <v>2.6202743743862882E-2</v>
      </c>
      <c r="P38" s="259">
        <f t="shared" si="18"/>
        <v>2.6330756223640051E-2</v>
      </c>
      <c r="Q38" s="259">
        <f t="shared" si="18"/>
        <v>2.6467994507198323E-2</v>
      </c>
      <c r="R38" s="259">
        <f t="shared" si="18"/>
        <v>2.8085580792765318E-2</v>
      </c>
      <c r="S38" s="259">
        <f t="shared" si="18"/>
        <v>2.7766231320376804E-2</v>
      </c>
      <c r="T38" s="259">
        <f t="shared" si="18"/>
        <v>2.9132927025782022E-2</v>
      </c>
      <c r="U38" s="259">
        <f t="shared" si="18"/>
        <v>2.9023352411314096E-2</v>
      </c>
      <c r="V38" s="259">
        <f t="shared" si="18"/>
        <v>3.0053414074374889E-2</v>
      </c>
      <c r="W38" s="259">
        <f t="shared" si="18"/>
        <v>3.0506303294140523E-2</v>
      </c>
      <c r="X38" s="259">
        <f t="shared" si="18"/>
        <v>3.139678272779714E-2</v>
      </c>
      <c r="Y38" s="259">
        <f t="shared" si="18"/>
        <v>3.2051488896840667E-2</v>
      </c>
      <c r="DA38" s="278"/>
    </row>
    <row r="39" spans="1:105" x14ac:dyDescent="0.25">
      <c r="A39" s="127" t="s">
        <v>170</v>
      </c>
      <c r="B39" s="259">
        <f t="shared" ref="B39:Y39" si="19">IF(B$26=0,0,B$26/B$5)</f>
        <v>2.5792676908782342E-2</v>
      </c>
      <c r="C39" s="259">
        <f t="shared" si="19"/>
        <v>2.6863672269510471E-2</v>
      </c>
      <c r="D39" s="259">
        <f t="shared" si="19"/>
        <v>2.5558874011865823E-2</v>
      </c>
      <c r="E39" s="259">
        <f t="shared" si="19"/>
        <v>2.3747527984311102E-2</v>
      </c>
      <c r="F39" s="259">
        <f t="shared" si="19"/>
        <v>2.5922865970463643E-2</v>
      </c>
      <c r="G39" s="259">
        <f t="shared" si="19"/>
        <v>2.2649250664523401E-2</v>
      </c>
      <c r="H39" s="259">
        <f t="shared" si="19"/>
        <v>2.7813818538029167E-2</v>
      </c>
      <c r="I39" s="259">
        <f t="shared" si="19"/>
        <v>3.3255206529888559E-2</v>
      </c>
      <c r="J39" s="259">
        <f t="shared" si="19"/>
        <v>3.0460785859484696E-2</v>
      </c>
      <c r="K39" s="259">
        <f t="shared" si="19"/>
        <v>2.3761405618970735E-2</v>
      </c>
      <c r="L39" s="259">
        <f t="shared" si="19"/>
        <v>2.9040378161292148E-2</v>
      </c>
      <c r="M39" s="259">
        <f t="shared" si="19"/>
        <v>2.9393168859866838E-2</v>
      </c>
      <c r="N39" s="259">
        <f t="shared" si="19"/>
        <v>2.8544056773754545E-2</v>
      </c>
      <c r="O39" s="259">
        <f t="shared" si="19"/>
        <v>2.9534709672438687E-2</v>
      </c>
      <c r="P39" s="259">
        <f t="shared" si="19"/>
        <v>3.281423062141816E-2</v>
      </c>
      <c r="Q39" s="259">
        <f t="shared" si="19"/>
        <v>3.2526515854352012E-2</v>
      </c>
      <c r="R39" s="259">
        <f t="shared" si="19"/>
        <v>2.8580775151068896E-2</v>
      </c>
      <c r="S39" s="259">
        <f t="shared" si="19"/>
        <v>2.6699201864102087E-2</v>
      </c>
      <c r="T39" s="259">
        <f t="shared" si="19"/>
        <v>2.4674039285942247E-2</v>
      </c>
      <c r="U39" s="259">
        <f t="shared" si="19"/>
        <v>2.4976637619607445E-2</v>
      </c>
      <c r="V39" s="259">
        <f t="shared" si="19"/>
        <v>1.9754830721436828E-2</v>
      </c>
      <c r="W39" s="259">
        <f t="shared" si="19"/>
        <v>1.8844441014882432E-2</v>
      </c>
      <c r="X39" s="259">
        <f t="shared" si="19"/>
        <v>1.9162314006381843E-2</v>
      </c>
      <c r="Y39" s="259">
        <f t="shared" si="19"/>
        <v>1.8677616401999341E-2</v>
      </c>
      <c r="DA39" s="278"/>
    </row>
    <row r="40" spans="1:105" x14ac:dyDescent="0.25">
      <c r="A40" s="260" t="s">
        <v>33</v>
      </c>
      <c r="B40" s="261">
        <f t="shared" ref="B40:Y40" si="20">IF(B$27=0,0,B$27/B$5)</f>
        <v>3.9309709647592381E-2</v>
      </c>
      <c r="C40" s="261">
        <f t="shared" si="20"/>
        <v>4.0941975922746093E-2</v>
      </c>
      <c r="D40" s="261">
        <f t="shared" si="20"/>
        <v>3.8953378894291422E-2</v>
      </c>
      <c r="E40" s="261">
        <f t="shared" si="20"/>
        <v>3.6192770266256731E-2</v>
      </c>
      <c r="F40" s="261">
        <f t="shared" si="20"/>
        <v>3.9508126207148546E-2</v>
      </c>
      <c r="G40" s="261">
        <f t="shared" si="20"/>
        <v>3.4518924519028757E-2</v>
      </c>
      <c r="H40" s="261">
        <f t="shared" si="20"/>
        <v>4.2390060356568303E-2</v>
      </c>
      <c r="I40" s="261">
        <f t="shared" si="20"/>
        <v>5.068308797818194E-2</v>
      </c>
      <c r="J40" s="261">
        <f t="shared" si="20"/>
        <v>4.642420994178071E-2</v>
      </c>
      <c r="K40" s="261">
        <f t="shared" si="20"/>
        <v>3.6213920680034824E-2</v>
      </c>
      <c r="L40" s="261">
        <f t="shared" si="20"/>
        <v>4.4259416640386608E-2</v>
      </c>
      <c r="M40" s="261">
        <f t="shared" si="20"/>
        <v>4.4797092507703071E-2</v>
      </c>
      <c r="N40" s="261">
        <f t="shared" si="20"/>
        <v>4.3502990709685725E-2</v>
      </c>
      <c r="O40" s="261">
        <f t="shared" si="20"/>
        <v>4.5012809870625906E-2</v>
      </c>
      <c r="P40" s="261">
        <f t="shared" si="20"/>
        <v>5.0011012141119388E-2</v>
      </c>
      <c r="Q40" s="261">
        <f t="shared" si="20"/>
        <v>4.9572516206994613E-2</v>
      </c>
      <c r="R40" s="261">
        <f t="shared" si="20"/>
        <v>4.3558951894174733E-2</v>
      </c>
      <c r="S40" s="261">
        <f t="shared" si="20"/>
        <v>4.0691312375682305E-2</v>
      </c>
      <c r="T40" s="261">
        <f t="shared" si="20"/>
        <v>3.7604833480212325E-2</v>
      </c>
      <c r="U40" s="261">
        <f t="shared" si="20"/>
        <v>3.8066012933523512E-2</v>
      </c>
      <c r="V40" s="261">
        <f t="shared" si="20"/>
        <v>3.0107641116250486E-2</v>
      </c>
      <c r="W40" s="261">
        <f t="shared" si="20"/>
        <v>2.8720148257041892E-2</v>
      </c>
      <c r="X40" s="261">
        <f t="shared" si="20"/>
        <v>2.9204607277904453E-2</v>
      </c>
      <c r="Y40" s="261">
        <f t="shared" si="20"/>
        <v>2.8465896745355102E-2</v>
      </c>
      <c r="DA40" s="279"/>
    </row>
    <row r="42" spans="1:105" ht="12.75" x14ac:dyDescent="0.25">
      <c r="A42" s="178" t="s">
        <v>131</v>
      </c>
      <c r="B42" s="231"/>
      <c r="C42" s="231"/>
      <c r="D42" s="231"/>
      <c r="E42" s="231"/>
      <c r="F42" s="231"/>
      <c r="G42" s="231"/>
      <c r="H42" s="231"/>
      <c r="I42" s="231"/>
      <c r="J42" s="231"/>
      <c r="K42" s="231"/>
      <c r="L42" s="231"/>
      <c r="M42" s="231"/>
      <c r="N42" s="231"/>
      <c r="O42" s="231"/>
      <c r="P42" s="231"/>
      <c r="Q42" s="231"/>
      <c r="R42" s="231"/>
      <c r="S42" s="231"/>
      <c r="T42" s="231"/>
      <c r="U42" s="231"/>
      <c r="V42" s="231"/>
      <c r="W42" s="231"/>
      <c r="X42" s="231"/>
      <c r="Y42" s="231"/>
      <c r="DA42" s="266"/>
    </row>
    <row r="44" spans="1:105" x14ac:dyDescent="0.25">
      <c r="A44" s="234" t="s">
        <v>126</v>
      </c>
      <c r="B44" s="237">
        <f>IF(B$5=0,0,B$5/AGR_fec!B$5)</f>
        <v>0.41120196257587888</v>
      </c>
      <c r="C44" s="237">
        <f>IF(C$5=0,0,C$5/AGR_fec!C$5)</f>
        <v>0.42029874925122851</v>
      </c>
      <c r="D44" s="237">
        <f>IF(D$5=0,0,D$5/AGR_fec!D$5)</f>
        <v>0.42209579567337213</v>
      </c>
      <c r="E44" s="237">
        <f>IF(E$5=0,0,E$5/AGR_fec!E$5)</f>
        <v>0.43371639981329135</v>
      </c>
      <c r="F44" s="237">
        <f>IF(F$5=0,0,F$5/AGR_fec!F$5)</f>
        <v>0.4067635803063695</v>
      </c>
      <c r="G44" s="237">
        <f>IF(G$5=0,0,G$5/AGR_fec!G$5)</f>
        <v>0.39400270984540298</v>
      </c>
      <c r="H44" s="237">
        <f>IF(H$5=0,0,H$5/AGR_fec!H$5)</f>
        <v>0.39840712349407331</v>
      </c>
      <c r="I44" s="237">
        <f>IF(I$5=0,0,I$5/AGR_fec!I$5)</f>
        <v>0.403564018401948</v>
      </c>
      <c r="J44" s="237">
        <f>IF(J$5=0,0,J$5/AGR_fec!J$5)</f>
        <v>0.40083792385883138</v>
      </c>
      <c r="K44" s="237">
        <f>IF(K$5=0,0,K$5/AGR_fec!K$5)</f>
        <v>0.39574041386835879</v>
      </c>
      <c r="L44" s="237">
        <f>IF(L$5=0,0,L$5/AGR_fec!L$5)</f>
        <v>0.40270194580154134</v>
      </c>
      <c r="M44" s="237">
        <f>IF(M$5=0,0,M$5/AGR_fec!M$5)</f>
        <v>0.40346765975904697</v>
      </c>
      <c r="N44" s="237">
        <f>IF(N$5=0,0,N$5/AGR_fec!N$5)</f>
        <v>0.40444447967948177</v>
      </c>
      <c r="O44" s="237">
        <f>IF(O$5=0,0,O$5/AGR_fec!O$5)</f>
        <v>0.40010065403731593</v>
      </c>
      <c r="P44" s="237">
        <f>IF(P$5=0,0,P$5/AGR_fec!P$5)</f>
        <v>0.40835679437756633</v>
      </c>
      <c r="Q44" s="237">
        <f>IF(Q$5=0,0,Q$5/AGR_fec!Q$5)</f>
        <v>0.4049820154861844</v>
      </c>
      <c r="R44" s="237">
        <f>IF(R$5=0,0,R$5/AGR_fec!R$5)</f>
        <v>0.39753844287929924</v>
      </c>
      <c r="S44" s="237">
        <f>IF(S$5=0,0,S$5/AGR_fec!S$5)</f>
        <v>0.39632164457727159</v>
      </c>
      <c r="T44" s="237">
        <f>IF(T$5=0,0,T$5/AGR_fec!T$5)</f>
        <v>0.39089174465195675</v>
      </c>
      <c r="U44" s="237">
        <f>IF(U$5=0,0,U$5/AGR_fec!U$5)</f>
        <v>0.39129987122642301</v>
      </c>
      <c r="V44" s="237">
        <f>IF(V$5=0,0,V$5/AGR_fec!V$5)</f>
        <v>0.38680720284128234</v>
      </c>
      <c r="W44" s="237">
        <f>IF(W$5=0,0,W$5/AGR_fec!W$5)</f>
        <v>0.38542410308946962</v>
      </c>
      <c r="X44" s="237">
        <f>IF(X$5=0,0,X$5/AGR_fec!X$5)</f>
        <v>0.38205789903012516</v>
      </c>
      <c r="Y44" s="237">
        <f>IF(Y$5=0,0,Y$5/AGR_fec!Y$5)</f>
        <v>0.38072895236355536</v>
      </c>
      <c r="DA44" s="286"/>
    </row>
    <row r="45" spans="1:105" x14ac:dyDescent="0.25">
      <c r="A45" s="238" t="s">
        <v>125</v>
      </c>
      <c r="B45" s="250">
        <f>IF(B$6=0,0,B$6/AGR_fec!B$6)</f>
        <v>0.47204978643311762</v>
      </c>
      <c r="C45" s="250">
        <f>IF(C$6=0,0,C$6/AGR_fec!C$6)</f>
        <v>0.47204978643311757</v>
      </c>
      <c r="D45" s="250">
        <f>IF(D$6=0,0,D$6/AGR_fec!D$6)</f>
        <v>0.47204978643311762</v>
      </c>
      <c r="E45" s="250">
        <f>IF(E$6=0,0,E$6/AGR_fec!E$6)</f>
        <v>0.47204978643311768</v>
      </c>
      <c r="F45" s="250">
        <f>IF(F$6=0,0,F$6/AGR_fec!F$6)</f>
        <v>0.47204978643311757</v>
      </c>
      <c r="G45" s="250">
        <f>IF(G$6=0,0,G$6/AGR_fec!G$6)</f>
        <v>0.47204978643311768</v>
      </c>
      <c r="H45" s="250">
        <f>IF(H$6=0,0,H$6/AGR_fec!H$6)</f>
        <v>0.47204978643311751</v>
      </c>
      <c r="I45" s="250">
        <f>IF(I$6=0,0,I$6/AGR_fec!I$6)</f>
        <v>0.47204978643311762</v>
      </c>
      <c r="J45" s="250">
        <f>IF(J$6=0,0,J$6/AGR_fec!J$6)</f>
        <v>0.47204978643311762</v>
      </c>
      <c r="K45" s="250">
        <f>IF(K$6=0,0,K$6/AGR_fec!K$6)</f>
        <v>0.47204978643311768</v>
      </c>
      <c r="L45" s="250">
        <f>IF(L$6=0,0,L$6/AGR_fec!L$6)</f>
        <v>0.47204978643311768</v>
      </c>
      <c r="M45" s="250">
        <f>IF(M$6=0,0,M$6/AGR_fec!M$6)</f>
        <v>0.47204978643311751</v>
      </c>
      <c r="N45" s="250">
        <f>IF(N$6=0,0,N$6/AGR_fec!N$6)</f>
        <v>0.47204978643311757</v>
      </c>
      <c r="O45" s="250">
        <f>IF(O$6=0,0,O$6/AGR_fec!O$6)</f>
        <v>0.47204978643311774</v>
      </c>
      <c r="P45" s="250">
        <f>IF(P$6=0,0,P$6/AGR_fec!P$6)</f>
        <v>0.47204978643311746</v>
      </c>
      <c r="Q45" s="250">
        <f>IF(Q$6=0,0,Q$6/AGR_fec!Q$6)</f>
        <v>0.47204978643311774</v>
      </c>
      <c r="R45" s="250">
        <f>IF(R$6=0,0,R$6/AGR_fec!R$6)</f>
        <v>0.47204978643311757</v>
      </c>
      <c r="S45" s="250">
        <f>IF(S$6=0,0,S$6/AGR_fec!S$6)</f>
        <v>0.47204978643311751</v>
      </c>
      <c r="T45" s="250">
        <f>IF(T$6=0,0,T$6/AGR_fec!T$6)</f>
        <v>0.47204978643311762</v>
      </c>
      <c r="U45" s="250">
        <f>IF(U$6=0,0,U$6/AGR_fec!U$6)</f>
        <v>0.47204978643311746</v>
      </c>
      <c r="V45" s="250">
        <f>IF(V$6=0,0,V$6/AGR_fec!V$6)</f>
        <v>0.47204978643311762</v>
      </c>
      <c r="W45" s="250">
        <f>IF(W$6=0,0,W$6/AGR_fec!W$6)</f>
        <v>0.47204978643311768</v>
      </c>
      <c r="X45" s="250">
        <f>IF(X$6=0,0,X$6/AGR_fec!X$6)</f>
        <v>0.47204978643311757</v>
      </c>
      <c r="Y45" s="250">
        <f>IF(Y$6=0,0,Y$6/AGR_fec!Y$6)</f>
        <v>0.47204978643311768</v>
      </c>
      <c r="DA45" s="287"/>
    </row>
    <row r="46" spans="1:105" x14ac:dyDescent="0.25">
      <c r="A46" s="240" t="s">
        <v>124</v>
      </c>
      <c r="B46" s="251">
        <f>IF(B$7=0,0,B$7/AGR_fec!B$7)</f>
        <v>0.46809774491530431</v>
      </c>
      <c r="C46" s="251">
        <f>IF(C$7=0,0,C$7/AGR_fec!C$7)</f>
        <v>0.46809774491530448</v>
      </c>
      <c r="D46" s="251">
        <f>IF(D$7=0,0,D$7/AGR_fec!D$7)</f>
        <v>0.46809774491530454</v>
      </c>
      <c r="E46" s="251">
        <f>IF(E$7=0,0,E$7/AGR_fec!E$7)</f>
        <v>0.46809774491530465</v>
      </c>
      <c r="F46" s="251">
        <f>IF(F$7=0,0,F$7/AGR_fec!F$7)</f>
        <v>0.46809774491530443</v>
      </c>
      <c r="G46" s="251">
        <f>IF(G$7=0,0,G$7/AGR_fec!G$7)</f>
        <v>0.46809774491530437</v>
      </c>
      <c r="H46" s="251">
        <f>IF(H$7=0,0,H$7/AGR_fec!H$7)</f>
        <v>0.46809774491530431</v>
      </c>
      <c r="I46" s="251">
        <f>IF(I$7=0,0,I$7/AGR_fec!I$7)</f>
        <v>0.46809774491530443</v>
      </c>
      <c r="J46" s="251">
        <f>IF(J$7=0,0,J$7/AGR_fec!J$7)</f>
        <v>0.46809774491530448</v>
      </c>
      <c r="K46" s="251">
        <f>IF(K$7=0,0,K$7/AGR_fec!K$7)</f>
        <v>0.46809774491530415</v>
      </c>
      <c r="L46" s="251">
        <f>IF(L$7=0,0,L$7/AGR_fec!L$7)</f>
        <v>0.46809774491530443</v>
      </c>
      <c r="M46" s="251">
        <f>IF(M$7=0,0,M$7/AGR_fec!M$7)</f>
        <v>0.46809774491530448</v>
      </c>
      <c r="N46" s="251">
        <f>IF(N$7=0,0,N$7/AGR_fec!N$7)</f>
        <v>0.46809774491530437</v>
      </c>
      <c r="O46" s="251">
        <f>IF(O$7=0,0,O$7/AGR_fec!O$7)</f>
        <v>0.46809774491530437</v>
      </c>
      <c r="P46" s="251">
        <f>IF(P$7=0,0,P$7/AGR_fec!P$7)</f>
        <v>0.46809774491530443</v>
      </c>
      <c r="Q46" s="251">
        <f>IF(Q$7=0,0,Q$7/AGR_fec!Q$7)</f>
        <v>0.46809774491530448</v>
      </c>
      <c r="R46" s="251">
        <f>IF(R$7=0,0,R$7/AGR_fec!R$7)</f>
        <v>0.46809774491530443</v>
      </c>
      <c r="S46" s="251">
        <f>IF(S$7=0,0,S$7/AGR_fec!S$7)</f>
        <v>0.46809774491530448</v>
      </c>
      <c r="T46" s="251">
        <f>IF(T$7=0,0,T$7/AGR_fec!T$7)</f>
        <v>0.46809774491530443</v>
      </c>
      <c r="U46" s="251">
        <f>IF(U$7=0,0,U$7/AGR_fec!U$7)</f>
        <v>0.46809774491530431</v>
      </c>
      <c r="V46" s="251">
        <f>IF(V$7=0,0,V$7/AGR_fec!V$7)</f>
        <v>0.46809774491530448</v>
      </c>
      <c r="W46" s="251">
        <f>IF(W$7=0,0,W$7/AGR_fec!W$7)</f>
        <v>0.46809774491530448</v>
      </c>
      <c r="X46" s="251">
        <f>IF(X$7=0,0,X$7/AGR_fec!X$7)</f>
        <v>0.46809774491530443</v>
      </c>
      <c r="Y46" s="251">
        <f>IF(Y$7=0,0,Y$7/AGR_fec!Y$7)</f>
        <v>0.46809774491530454</v>
      </c>
      <c r="DA46" s="288"/>
    </row>
    <row r="47" spans="1:105" x14ac:dyDescent="0.25">
      <c r="A47" s="240" t="s">
        <v>123</v>
      </c>
      <c r="B47" s="251">
        <f>IF(B$8=0,0,B$8/AGR_fec!B$8)</f>
        <v>0.67182478034082582</v>
      </c>
      <c r="C47" s="251">
        <f>IF(C$8=0,0,C$8/AGR_fec!C$8)</f>
        <v>0.67182478034082571</v>
      </c>
      <c r="D47" s="251">
        <f>IF(D$8=0,0,D$8/AGR_fec!D$8)</f>
        <v>0.67182478034082593</v>
      </c>
      <c r="E47" s="251">
        <f>IF(E$8=0,0,E$8/AGR_fec!E$8)</f>
        <v>0.67182478034082582</v>
      </c>
      <c r="F47" s="251">
        <f>IF(F$8=0,0,F$8/AGR_fec!F$8)</f>
        <v>0.67182478034082593</v>
      </c>
      <c r="G47" s="251">
        <f>IF(G$8=0,0,G$8/AGR_fec!G$8)</f>
        <v>0.67182478034082582</v>
      </c>
      <c r="H47" s="251">
        <f>IF(H$8=0,0,H$8/AGR_fec!H$8)</f>
        <v>0.67182478034082571</v>
      </c>
      <c r="I47" s="251">
        <f>IF(I$8=0,0,I$8/AGR_fec!I$8)</f>
        <v>0.67182478034082582</v>
      </c>
      <c r="J47" s="251">
        <f>IF(J$8=0,0,J$8/AGR_fec!J$8)</f>
        <v>0.67182478034082593</v>
      </c>
      <c r="K47" s="251">
        <f>IF(K$8=0,0,K$8/AGR_fec!K$8)</f>
        <v>0.67182478034082582</v>
      </c>
      <c r="L47" s="251">
        <f>IF(L$8=0,0,L$8/AGR_fec!L$8)</f>
        <v>0.67182478034082593</v>
      </c>
      <c r="M47" s="251">
        <f>IF(M$8=0,0,M$8/AGR_fec!M$8)</f>
        <v>0.67182478034082571</v>
      </c>
      <c r="N47" s="251">
        <f>IF(N$8=0,0,N$8/AGR_fec!N$8)</f>
        <v>0.67182478034082616</v>
      </c>
      <c r="O47" s="251">
        <f>IF(O$8=0,0,O$8/AGR_fec!O$8)</f>
        <v>0.67182478034082582</v>
      </c>
      <c r="P47" s="251">
        <f>IF(P$8=0,0,P$8/AGR_fec!P$8)</f>
        <v>0.67182478034082582</v>
      </c>
      <c r="Q47" s="251">
        <f>IF(Q$8=0,0,Q$8/AGR_fec!Q$8)</f>
        <v>0.67182478034082582</v>
      </c>
      <c r="R47" s="251">
        <f>IF(R$8=0,0,R$8/AGR_fec!R$8)</f>
        <v>0.67182478034082582</v>
      </c>
      <c r="S47" s="251">
        <f>IF(S$8=0,0,S$8/AGR_fec!S$8)</f>
        <v>0.6718247803408256</v>
      </c>
      <c r="T47" s="251">
        <f>IF(T$8=0,0,T$8/AGR_fec!T$8)</f>
        <v>0.6718247803408256</v>
      </c>
      <c r="U47" s="251">
        <f>IF(U$8=0,0,U$8/AGR_fec!U$8)</f>
        <v>0.67182478034082593</v>
      </c>
      <c r="V47" s="251">
        <f>IF(V$8=0,0,V$8/AGR_fec!V$8)</f>
        <v>0.67182478034082582</v>
      </c>
      <c r="W47" s="251">
        <f>IF(W$8=0,0,W$8/AGR_fec!W$8)</f>
        <v>0.67182478034082571</v>
      </c>
      <c r="X47" s="251">
        <f>IF(X$8=0,0,X$8/AGR_fec!X$8)</f>
        <v>0.67182478034082582</v>
      </c>
      <c r="Y47" s="251">
        <f>IF(Y$8=0,0,Y$8/AGR_fec!Y$8)</f>
        <v>0.67182478034082593</v>
      </c>
      <c r="DA47" s="288"/>
    </row>
    <row r="48" spans="1:105" x14ac:dyDescent="0.25">
      <c r="A48" s="242" t="s">
        <v>122</v>
      </c>
      <c r="B48" s="252">
        <f>IF(B$9=0,0,B$9/AGR_fec!B$9)</f>
        <v>0.66778532050253481</v>
      </c>
      <c r="C48" s="252">
        <f>IF(C$9=0,0,C$9/AGR_fec!C$9)</f>
        <v>0.67503357305277611</v>
      </c>
      <c r="D48" s="252">
        <f>IF(D$9=0,0,D$9/AGR_fec!D$9)</f>
        <v>0.67477436938732382</v>
      </c>
      <c r="E48" s="252">
        <f>IF(E$9=0,0,E$9/AGR_fec!E$9)</f>
        <v>0.67951232428704156</v>
      </c>
      <c r="F48" s="252">
        <f>IF(F$9=0,0,F$9/AGR_fec!F$9)</f>
        <v>0.6694830791316928</v>
      </c>
      <c r="G48" s="252">
        <f>IF(G$9=0,0,G$9/AGR_fec!G$9)</f>
        <v>0.66789843482879263</v>
      </c>
      <c r="H48" s="252">
        <f>IF(H$9=0,0,H$9/AGR_fec!H$9)</f>
        <v>0.66593997461127341</v>
      </c>
      <c r="I48" s="252">
        <f>IF(I$9=0,0,I$9/AGR_fec!I$9)</f>
        <v>0.68669801190040702</v>
      </c>
      <c r="J48" s="252">
        <f>IF(J$9=0,0,J$9/AGR_fec!J$9)</f>
        <v>0.6825752256804678</v>
      </c>
      <c r="K48" s="252">
        <f>IF(K$9=0,0,K$9/AGR_fec!K$9)</f>
        <v>0.65807248471070856</v>
      </c>
      <c r="L48" s="252">
        <f>IF(L$9=0,0,L$9/AGR_fec!L$9)</f>
        <v>0.66721631986634744</v>
      </c>
      <c r="M48" s="252">
        <f>IF(M$9=0,0,M$9/AGR_fec!M$9)</f>
        <v>0.66354653784100082</v>
      </c>
      <c r="N48" s="252">
        <f>IF(N$9=0,0,N$9/AGR_fec!N$9)</f>
        <v>0.66134266453981738</v>
      </c>
      <c r="O48" s="252">
        <f>IF(O$9=0,0,O$9/AGR_fec!O$9)</f>
        <v>0.66795823251307629</v>
      </c>
      <c r="P48" s="252">
        <f>IF(P$9=0,0,P$9/AGR_fec!P$9)</f>
        <v>0.67185109327688153</v>
      </c>
      <c r="Q48" s="252">
        <f>IF(Q$9=0,0,Q$9/AGR_fec!Q$9)</f>
        <v>0.67027183121166167</v>
      </c>
      <c r="R48" s="252">
        <f>IF(R$9=0,0,R$9/AGR_fec!R$9)</f>
        <v>0.65474778933153699</v>
      </c>
      <c r="S48" s="252">
        <f>IF(S$9=0,0,S$9/AGR_fec!S$9)</f>
        <v>0.65443464308010213</v>
      </c>
      <c r="T48" s="252">
        <f>IF(T$9=0,0,T$9/AGR_fec!T$9)</f>
        <v>0.64461056140085626</v>
      </c>
      <c r="U48" s="252">
        <f>IF(U$9=0,0,U$9/AGR_fec!U$9)</f>
        <v>0.6459297795708363</v>
      </c>
      <c r="V48" s="252">
        <f>IF(V$9=0,0,V$9/AGR_fec!V$9)</f>
        <v>0.639728239965207</v>
      </c>
      <c r="W48" s="252">
        <f>IF(W$9=0,0,W$9/AGR_fec!W$9)</f>
        <v>0.63709205442586569</v>
      </c>
      <c r="X48" s="252">
        <f>IF(X$9=0,0,X$9/AGR_fec!X$9)</f>
        <v>0.63010302207439373</v>
      </c>
      <c r="Y48" s="252">
        <f>IF(Y$9=0,0,Y$9/AGR_fec!Y$9)</f>
        <v>0.62589229032342675</v>
      </c>
      <c r="DA48" s="289"/>
    </row>
    <row r="49" spans="1:105" x14ac:dyDescent="0.25">
      <c r="A49" s="127" t="s">
        <v>168</v>
      </c>
      <c r="B49" s="264">
        <f>IF(B$16=0,0,B$16/AGR_fec!B$16)</f>
        <v>0.33778924934978521</v>
      </c>
      <c r="C49" s="264">
        <f>IF(C$16=0,0,C$16/AGR_fec!C$16)</f>
        <v>0.33778924934978521</v>
      </c>
      <c r="D49" s="264">
        <f>IF(D$16=0,0,D$16/AGR_fec!D$16)</f>
        <v>0.33778924934978527</v>
      </c>
      <c r="E49" s="264">
        <f>IF(E$16=0,0,E$16/AGR_fec!E$16)</f>
        <v>0.33778924934978527</v>
      </c>
      <c r="F49" s="264">
        <f>IF(F$16=0,0,F$16/AGR_fec!F$16)</f>
        <v>0.33778924934978533</v>
      </c>
      <c r="G49" s="264">
        <f>IF(G$16=0,0,G$16/AGR_fec!G$16)</f>
        <v>0.33778924934978527</v>
      </c>
      <c r="H49" s="264">
        <f>IF(H$16=0,0,H$16/AGR_fec!H$16)</f>
        <v>0.33778924934978533</v>
      </c>
      <c r="I49" s="264">
        <f>IF(I$16=0,0,I$16/AGR_fec!I$16)</f>
        <v>0.33778924934978527</v>
      </c>
      <c r="J49" s="264">
        <f>IF(J$16=0,0,J$16/AGR_fec!J$16)</f>
        <v>0.33778924934978527</v>
      </c>
      <c r="K49" s="264">
        <f>IF(K$16=0,0,K$16/AGR_fec!K$16)</f>
        <v>0.33778924934978521</v>
      </c>
      <c r="L49" s="264">
        <f>IF(L$16=0,0,L$16/AGR_fec!L$16)</f>
        <v>0.33778924934978533</v>
      </c>
      <c r="M49" s="264">
        <f>IF(M$16=0,0,M$16/AGR_fec!M$16)</f>
        <v>0.33778924934978549</v>
      </c>
      <c r="N49" s="264">
        <f>IF(N$16=0,0,N$16/AGR_fec!N$16)</f>
        <v>0.33778924934978521</v>
      </c>
      <c r="O49" s="264">
        <f>IF(O$16=0,0,O$16/AGR_fec!O$16)</f>
        <v>0.33778924934978544</v>
      </c>
      <c r="P49" s="264">
        <f>IF(P$16=0,0,P$16/AGR_fec!P$16)</f>
        <v>0.33778924934978533</v>
      </c>
      <c r="Q49" s="264">
        <f>IF(Q$16=0,0,Q$16/AGR_fec!Q$16)</f>
        <v>0.33778924934978521</v>
      </c>
      <c r="R49" s="264">
        <f>IF(R$16=0,0,R$16/AGR_fec!R$16)</f>
        <v>0.33778924934978533</v>
      </c>
      <c r="S49" s="264">
        <f>IF(S$16=0,0,S$16/AGR_fec!S$16)</f>
        <v>0.33778924934978521</v>
      </c>
      <c r="T49" s="264">
        <f>IF(T$16=0,0,T$16/AGR_fec!T$16)</f>
        <v>0.33778924934978538</v>
      </c>
      <c r="U49" s="264">
        <f>IF(U$16=0,0,U$16/AGR_fec!U$16)</f>
        <v>0.33778924934978521</v>
      </c>
      <c r="V49" s="264">
        <f>IF(V$16=0,0,V$16/AGR_fec!V$16)</f>
        <v>0.33778924934978527</v>
      </c>
      <c r="W49" s="264">
        <f>IF(W$16=0,0,W$16/AGR_fec!W$16)</f>
        <v>0.33778924934978527</v>
      </c>
      <c r="X49" s="264">
        <f>IF(X$16=0,0,X$16/AGR_fec!X$16)</f>
        <v>0.33778924934978533</v>
      </c>
      <c r="Y49" s="264">
        <f>IF(Y$16=0,0,Y$16/AGR_fec!Y$16)</f>
        <v>0.33778924934978538</v>
      </c>
      <c r="DA49" s="290"/>
    </row>
    <row r="50" spans="1:105" x14ac:dyDescent="0.25">
      <c r="A50" s="127" t="s">
        <v>121</v>
      </c>
      <c r="B50" s="264">
        <f>IF(B$17=0,0,B$17/AGR_fec!B$17)</f>
        <v>0.26957442749019467</v>
      </c>
      <c r="C50" s="264">
        <f>IF(C$17=0,0,C$17/AGR_fec!C$17)</f>
        <v>0.26896124673541588</v>
      </c>
      <c r="D50" s="264">
        <f>IF(D$17=0,0,D$17/AGR_fec!D$17)</f>
        <v>0.27483505325552288</v>
      </c>
      <c r="E50" s="264">
        <f>IF(E$17=0,0,E$17/AGR_fec!E$17)</f>
        <v>0.27345306884173615</v>
      </c>
      <c r="F50" s="264">
        <f>IF(F$17=0,0,F$17/AGR_fec!F$17)</f>
        <v>0.27129543857244576</v>
      </c>
      <c r="G50" s="264">
        <f>IF(G$17=0,0,G$17/AGR_fec!G$17)</f>
        <v>0.26649427618080473</v>
      </c>
      <c r="H50" s="264">
        <f>IF(H$17=0,0,H$17/AGR_fec!H$17)</f>
        <v>0.26983180843236021</v>
      </c>
      <c r="I50" s="264">
        <f>IF(I$17=0,0,I$17/AGR_fec!I$17)</f>
        <v>0.26302896331248776</v>
      </c>
      <c r="J50" s="264">
        <f>IF(J$17=0,0,J$17/AGR_fec!J$17)</f>
        <v>0.27571320333310045</v>
      </c>
      <c r="K50" s="264">
        <f>IF(K$17=0,0,K$17/AGR_fec!K$17)</f>
        <v>0.27846039850321386</v>
      </c>
      <c r="L50" s="264">
        <f>IF(L$17=0,0,L$17/AGR_fec!L$17)</f>
        <v>0.27984212051456347</v>
      </c>
      <c r="M50" s="264">
        <f>IF(M$17=0,0,M$17/AGR_fec!M$17)</f>
        <v>0.27869951191376002</v>
      </c>
      <c r="N50" s="264">
        <f>IF(N$17=0,0,N$17/AGR_fec!N$17)</f>
        <v>0.27874122663533241</v>
      </c>
      <c r="O50" s="264">
        <f>IF(O$17=0,0,O$17/AGR_fec!O$17)</f>
        <v>0.27068528998307556</v>
      </c>
      <c r="P50" s="264">
        <f>IF(P$17=0,0,P$17/AGR_fec!P$17)</f>
        <v>0.27757960543553406</v>
      </c>
      <c r="Q50" s="264">
        <f>IF(Q$17=0,0,Q$17/AGR_fec!Q$17)</f>
        <v>0.2768813334057959</v>
      </c>
      <c r="R50" s="264">
        <f>IF(R$17=0,0,R$17/AGR_fec!R$17)</f>
        <v>0.27794269159263485</v>
      </c>
      <c r="S50" s="264">
        <f>IF(S$17=0,0,S$17/AGR_fec!S$17)</f>
        <v>0.2798572218581234</v>
      </c>
      <c r="T50" s="264">
        <f>IF(T$17=0,0,T$17/AGR_fec!T$17)</f>
        <v>0.27891218698744308</v>
      </c>
      <c r="U50" s="264">
        <f>IF(U$17=0,0,U$17/AGR_fec!U$17)</f>
        <v>0.2775251886304409</v>
      </c>
      <c r="V50" s="264">
        <f>IF(V$17=0,0,V$17/AGR_fec!V$17)</f>
        <v>0.2771762266493214</v>
      </c>
      <c r="W50" s="264">
        <f>IF(W$17=0,0,W$17/AGR_fec!W$17)</f>
        <v>0.27730969683949802</v>
      </c>
      <c r="X50" s="264">
        <f>IF(X$17=0,0,X$17/AGR_fec!X$17)</f>
        <v>0.27533625299140341</v>
      </c>
      <c r="Y50" s="264">
        <f>IF(Y$17=0,0,Y$17/AGR_fec!Y$17)</f>
        <v>0.27469894235044062</v>
      </c>
      <c r="DA50" s="290"/>
    </row>
    <row r="51" spans="1:105" x14ac:dyDescent="0.25">
      <c r="A51" s="127" t="s">
        <v>167</v>
      </c>
      <c r="B51" s="264">
        <f>IF(B$25=0,0,B$25/AGR_fec!B$25)</f>
        <v>0.23645247454484974</v>
      </c>
      <c r="C51" s="264">
        <f>IF(C$25=0,0,C$25/AGR_fec!C$25)</f>
        <v>0.23645247454484972</v>
      </c>
      <c r="D51" s="264">
        <f>IF(D$25=0,0,D$25/AGR_fec!D$25)</f>
        <v>0.23645247454484966</v>
      </c>
      <c r="E51" s="264">
        <f>IF(E$25=0,0,E$25/AGR_fec!E$25)</f>
        <v>0.23645247454484966</v>
      </c>
      <c r="F51" s="264">
        <f>IF(F$25=0,0,F$25/AGR_fec!F$25)</f>
        <v>0.23645247454484972</v>
      </c>
      <c r="G51" s="264">
        <f>IF(G$25=0,0,G$25/AGR_fec!G$25)</f>
        <v>0.23645247454484974</v>
      </c>
      <c r="H51" s="264">
        <f>IF(H$25=0,0,H$25/AGR_fec!H$25)</f>
        <v>0.23645247454484963</v>
      </c>
      <c r="I51" s="264">
        <f>IF(I$25=0,0,I$25/AGR_fec!I$25)</f>
        <v>0.23645247454484955</v>
      </c>
      <c r="J51" s="264">
        <f>IF(J$25=0,0,J$25/AGR_fec!J$25)</f>
        <v>0.2364524745448498</v>
      </c>
      <c r="K51" s="264">
        <f>IF(K$25=0,0,K$25/AGR_fec!K$25)</f>
        <v>0.23645247454484972</v>
      </c>
      <c r="L51" s="264">
        <f>IF(L$25=0,0,L$25/AGR_fec!L$25)</f>
        <v>0.23645247454484969</v>
      </c>
      <c r="M51" s="264">
        <f>IF(M$25=0,0,M$25/AGR_fec!M$25)</f>
        <v>0.23645247454484969</v>
      </c>
      <c r="N51" s="264">
        <f>IF(N$25=0,0,N$25/AGR_fec!N$25)</f>
        <v>0.23645247454484977</v>
      </c>
      <c r="O51" s="264">
        <f>IF(O$25=0,0,O$25/AGR_fec!O$25)</f>
        <v>0.23645247454484969</v>
      </c>
      <c r="P51" s="264">
        <f>IF(P$25=0,0,P$25/AGR_fec!P$25)</f>
        <v>0.23645247454484966</v>
      </c>
      <c r="Q51" s="264">
        <f>IF(Q$25=0,0,Q$25/AGR_fec!Q$25)</f>
        <v>0.23645247454484955</v>
      </c>
      <c r="R51" s="264">
        <f>IF(R$25=0,0,R$25/AGR_fec!R$25)</f>
        <v>0.23645247454484966</v>
      </c>
      <c r="S51" s="264">
        <f>IF(S$25=0,0,S$25/AGR_fec!S$25)</f>
        <v>0.23645247454484966</v>
      </c>
      <c r="T51" s="264">
        <f>IF(T$25=0,0,T$25/AGR_fec!T$25)</f>
        <v>0.23645247454484969</v>
      </c>
      <c r="U51" s="264">
        <f>IF(U$25=0,0,U$25/AGR_fec!U$25)</f>
        <v>0.23645247454484963</v>
      </c>
      <c r="V51" s="264">
        <f>IF(V$25=0,0,V$25/AGR_fec!V$25)</f>
        <v>0.23645247454484972</v>
      </c>
      <c r="W51" s="264">
        <f>IF(W$25=0,0,W$25/AGR_fec!W$25)</f>
        <v>0.23645247454484972</v>
      </c>
      <c r="X51" s="264">
        <f>IF(X$25=0,0,X$25/AGR_fec!X$25)</f>
        <v>0.23645247454484969</v>
      </c>
      <c r="Y51" s="264">
        <f>IF(Y$25=0,0,Y$25/AGR_fec!Y$25)</f>
        <v>0.23645247454484969</v>
      </c>
      <c r="DA51" s="290"/>
    </row>
    <row r="52" spans="1:105" x14ac:dyDescent="0.25">
      <c r="A52" s="127" t="s">
        <v>170</v>
      </c>
      <c r="B52" s="264">
        <f>IF(B$26=0,0,B$26/AGR_fec!B$26)</f>
        <v>0.46809774491530431</v>
      </c>
      <c r="C52" s="264">
        <f>IF(C$26=0,0,C$26/AGR_fec!C$26)</f>
        <v>0.46809774491530448</v>
      </c>
      <c r="D52" s="264">
        <f>IF(D$26=0,0,D$26/AGR_fec!D$26)</f>
        <v>0.46809774491530443</v>
      </c>
      <c r="E52" s="264">
        <f>IF(E$26=0,0,E$26/AGR_fec!E$26)</f>
        <v>0.46809774491530437</v>
      </c>
      <c r="F52" s="264">
        <f>IF(F$26=0,0,F$26/AGR_fec!F$26)</f>
        <v>0.46809774491530443</v>
      </c>
      <c r="G52" s="264">
        <f>IF(G$26=0,0,G$26/AGR_fec!G$26)</f>
        <v>0.46809774491530454</v>
      </c>
      <c r="H52" s="264">
        <f>IF(H$26=0,0,H$26/AGR_fec!H$26)</f>
        <v>0.46809774491530437</v>
      </c>
      <c r="I52" s="264">
        <f>IF(I$26=0,0,I$26/AGR_fec!I$26)</f>
        <v>0.46809774491530454</v>
      </c>
      <c r="J52" s="264">
        <f>IF(J$26=0,0,J$26/AGR_fec!J$26)</f>
        <v>0.46809774491530443</v>
      </c>
      <c r="K52" s="264">
        <f>IF(K$26=0,0,K$26/AGR_fec!K$26)</f>
        <v>0.46809774491530448</v>
      </c>
      <c r="L52" s="264">
        <f>IF(L$26=0,0,L$26/AGR_fec!L$26)</f>
        <v>0.46809774491530437</v>
      </c>
      <c r="M52" s="264">
        <f>IF(M$26=0,0,M$26/AGR_fec!M$26)</f>
        <v>0.46809774491530426</v>
      </c>
      <c r="N52" s="264">
        <f>IF(N$26=0,0,N$26/AGR_fec!N$26)</f>
        <v>0.46809774491530437</v>
      </c>
      <c r="O52" s="264">
        <f>IF(O$26=0,0,O$26/AGR_fec!O$26)</f>
        <v>0.46809774491530454</v>
      </c>
      <c r="P52" s="264">
        <f>IF(P$26=0,0,P$26/AGR_fec!P$26)</f>
        <v>0.4680977449153042</v>
      </c>
      <c r="Q52" s="264">
        <f>IF(Q$26=0,0,Q$26/AGR_fec!Q$26)</f>
        <v>0.46809774491530443</v>
      </c>
      <c r="R52" s="264">
        <f>IF(R$26=0,0,R$26/AGR_fec!R$26)</f>
        <v>0.46809774491530431</v>
      </c>
      <c r="S52" s="264">
        <f>IF(S$26=0,0,S$26/AGR_fec!S$26)</f>
        <v>0.46809774491530431</v>
      </c>
      <c r="T52" s="264">
        <f>IF(T$26=0,0,T$26/AGR_fec!T$26)</f>
        <v>0.46809774491530443</v>
      </c>
      <c r="U52" s="264">
        <f>IF(U$26=0,0,U$26/AGR_fec!U$26)</f>
        <v>0.4680977449153042</v>
      </c>
      <c r="V52" s="264">
        <f>IF(V$26=0,0,V$26/AGR_fec!V$26)</f>
        <v>0.46809774491530443</v>
      </c>
      <c r="W52" s="264">
        <f>IF(W$26=0,0,W$26/AGR_fec!W$26)</f>
        <v>0.46809774491530431</v>
      </c>
      <c r="X52" s="264">
        <f>IF(X$26=0,0,X$26/AGR_fec!X$26)</f>
        <v>0.46809774491530437</v>
      </c>
      <c r="Y52" s="264">
        <f>IF(Y$26=0,0,Y$26/AGR_fec!Y$26)</f>
        <v>0.46809774491530448</v>
      </c>
      <c r="DA52" s="290"/>
    </row>
    <row r="53" spans="1:105" x14ac:dyDescent="0.25">
      <c r="A53" s="260" t="s">
        <v>33</v>
      </c>
      <c r="B53" s="265">
        <f>IF(B$27=0,0,B$27/AGR_fec!B$27)</f>
        <v>0.49200777372716492</v>
      </c>
      <c r="C53" s="265">
        <f>IF(C$27=0,0,C$27/AGR_fec!C$27)</f>
        <v>0.49200777372716514</v>
      </c>
      <c r="D53" s="265">
        <f>IF(D$27=0,0,D$27/AGR_fec!D$27)</f>
        <v>0.49200777372716487</v>
      </c>
      <c r="E53" s="265">
        <f>IF(E$27=0,0,E$27/AGR_fec!E$27)</f>
        <v>0.49200777372716498</v>
      </c>
      <c r="F53" s="265">
        <f>IF(F$27=0,0,F$27/AGR_fec!F$27)</f>
        <v>0.49200777372716498</v>
      </c>
      <c r="G53" s="265">
        <f>IF(G$27=0,0,G$27/AGR_fec!G$27)</f>
        <v>0.49200777372716492</v>
      </c>
      <c r="H53" s="265">
        <f>IF(H$27=0,0,H$27/AGR_fec!H$27)</f>
        <v>0.49200777372716487</v>
      </c>
      <c r="I53" s="265">
        <f>IF(I$27=0,0,I$27/AGR_fec!I$27)</f>
        <v>0.49200777372716492</v>
      </c>
      <c r="J53" s="265">
        <f>IF(J$27=0,0,J$27/AGR_fec!J$27)</f>
        <v>0.49200777372716492</v>
      </c>
      <c r="K53" s="265">
        <f>IF(K$27=0,0,K$27/AGR_fec!K$27)</f>
        <v>0.49200777372716487</v>
      </c>
      <c r="L53" s="265">
        <f>IF(L$27=0,0,L$27/AGR_fec!L$27)</f>
        <v>0.49200777372716498</v>
      </c>
      <c r="M53" s="265">
        <f>IF(M$27=0,0,M$27/AGR_fec!M$27)</f>
        <v>0.49200777372716509</v>
      </c>
      <c r="N53" s="265">
        <f>IF(N$27=0,0,N$27/AGR_fec!N$27)</f>
        <v>0.49200777372716487</v>
      </c>
      <c r="O53" s="265">
        <f>IF(O$27=0,0,O$27/AGR_fec!O$27)</f>
        <v>0.49200777372716498</v>
      </c>
      <c r="P53" s="265">
        <f>IF(P$27=0,0,P$27/AGR_fec!P$27)</f>
        <v>0.49200777372716487</v>
      </c>
      <c r="Q53" s="265">
        <f>IF(Q$27=0,0,Q$27/AGR_fec!Q$27)</f>
        <v>0.49200777372716487</v>
      </c>
      <c r="R53" s="265">
        <f>IF(R$27=0,0,R$27/AGR_fec!R$27)</f>
        <v>0.49200777372716509</v>
      </c>
      <c r="S53" s="265">
        <f>IF(S$27=0,0,S$27/AGR_fec!S$27)</f>
        <v>0.49200777372716514</v>
      </c>
      <c r="T53" s="265">
        <f>IF(T$27=0,0,T$27/AGR_fec!T$27)</f>
        <v>0.49200777372716509</v>
      </c>
      <c r="U53" s="265">
        <f>IF(U$27=0,0,U$27/AGR_fec!U$27)</f>
        <v>0.49200777372716487</v>
      </c>
      <c r="V53" s="265">
        <f>IF(V$27=0,0,V$27/AGR_fec!V$27)</f>
        <v>0.49200777372716492</v>
      </c>
      <c r="W53" s="265">
        <f>IF(W$27=0,0,W$27/AGR_fec!W$27)</f>
        <v>0.49200777372716503</v>
      </c>
      <c r="X53" s="265">
        <f>IF(X$27=0,0,X$27/AGR_fec!X$27)</f>
        <v>0.49200777372716492</v>
      </c>
      <c r="Y53" s="265">
        <f>IF(Y$27=0,0,Y$27/AGR_fec!Y$27)</f>
        <v>0.49200777372716475</v>
      </c>
      <c r="DA53" s="291"/>
    </row>
  </sheetData>
  <pageMargins left="0.39370078740157483" right="0.39370078740157483" top="0.39370078740157483" bottom="0.39370078740157483" header="0.31496062992125984" footer="0.31496062992125984"/>
  <pageSetup paperSize="9" scale="68" orientation="landscape" horizontalDpi="1200" verticalDpi="1200" r:id="rId1"/>
  <headerFooter alignWithMargins="0"/>
  <ignoredErrors>
    <ignoredError sqref="B5:Y5 B9:Y9 B17:Y17" formulaRange="1"/>
  </ignoredErrors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9">
    <tabColor theme="2" tint="-0.499984740745262"/>
    <pageSetUpPr fitToPage="1"/>
  </sheetPr>
  <dimension ref="A1:DA53"/>
  <sheetViews>
    <sheetView showGridLines="0" zoomScaleNormal="100" workbookViewId="0">
      <pane xSplit="1" ySplit="1" topLeftCell="E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1.25" x14ac:dyDescent="0.25"/>
  <cols>
    <col min="1" max="1" width="50.7109375" style="1" customWidth="1"/>
    <col min="2" max="25" width="9.7109375" style="1" customWidth="1"/>
    <col min="26" max="103" width="9.140625" style="1" hidden="1" customWidth="1"/>
    <col min="104" max="104" width="2.7109375" style="1" customWidth="1"/>
    <col min="105" max="105" width="9.7109375" style="118" customWidth="1"/>
    <col min="106" max="16384" width="9.140625" style="1"/>
  </cols>
  <sheetData>
    <row r="1" spans="1:105" ht="12.75" x14ac:dyDescent="0.25">
      <c r="A1" s="28" t="s">
        <v>1036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X1" s="27">
        <v>2022</v>
      </c>
      <c r="Y1" s="27">
        <v>2023</v>
      </c>
      <c r="DA1" s="87" t="s">
        <v>150</v>
      </c>
    </row>
    <row r="3" spans="1:105" ht="12.75" x14ac:dyDescent="0.25">
      <c r="A3" s="232" t="s">
        <v>136</v>
      </c>
      <c r="B3" s="231"/>
      <c r="C3" s="231"/>
      <c r="D3" s="231"/>
      <c r="E3" s="231"/>
      <c r="F3" s="231"/>
      <c r="G3" s="231"/>
      <c r="H3" s="231"/>
      <c r="I3" s="231"/>
      <c r="J3" s="231"/>
      <c r="K3" s="231"/>
      <c r="L3" s="231"/>
      <c r="M3" s="231"/>
      <c r="N3" s="231"/>
      <c r="O3" s="231"/>
      <c r="P3" s="231"/>
      <c r="Q3" s="231"/>
      <c r="R3" s="231"/>
      <c r="S3" s="231"/>
      <c r="T3" s="231"/>
      <c r="U3" s="231"/>
      <c r="V3" s="231"/>
      <c r="W3" s="231"/>
      <c r="X3" s="231"/>
      <c r="Y3" s="231"/>
      <c r="DA3" s="266"/>
    </row>
    <row r="5" spans="1:105" ht="12.75" x14ac:dyDescent="0.25">
      <c r="A5" s="233" t="s">
        <v>126</v>
      </c>
      <c r="B5" s="80">
        <f>SUM(B6:B9,B16:B17,B25:B27)</f>
        <v>974.98938671786004</v>
      </c>
      <c r="C5" s="80">
        <f t="shared" ref="C5:W5" si="0">SUM(C6:C9,C16:C17,C25:C27)</f>
        <v>678.31751854899744</v>
      </c>
      <c r="D5" s="80">
        <f t="shared" si="0"/>
        <v>605.22043544626615</v>
      </c>
      <c r="E5" s="80">
        <f t="shared" si="0"/>
        <v>501.03370033957191</v>
      </c>
      <c r="F5" s="80">
        <f t="shared" si="0"/>
        <v>601.60759657924996</v>
      </c>
      <c r="G5" s="80">
        <f t="shared" si="0"/>
        <v>643.91799580682061</v>
      </c>
      <c r="H5" s="80">
        <f t="shared" si="0"/>
        <v>642.35987825054542</v>
      </c>
      <c r="I5" s="80">
        <f t="shared" si="0"/>
        <v>481.30252079866602</v>
      </c>
      <c r="J5" s="80">
        <f t="shared" si="0"/>
        <v>633.44047259722106</v>
      </c>
      <c r="K5" s="80">
        <f t="shared" si="0"/>
        <v>897.35260703873337</v>
      </c>
      <c r="L5" s="80">
        <f t="shared" si="0"/>
        <v>904.89686699822539</v>
      </c>
      <c r="M5" s="80">
        <f t="shared" si="0"/>
        <v>1015.3866791980453</v>
      </c>
      <c r="N5" s="80">
        <f t="shared" si="0"/>
        <v>1153.8111640783147</v>
      </c>
      <c r="O5" s="80">
        <f t="shared" si="0"/>
        <v>989.34185675834647</v>
      </c>
      <c r="P5" s="80">
        <f t="shared" si="0"/>
        <v>954.20150268137377</v>
      </c>
      <c r="Q5" s="80">
        <f t="shared" si="0"/>
        <v>1054.1683909180333</v>
      </c>
      <c r="R5" s="80">
        <f t="shared" si="0"/>
        <v>1106.6645357985135</v>
      </c>
      <c r="S5" s="80">
        <f t="shared" si="0"/>
        <v>1218.9522215794709</v>
      </c>
      <c r="T5" s="80">
        <f t="shared" si="0"/>
        <v>1452.0725386348754</v>
      </c>
      <c r="U5" s="80">
        <f t="shared" si="0"/>
        <v>1410.6604508579128</v>
      </c>
      <c r="V5" s="80">
        <f t="shared" si="0"/>
        <v>1385.242018506922</v>
      </c>
      <c r="W5" s="80">
        <f t="shared" si="0"/>
        <v>1506.5709716484866</v>
      </c>
      <c r="X5" s="80">
        <f t="shared" ref="X5:Y5" si="1">SUM(X6:X9,X16:X17,X25:X27)</f>
        <v>1496.963865420503</v>
      </c>
      <c r="Y5" s="80">
        <f t="shared" si="1"/>
        <v>1475.5890173169473</v>
      </c>
      <c r="DA5" s="103"/>
    </row>
    <row r="6" spans="1:105" x14ac:dyDescent="0.25">
      <c r="A6" s="238" t="s">
        <v>125</v>
      </c>
      <c r="B6" s="239">
        <v>0</v>
      </c>
      <c r="C6" s="239">
        <v>0</v>
      </c>
      <c r="D6" s="239">
        <v>0</v>
      </c>
      <c r="E6" s="239">
        <v>0</v>
      </c>
      <c r="F6" s="239">
        <v>0</v>
      </c>
      <c r="G6" s="239">
        <v>0</v>
      </c>
      <c r="H6" s="239">
        <v>0</v>
      </c>
      <c r="I6" s="239">
        <v>0</v>
      </c>
      <c r="J6" s="239">
        <v>0</v>
      </c>
      <c r="K6" s="239">
        <v>0</v>
      </c>
      <c r="L6" s="239">
        <v>0</v>
      </c>
      <c r="M6" s="239">
        <v>0</v>
      </c>
      <c r="N6" s="239">
        <v>0</v>
      </c>
      <c r="O6" s="239">
        <v>0</v>
      </c>
      <c r="P6" s="239">
        <v>0</v>
      </c>
      <c r="Q6" s="239">
        <v>0</v>
      </c>
      <c r="R6" s="239">
        <v>0</v>
      </c>
      <c r="S6" s="239">
        <v>0</v>
      </c>
      <c r="T6" s="239">
        <v>0</v>
      </c>
      <c r="U6" s="239">
        <v>0</v>
      </c>
      <c r="V6" s="239">
        <v>0</v>
      </c>
      <c r="W6" s="239">
        <v>0</v>
      </c>
      <c r="X6" s="239">
        <v>0</v>
      </c>
      <c r="Y6" s="239">
        <v>0</v>
      </c>
      <c r="DA6" s="267" t="s">
        <v>1037</v>
      </c>
    </row>
    <row r="7" spans="1:105" x14ac:dyDescent="0.25">
      <c r="A7" s="240" t="s">
        <v>124</v>
      </c>
      <c r="B7" s="241">
        <v>0</v>
      </c>
      <c r="C7" s="241">
        <v>0</v>
      </c>
      <c r="D7" s="241">
        <v>0</v>
      </c>
      <c r="E7" s="241">
        <v>0</v>
      </c>
      <c r="F7" s="241">
        <v>0</v>
      </c>
      <c r="G7" s="241">
        <v>0</v>
      </c>
      <c r="H7" s="241">
        <v>0</v>
      </c>
      <c r="I7" s="241">
        <v>0</v>
      </c>
      <c r="J7" s="241">
        <v>0</v>
      </c>
      <c r="K7" s="241">
        <v>0</v>
      </c>
      <c r="L7" s="241">
        <v>0</v>
      </c>
      <c r="M7" s="241">
        <v>0</v>
      </c>
      <c r="N7" s="241">
        <v>0</v>
      </c>
      <c r="O7" s="241">
        <v>0</v>
      </c>
      <c r="P7" s="241">
        <v>0</v>
      </c>
      <c r="Q7" s="241">
        <v>0</v>
      </c>
      <c r="R7" s="241">
        <v>0</v>
      </c>
      <c r="S7" s="241">
        <v>0</v>
      </c>
      <c r="T7" s="241">
        <v>0</v>
      </c>
      <c r="U7" s="241">
        <v>0</v>
      </c>
      <c r="V7" s="241">
        <v>0</v>
      </c>
      <c r="W7" s="241">
        <v>0</v>
      </c>
      <c r="X7" s="241">
        <v>0</v>
      </c>
      <c r="Y7" s="241">
        <v>0</v>
      </c>
      <c r="DA7" s="268" t="s">
        <v>1038</v>
      </c>
    </row>
    <row r="8" spans="1:105" x14ac:dyDescent="0.25">
      <c r="A8" s="240" t="s">
        <v>123</v>
      </c>
      <c r="B8" s="241">
        <v>0</v>
      </c>
      <c r="C8" s="241">
        <v>0</v>
      </c>
      <c r="D8" s="241">
        <v>0</v>
      </c>
      <c r="E8" s="241">
        <v>0</v>
      </c>
      <c r="F8" s="241">
        <v>0</v>
      </c>
      <c r="G8" s="241">
        <v>0</v>
      </c>
      <c r="H8" s="241">
        <v>0</v>
      </c>
      <c r="I8" s="241">
        <v>0</v>
      </c>
      <c r="J8" s="241">
        <v>0</v>
      </c>
      <c r="K8" s="241">
        <v>0</v>
      </c>
      <c r="L8" s="241">
        <v>0</v>
      </c>
      <c r="M8" s="241">
        <v>0</v>
      </c>
      <c r="N8" s="241">
        <v>0</v>
      </c>
      <c r="O8" s="241">
        <v>0</v>
      </c>
      <c r="P8" s="241">
        <v>0</v>
      </c>
      <c r="Q8" s="241">
        <v>0</v>
      </c>
      <c r="R8" s="241">
        <v>0</v>
      </c>
      <c r="S8" s="241">
        <v>0</v>
      </c>
      <c r="T8" s="241">
        <v>0</v>
      </c>
      <c r="U8" s="241">
        <v>0</v>
      </c>
      <c r="V8" s="241">
        <v>0</v>
      </c>
      <c r="W8" s="241">
        <v>0</v>
      </c>
      <c r="X8" s="241">
        <v>0</v>
      </c>
      <c r="Y8" s="241">
        <v>0</v>
      </c>
      <c r="DA8" s="268" t="s">
        <v>1039</v>
      </c>
    </row>
    <row r="9" spans="1:105" x14ac:dyDescent="0.25">
      <c r="A9" s="242" t="s">
        <v>122</v>
      </c>
      <c r="B9" s="243">
        <f>SUM(B10:B15)</f>
        <v>121.20710167473285</v>
      </c>
      <c r="C9" s="243">
        <f t="shared" ref="C9:W9" si="2">SUM(C10:C15)</f>
        <v>72.920091895227884</v>
      </c>
      <c r="D9" s="243">
        <f t="shared" si="2"/>
        <v>72.584199857117767</v>
      </c>
      <c r="E9" s="243">
        <f t="shared" si="2"/>
        <v>47.135527283797288</v>
      </c>
      <c r="F9" s="243">
        <f t="shared" si="2"/>
        <v>80.800236757895163</v>
      </c>
      <c r="G9" s="243">
        <f t="shared" si="2"/>
        <v>86.439740337814996</v>
      </c>
      <c r="H9" s="243">
        <f t="shared" si="2"/>
        <v>97.797888919577233</v>
      </c>
      <c r="I9" s="243">
        <f t="shared" si="2"/>
        <v>77.454199839727835</v>
      </c>
      <c r="J9" s="243">
        <f t="shared" si="2"/>
        <v>98.30756419259005</v>
      </c>
      <c r="K9" s="243">
        <f t="shared" si="2"/>
        <v>156.4078940567623</v>
      </c>
      <c r="L9" s="243">
        <f t="shared" si="2"/>
        <v>157.37603917854386</v>
      </c>
      <c r="M9" s="243">
        <f t="shared" si="2"/>
        <v>170.94236437334243</v>
      </c>
      <c r="N9" s="243">
        <f t="shared" si="2"/>
        <v>201.26761010417189</v>
      </c>
      <c r="O9" s="243">
        <f t="shared" si="2"/>
        <v>174.77317533118961</v>
      </c>
      <c r="P9" s="243">
        <f t="shared" si="2"/>
        <v>161.02200346636357</v>
      </c>
      <c r="Q9" s="243">
        <f t="shared" si="2"/>
        <v>182.76256727772946</v>
      </c>
      <c r="R9" s="243">
        <f t="shared" si="2"/>
        <v>206.43841073950827</v>
      </c>
      <c r="S9" s="243">
        <f t="shared" si="2"/>
        <v>238.03281866741565</v>
      </c>
      <c r="T9" s="243">
        <f t="shared" si="2"/>
        <v>295.43947197634623</v>
      </c>
      <c r="U9" s="243">
        <f t="shared" si="2"/>
        <v>283.38414569198358</v>
      </c>
      <c r="V9" s="243">
        <f t="shared" si="2"/>
        <v>284.20973967238837</v>
      </c>
      <c r="W9" s="243">
        <f t="shared" si="2"/>
        <v>312.40280477707671</v>
      </c>
      <c r="X9" s="243">
        <f t="shared" ref="X9:Y9" si="3">SUM(X10:X15)</f>
        <v>315.52309420900406</v>
      </c>
      <c r="Y9" s="243">
        <f t="shared" si="3"/>
        <v>312.09758870695754</v>
      </c>
      <c r="DA9" s="269"/>
    </row>
    <row r="10" spans="1:105" x14ac:dyDescent="0.25">
      <c r="A10" s="253" t="s">
        <v>166</v>
      </c>
      <c r="B10" s="254">
        <v>107.8888744974994</v>
      </c>
      <c r="C10" s="254">
        <v>64.468804289830373</v>
      </c>
      <c r="D10" s="254">
        <v>54.541934995684556</v>
      </c>
      <c r="E10" s="254">
        <v>36.548595375262032</v>
      </c>
      <c r="F10" s="254">
        <v>56.166896074884249</v>
      </c>
      <c r="G10" s="254">
        <v>53.355329914180473</v>
      </c>
      <c r="H10" s="254">
        <v>73.255030131007828</v>
      </c>
      <c r="I10" s="254">
        <v>56.596701167359683</v>
      </c>
      <c r="J10" s="254">
        <v>52.833625775096962</v>
      </c>
      <c r="K10" s="254">
        <v>101.9034755032597</v>
      </c>
      <c r="L10" s="254">
        <v>97.529503216359572</v>
      </c>
      <c r="M10" s="254">
        <v>128.24649236732341</v>
      </c>
      <c r="N10" s="254">
        <v>147.53181020467289</v>
      </c>
      <c r="O10" s="254">
        <v>124.2751038639379</v>
      </c>
      <c r="P10" s="254">
        <v>118.1102707753485</v>
      </c>
      <c r="Q10" s="254">
        <v>131.57923810657419</v>
      </c>
      <c r="R10" s="254">
        <v>151.9001700040898</v>
      </c>
      <c r="S10" s="254">
        <v>148.65175487172101</v>
      </c>
      <c r="T10" s="254">
        <v>199.17373588253139</v>
      </c>
      <c r="U10" s="254">
        <v>194.6786968298199</v>
      </c>
      <c r="V10" s="254">
        <v>195.7731061294364</v>
      </c>
      <c r="W10" s="254">
        <v>218.27073685079191</v>
      </c>
      <c r="X10" s="254">
        <v>245.66169206041681</v>
      </c>
      <c r="Y10" s="254">
        <v>259.57195537069339</v>
      </c>
      <c r="DA10" s="270" t="s">
        <v>1040</v>
      </c>
    </row>
    <row r="11" spans="1:105" x14ac:dyDescent="0.25">
      <c r="A11" s="253" t="s">
        <v>169</v>
      </c>
      <c r="B11" s="255">
        <v>13.31822717723345</v>
      </c>
      <c r="C11" s="255">
        <v>8.4512876053975159</v>
      </c>
      <c r="D11" s="255">
        <v>18.04226486143321</v>
      </c>
      <c r="E11" s="255">
        <v>10.586931908535259</v>
      </c>
      <c r="F11" s="255">
        <v>24.633340683010911</v>
      </c>
      <c r="G11" s="255">
        <v>33.084410423634523</v>
      </c>
      <c r="H11" s="255">
        <v>24.542858788569401</v>
      </c>
      <c r="I11" s="255">
        <v>20.857498672368159</v>
      </c>
      <c r="J11" s="255">
        <v>45.473938417493088</v>
      </c>
      <c r="K11" s="255">
        <v>54.50441855350261</v>
      </c>
      <c r="L11" s="255">
        <v>59.846535962184298</v>
      </c>
      <c r="M11" s="255">
        <v>42.695872006019009</v>
      </c>
      <c r="N11" s="255">
        <v>53.735799899498993</v>
      </c>
      <c r="O11" s="255">
        <v>50.498071467251712</v>
      </c>
      <c r="P11" s="255">
        <v>42.911732691015082</v>
      </c>
      <c r="Q11" s="255">
        <v>51.183329171155258</v>
      </c>
      <c r="R11" s="255">
        <v>54.538240735418462</v>
      </c>
      <c r="S11" s="255">
        <v>89.381063795694658</v>
      </c>
      <c r="T11" s="255">
        <v>96.265736093814851</v>
      </c>
      <c r="U11" s="255">
        <v>88.705448862163649</v>
      </c>
      <c r="V11" s="255">
        <v>88.436633542951981</v>
      </c>
      <c r="W11" s="255">
        <v>94.132067926284805</v>
      </c>
      <c r="X11" s="255">
        <v>69.861402148587217</v>
      </c>
      <c r="Y11" s="255">
        <v>52.525633336264171</v>
      </c>
      <c r="DA11" s="271" t="s">
        <v>1041</v>
      </c>
    </row>
    <row r="12" spans="1:105" x14ac:dyDescent="0.25">
      <c r="A12" s="253" t="s">
        <v>152</v>
      </c>
      <c r="B12" s="255">
        <v>0</v>
      </c>
      <c r="C12" s="255">
        <v>0</v>
      </c>
      <c r="D12" s="255">
        <v>0</v>
      </c>
      <c r="E12" s="255">
        <v>0</v>
      </c>
      <c r="F12" s="255">
        <v>0</v>
      </c>
      <c r="G12" s="255">
        <v>0</v>
      </c>
      <c r="H12" s="255">
        <v>0</v>
      </c>
      <c r="I12" s="255">
        <v>0</v>
      </c>
      <c r="J12" s="255">
        <v>0</v>
      </c>
      <c r="K12" s="255">
        <v>0</v>
      </c>
      <c r="L12" s="255">
        <v>0</v>
      </c>
      <c r="M12" s="255">
        <v>0</v>
      </c>
      <c r="N12" s="255">
        <v>0</v>
      </c>
      <c r="O12" s="255">
        <v>0</v>
      </c>
      <c r="P12" s="255">
        <v>0</v>
      </c>
      <c r="Q12" s="255">
        <v>0</v>
      </c>
      <c r="R12" s="255">
        <v>0</v>
      </c>
      <c r="S12" s="255">
        <v>0</v>
      </c>
      <c r="T12" s="255">
        <v>0</v>
      </c>
      <c r="U12" s="255">
        <v>0</v>
      </c>
      <c r="V12" s="255">
        <v>0</v>
      </c>
      <c r="W12" s="255">
        <v>0</v>
      </c>
      <c r="X12" s="255">
        <v>0</v>
      </c>
      <c r="Y12" s="255">
        <v>0</v>
      </c>
      <c r="DA12" s="271" t="s">
        <v>1042</v>
      </c>
    </row>
    <row r="13" spans="1:105" x14ac:dyDescent="0.25">
      <c r="A13" s="253" t="s">
        <v>151</v>
      </c>
      <c r="B13" s="255">
        <v>0</v>
      </c>
      <c r="C13" s="255">
        <v>0</v>
      </c>
      <c r="D13" s="255">
        <v>0</v>
      </c>
      <c r="E13" s="255">
        <v>0</v>
      </c>
      <c r="F13" s="255">
        <v>0</v>
      </c>
      <c r="G13" s="255">
        <v>0</v>
      </c>
      <c r="H13" s="255">
        <v>0</v>
      </c>
      <c r="I13" s="255">
        <v>0</v>
      </c>
      <c r="J13" s="255">
        <v>0</v>
      </c>
      <c r="K13" s="255">
        <v>0</v>
      </c>
      <c r="L13" s="255">
        <v>0</v>
      </c>
      <c r="M13" s="255">
        <v>0</v>
      </c>
      <c r="N13" s="255">
        <v>0</v>
      </c>
      <c r="O13" s="255">
        <v>0</v>
      </c>
      <c r="P13" s="255">
        <v>0</v>
      </c>
      <c r="Q13" s="255">
        <v>0</v>
      </c>
      <c r="R13" s="255">
        <v>0</v>
      </c>
      <c r="S13" s="255">
        <v>0</v>
      </c>
      <c r="T13" s="255">
        <v>0</v>
      </c>
      <c r="U13" s="255">
        <v>0</v>
      </c>
      <c r="V13" s="255">
        <v>0</v>
      </c>
      <c r="W13" s="255">
        <v>0</v>
      </c>
      <c r="X13" s="255">
        <v>0</v>
      </c>
      <c r="Y13" s="255">
        <v>0</v>
      </c>
      <c r="DA13" s="271" t="s">
        <v>1043</v>
      </c>
    </row>
    <row r="14" spans="1:105" x14ac:dyDescent="0.25">
      <c r="A14" s="253" t="s">
        <v>162</v>
      </c>
      <c r="B14" s="254">
        <v>0</v>
      </c>
      <c r="C14" s="254">
        <v>0</v>
      </c>
      <c r="D14" s="254">
        <v>0</v>
      </c>
      <c r="E14" s="254">
        <v>0</v>
      </c>
      <c r="F14" s="254">
        <v>0</v>
      </c>
      <c r="G14" s="254">
        <v>0</v>
      </c>
      <c r="H14" s="254">
        <v>0</v>
      </c>
      <c r="I14" s="254">
        <v>0</v>
      </c>
      <c r="J14" s="254">
        <v>0</v>
      </c>
      <c r="K14" s="254">
        <v>0</v>
      </c>
      <c r="L14" s="254">
        <v>0</v>
      </c>
      <c r="M14" s="254">
        <v>0</v>
      </c>
      <c r="N14" s="254">
        <v>0</v>
      </c>
      <c r="O14" s="254">
        <v>0</v>
      </c>
      <c r="P14" s="254">
        <v>0</v>
      </c>
      <c r="Q14" s="254">
        <v>0</v>
      </c>
      <c r="R14" s="254">
        <v>0</v>
      </c>
      <c r="S14" s="254">
        <v>0</v>
      </c>
      <c r="T14" s="254">
        <v>0</v>
      </c>
      <c r="U14" s="254">
        <v>0</v>
      </c>
      <c r="V14" s="254">
        <v>0</v>
      </c>
      <c r="W14" s="254">
        <v>0</v>
      </c>
      <c r="X14" s="254">
        <v>0</v>
      </c>
      <c r="Y14" s="254">
        <v>0</v>
      </c>
      <c r="DA14" s="270" t="s">
        <v>1044</v>
      </c>
    </row>
    <row r="15" spans="1:105" x14ac:dyDescent="0.25">
      <c r="A15" s="253" t="s">
        <v>24</v>
      </c>
      <c r="B15" s="255">
        <v>0</v>
      </c>
      <c r="C15" s="255">
        <v>0</v>
      </c>
      <c r="D15" s="255">
        <v>0</v>
      </c>
      <c r="E15" s="255">
        <v>0</v>
      </c>
      <c r="F15" s="255">
        <v>0</v>
      </c>
      <c r="G15" s="255">
        <v>0</v>
      </c>
      <c r="H15" s="255">
        <v>0</v>
      </c>
      <c r="I15" s="255">
        <v>0</v>
      </c>
      <c r="J15" s="255">
        <v>0</v>
      </c>
      <c r="K15" s="255">
        <v>0</v>
      </c>
      <c r="L15" s="255">
        <v>0</v>
      </c>
      <c r="M15" s="255">
        <v>0</v>
      </c>
      <c r="N15" s="255">
        <v>0</v>
      </c>
      <c r="O15" s="255">
        <v>0</v>
      </c>
      <c r="P15" s="255">
        <v>0</v>
      </c>
      <c r="Q15" s="255">
        <v>0</v>
      </c>
      <c r="R15" s="255">
        <v>0</v>
      </c>
      <c r="S15" s="255">
        <v>0</v>
      </c>
      <c r="T15" s="255">
        <v>0</v>
      </c>
      <c r="U15" s="255">
        <v>0</v>
      </c>
      <c r="V15" s="255">
        <v>0</v>
      </c>
      <c r="W15" s="255">
        <v>0</v>
      </c>
      <c r="X15" s="255">
        <v>0</v>
      </c>
      <c r="Y15" s="255">
        <v>0</v>
      </c>
      <c r="DA15" s="271" t="s">
        <v>1045</v>
      </c>
    </row>
    <row r="16" spans="1:105" x14ac:dyDescent="0.25">
      <c r="A16" s="256" t="s">
        <v>168</v>
      </c>
      <c r="B16" s="257">
        <v>306.80004706523732</v>
      </c>
      <c r="C16" s="257">
        <v>215.90566031803201</v>
      </c>
      <c r="D16" s="257">
        <v>200.57261768485981</v>
      </c>
      <c r="E16" s="257">
        <v>166.4760319672296</v>
      </c>
      <c r="F16" s="257">
        <v>179.48583405720399</v>
      </c>
      <c r="G16" s="257">
        <v>178.7752614775732</v>
      </c>
      <c r="H16" s="257">
        <v>196.93436182690289</v>
      </c>
      <c r="I16" s="257">
        <v>175.6921555341915</v>
      </c>
      <c r="J16" s="257">
        <v>185.0563356238919</v>
      </c>
      <c r="K16" s="257">
        <v>275.118318852377</v>
      </c>
      <c r="L16" s="257">
        <v>279.85829951240851</v>
      </c>
      <c r="M16" s="257">
        <v>327.11748134849142</v>
      </c>
      <c r="N16" s="257">
        <v>375.73638863641781</v>
      </c>
      <c r="O16" s="257">
        <v>339.4389587170449</v>
      </c>
      <c r="P16" s="257">
        <v>309.15129021924139</v>
      </c>
      <c r="Q16" s="257">
        <v>336.53782031569853</v>
      </c>
      <c r="R16" s="257">
        <v>347.24031416973332</v>
      </c>
      <c r="S16" s="257">
        <v>373.90493513562302</v>
      </c>
      <c r="T16" s="257">
        <v>440.11963941941463</v>
      </c>
      <c r="U16" s="257">
        <v>432.20830429435659</v>
      </c>
      <c r="V16" s="257">
        <v>421.42104936379639</v>
      </c>
      <c r="W16" s="257">
        <v>455.11945046786622</v>
      </c>
      <c r="X16" s="257">
        <v>454.58990626811863</v>
      </c>
      <c r="Y16" s="257">
        <v>449.75127014362192</v>
      </c>
      <c r="DA16" s="272" t="s">
        <v>1046</v>
      </c>
    </row>
    <row r="17" spans="1:105" x14ac:dyDescent="0.25">
      <c r="A17" s="256" t="s">
        <v>121</v>
      </c>
      <c r="B17" s="257">
        <f>SUM(B18:B24)</f>
        <v>488.0280521470184</v>
      </c>
      <c r="C17" s="257">
        <f t="shared" ref="C17:W17" si="4">SUM(C18:C24)</f>
        <v>348.00369440718367</v>
      </c>
      <c r="D17" s="257">
        <f t="shared" si="4"/>
        <v>293.52191789906266</v>
      </c>
      <c r="E17" s="257">
        <f t="shared" si="4"/>
        <v>255.43238418053764</v>
      </c>
      <c r="F17" s="257">
        <f t="shared" si="4"/>
        <v>306.83182696443936</v>
      </c>
      <c r="G17" s="257">
        <f t="shared" si="4"/>
        <v>344.34983763461349</v>
      </c>
      <c r="H17" s="257">
        <f t="shared" si="4"/>
        <v>309.78504868217038</v>
      </c>
      <c r="I17" s="257">
        <f t="shared" si="4"/>
        <v>194.39545356870633</v>
      </c>
      <c r="J17" s="257">
        <f t="shared" si="4"/>
        <v>314.51645568195909</v>
      </c>
      <c r="K17" s="257">
        <f t="shared" si="4"/>
        <v>412.96011640164085</v>
      </c>
      <c r="L17" s="257">
        <f t="shared" si="4"/>
        <v>413.8854237937984</v>
      </c>
      <c r="M17" s="257">
        <f t="shared" si="4"/>
        <v>454.46848332789841</v>
      </c>
      <c r="N17" s="257">
        <f t="shared" si="4"/>
        <v>504.60628697742374</v>
      </c>
      <c r="O17" s="257">
        <f t="shared" si="4"/>
        <v>409.90369800162495</v>
      </c>
      <c r="P17" s="257">
        <f t="shared" si="4"/>
        <v>424.62221219824119</v>
      </c>
      <c r="Q17" s="257">
        <f t="shared" si="4"/>
        <v>470.19945653722715</v>
      </c>
      <c r="R17" s="257">
        <f t="shared" si="4"/>
        <v>486.26069071619827</v>
      </c>
      <c r="S17" s="257">
        <f t="shared" si="4"/>
        <v>535.16551846913876</v>
      </c>
      <c r="T17" s="257">
        <f t="shared" si="4"/>
        <v>631.94077068854017</v>
      </c>
      <c r="U17" s="257">
        <f t="shared" si="4"/>
        <v>612.01557329617128</v>
      </c>
      <c r="V17" s="257">
        <f t="shared" si="4"/>
        <v>598.63166282826148</v>
      </c>
      <c r="W17" s="257">
        <f t="shared" si="4"/>
        <v>651.59372115570613</v>
      </c>
      <c r="X17" s="257">
        <f t="shared" ref="X17:Y17" si="5">SUM(X18:X24)</f>
        <v>639.4976260266003</v>
      </c>
      <c r="Y17" s="257">
        <f t="shared" si="5"/>
        <v>627.31670380477351</v>
      </c>
      <c r="DA17" s="272"/>
    </row>
    <row r="18" spans="1:105" x14ac:dyDescent="0.25">
      <c r="A18" s="61" t="s">
        <v>29</v>
      </c>
      <c r="B18" s="55">
        <v>0.93157415999770266</v>
      </c>
      <c r="C18" s="55">
        <v>0.71964947077265484</v>
      </c>
      <c r="D18" s="55">
        <v>13.79342420763758</v>
      </c>
      <c r="E18" s="55">
        <v>19.25915102162239</v>
      </c>
      <c r="F18" s="55">
        <v>78.334985421350908</v>
      </c>
      <c r="G18" s="55">
        <v>55.829814289282382</v>
      </c>
      <c r="H18" s="55">
        <v>27.616136452796152</v>
      </c>
      <c r="I18" s="55">
        <v>22.354727999910089</v>
      </c>
      <c r="J18" s="55">
        <v>37.258007159781897</v>
      </c>
      <c r="K18" s="55">
        <v>39.120773999937327</v>
      </c>
      <c r="L18" s="55">
        <v>35.3948588399183</v>
      </c>
      <c r="M18" s="55">
        <v>35.394858839920254</v>
      </c>
      <c r="N18" s="55">
        <v>1.8627668399968891</v>
      </c>
      <c r="O18" s="55">
        <v>35.394858839927821</v>
      </c>
      <c r="P18" s="55">
        <v>30.737751000053219</v>
      </c>
      <c r="Q18" s="55">
        <v>36.326432999917607</v>
      </c>
      <c r="R18" s="55">
        <v>41.915114999934758</v>
      </c>
      <c r="S18" s="55">
        <v>52.50904714095671</v>
      </c>
      <c r="T18" s="55">
        <v>66.191353396646932</v>
      </c>
      <c r="U18" s="55">
        <v>65.119406179462615</v>
      </c>
      <c r="V18" s="55">
        <v>72.493915988620515</v>
      </c>
      <c r="W18" s="55">
        <v>78.292231810851163</v>
      </c>
      <c r="X18" s="55">
        <v>80.082188822668698</v>
      </c>
      <c r="Y18" s="55">
        <v>65.603033439450073</v>
      </c>
      <c r="DA18" s="101" t="s">
        <v>1047</v>
      </c>
    </row>
    <row r="19" spans="1:105" x14ac:dyDescent="0.25">
      <c r="A19" s="61" t="s">
        <v>27</v>
      </c>
      <c r="B19" s="55">
        <v>2.9846552399926409</v>
      </c>
      <c r="C19" s="55">
        <v>2.9846552399911861</v>
      </c>
      <c r="D19" s="55">
        <v>0</v>
      </c>
      <c r="E19" s="55">
        <v>0</v>
      </c>
      <c r="F19" s="55">
        <v>2.9846552399862691</v>
      </c>
      <c r="G19" s="55">
        <v>3.037356359985151</v>
      </c>
      <c r="H19" s="55">
        <v>12.15056123994575</v>
      </c>
      <c r="I19" s="55">
        <v>12.149425439951131</v>
      </c>
      <c r="J19" s="55">
        <v>100.2336685194133</v>
      </c>
      <c r="K19" s="55">
        <v>97.210396079844259</v>
      </c>
      <c r="L19" s="55">
        <v>69.859877759838767</v>
      </c>
      <c r="M19" s="55">
        <v>51.635512439883669</v>
      </c>
      <c r="N19" s="55">
        <v>15.187008959974641</v>
      </c>
      <c r="O19" s="55">
        <v>24.299078039950459</v>
      </c>
      <c r="P19" s="55">
        <v>15.18700896002629</v>
      </c>
      <c r="Q19" s="55">
        <v>24.299078039944899</v>
      </c>
      <c r="R19" s="55">
        <v>30.37379075995274</v>
      </c>
      <c r="S19" s="55">
        <v>32.92116299995255</v>
      </c>
      <c r="T19" s="55">
        <v>33.343226279952447</v>
      </c>
      <c r="U19" s="55">
        <v>21.755113199971909</v>
      </c>
      <c r="V19" s="55">
        <v>22.675338359968581</v>
      </c>
      <c r="W19" s="55">
        <v>19.792677959965189</v>
      </c>
      <c r="X19" s="55">
        <v>21.168813239965381</v>
      </c>
      <c r="Y19" s="55">
        <v>15.65245979997041</v>
      </c>
      <c r="DA19" s="101" t="s">
        <v>1048</v>
      </c>
    </row>
    <row r="20" spans="1:105" x14ac:dyDescent="0.25">
      <c r="A20" s="61" t="s">
        <v>166</v>
      </c>
      <c r="B20" s="55">
        <v>297.44161116472787</v>
      </c>
      <c r="C20" s="55">
        <v>207.06332274222351</v>
      </c>
      <c r="D20" s="55">
        <v>177.91620659312781</v>
      </c>
      <c r="E20" s="55">
        <v>147.34152682786959</v>
      </c>
      <c r="F20" s="55">
        <v>128.14518962658261</v>
      </c>
      <c r="G20" s="55">
        <v>84.009281889998945</v>
      </c>
      <c r="H20" s="55">
        <v>134.86378849860421</v>
      </c>
      <c r="I20" s="55">
        <v>103.56135000139921</v>
      </c>
      <c r="J20" s="55">
        <v>77.042951140749423</v>
      </c>
      <c r="K20" s="55">
        <v>172.32262791555959</v>
      </c>
      <c r="L20" s="55">
        <v>183.79105203652611</v>
      </c>
      <c r="M20" s="55">
        <v>268.79383541434669</v>
      </c>
      <c r="N20" s="55">
        <v>335.28323879722518</v>
      </c>
      <c r="O20" s="55">
        <v>238.30168670922839</v>
      </c>
      <c r="P20" s="55">
        <v>271.14104908899571</v>
      </c>
      <c r="Q20" s="55">
        <v>275.33393766881647</v>
      </c>
      <c r="R20" s="55">
        <v>295.7091746519331</v>
      </c>
      <c r="S20" s="55">
        <v>273.23152744422458</v>
      </c>
      <c r="T20" s="55">
        <v>348.9455875060828</v>
      </c>
      <c r="U20" s="55">
        <v>346.22023117918337</v>
      </c>
      <c r="V20" s="55">
        <v>335.69440510293992</v>
      </c>
      <c r="W20" s="55">
        <v>371.49899923161348</v>
      </c>
      <c r="X20" s="55">
        <v>408.86418039284558</v>
      </c>
      <c r="Y20" s="55">
        <v>439.61621222189058</v>
      </c>
      <c r="DA20" s="101" t="s">
        <v>1049</v>
      </c>
    </row>
    <row r="21" spans="1:105" x14ac:dyDescent="0.25">
      <c r="A21" s="61" t="s">
        <v>129</v>
      </c>
      <c r="B21" s="55">
        <v>36.839963159909161</v>
      </c>
      <c r="C21" s="55">
        <v>12.279904559963731</v>
      </c>
      <c r="D21" s="55">
        <v>9.2100531599764697</v>
      </c>
      <c r="E21" s="55">
        <v>15.40680263992887</v>
      </c>
      <c r="F21" s="55">
        <v>12.2799045599435</v>
      </c>
      <c r="G21" s="55">
        <v>141.94487951930611</v>
      </c>
      <c r="H21" s="55">
        <v>79.3890172796455</v>
      </c>
      <c r="I21" s="55">
        <v>18.164638799926941</v>
      </c>
      <c r="J21" s="55">
        <v>33.670907279802897</v>
      </c>
      <c r="K21" s="55">
        <v>12.13728695998055</v>
      </c>
      <c r="L21" s="55">
        <v>12.060861119972159</v>
      </c>
      <c r="M21" s="55">
        <v>9.1573286399793687</v>
      </c>
      <c r="N21" s="55">
        <v>30.152402279949641</v>
      </c>
      <c r="O21" s="55">
        <v>15.07632587996925</v>
      </c>
      <c r="P21" s="55">
        <v>9.0456458400156592</v>
      </c>
      <c r="Q21" s="55">
        <v>27.137186999938461</v>
      </c>
      <c r="R21" s="55">
        <v>12.091181039981191</v>
      </c>
      <c r="S21" s="55">
        <v>12.215612159982379</v>
      </c>
      <c r="T21" s="55">
        <v>14.806319399978889</v>
      </c>
      <c r="U21" s="55">
        <v>21.16539539997267</v>
      </c>
      <c r="V21" s="55">
        <v>16.124686919977659</v>
      </c>
      <c r="W21" s="55">
        <v>21.79608155996166</v>
      </c>
      <c r="X21" s="55">
        <v>13.10943131997856</v>
      </c>
      <c r="Y21" s="55">
        <v>17.486543879966941</v>
      </c>
      <c r="DA21" s="101" t="s">
        <v>1050</v>
      </c>
    </row>
    <row r="22" spans="1:105" x14ac:dyDescent="0.25">
      <c r="A22" s="61" t="s">
        <v>169</v>
      </c>
      <c r="B22" s="55">
        <v>36.717362822669912</v>
      </c>
      <c r="C22" s="55">
        <v>27.14416239452148</v>
      </c>
      <c r="D22" s="55">
        <v>58.854005138407032</v>
      </c>
      <c r="E22" s="55">
        <v>42.680018091258702</v>
      </c>
      <c r="F22" s="55">
        <v>56.201149316708957</v>
      </c>
      <c r="G22" s="55">
        <v>52.092219576077269</v>
      </c>
      <c r="H22" s="55">
        <v>45.183831211226043</v>
      </c>
      <c r="I22" s="55">
        <v>38.16531132751895</v>
      </c>
      <c r="J22" s="55">
        <v>66.31092158221162</v>
      </c>
      <c r="K22" s="55">
        <v>92.169031446319124</v>
      </c>
      <c r="L22" s="55">
        <v>112.778774037543</v>
      </c>
      <c r="M22" s="55">
        <v>89.486947993768482</v>
      </c>
      <c r="N22" s="55">
        <v>122.1208701002774</v>
      </c>
      <c r="O22" s="55">
        <v>96.831748532548986</v>
      </c>
      <c r="P22" s="55">
        <v>98.510757309150264</v>
      </c>
      <c r="Q22" s="55">
        <v>107.10282082860969</v>
      </c>
      <c r="R22" s="55">
        <v>106.17142926439649</v>
      </c>
      <c r="S22" s="55">
        <v>164.28816872402251</v>
      </c>
      <c r="T22" s="55">
        <v>168.6542841058791</v>
      </c>
      <c r="U22" s="55">
        <v>157.7554273375807</v>
      </c>
      <c r="V22" s="55">
        <v>151.6433164567548</v>
      </c>
      <c r="W22" s="55">
        <v>160.21373059331469</v>
      </c>
      <c r="X22" s="55">
        <v>116.27301225114201</v>
      </c>
      <c r="Y22" s="55">
        <v>88.958454463495485</v>
      </c>
      <c r="DA22" s="101" t="s">
        <v>1051</v>
      </c>
    </row>
    <row r="23" spans="1:105" x14ac:dyDescent="0.25">
      <c r="A23" s="61" t="s">
        <v>164</v>
      </c>
      <c r="B23" s="55">
        <v>113.1128855997211</v>
      </c>
      <c r="C23" s="55">
        <v>97.811999999711119</v>
      </c>
      <c r="D23" s="55">
        <v>33.748228799913782</v>
      </c>
      <c r="E23" s="55">
        <v>30.744885599858058</v>
      </c>
      <c r="F23" s="55">
        <v>28.885942799867099</v>
      </c>
      <c r="G23" s="55">
        <v>7.4362859999636504</v>
      </c>
      <c r="H23" s="55">
        <v>10.581713999952751</v>
      </c>
      <c r="I23" s="55">
        <v>0</v>
      </c>
      <c r="J23" s="55">
        <v>0</v>
      </c>
      <c r="K23" s="55">
        <v>0</v>
      </c>
      <c r="L23" s="55">
        <v>0</v>
      </c>
      <c r="M23" s="55">
        <v>0</v>
      </c>
      <c r="N23" s="55">
        <v>0</v>
      </c>
      <c r="O23" s="55">
        <v>0</v>
      </c>
      <c r="P23" s="55">
        <v>0</v>
      </c>
      <c r="Q23" s="55">
        <v>0</v>
      </c>
      <c r="R23" s="55">
        <v>0</v>
      </c>
      <c r="S23" s="55">
        <v>0</v>
      </c>
      <c r="T23" s="55">
        <v>0</v>
      </c>
      <c r="U23" s="55">
        <v>0</v>
      </c>
      <c r="V23" s="55">
        <v>0</v>
      </c>
      <c r="W23" s="55">
        <v>0</v>
      </c>
      <c r="X23" s="55">
        <v>0</v>
      </c>
      <c r="Y23" s="55">
        <v>0</v>
      </c>
      <c r="DA23" s="101" t="s">
        <v>1052</v>
      </c>
    </row>
    <row r="24" spans="1:105" x14ac:dyDescent="0.25">
      <c r="A24" s="61" t="s">
        <v>152</v>
      </c>
      <c r="B24" s="55">
        <v>0</v>
      </c>
      <c r="C24" s="55">
        <v>0</v>
      </c>
      <c r="D24" s="55">
        <v>0</v>
      </c>
      <c r="E24" s="55">
        <v>0</v>
      </c>
      <c r="F24" s="55">
        <v>0</v>
      </c>
      <c r="G24" s="55">
        <v>0</v>
      </c>
      <c r="H24" s="55">
        <v>0</v>
      </c>
      <c r="I24" s="55">
        <v>0</v>
      </c>
      <c r="J24" s="55">
        <v>0</v>
      </c>
      <c r="K24" s="55">
        <v>0</v>
      </c>
      <c r="L24" s="55">
        <v>0</v>
      </c>
      <c r="M24" s="55">
        <v>0</v>
      </c>
      <c r="N24" s="55">
        <v>0</v>
      </c>
      <c r="O24" s="55">
        <v>0</v>
      </c>
      <c r="P24" s="55">
        <v>0</v>
      </c>
      <c r="Q24" s="55">
        <v>0</v>
      </c>
      <c r="R24" s="55">
        <v>0</v>
      </c>
      <c r="S24" s="55">
        <v>0</v>
      </c>
      <c r="T24" s="55">
        <v>0</v>
      </c>
      <c r="U24" s="55">
        <v>0</v>
      </c>
      <c r="V24" s="55">
        <v>0</v>
      </c>
      <c r="W24" s="55">
        <v>0</v>
      </c>
      <c r="X24" s="55">
        <v>0</v>
      </c>
      <c r="Y24" s="55">
        <v>0</v>
      </c>
      <c r="DA24" s="101" t="s">
        <v>1053</v>
      </c>
    </row>
    <row r="25" spans="1:105" x14ac:dyDescent="0.25">
      <c r="A25" s="256" t="s">
        <v>167</v>
      </c>
      <c r="B25" s="257">
        <v>58.954185830871452</v>
      </c>
      <c r="C25" s="257">
        <v>41.488071928553808</v>
      </c>
      <c r="D25" s="257">
        <v>38.541700005225877</v>
      </c>
      <c r="E25" s="257">
        <v>31.98975690800733</v>
      </c>
      <c r="F25" s="257">
        <v>34.489698799711562</v>
      </c>
      <c r="G25" s="257">
        <v>34.353156356818872</v>
      </c>
      <c r="H25" s="257">
        <v>37.842578821894897</v>
      </c>
      <c r="I25" s="257">
        <v>33.760711856040352</v>
      </c>
      <c r="J25" s="257">
        <v>35.560117098779948</v>
      </c>
      <c r="K25" s="257">
        <v>52.866277727953303</v>
      </c>
      <c r="L25" s="257">
        <v>53.777104513474661</v>
      </c>
      <c r="M25" s="257">
        <v>62.858350148312987</v>
      </c>
      <c r="N25" s="257">
        <v>72.200878360301303</v>
      </c>
      <c r="O25" s="257">
        <v>65.226024708487074</v>
      </c>
      <c r="P25" s="257">
        <v>59.405996797527671</v>
      </c>
      <c r="Q25" s="257">
        <v>64.668546787378133</v>
      </c>
      <c r="R25" s="257">
        <v>66.725120173073762</v>
      </c>
      <c r="S25" s="257">
        <v>71.848949307293353</v>
      </c>
      <c r="T25" s="257">
        <v>84.572656550574166</v>
      </c>
      <c r="U25" s="257">
        <v>83.052427575401296</v>
      </c>
      <c r="V25" s="257">
        <v>80.979566642475831</v>
      </c>
      <c r="W25" s="257">
        <v>87.454995247837587</v>
      </c>
      <c r="X25" s="257">
        <v>87.353238916780214</v>
      </c>
      <c r="Y25" s="257">
        <v>86.423454661594349</v>
      </c>
      <c r="DA25" s="272" t="s">
        <v>1054</v>
      </c>
    </row>
    <row r="26" spans="1:105" x14ac:dyDescent="0.25">
      <c r="A26" s="256" t="s">
        <v>170</v>
      </c>
      <c r="B26" s="257">
        <v>0</v>
      </c>
      <c r="C26" s="257">
        <v>0</v>
      </c>
      <c r="D26" s="257">
        <v>0</v>
      </c>
      <c r="E26" s="257">
        <v>0</v>
      </c>
      <c r="F26" s="257">
        <v>0</v>
      </c>
      <c r="G26" s="257">
        <v>0</v>
      </c>
      <c r="H26" s="257">
        <v>0</v>
      </c>
      <c r="I26" s="257">
        <v>0</v>
      </c>
      <c r="J26" s="257">
        <v>0</v>
      </c>
      <c r="K26" s="257">
        <v>0</v>
      </c>
      <c r="L26" s="257">
        <v>0</v>
      </c>
      <c r="M26" s="257">
        <v>0</v>
      </c>
      <c r="N26" s="257">
        <v>0</v>
      </c>
      <c r="O26" s="257">
        <v>0</v>
      </c>
      <c r="P26" s="257">
        <v>0</v>
      </c>
      <c r="Q26" s="257">
        <v>0</v>
      </c>
      <c r="R26" s="257">
        <v>0</v>
      </c>
      <c r="S26" s="257">
        <v>0</v>
      </c>
      <c r="T26" s="257">
        <v>0</v>
      </c>
      <c r="U26" s="257">
        <v>0</v>
      </c>
      <c r="V26" s="257">
        <v>0</v>
      </c>
      <c r="W26" s="257">
        <v>0</v>
      </c>
      <c r="X26" s="257">
        <v>0</v>
      </c>
      <c r="Y26" s="257">
        <v>0</v>
      </c>
      <c r="DA26" s="272" t="s">
        <v>1055</v>
      </c>
    </row>
    <row r="27" spans="1:105" x14ac:dyDescent="0.25">
      <c r="A27" s="128" t="s">
        <v>33</v>
      </c>
      <c r="B27" s="258">
        <v>0</v>
      </c>
      <c r="C27" s="258">
        <v>0</v>
      </c>
      <c r="D27" s="258">
        <v>0</v>
      </c>
      <c r="E27" s="258">
        <v>0</v>
      </c>
      <c r="F27" s="258">
        <v>0</v>
      </c>
      <c r="G27" s="258">
        <v>0</v>
      </c>
      <c r="H27" s="258">
        <v>0</v>
      </c>
      <c r="I27" s="258">
        <v>0</v>
      </c>
      <c r="J27" s="258">
        <v>0</v>
      </c>
      <c r="K27" s="258">
        <v>0</v>
      </c>
      <c r="L27" s="258">
        <v>0</v>
      </c>
      <c r="M27" s="258">
        <v>0</v>
      </c>
      <c r="N27" s="258">
        <v>0</v>
      </c>
      <c r="O27" s="258">
        <v>0</v>
      </c>
      <c r="P27" s="258">
        <v>0</v>
      </c>
      <c r="Q27" s="258">
        <v>0</v>
      </c>
      <c r="R27" s="258">
        <v>0</v>
      </c>
      <c r="S27" s="258">
        <v>0</v>
      </c>
      <c r="T27" s="258">
        <v>0</v>
      </c>
      <c r="U27" s="258">
        <v>0</v>
      </c>
      <c r="V27" s="258">
        <v>0</v>
      </c>
      <c r="W27" s="258">
        <v>0</v>
      </c>
      <c r="X27" s="258">
        <v>0</v>
      </c>
      <c r="Y27" s="258">
        <v>0</v>
      </c>
      <c r="DA27" s="273" t="s">
        <v>1056</v>
      </c>
    </row>
    <row r="29" spans="1:105" ht="12.75" x14ac:dyDescent="0.25">
      <c r="A29" s="232" t="s">
        <v>135</v>
      </c>
      <c r="B29" s="231"/>
      <c r="C29" s="231"/>
      <c r="D29" s="231"/>
      <c r="E29" s="231"/>
      <c r="F29" s="231"/>
      <c r="G29" s="231"/>
      <c r="H29" s="231"/>
      <c r="I29" s="231"/>
      <c r="J29" s="231"/>
      <c r="K29" s="231"/>
      <c r="L29" s="231"/>
      <c r="M29" s="231"/>
      <c r="N29" s="231"/>
      <c r="O29" s="231"/>
      <c r="P29" s="231"/>
      <c r="Q29" s="231"/>
      <c r="R29" s="231"/>
      <c r="S29" s="231"/>
      <c r="T29" s="231"/>
      <c r="U29" s="231"/>
      <c r="V29" s="231"/>
      <c r="W29" s="231"/>
      <c r="X29" s="231"/>
      <c r="Y29" s="231"/>
      <c r="DA29" s="266"/>
    </row>
    <row r="31" spans="1:105" x14ac:dyDescent="0.25">
      <c r="A31" s="234" t="s">
        <v>126</v>
      </c>
      <c r="B31" s="235">
        <f t="shared" ref="B31:Q31" si="6">SUM(B32:B40)</f>
        <v>1</v>
      </c>
      <c r="C31" s="235">
        <f t="shared" si="6"/>
        <v>1</v>
      </c>
      <c r="D31" s="235">
        <f t="shared" si="6"/>
        <v>0.99999999999999989</v>
      </c>
      <c r="E31" s="235">
        <f t="shared" si="6"/>
        <v>1</v>
      </c>
      <c r="F31" s="235">
        <f t="shared" si="6"/>
        <v>1.0000000000000002</v>
      </c>
      <c r="G31" s="235">
        <f t="shared" si="6"/>
        <v>1</v>
      </c>
      <c r="H31" s="235">
        <f t="shared" si="6"/>
        <v>0.99999999999999989</v>
      </c>
      <c r="I31" s="235">
        <f t="shared" si="6"/>
        <v>1</v>
      </c>
      <c r="J31" s="235">
        <f t="shared" si="6"/>
        <v>0.99999999999999989</v>
      </c>
      <c r="K31" s="235">
        <f t="shared" si="6"/>
        <v>1</v>
      </c>
      <c r="L31" s="235">
        <f t="shared" si="6"/>
        <v>1</v>
      </c>
      <c r="M31" s="235">
        <f t="shared" si="6"/>
        <v>1</v>
      </c>
      <c r="N31" s="235">
        <f t="shared" si="6"/>
        <v>1</v>
      </c>
      <c r="O31" s="235">
        <f t="shared" si="6"/>
        <v>1</v>
      </c>
      <c r="P31" s="235">
        <f t="shared" si="6"/>
        <v>1</v>
      </c>
      <c r="Q31" s="235">
        <f t="shared" si="6"/>
        <v>1</v>
      </c>
      <c r="R31" s="235">
        <f t="shared" ref="R31:W31" si="7">SUM(R32:R40)</f>
        <v>1.0000000000000002</v>
      </c>
      <c r="S31" s="235">
        <f t="shared" si="7"/>
        <v>0.99999999999999989</v>
      </c>
      <c r="T31" s="235">
        <f t="shared" si="7"/>
        <v>0.99999999999999978</v>
      </c>
      <c r="U31" s="235">
        <f t="shared" si="7"/>
        <v>0.99999999999999989</v>
      </c>
      <c r="V31" s="235">
        <f t="shared" si="7"/>
        <v>1</v>
      </c>
      <c r="W31" s="235">
        <f t="shared" si="7"/>
        <v>1</v>
      </c>
      <c r="X31" s="235">
        <f t="shared" ref="X31:Y31" si="8">SUM(X32:X40)</f>
        <v>1</v>
      </c>
      <c r="Y31" s="235">
        <f t="shared" si="8"/>
        <v>1</v>
      </c>
      <c r="DA31" s="274"/>
    </row>
    <row r="32" spans="1:105" x14ac:dyDescent="0.25">
      <c r="A32" s="238" t="s">
        <v>125</v>
      </c>
      <c r="B32" s="244">
        <f t="shared" ref="B32:Y32" si="9">IF(B$6=0,0,B$6/B$5)</f>
        <v>0</v>
      </c>
      <c r="C32" s="244">
        <f t="shared" si="9"/>
        <v>0</v>
      </c>
      <c r="D32" s="244">
        <f t="shared" si="9"/>
        <v>0</v>
      </c>
      <c r="E32" s="244">
        <f t="shared" si="9"/>
        <v>0</v>
      </c>
      <c r="F32" s="244">
        <f t="shared" si="9"/>
        <v>0</v>
      </c>
      <c r="G32" s="244">
        <f t="shared" si="9"/>
        <v>0</v>
      </c>
      <c r="H32" s="244">
        <f t="shared" si="9"/>
        <v>0</v>
      </c>
      <c r="I32" s="244">
        <f t="shared" si="9"/>
        <v>0</v>
      </c>
      <c r="J32" s="244">
        <f t="shared" si="9"/>
        <v>0</v>
      </c>
      <c r="K32" s="244">
        <f t="shared" si="9"/>
        <v>0</v>
      </c>
      <c r="L32" s="244">
        <f t="shared" si="9"/>
        <v>0</v>
      </c>
      <c r="M32" s="244">
        <f t="shared" si="9"/>
        <v>0</v>
      </c>
      <c r="N32" s="244">
        <f t="shared" si="9"/>
        <v>0</v>
      </c>
      <c r="O32" s="244">
        <f t="shared" si="9"/>
        <v>0</v>
      </c>
      <c r="P32" s="244">
        <f t="shared" si="9"/>
        <v>0</v>
      </c>
      <c r="Q32" s="244">
        <f t="shared" si="9"/>
        <v>0</v>
      </c>
      <c r="R32" s="244">
        <f t="shared" si="9"/>
        <v>0</v>
      </c>
      <c r="S32" s="244">
        <f t="shared" si="9"/>
        <v>0</v>
      </c>
      <c r="T32" s="244">
        <f t="shared" si="9"/>
        <v>0</v>
      </c>
      <c r="U32" s="244">
        <f t="shared" si="9"/>
        <v>0</v>
      </c>
      <c r="V32" s="244">
        <f t="shared" si="9"/>
        <v>0</v>
      </c>
      <c r="W32" s="244">
        <f t="shared" si="9"/>
        <v>0</v>
      </c>
      <c r="X32" s="244">
        <f t="shared" si="9"/>
        <v>0</v>
      </c>
      <c r="Y32" s="244">
        <f t="shared" si="9"/>
        <v>0</v>
      </c>
      <c r="DA32" s="275"/>
    </row>
    <row r="33" spans="1:105" x14ac:dyDescent="0.25">
      <c r="A33" s="240" t="s">
        <v>124</v>
      </c>
      <c r="B33" s="245">
        <f t="shared" ref="B33:Y33" si="10">IF(B$7=0,0,B$7/B$5)</f>
        <v>0</v>
      </c>
      <c r="C33" s="245">
        <f t="shared" si="10"/>
        <v>0</v>
      </c>
      <c r="D33" s="245">
        <f t="shared" si="10"/>
        <v>0</v>
      </c>
      <c r="E33" s="245">
        <f t="shared" si="10"/>
        <v>0</v>
      </c>
      <c r="F33" s="245">
        <f t="shared" si="10"/>
        <v>0</v>
      </c>
      <c r="G33" s="245">
        <f t="shared" si="10"/>
        <v>0</v>
      </c>
      <c r="H33" s="245">
        <f t="shared" si="10"/>
        <v>0</v>
      </c>
      <c r="I33" s="245">
        <f t="shared" si="10"/>
        <v>0</v>
      </c>
      <c r="J33" s="245">
        <f t="shared" si="10"/>
        <v>0</v>
      </c>
      <c r="K33" s="245">
        <f t="shared" si="10"/>
        <v>0</v>
      </c>
      <c r="L33" s="245">
        <f t="shared" si="10"/>
        <v>0</v>
      </c>
      <c r="M33" s="245">
        <f t="shared" si="10"/>
        <v>0</v>
      </c>
      <c r="N33" s="245">
        <f t="shared" si="10"/>
        <v>0</v>
      </c>
      <c r="O33" s="245">
        <f t="shared" si="10"/>
        <v>0</v>
      </c>
      <c r="P33" s="245">
        <f t="shared" si="10"/>
        <v>0</v>
      </c>
      <c r="Q33" s="245">
        <f t="shared" si="10"/>
        <v>0</v>
      </c>
      <c r="R33" s="245">
        <f t="shared" si="10"/>
        <v>0</v>
      </c>
      <c r="S33" s="245">
        <f t="shared" si="10"/>
        <v>0</v>
      </c>
      <c r="T33" s="245">
        <f t="shared" si="10"/>
        <v>0</v>
      </c>
      <c r="U33" s="245">
        <f t="shared" si="10"/>
        <v>0</v>
      </c>
      <c r="V33" s="245">
        <f t="shared" si="10"/>
        <v>0</v>
      </c>
      <c r="W33" s="245">
        <f t="shared" si="10"/>
        <v>0</v>
      </c>
      <c r="X33" s="245">
        <f t="shared" si="10"/>
        <v>0</v>
      </c>
      <c r="Y33" s="245">
        <f t="shared" si="10"/>
        <v>0</v>
      </c>
      <c r="DA33" s="276"/>
    </row>
    <row r="34" spans="1:105" x14ac:dyDescent="0.25">
      <c r="A34" s="240" t="s">
        <v>123</v>
      </c>
      <c r="B34" s="245">
        <f t="shared" ref="B34:Y34" si="11">IF(B$8=0,0,B$8/B$5)</f>
        <v>0</v>
      </c>
      <c r="C34" s="245">
        <f t="shared" si="11"/>
        <v>0</v>
      </c>
      <c r="D34" s="245">
        <f t="shared" si="11"/>
        <v>0</v>
      </c>
      <c r="E34" s="245">
        <f t="shared" si="11"/>
        <v>0</v>
      </c>
      <c r="F34" s="245">
        <f t="shared" si="11"/>
        <v>0</v>
      </c>
      <c r="G34" s="245">
        <f t="shared" si="11"/>
        <v>0</v>
      </c>
      <c r="H34" s="245">
        <f t="shared" si="11"/>
        <v>0</v>
      </c>
      <c r="I34" s="245">
        <f t="shared" si="11"/>
        <v>0</v>
      </c>
      <c r="J34" s="245">
        <f t="shared" si="11"/>
        <v>0</v>
      </c>
      <c r="K34" s="245">
        <f t="shared" si="11"/>
        <v>0</v>
      </c>
      <c r="L34" s="245">
        <f t="shared" si="11"/>
        <v>0</v>
      </c>
      <c r="M34" s="245">
        <f t="shared" si="11"/>
        <v>0</v>
      </c>
      <c r="N34" s="245">
        <f t="shared" si="11"/>
        <v>0</v>
      </c>
      <c r="O34" s="245">
        <f t="shared" si="11"/>
        <v>0</v>
      </c>
      <c r="P34" s="245">
        <f t="shared" si="11"/>
        <v>0</v>
      </c>
      <c r="Q34" s="245">
        <f t="shared" si="11"/>
        <v>0</v>
      </c>
      <c r="R34" s="245">
        <f t="shared" si="11"/>
        <v>0</v>
      </c>
      <c r="S34" s="245">
        <f t="shared" si="11"/>
        <v>0</v>
      </c>
      <c r="T34" s="245">
        <f t="shared" si="11"/>
        <v>0</v>
      </c>
      <c r="U34" s="245">
        <f t="shared" si="11"/>
        <v>0</v>
      </c>
      <c r="V34" s="245">
        <f t="shared" si="11"/>
        <v>0</v>
      </c>
      <c r="W34" s="245">
        <f t="shared" si="11"/>
        <v>0</v>
      </c>
      <c r="X34" s="245">
        <f t="shared" si="11"/>
        <v>0</v>
      </c>
      <c r="Y34" s="245">
        <f t="shared" si="11"/>
        <v>0</v>
      </c>
      <c r="DA34" s="276"/>
    </row>
    <row r="35" spans="1:105" x14ac:dyDescent="0.25">
      <c r="A35" s="242" t="s">
        <v>122</v>
      </c>
      <c r="B35" s="246">
        <f t="shared" ref="B35:Y35" si="12">IF(B$9=0,0,B$9/B$5)</f>
        <v>0.12431632931180558</v>
      </c>
      <c r="C35" s="246">
        <f t="shared" si="12"/>
        <v>0.10750141327797741</v>
      </c>
      <c r="D35" s="246">
        <f t="shared" si="12"/>
        <v>0.11993018676508665</v>
      </c>
      <c r="E35" s="246">
        <f t="shared" si="12"/>
        <v>9.407656062227257E-2</v>
      </c>
      <c r="F35" s="246">
        <f t="shared" si="12"/>
        <v>0.13430720824890935</v>
      </c>
      <c r="G35" s="246">
        <f t="shared" si="12"/>
        <v>0.1342402928644775</v>
      </c>
      <c r="H35" s="246">
        <f t="shared" si="12"/>
        <v>0.15224781657585446</v>
      </c>
      <c r="I35" s="246">
        <f t="shared" si="12"/>
        <v>0.16092622933119385</v>
      </c>
      <c r="J35" s="246">
        <f t="shared" si="12"/>
        <v>0.15519621565939917</v>
      </c>
      <c r="K35" s="246">
        <f t="shared" si="12"/>
        <v>0.17429925854108663</v>
      </c>
      <c r="L35" s="246">
        <f t="shared" si="12"/>
        <v>0.17391599520131004</v>
      </c>
      <c r="M35" s="246">
        <f t="shared" si="12"/>
        <v>0.16835198636676335</v>
      </c>
      <c r="N35" s="246">
        <f t="shared" si="12"/>
        <v>0.17443721847235558</v>
      </c>
      <c r="O35" s="246">
        <f t="shared" si="12"/>
        <v>0.1766560002867433</v>
      </c>
      <c r="P35" s="246">
        <f t="shared" si="12"/>
        <v>0.16875052388188486</v>
      </c>
      <c r="Q35" s="246">
        <f t="shared" si="12"/>
        <v>0.17337132174734324</v>
      </c>
      <c r="R35" s="246">
        <f t="shared" si="12"/>
        <v>0.18654109177769276</v>
      </c>
      <c r="S35" s="246">
        <f t="shared" si="12"/>
        <v>0.19527657807537524</v>
      </c>
      <c r="T35" s="246">
        <f t="shared" si="12"/>
        <v>0.203460546298944</v>
      </c>
      <c r="U35" s="246">
        <f t="shared" si="12"/>
        <v>0.20088756689793036</v>
      </c>
      <c r="V35" s="246">
        <f t="shared" si="12"/>
        <v>0.20516973631706811</v>
      </c>
      <c r="W35" s="246">
        <f t="shared" si="12"/>
        <v>0.2073601646759769</v>
      </c>
      <c r="X35" s="246">
        <f t="shared" si="12"/>
        <v>0.2107753577073635</v>
      </c>
      <c r="Y35" s="246">
        <f t="shared" si="12"/>
        <v>0.21150712362609089</v>
      </c>
      <c r="DA35" s="277"/>
    </row>
    <row r="36" spans="1:105" x14ac:dyDescent="0.25">
      <c r="A36" s="127" t="s">
        <v>168</v>
      </c>
      <c r="B36" s="259">
        <f t="shared" ref="B36:Y36" si="13">IF(B$16=0,0,B$16/B$5)</f>
        <v>0.3146701402545814</v>
      </c>
      <c r="C36" s="259">
        <f t="shared" si="13"/>
        <v>0.31829586353582628</v>
      </c>
      <c r="D36" s="259">
        <f t="shared" si="13"/>
        <v>0.33140423874974628</v>
      </c>
      <c r="E36" s="259">
        <f t="shared" si="13"/>
        <v>0.33226513876092906</v>
      </c>
      <c r="F36" s="259">
        <f t="shared" si="13"/>
        <v>0.29834369625277873</v>
      </c>
      <c r="G36" s="259">
        <f t="shared" si="13"/>
        <v>0.27763669076148462</v>
      </c>
      <c r="H36" s="259">
        <f t="shared" si="13"/>
        <v>0.30657948681858799</v>
      </c>
      <c r="I36" s="259">
        <f t="shared" si="13"/>
        <v>0.36503477115110605</v>
      </c>
      <c r="J36" s="259">
        <f t="shared" si="13"/>
        <v>0.29214479280922373</v>
      </c>
      <c r="K36" s="259">
        <f t="shared" si="13"/>
        <v>0.30658886673352226</v>
      </c>
      <c r="L36" s="259">
        <f t="shared" si="13"/>
        <v>0.30927093431185165</v>
      </c>
      <c r="M36" s="259">
        <f t="shared" si="13"/>
        <v>0.32216050106827238</v>
      </c>
      <c r="N36" s="259">
        <f t="shared" si="13"/>
        <v>0.3256480785888069</v>
      </c>
      <c r="O36" s="259">
        <f t="shared" si="13"/>
        <v>0.34309572206844896</v>
      </c>
      <c r="P36" s="259">
        <f t="shared" si="13"/>
        <v>0.3239895235445599</v>
      </c>
      <c r="Q36" s="259">
        <f t="shared" si="13"/>
        <v>0.31924484097139466</v>
      </c>
      <c r="R36" s="259">
        <f t="shared" si="13"/>
        <v>0.31377197238834637</v>
      </c>
      <c r="S36" s="259">
        <f t="shared" si="13"/>
        <v>0.30674289649444303</v>
      </c>
      <c r="T36" s="259">
        <f t="shared" si="13"/>
        <v>0.30309755725645809</v>
      </c>
      <c r="U36" s="259">
        <f t="shared" si="13"/>
        <v>0.30638719901128803</v>
      </c>
      <c r="V36" s="259">
        <f t="shared" si="13"/>
        <v>0.3042219653559336</v>
      </c>
      <c r="W36" s="259">
        <f t="shared" si="13"/>
        <v>0.30208961876510571</v>
      </c>
      <c r="X36" s="259">
        <f t="shared" si="13"/>
        <v>0.30367460215241904</v>
      </c>
      <c r="Y36" s="259">
        <f t="shared" si="13"/>
        <v>0.30479440065323971</v>
      </c>
      <c r="DA36" s="278"/>
    </row>
    <row r="37" spans="1:105" x14ac:dyDescent="0.25">
      <c r="A37" s="127" t="s">
        <v>121</v>
      </c>
      <c r="B37" s="259">
        <f t="shared" ref="B37:Y37" si="14">IF(B$17=0,0,B$17/B$5)</f>
        <v>0.50054704060921507</v>
      </c>
      <c r="C37" s="259">
        <f t="shared" si="14"/>
        <v>0.51303952041752565</v>
      </c>
      <c r="D37" s="259">
        <f t="shared" si="14"/>
        <v>0.48498348817754466</v>
      </c>
      <c r="E37" s="259">
        <f t="shared" si="14"/>
        <v>0.5098107851975231</v>
      </c>
      <c r="F37" s="259">
        <f t="shared" si="14"/>
        <v>0.51001986794895848</v>
      </c>
      <c r="G37" s="259">
        <f t="shared" si="14"/>
        <v>0.53477281249633002</v>
      </c>
      <c r="H37" s="259">
        <f t="shared" si="14"/>
        <v>0.48226089326416821</v>
      </c>
      <c r="I37" s="259">
        <f t="shared" si="14"/>
        <v>0.40389452614154087</v>
      </c>
      <c r="J37" s="259">
        <f t="shared" si="14"/>
        <v>0.4965209349386604</v>
      </c>
      <c r="K37" s="259">
        <f t="shared" si="14"/>
        <v>0.46019826895517763</v>
      </c>
      <c r="L37" s="259">
        <f t="shared" si="14"/>
        <v>0.45738408307983464</v>
      </c>
      <c r="M37" s="259">
        <f t="shared" si="14"/>
        <v>0.44758168748760685</v>
      </c>
      <c r="N37" s="259">
        <f t="shared" si="14"/>
        <v>0.43733871077639674</v>
      </c>
      <c r="O37" s="259">
        <f t="shared" si="14"/>
        <v>0.41431957538388747</v>
      </c>
      <c r="P37" s="259">
        <f t="shared" si="14"/>
        <v>0.44500266558480855</v>
      </c>
      <c r="Q37" s="259">
        <f t="shared" si="14"/>
        <v>0.44603828058982981</v>
      </c>
      <c r="R37" s="259">
        <f t="shared" si="14"/>
        <v>0.43939303645014433</v>
      </c>
      <c r="S37" s="259">
        <f t="shared" si="14"/>
        <v>0.43903732155776548</v>
      </c>
      <c r="T37" s="259">
        <f t="shared" si="14"/>
        <v>0.43519917488601584</v>
      </c>
      <c r="U37" s="259">
        <f t="shared" si="14"/>
        <v>0.43385038045403873</v>
      </c>
      <c r="V37" s="259">
        <f t="shared" si="14"/>
        <v>0.4321495123815941</v>
      </c>
      <c r="W37" s="259">
        <f t="shared" si="14"/>
        <v>0.43250117878133132</v>
      </c>
      <c r="X37" s="259">
        <f t="shared" si="14"/>
        <v>0.42719643459594325</v>
      </c>
      <c r="Y37" s="259">
        <f t="shared" si="14"/>
        <v>0.42512969156236935</v>
      </c>
      <c r="DA37" s="278"/>
    </row>
    <row r="38" spans="1:105" x14ac:dyDescent="0.25">
      <c r="A38" s="127" t="s">
        <v>167</v>
      </c>
      <c r="B38" s="259">
        <f t="shared" ref="B38:Y38" si="15">IF(B$25=0,0,B$25/B$5)</f>
        <v>6.0466489824397916E-2</v>
      </c>
      <c r="C38" s="259">
        <f t="shared" si="15"/>
        <v>6.1163202768670592E-2</v>
      </c>
      <c r="D38" s="259">
        <f t="shared" si="15"/>
        <v>6.3682086307622315E-2</v>
      </c>
      <c r="E38" s="259">
        <f t="shared" si="15"/>
        <v>6.3847515419275205E-2</v>
      </c>
      <c r="F38" s="259">
        <f t="shared" si="15"/>
        <v>5.7329227549353629E-2</v>
      </c>
      <c r="G38" s="259">
        <f t="shared" si="15"/>
        <v>5.3350203877707794E-2</v>
      </c>
      <c r="H38" s="259">
        <f t="shared" si="15"/>
        <v>5.8911803341389284E-2</v>
      </c>
      <c r="I38" s="259">
        <f t="shared" si="15"/>
        <v>7.0144473376159228E-2</v>
      </c>
      <c r="J38" s="259">
        <f t="shared" si="15"/>
        <v>5.6138056592716604E-2</v>
      </c>
      <c r="K38" s="259">
        <f t="shared" si="15"/>
        <v>5.891360577021356E-2</v>
      </c>
      <c r="L38" s="259">
        <f t="shared" si="15"/>
        <v>5.9428987407003725E-2</v>
      </c>
      <c r="M38" s="259">
        <f t="shared" si="15"/>
        <v>6.1905825077357382E-2</v>
      </c>
      <c r="N38" s="259">
        <f t="shared" si="15"/>
        <v>6.257599216244078E-2</v>
      </c>
      <c r="O38" s="259">
        <f t="shared" si="15"/>
        <v>6.5928702260920291E-2</v>
      </c>
      <c r="P38" s="259">
        <f t="shared" si="15"/>
        <v>6.2257286988746732E-2</v>
      </c>
      <c r="Q38" s="259">
        <f t="shared" si="15"/>
        <v>6.1345556691432254E-2</v>
      </c>
      <c r="R38" s="259">
        <f t="shared" si="15"/>
        <v>6.0293899383816678E-2</v>
      </c>
      <c r="S38" s="259">
        <f t="shared" si="15"/>
        <v>5.894320387241616E-2</v>
      </c>
      <c r="T38" s="259">
        <f t="shared" si="15"/>
        <v>5.8242721558581872E-2</v>
      </c>
      <c r="U38" s="259">
        <f t="shared" si="15"/>
        <v>5.8874853636742851E-2</v>
      </c>
      <c r="V38" s="259">
        <f t="shared" si="15"/>
        <v>5.8458785945404226E-2</v>
      </c>
      <c r="W38" s="259">
        <f t="shared" si="15"/>
        <v>5.8049037777586091E-2</v>
      </c>
      <c r="X38" s="259">
        <f t="shared" si="15"/>
        <v>5.8353605544274344E-2</v>
      </c>
      <c r="Y38" s="259">
        <f t="shared" si="15"/>
        <v>5.8568784158300038E-2</v>
      </c>
      <c r="DA38" s="278"/>
    </row>
    <row r="39" spans="1:105" x14ac:dyDescent="0.25">
      <c r="A39" s="127" t="s">
        <v>170</v>
      </c>
      <c r="B39" s="259">
        <f t="shared" ref="B39:Y39" si="16">IF(B$26=0,0,B$26/B$5)</f>
        <v>0</v>
      </c>
      <c r="C39" s="259">
        <f t="shared" si="16"/>
        <v>0</v>
      </c>
      <c r="D39" s="259">
        <f t="shared" si="16"/>
        <v>0</v>
      </c>
      <c r="E39" s="259">
        <f t="shared" si="16"/>
        <v>0</v>
      </c>
      <c r="F39" s="259">
        <f t="shared" si="16"/>
        <v>0</v>
      </c>
      <c r="G39" s="259">
        <f t="shared" si="16"/>
        <v>0</v>
      </c>
      <c r="H39" s="259">
        <f t="shared" si="16"/>
        <v>0</v>
      </c>
      <c r="I39" s="259">
        <f t="shared" si="16"/>
        <v>0</v>
      </c>
      <c r="J39" s="259">
        <f t="shared" si="16"/>
        <v>0</v>
      </c>
      <c r="K39" s="259">
        <f t="shared" si="16"/>
        <v>0</v>
      </c>
      <c r="L39" s="259">
        <f t="shared" si="16"/>
        <v>0</v>
      </c>
      <c r="M39" s="259">
        <f t="shared" si="16"/>
        <v>0</v>
      </c>
      <c r="N39" s="259">
        <f t="shared" si="16"/>
        <v>0</v>
      </c>
      <c r="O39" s="259">
        <f t="shared" si="16"/>
        <v>0</v>
      </c>
      <c r="P39" s="259">
        <f t="shared" si="16"/>
        <v>0</v>
      </c>
      <c r="Q39" s="259">
        <f t="shared" si="16"/>
        <v>0</v>
      </c>
      <c r="R39" s="259">
        <f t="shared" si="16"/>
        <v>0</v>
      </c>
      <c r="S39" s="259">
        <f t="shared" si="16"/>
        <v>0</v>
      </c>
      <c r="T39" s="259">
        <f t="shared" si="16"/>
        <v>0</v>
      </c>
      <c r="U39" s="259">
        <f t="shared" si="16"/>
        <v>0</v>
      </c>
      <c r="V39" s="259">
        <f t="shared" si="16"/>
        <v>0</v>
      </c>
      <c r="W39" s="259">
        <f t="shared" si="16"/>
        <v>0</v>
      </c>
      <c r="X39" s="259">
        <f t="shared" si="16"/>
        <v>0</v>
      </c>
      <c r="Y39" s="259">
        <f t="shared" si="16"/>
        <v>0</v>
      </c>
      <c r="DA39" s="278"/>
    </row>
    <row r="40" spans="1:105" x14ac:dyDescent="0.25">
      <c r="A40" s="260" t="s">
        <v>33</v>
      </c>
      <c r="B40" s="261">
        <f t="shared" ref="B40:Y40" si="17">IF(B$27=0,0,B$27/B$5)</f>
        <v>0</v>
      </c>
      <c r="C40" s="261">
        <f t="shared" si="17"/>
        <v>0</v>
      </c>
      <c r="D40" s="261">
        <f t="shared" si="17"/>
        <v>0</v>
      </c>
      <c r="E40" s="261">
        <f t="shared" si="17"/>
        <v>0</v>
      </c>
      <c r="F40" s="261">
        <f t="shared" si="17"/>
        <v>0</v>
      </c>
      <c r="G40" s="261">
        <f t="shared" si="17"/>
        <v>0</v>
      </c>
      <c r="H40" s="261">
        <f t="shared" si="17"/>
        <v>0</v>
      </c>
      <c r="I40" s="261">
        <f t="shared" si="17"/>
        <v>0</v>
      </c>
      <c r="J40" s="261">
        <f t="shared" si="17"/>
        <v>0</v>
      </c>
      <c r="K40" s="261">
        <f t="shared" si="17"/>
        <v>0</v>
      </c>
      <c r="L40" s="261">
        <f t="shared" si="17"/>
        <v>0</v>
      </c>
      <c r="M40" s="261">
        <f t="shared" si="17"/>
        <v>0</v>
      </c>
      <c r="N40" s="261">
        <f t="shared" si="17"/>
        <v>0</v>
      </c>
      <c r="O40" s="261">
        <f t="shared" si="17"/>
        <v>0</v>
      </c>
      <c r="P40" s="261">
        <f t="shared" si="17"/>
        <v>0</v>
      </c>
      <c r="Q40" s="261">
        <f t="shared" si="17"/>
        <v>0</v>
      </c>
      <c r="R40" s="261">
        <f t="shared" si="17"/>
        <v>0</v>
      </c>
      <c r="S40" s="261">
        <f t="shared" si="17"/>
        <v>0</v>
      </c>
      <c r="T40" s="261">
        <f t="shared" si="17"/>
        <v>0</v>
      </c>
      <c r="U40" s="261">
        <f t="shared" si="17"/>
        <v>0</v>
      </c>
      <c r="V40" s="261">
        <f t="shared" si="17"/>
        <v>0</v>
      </c>
      <c r="W40" s="261">
        <f t="shared" si="17"/>
        <v>0</v>
      </c>
      <c r="X40" s="261">
        <f t="shared" si="17"/>
        <v>0</v>
      </c>
      <c r="Y40" s="261">
        <f t="shared" si="17"/>
        <v>0</v>
      </c>
      <c r="DA40" s="279"/>
    </row>
    <row r="42" spans="1:105" ht="12.75" x14ac:dyDescent="0.25">
      <c r="A42" s="232" t="s">
        <v>134</v>
      </c>
      <c r="B42" s="231"/>
      <c r="C42" s="231"/>
      <c r="D42" s="231"/>
      <c r="E42" s="231"/>
      <c r="F42" s="231"/>
      <c r="G42" s="231"/>
      <c r="H42" s="231"/>
      <c r="I42" s="231"/>
      <c r="J42" s="231"/>
      <c r="K42" s="231"/>
      <c r="L42" s="231"/>
      <c r="M42" s="231"/>
      <c r="N42" s="231"/>
      <c r="O42" s="231"/>
      <c r="P42" s="231"/>
      <c r="Q42" s="231"/>
      <c r="R42" s="231"/>
      <c r="S42" s="231"/>
      <c r="T42" s="231"/>
      <c r="U42" s="231"/>
      <c r="V42" s="231"/>
      <c r="W42" s="231"/>
      <c r="X42" s="231"/>
      <c r="Y42" s="231"/>
      <c r="DA42" s="266"/>
    </row>
    <row r="44" spans="1:105" x14ac:dyDescent="0.25">
      <c r="A44" s="234" t="s">
        <v>126</v>
      </c>
      <c r="B44" s="237">
        <f>IF(B$5=0,0,B$5/AGR_fec!B$5)</f>
        <v>2.3383398214947753</v>
      </c>
      <c r="C44" s="237">
        <f>IF(C$5=0,0,C$5/AGR_fec!C$5)</f>
        <v>2.2254166477120512</v>
      </c>
      <c r="D44" s="237">
        <f>IF(D$5=0,0,D$5/AGR_fec!D$5)</f>
        <v>2.1266345188788645</v>
      </c>
      <c r="E44" s="237">
        <f>IF(E$5=0,0,E$5/AGR_fec!E$5)</f>
        <v>2.0263102670112656</v>
      </c>
      <c r="F44" s="237">
        <f>IF(F$5=0,0,F$5/AGR_fec!F$5)</f>
        <v>2.3706002816304146</v>
      </c>
      <c r="G44" s="237">
        <f>IF(G$5=0,0,G$5/AGR_fec!G$5)</f>
        <v>2.385398032513435</v>
      </c>
      <c r="H44" s="237">
        <f>IF(H$5=0,0,H$5/AGR_fec!H$5)</f>
        <v>2.3233462077849456</v>
      </c>
      <c r="I44" s="237">
        <f>IF(I$5=0,0,I$5/AGR_fec!I$5)</f>
        <v>1.8178585784447481</v>
      </c>
      <c r="J44" s="237">
        <f>IF(J$5=0,0,J$5/AGR_fec!J$5)</f>
        <v>2.155138677461605</v>
      </c>
      <c r="K44" s="237">
        <f>IF(K$5=0,0,K$5/AGR_fec!K$5)</f>
        <v>2.3563676229211667</v>
      </c>
      <c r="L44" s="237">
        <f>IF(L$5=0,0,L$5/AGR_fec!L$5)</f>
        <v>2.3011711370010901</v>
      </c>
      <c r="M44" s="237">
        <f>IF(M$5=0,0,M$5/AGR_fec!M$5)</f>
        <v>2.2990072073923025</v>
      </c>
      <c r="N44" s="237">
        <f>IF(N$5=0,0,N$5/AGR_fec!N$5)</f>
        <v>2.3142087692798605</v>
      </c>
      <c r="O44" s="237">
        <f>IF(O$5=0,0,O$5/AGR_fec!O$5)</f>
        <v>2.0864023527510218</v>
      </c>
      <c r="P44" s="237">
        <f>IF(P$5=0,0,P$5/AGR_fec!P$5)</f>
        <v>2.2660499932174663</v>
      </c>
      <c r="Q44" s="237">
        <f>IF(Q$5=0,0,Q$5/AGR_fec!Q$5)</f>
        <v>2.2926102060934408</v>
      </c>
      <c r="R44" s="237">
        <f>IF(R$5=0,0,R$5/AGR_fec!R$5)</f>
        <v>2.429661263731993</v>
      </c>
      <c r="S44" s="237">
        <f>IF(S$5=0,0,S$5/AGR_fec!S$5)</f>
        <v>2.4495570047868713</v>
      </c>
      <c r="T44" s="237">
        <f>IF(T$5=0,0,T$5/AGR_fec!T$5)</f>
        <v>2.5654025328207894</v>
      </c>
      <c r="U44" s="237">
        <f>IF(U$5=0,0,U$5/AGR_fec!U$5)</f>
        <v>2.5309525305431722</v>
      </c>
      <c r="V44" s="237">
        <f>IF(V$5=0,0,V$5/AGR_fec!V$5)</f>
        <v>2.6091265009402211</v>
      </c>
      <c r="W44" s="237">
        <f>IF(W$5=0,0,W$5/AGR_fec!W$5)</f>
        <v>2.6576022878207657</v>
      </c>
      <c r="X44" s="237">
        <f>IF(X$5=0,0,X$5/AGR_fec!X$5)</f>
        <v>2.6971381715123002</v>
      </c>
      <c r="Y44" s="237">
        <f>IF(Y$5=0,0,Y$5/AGR_fec!Y$5)</f>
        <v>2.7337227318519131</v>
      </c>
      <c r="DA44" s="286"/>
    </row>
    <row r="45" spans="1:105" x14ac:dyDescent="0.25">
      <c r="A45" s="238" t="s">
        <v>125</v>
      </c>
      <c r="B45" s="250">
        <f>IF(B$6=0,0,B$6/AGR_fec!B$6)</f>
        <v>0</v>
      </c>
      <c r="C45" s="250">
        <f>IF(C$6=0,0,C$6/AGR_fec!C$6)</f>
        <v>0</v>
      </c>
      <c r="D45" s="250">
        <f>IF(D$6=0,0,D$6/AGR_fec!D$6)</f>
        <v>0</v>
      </c>
      <c r="E45" s="250">
        <f>IF(E$6=0,0,E$6/AGR_fec!E$6)</f>
        <v>0</v>
      </c>
      <c r="F45" s="250">
        <f>IF(F$6=0,0,F$6/AGR_fec!F$6)</f>
        <v>0</v>
      </c>
      <c r="G45" s="250">
        <f>IF(G$6=0,0,G$6/AGR_fec!G$6)</f>
        <v>0</v>
      </c>
      <c r="H45" s="250">
        <f>IF(H$6=0,0,H$6/AGR_fec!H$6)</f>
        <v>0</v>
      </c>
      <c r="I45" s="250">
        <f>IF(I$6=0,0,I$6/AGR_fec!I$6)</f>
        <v>0</v>
      </c>
      <c r="J45" s="250">
        <f>IF(J$6=0,0,J$6/AGR_fec!J$6)</f>
        <v>0</v>
      </c>
      <c r="K45" s="250">
        <f>IF(K$6=0,0,K$6/AGR_fec!K$6)</f>
        <v>0</v>
      </c>
      <c r="L45" s="250">
        <f>IF(L$6=0,0,L$6/AGR_fec!L$6)</f>
        <v>0</v>
      </c>
      <c r="M45" s="250">
        <f>IF(M$6=0,0,M$6/AGR_fec!M$6)</f>
        <v>0</v>
      </c>
      <c r="N45" s="250">
        <f>IF(N$6=0,0,N$6/AGR_fec!N$6)</f>
        <v>0</v>
      </c>
      <c r="O45" s="250">
        <f>IF(O$6=0,0,O$6/AGR_fec!O$6)</f>
        <v>0</v>
      </c>
      <c r="P45" s="250">
        <f>IF(P$6=0,0,P$6/AGR_fec!P$6)</f>
        <v>0</v>
      </c>
      <c r="Q45" s="250">
        <f>IF(Q$6=0,0,Q$6/AGR_fec!Q$6)</f>
        <v>0</v>
      </c>
      <c r="R45" s="250">
        <f>IF(R$6=0,0,R$6/AGR_fec!R$6)</f>
        <v>0</v>
      </c>
      <c r="S45" s="250">
        <f>IF(S$6=0,0,S$6/AGR_fec!S$6)</f>
        <v>0</v>
      </c>
      <c r="T45" s="250">
        <f>IF(T$6=0,0,T$6/AGR_fec!T$6)</f>
        <v>0</v>
      </c>
      <c r="U45" s="250">
        <f>IF(U$6=0,0,U$6/AGR_fec!U$6)</f>
        <v>0</v>
      </c>
      <c r="V45" s="250">
        <f>IF(V$6=0,0,V$6/AGR_fec!V$6)</f>
        <v>0</v>
      </c>
      <c r="W45" s="250">
        <f>IF(W$6=0,0,W$6/AGR_fec!W$6)</f>
        <v>0</v>
      </c>
      <c r="X45" s="250">
        <f>IF(X$6=0,0,X$6/AGR_fec!X$6)</f>
        <v>0</v>
      </c>
      <c r="Y45" s="250">
        <f>IF(Y$6=0,0,Y$6/AGR_fec!Y$6)</f>
        <v>0</v>
      </c>
      <c r="DA45" s="287"/>
    </row>
    <row r="46" spans="1:105" x14ac:dyDescent="0.25">
      <c r="A46" s="240" t="s">
        <v>124</v>
      </c>
      <c r="B46" s="251">
        <f>IF(B$7=0,0,B$7/AGR_fec!B$7)</f>
        <v>0</v>
      </c>
      <c r="C46" s="251">
        <f>IF(C$7=0,0,C$7/AGR_fec!C$7)</f>
        <v>0</v>
      </c>
      <c r="D46" s="251">
        <f>IF(D$7=0,0,D$7/AGR_fec!D$7)</f>
        <v>0</v>
      </c>
      <c r="E46" s="251">
        <f>IF(E$7=0,0,E$7/AGR_fec!E$7)</f>
        <v>0</v>
      </c>
      <c r="F46" s="251">
        <f>IF(F$7=0,0,F$7/AGR_fec!F$7)</f>
        <v>0</v>
      </c>
      <c r="G46" s="251">
        <f>IF(G$7=0,0,G$7/AGR_fec!G$7)</f>
        <v>0</v>
      </c>
      <c r="H46" s="251">
        <f>IF(H$7=0,0,H$7/AGR_fec!H$7)</f>
        <v>0</v>
      </c>
      <c r="I46" s="251">
        <f>IF(I$7=0,0,I$7/AGR_fec!I$7)</f>
        <v>0</v>
      </c>
      <c r="J46" s="251">
        <f>IF(J$7=0,0,J$7/AGR_fec!J$7)</f>
        <v>0</v>
      </c>
      <c r="K46" s="251">
        <f>IF(K$7=0,0,K$7/AGR_fec!K$7)</f>
        <v>0</v>
      </c>
      <c r="L46" s="251">
        <f>IF(L$7=0,0,L$7/AGR_fec!L$7)</f>
        <v>0</v>
      </c>
      <c r="M46" s="251">
        <f>IF(M$7=0,0,M$7/AGR_fec!M$7)</f>
        <v>0</v>
      </c>
      <c r="N46" s="251">
        <f>IF(N$7=0,0,N$7/AGR_fec!N$7)</f>
        <v>0</v>
      </c>
      <c r="O46" s="251">
        <f>IF(O$7=0,0,O$7/AGR_fec!O$7)</f>
        <v>0</v>
      </c>
      <c r="P46" s="251">
        <f>IF(P$7=0,0,P$7/AGR_fec!P$7)</f>
        <v>0</v>
      </c>
      <c r="Q46" s="251">
        <f>IF(Q$7=0,0,Q$7/AGR_fec!Q$7)</f>
        <v>0</v>
      </c>
      <c r="R46" s="251">
        <f>IF(R$7=0,0,R$7/AGR_fec!R$7)</f>
        <v>0</v>
      </c>
      <c r="S46" s="251">
        <f>IF(S$7=0,0,S$7/AGR_fec!S$7)</f>
        <v>0</v>
      </c>
      <c r="T46" s="251">
        <f>IF(T$7=0,0,T$7/AGR_fec!T$7)</f>
        <v>0</v>
      </c>
      <c r="U46" s="251">
        <f>IF(U$7=0,0,U$7/AGR_fec!U$7)</f>
        <v>0</v>
      </c>
      <c r="V46" s="251">
        <f>IF(V$7=0,0,V$7/AGR_fec!V$7)</f>
        <v>0</v>
      </c>
      <c r="W46" s="251">
        <f>IF(W$7=0,0,W$7/AGR_fec!W$7)</f>
        <v>0</v>
      </c>
      <c r="X46" s="251">
        <f>IF(X$7=0,0,X$7/AGR_fec!X$7)</f>
        <v>0</v>
      </c>
      <c r="Y46" s="251">
        <f>IF(Y$7=0,0,Y$7/AGR_fec!Y$7)</f>
        <v>0</v>
      </c>
      <c r="DA46" s="288"/>
    </row>
    <row r="47" spans="1:105" x14ac:dyDescent="0.25">
      <c r="A47" s="240" t="s">
        <v>123</v>
      </c>
      <c r="B47" s="251">
        <f>IF(B$8=0,0,B$8/AGR_fec!B$8)</f>
        <v>0</v>
      </c>
      <c r="C47" s="251">
        <f>IF(C$8=0,0,C$8/AGR_fec!C$8)</f>
        <v>0</v>
      </c>
      <c r="D47" s="251">
        <f>IF(D$8=0,0,D$8/AGR_fec!D$8)</f>
        <v>0</v>
      </c>
      <c r="E47" s="251">
        <f>IF(E$8=0,0,E$8/AGR_fec!E$8)</f>
        <v>0</v>
      </c>
      <c r="F47" s="251">
        <f>IF(F$8=0,0,F$8/AGR_fec!F$8)</f>
        <v>0</v>
      </c>
      <c r="G47" s="251">
        <f>IF(G$8=0,0,G$8/AGR_fec!G$8)</f>
        <v>0</v>
      </c>
      <c r="H47" s="251">
        <f>IF(H$8=0,0,H$8/AGR_fec!H$8)</f>
        <v>0</v>
      </c>
      <c r="I47" s="251">
        <f>IF(I$8=0,0,I$8/AGR_fec!I$8)</f>
        <v>0</v>
      </c>
      <c r="J47" s="251">
        <f>IF(J$8=0,0,J$8/AGR_fec!J$8)</f>
        <v>0</v>
      </c>
      <c r="K47" s="251">
        <f>IF(K$8=0,0,K$8/AGR_fec!K$8)</f>
        <v>0</v>
      </c>
      <c r="L47" s="251">
        <f>IF(L$8=0,0,L$8/AGR_fec!L$8)</f>
        <v>0</v>
      </c>
      <c r="M47" s="251">
        <f>IF(M$8=0,0,M$8/AGR_fec!M$8)</f>
        <v>0</v>
      </c>
      <c r="N47" s="251">
        <f>IF(N$8=0,0,N$8/AGR_fec!N$8)</f>
        <v>0</v>
      </c>
      <c r="O47" s="251">
        <f>IF(O$8=0,0,O$8/AGR_fec!O$8)</f>
        <v>0</v>
      </c>
      <c r="P47" s="251">
        <f>IF(P$8=0,0,P$8/AGR_fec!P$8)</f>
        <v>0</v>
      </c>
      <c r="Q47" s="251">
        <f>IF(Q$8=0,0,Q$8/AGR_fec!Q$8)</f>
        <v>0</v>
      </c>
      <c r="R47" s="251">
        <f>IF(R$8=0,0,R$8/AGR_fec!R$8)</f>
        <v>0</v>
      </c>
      <c r="S47" s="251">
        <f>IF(S$8=0,0,S$8/AGR_fec!S$8)</f>
        <v>0</v>
      </c>
      <c r="T47" s="251">
        <f>IF(T$8=0,0,T$8/AGR_fec!T$8)</f>
        <v>0</v>
      </c>
      <c r="U47" s="251">
        <f>IF(U$8=0,0,U$8/AGR_fec!U$8)</f>
        <v>0</v>
      </c>
      <c r="V47" s="251">
        <f>IF(V$8=0,0,V$8/AGR_fec!V$8)</f>
        <v>0</v>
      </c>
      <c r="W47" s="251">
        <f>IF(W$8=0,0,W$8/AGR_fec!W$8)</f>
        <v>0</v>
      </c>
      <c r="X47" s="251">
        <f>IF(X$8=0,0,X$8/AGR_fec!X$8)</f>
        <v>0</v>
      </c>
      <c r="Y47" s="251">
        <f>IF(Y$8=0,0,Y$8/AGR_fec!Y$8)</f>
        <v>0</v>
      </c>
      <c r="DA47" s="288"/>
    </row>
    <row r="48" spans="1:105" x14ac:dyDescent="0.25">
      <c r="A48" s="242" t="s">
        <v>122</v>
      </c>
      <c r="B48" s="252">
        <f>IF(B$9=0,0,B$9/AGR_fec!B$9)</f>
        <v>1.1641096904017667</v>
      </c>
      <c r="C48" s="252">
        <f>IF(C$9=0,0,C$9/AGR_fec!C$9)</f>
        <v>0.90219422469477695</v>
      </c>
      <c r="D48" s="252">
        <f>IF(D$9=0,0,D$9/AGR_fec!D$9)</f>
        <v>0.95109723100710264</v>
      </c>
      <c r="E48" s="252">
        <f>IF(E$9=0,0,E$9/AGR_fec!E$9)</f>
        <v>0.63684823119355138</v>
      </c>
      <c r="F48" s="252">
        <f>IF(F$9=0,0,F$9/AGR_fec!F$9)</f>
        <v>1.3391670233334867</v>
      </c>
      <c r="G48" s="252">
        <f>IF(G$9=0,0,G$9/AGR_fec!G$9)</f>
        <v>1.4270282350220935</v>
      </c>
      <c r="H48" s="252">
        <f>IF(H$9=0,0,H$9/AGR_fec!H$9)</f>
        <v>1.6344864361257718</v>
      </c>
      <c r="I48" s="252">
        <f>IF(I$9=0,0,I$9/AGR_fec!I$9)</f>
        <v>1.3790261481828701</v>
      </c>
      <c r="J48" s="252">
        <f>IF(J$9=0,0,J$9/AGR_fec!J$9)</f>
        <v>1.6360607866696202</v>
      </c>
      <c r="K48" s="252">
        <f>IF(K$9=0,0,K$9/AGR_fec!K$9)</f>
        <v>1.905136236391451</v>
      </c>
      <c r="L48" s="252">
        <f>IF(L$9=0,0,L$9/AGR_fec!L$9)</f>
        <v>1.8810433514547287</v>
      </c>
      <c r="M48" s="252">
        <f>IF(M$9=0,0,M$9/AGR_fec!M$9)</f>
        <v>1.7949515891072083</v>
      </c>
      <c r="N48" s="252">
        <f>IF(N$9=0,0,N$9/AGR_fec!N$9)</f>
        <v>1.8276154458646097</v>
      </c>
      <c r="O48" s="252">
        <f>IF(O$9=0,0,O$9/AGR_fec!O$9)</f>
        <v>1.7240985238631112</v>
      </c>
      <c r="P48" s="252">
        <f>IF(P$9=0,0,P$9/AGR_fec!P$9)</f>
        <v>1.7784422607288433</v>
      </c>
      <c r="Q48" s="252">
        <f>IF(Q$9=0,0,Q$9/AGR_fec!Q$9)</f>
        <v>1.897300821500312</v>
      </c>
      <c r="R48" s="252">
        <f>IF(R$9=0,0,R$9/AGR_fec!R$9)</f>
        <v>2.1787885279898638</v>
      </c>
      <c r="S48" s="252">
        <f>IF(S$9=0,0,S$9/AGR_fec!S$9)</f>
        <v>2.2924298123817159</v>
      </c>
      <c r="T48" s="252">
        <f>IF(T$9=0,0,T$9/AGR_fec!T$9)</f>
        <v>2.5381535116984981</v>
      </c>
      <c r="U48" s="252">
        <f>IF(U$9=0,0,U$9/AGR_fec!U$9)</f>
        <v>2.4595935086289127</v>
      </c>
      <c r="V48" s="252">
        <f>IF(V$9=0,0,V$9/AGR_fec!V$9)</f>
        <v>2.5231779945403741</v>
      </c>
      <c r="W48" s="252">
        <f>IF(W$9=0,0,W$9/AGR_fec!W$9)</f>
        <v>2.6002645911103537</v>
      </c>
      <c r="X48" s="252">
        <f>IF(X$9=0,0,X$9/AGR_fec!X$9)</f>
        <v>2.7379842258949281</v>
      </c>
      <c r="Y48" s="252">
        <f>IF(Y$9=0,0,Y$9/AGR_fec!Y$9)</f>
        <v>2.7817552898492508</v>
      </c>
      <c r="DA48" s="289"/>
    </row>
    <row r="49" spans="1:105" x14ac:dyDescent="0.25">
      <c r="A49" s="127" t="s">
        <v>168</v>
      </c>
      <c r="B49" s="264">
        <f>IF(B$16=0,0,B$16/AGR_fec!B$16)</f>
        <v>3.1024188000000001</v>
      </c>
      <c r="C49" s="264">
        <f>IF(C$16=0,0,C$16/AGR_fec!C$16)</f>
        <v>3.102418800000001</v>
      </c>
      <c r="D49" s="264">
        <f>IF(D$16=0,0,D$16/AGR_fec!D$16)</f>
        <v>3.1024188000000006</v>
      </c>
      <c r="E49" s="264">
        <f>IF(E$16=0,0,E$16/AGR_fec!E$16)</f>
        <v>3.1024188000000006</v>
      </c>
      <c r="F49" s="264">
        <f>IF(F$16=0,0,F$16/AGR_fec!F$16)</f>
        <v>3.1024187999999993</v>
      </c>
      <c r="G49" s="264">
        <f>IF(G$16=0,0,G$16/AGR_fec!G$16)</f>
        <v>3.1024188000000001</v>
      </c>
      <c r="H49" s="264">
        <f>IF(H$16=0,0,H$16/AGR_fec!H$16)</f>
        <v>3.1024187999999997</v>
      </c>
      <c r="I49" s="264">
        <f>IF(I$16=0,0,I$16/AGR_fec!I$16)</f>
        <v>3.1024188000000001</v>
      </c>
      <c r="J49" s="264">
        <f>IF(J$16=0,0,J$16/AGR_fec!J$16)</f>
        <v>3.1024188000000006</v>
      </c>
      <c r="K49" s="264">
        <f>IF(K$16=0,0,K$16/AGR_fec!K$16)</f>
        <v>3.1024188000000001</v>
      </c>
      <c r="L49" s="264">
        <f>IF(L$16=0,0,L$16/AGR_fec!L$16)</f>
        <v>3.1024188000000001</v>
      </c>
      <c r="M49" s="264">
        <f>IF(M$16=0,0,M$16/AGR_fec!M$16)</f>
        <v>3.1024188000000019</v>
      </c>
      <c r="N49" s="264">
        <f>IF(N$16=0,0,N$16/AGR_fec!N$16)</f>
        <v>3.1024187999999993</v>
      </c>
      <c r="O49" s="264">
        <f>IF(O$16=0,0,O$16/AGR_fec!O$16)</f>
        <v>3.102418800000001</v>
      </c>
      <c r="P49" s="264">
        <f>IF(P$16=0,0,P$16/AGR_fec!P$16)</f>
        <v>3.1024187999999993</v>
      </c>
      <c r="Q49" s="264">
        <f>IF(Q$16=0,0,Q$16/AGR_fec!Q$16)</f>
        <v>3.1024187999999997</v>
      </c>
      <c r="R49" s="264">
        <f>IF(R$16=0,0,R$16/AGR_fec!R$16)</f>
        <v>3.1024188000000006</v>
      </c>
      <c r="S49" s="264">
        <f>IF(S$16=0,0,S$16/AGR_fec!S$16)</f>
        <v>3.1024187999999993</v>
      </c>
      <c r="T49" s="264">
        <f>IF(T$16=0,0,T$16/AGR_fec!T$16)</f>
        <v>3.1024188000000006</v>
      </c>
      <c r="U49" s="264">
        <f>IF(U$16=0,0,U$16/AGR_fec!U$16)</f>
        <v>3.1024187999999997</v>
      </c>
      <c r="V49" s="264">
        <f>IF(V$16=0,0,V$16/AGR_fec!V$16)</f>
        <v>3.1024187999999993</v>
      </c>
      <c r="W49" s="264">
        <f>IF(W$16=0,0,W$16/AGR_fec!W$16)</f>
        <v>3.1024188000000001</v>
      </c>
      <c r="X49" s="264">
        <f>IF(X$16=0,0,X$16/AGR_fec!X$16)</f>
        <v>3.1024188000000001</v>
      </c>
      <c r="Y49" s="264">
        <f>IF(Y$16=0,0,Y$16/AGR_fec!Y$16)</f>
        <v>3.1024188000000006</v>
      </c>
      <c r="DA49" s="290"/>
    </row>
    <row r="50" spans="1:105" x14ac:dyDescent="0.25">
      <c r="A50" s="127" t="s">
        <v>121</v>
      </c>
      <c r="B50" s="264">
        <f>IF(B$17=0,0,B$17/AGR_fec!B$17)</f>
        <v>3.3040000320371106</v>
      </c>
      <c r="C50" s="264">
        <f>IF(C$17=0,0,C$17/AGR_fec!C$17)</f>
        <v>3.3380467097826001</v>
      </c>
      <c r="D50" s="264">
        <f>IF(D$17=0,0,D$17/AGR_fec!D$17)</f>
        <v>2.9827651524539509</v>
      </c>
      <c r="E50" s="264">
        <f>IF(E$17=0,0,E$17/AGR_fec!E$17)</f>
        <v>3.1121492355352345</v>
      </c>
      <c r="F50" s="264">
        <f>IF(F$17=0,0,F$17/AGR_fec!F$17)</f>
        <v>3.1998822811145442</v>
      </c>
      <c r="G50" s="264">
        <f>IF(G$17=0,0,G$17/AGR_fec!G$17)</f>
        <v>2.995914574799952</v>
      </c>
      <c r="H50" s="264">
        <f>IF(H$17=0,0,H$17/AGR_fec!H$17)</f>
        <v>2.8618729556356017</v>
      </c>
      <c r="I50" s="264">
        <f>IF(I$17=0,0,I$17/AGR_fec!I$17)</f>
        <v>1.8849499785816675</v>
      </c>
      <c r="J50" s="264">
        <f>IF(J$17=0,0,J$17/AGR_fec!J$17)</f>
        <v>2.5284949478709486</v>
      </c>
      <c r="K50" s="264">
        <f>IF(K$17=0,0,K$17/AGR_fec!K$17)</f>
        <v>2.6685132902603188</v>
      </c>
      <c r="L50" s="264">
        <f>IF(L$17=0,0,L$17/AGR_fec!L$17)</f>
        <v>2.7067739299960776</v>
      </c>
      <c r="M50" s="264">
        <f>IF(M$17=0,0,M$17/AGR_fec!M$17)</f>
        <v>2.758030537050622</v>
      </c>
      <c r="N50" s="264">
        <f>IF(N$17=0,0,N$17/AGR_fec!N$17)</f>
        <v>2.7636482732203138</v>
      </c>
      <c r="O50" s="264">
        <f>IF(O$17=0,0,O$17/AGR_fec!O$17)</f>
        <v>2.2457181451519461</v>
      </c>
      <c r="P50" s="264">
        <f>IF(P$17=0,0,P$17/AGR_fec!P$17)</f>
        <v>2.8032060827596941</v>
      </c>
      <c r="Q50" s="264">
        <f>IF(Q$17=0,0,Q$17/AGR_fec!Q$17)</f>
        <v>2.774596145388172</v>
      </c>
      <c r="R50" s="264">
        <f>IF(R$17=0,0,R$17/AGR_fec!R$17)</f>
        <v>2.8267663222501254</v>
      </c>
      <c r="S50" s="264">
        <f>IF(S$17=0,0,S$17/AGR_fec!S$17)</f>
        <v>2.7605286078038</v>
      </c>
      <c r="T50" s="264">
        <f>IF(T$17=0,0,T$17/AGR_fec!T$17)</f>
        <v>2.8442014965896059</v>
      </c>
      <c r="U50" s="264">
        <f>IF(U$17=0,0,U$17/AGR_fec!U$17)</f>
        <v>2.8089771433624233</v>
      </c>
      <c r="V50" s="264">
        <f>IF(V$17=0,0,V$17/AGR_fec!V$17)</f>
        <v>2.8103520055990265</v>
      </c>
      <c r="W50" s="264">
        <f>IF(W$17=0,0,W$17/AGR_fec!W$17)</f>
        <v>2.8593620276501088</v>
      </c>
      <c r="X50" s="264">
        <f>IF(X$17=0,0,X$17/AGR_fec!X$17)</f>
        <v>2.8846065969534864</v>
      </c>
      <c r="Y50" s="264">
        <f>IF(Y$17=0,0,Y$17/AGR_fec!Y$17)</f>
        <v>2.9347639156159464</v>
      </c>
      <c r="DA50" s="290"/>
    </row>
    <row r="51" spans="1:105" x14ac:dyDescent="0.25">
      <c r="A51" s="127" t="s">
        <v>167</v>
      </c>
      <c r="B51" s="264">
        <f>IF(B$25=0,0,B$25/AGR_fec!B$25)</f>
        <v>3.1024188000000006</v>
      </c>
      <c r="C51" s="264">
        <f>IF(C$25=0,0,C$25/AGR_fec!C$25)</f>
        <v>3.1024187999999997</v>
      </c>
      <c r="D51" s="264">
        <f>IF(D$25=0,0,D$25/AGR_fec!D$25)</f>
        <v>3.1024188000000001</v>
      </c>
      <c r="E51" s="264">
        <f>IF(E$25=0,0,E$25/AGR_fec!E$25)</f>
        <v>3.1024188000000001</v>
      </c>
      <c r="F51" s="264">
        <f>IF(F$25=0,0,F$25/AGR_fec!F$25)</f>
        <v>3.1024188000000006</v>
      </c>
      <c r="G51" s="264">
        <f>IF(G$25=0,0,G$25/AGR_fec!G$25)</f>
        <v>3.1024188000000001</v>
      </c>
      <c r="H51" s="264">
        <f>IF(H$25=0,0,H$25/AGR_fec!H$25)</f>
        <v>3.1024187999999988</v>
      </c>
      <c r="I51" s="264">
        <f>IF(I$25=0,0,I$25/AGR_fec!I$25)</f>
        <v>3.1024188000000001</v>
      </c>
      <c r="J51" s="264">
        <f>IF(J$25=0,0,J$25/AGR_fec!J$25)</f>
        <v>3.1024188000000015</v>
      </c>
      <c r="K51" s="264">
        <f>IF(K$25=0,0,K$25/AGR_fec!K$25)</f>
        <v>3.1024188000000006</v>
      </c>
      <c r="L51" s="264">
        <f>IF(L$25=0,0,L$25/AGR_fec!L$25)</f>
        <v>3.1024188000000001</v>
      </c>
      <c r="M51" s="264">
        <f>IF(M$25=0,0,M$25/AGR_fec!M$25)</f>
        <v>3.1024188000000001</v>
      </c>
      <c r="N51" s="264">
        <f>IF(N$25=0,0,N$25/AGR_fec!N$25)</f>
        <v>3.1024188000000006</v>
      </c>
      <c r="O51" s="264">
        <f>IF(O$25=0,0,O$25/AGR_fec!O$25)</f>
        <v>3.1024188000000006</v>
      </c>
      <c r="P51" s="264">
        <f>IF(P$25=0,0,P$25/AGR_fec!P$25)</f>
        <v>3.1024187999999997</v>
      </c>
      <c r="Q51" s="264">
        <f>IF(Q$25=0,0,Q$25/AGR_fec!Q$25)</f>
        <v>3.1024187999999993</v>
      </c>
      <c r="R51" s="264">
        <f>IF(R$25=0,0,R$25/AGR_fec!R$25)</f>
        <v>3.1024188000000001</v>
      </c>
      <c r="S51" s="264">
        <f>IF(S$25=0,0,S$25/AGR_fec!S$25)</f>
        <v>3.102418800000001</v>
      </c>
      <c r="T51" s="264">
        <f>IF(T$25=0,0,T$25/AGR_fec!T$25)</f>
        <v>3.1024187999999997</v>
      </c>
      <c r="U51" s="264">
        <f>IF(U$25=0,0,U$25/AGR_fec!U$25)</f>
        <v>3.1024188000000001</v>
      </c>
      <c r="V51" s="264">
        <f>IF(V$25=0,0,V$25/AGR_fec!V$25)</f>
        <v>3.1024188000000001</v>
      </c>
      <c r="W51" s="264">
        <f>IF(W$25=0,0,W$25/AGR_fec!W$25)</f>
        <v>3.1024187999999997</v>
      </c>
      <c r="X51" s="264">
        <f>IF(X$25=0,0,X$25/AGR_fec!X$25)</f>
        <v>3.1024187999999997</v>
      </c>
      <c r="Y51" s="264">
        <f>IF(Y$25=0,0,Y$25/AGR_fec!Y$25)</f>
        <v>3.1024188000000006</v>
      </c>
      <c r="DA51" s="290"/>
    </row>
    <row r="52" spans="1:105" x14ac:dyDescent="0.25">
      <c r="A52" s="127" t="s">
        <v>170</v>
      </c>
      <c r="B52" s="264">
        <f>IF(B$26=0,0,B$26/AGR_fec!B$26)</f>
        <v>0</v>
      </c>
      <c r="C52" s="264">
        <f>IF(C$26=0,0,C$26/AGR_fec!C$26)</f>
        <v>0</v>
      </c>
      <c r="D52" s="264">
        <f>IF(D$26=0,0,D$26/AGR_fec!D$26)</f>
        <v>0</v>
      </c>
      <c r="E52" s="264">
        <f>IF(E$26=0,0,E$26/AGR_fec!E$26)</f>
        <v>0</v>
      </c>
      <c r="F52" s="264">
        <f>IF(F$26=0,0,F$26/AGR_fec!F$26)</f>
        <v>0</v>
      </c>
      <c r="G52" s="264">
        <f>IF(G$26=0,0,G$26/AGR_fec!G$26)</f>
        <v>0</v>
      </c>
      <c r="H52" s="264">
        <f>IF(H$26=0,0,H$26/AGR_fec!H$26)</f>
        <v>0</v>
      </c>
      <c r="I52" s="264">
        <f>IF(I$26=0,0,I$26/AGR_fec!I$26)</f>
        <v>0</v>
      </c>
      <c r="J52" s="264">
        <f>IF(J$26=0,0,J$26/AGR_fec!J$26)</f>
        <v>0</v>
      </c>
      <c r="K52" s="264">
        <f>IF(K$26=0,0,K$26/AGR_fec!K$26)</f>
        <v>0</v>
      </c>
      <c r="L52" s="264">
        <f>IF(L$26=0,0,L$26/AGR_fec!L$26)</f>
        <v>0</v>
      </c>
      <c r="M52" s="264">
        <f>IF(M$26=0,0,M$26/AGR_fec!M$26)</f>
        <v>0</v>
      </c>
      <c r="N52" s="264">
        <f>IF(N$26=0,0,N$26/AGR_fec!N$26)</f>
        <v>0</v>
      </c>
      <c r="O52" s="264">
        <f>IF(O$26=0,0,O$26/AGR_fec!O$26)</f>
        <v>0</v>
      </c>
      <c r="P52" s="264">
        <f>IF(P$26=0,0,P$26/AGR_fec!P$26)</f>
        <v>0</v>
      </c>
      <c r="Q52" s="264">
        <f>IF(Q$26=0,0,Q$26/AGR_fec!Q$26)</f>
        <v>0</v>
      </c>
      <c r="R52" s="264">
        <f>IF(R$26=0,0,R$26/AGR_fec!R$26)</f>
        <v>0</v>
      </c>
      <c r="S52" s="264">
        <f>IF(S$26=0,0,S$26/AGR_fec!S$26)</f>
        <v>0</v>
      </c>
      <c r="T52" s="264">
        <f>IF(T$26=0,0,T$26/AGR_fec!T$26)</f>
        <v>0</v>
      </c>
      <c r="U52" s="264">
        <f>IF(U$26=0,0,U$26/AGR_fec!U$26)</f>
        <v>0</v>
      </c>
      <c r="V52" s="264">
        <f>IF(V$26=0,0,V$26/AGR_fec!V$26)</f>
        <v>0</v>
      </c>
      <c r="W52" s="264">
        <f>IF(W$26=0,0,W$26/AGR_fec!W$26)</f>
        <v>0</v>
      </c>
      <c r="X52" s="264">
        <f>IF(X$26=0,0,X$26/AGR_fec!X$26)</f>
        <v>0</v>
      </c>
      <c r="Y52" s="264">
        <f>IF(Y$26=0,0,Y$26/AGR_fec!Y$26)</f>
        <v>0</v>
      </c>
      <c r="DA52" s="290"/>
    </row>
    <row r="53" spans="1:105" x14ac:dyDescent="0.25">
      <c r="A53" s="260" t="s">
        <v>33</v>
      </c>
      <c r="B53" s="265">
        <f>IF(B$27=0,0,B$27/AGR_fec!B$27)</f>
        <v>0</v>
      </c>
      <c r="C53" s="265">
        <f>IF(C$27=0,0,C$27/AGR_fec!C$27)</f>
        <v>0</v>
      </c>
      <c r="D53" s="265">
        <f>IF(D$27=0,0,D$27/AGR_fec!D$27)</f>
        <v>0</v>
      </c>
      <c r="E53" s="265">
        <f>IF(E$27=0,0,E$27/AGR_fec!E$27)</f>
        <v>0</v>
      </c>
      <c r="F53" s="265">
        <f>IF(F$27=0,0,F$27/AGR_fec!F$27)</f>
        <v>0</v>
      </c>
      <c r="G53" s="265">
        <f>IF(G$27=0,0,G$27/AGR_fec!G$27)</f>
        <v>0</v>
      </c>
      <c r="H53" s="265">
        <f>IF(H$27=0,0,H$27/AGR_fec!H$27)</f>
        <v>0</v>
      </c>
      <c r="I53" s="265">
        <f>IF(I$27=0,0,I$27/AGR_fec!I$27)</f>
        <v>0</v>
      </c>
      <c r="J53" s="265">
        <f>IF(J$27=0,0,J$27/AGR_fec!J$27)</f>
        <v>0</v>
      </c>
      <c r="K53" s="265">
        <f>IF(K$27=0,0,K$27/AGR_fec!K$27)</f>
        <v>0</v>
      </c>
      <c r="L53" s="265">
        <f>IF(L$27=0,0,L$27/AGR_fec!L$27)</f>
        <v>0</v>
      </c>
      <c r="M53" s="265">
        <f>IF(M$27=0,0,M$27/AGR_fec!M$27)</f>
        <v>0</v>
      </c>
      <c r="N53" s="265">
        <f>IF(N$27=0,0,N$27/AGR_fec!N$27)</f>
        <v>0</v>
      </c>
      <c r="O53" s="265">
        <f>IF(O$27=0,0,O$27/AGR_fec!O$27)</f>
        <v>0</v>
      </c>
      <c r="P53" s="265">
        <f>IF(P$27=0,0,P$27/AGR_fec!P$27)</f>
        <v>0</v>
      </c>
      <c r="Q53" s="265">
        <f>IF(Q$27=0,0,Q$27/AGR_fec!Q$27)</f>
        <v>0</v>
      </c>
      <c r="R53" s="265">
        <f>IF(R$27=0,0,R$27/AGR_fec!R$27)</f>
        <v>0</v>
      </c>
      <c r="S53" s="265">
        <f>IF(S$27=0,0,S$27/AGR_fec!S$27)</f>
        <v>0</v>
      </c>
      <c r="T53" s="265">
        <f>IF(T$27=0,0,T$27/AGR_fec!T$27)</f>
        <v>0</v>
      </c>
      <c r="U53" s="265">
        <f>IF(U$27=0,0,U$27/AGR_fec!U$27)</f>
        <v>0</v>
      </c>
      <c r="V53" s="265">
        <f>IF(V$27=0,0,V$27/AGR_fec!V$27)</f>
        <v>0</v>
      </c>
      <c r="W53" s="265">
        <f>IF(W$27=0,0,W$27/AGR_fec!W$27)</f>
        <v>0</v>
      </c>
      <c r="X53" s="265">
        <f>IF(X$27=0,0,X$27/AGR_fec!X$27)</f>
        <v>0</v>
      </c>
      <c r="Y53" s="265">
        <f>IF(Y$27=0,0,Y$27/AGR_fec!Y$27)</f>
        <v>0</v>
      </c>
      <c r="DA53" s="291"/>
    </row>
  </sheetData>
  <pageMargins left="0.39370078740157483" right="0.39370078740157483" top="0.39370078740157483" bottom="0.39370078740157483" header="0.31496062992125984" footer="0.31496062992125984"/>
  <pageSetup paperSize="9" scale="68" orientation="landscape" horizontalDpi="1200" verticalDpi="1200" r:id="rId1"/>
  <headerFooter alignWithMargins="0"/>
  <ignoredErrors>
    <ignoredError sqref="B5:Y5 B9:Y9 B17:Y17" formulaRange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36</vt:i4>
      </vt:variant>
      <vt:variant>
        <vt:lpstr>Named Ranges</vt:lpstr>
      </vt:variant>
      <vt:variant>
        <vt:i4>35</vt:i4>
      </vt:variant>
    </vt:vector>
  </HeadingPairs>
  <TitlesOfParts>
    <vt:vector size="71" baseType="lpstr">
      <vt:lpstr>cover</vt:lpstr>
      <vt:lpstr>index</vt:lpstr>
      <vt:lpstr>SER_summary</vt:lpstr>
      <vt:lpstr>SER_hh_num</vt:lpstr>
      <vt:lpstr>SER_hh_fec</vt:lpstr>
      <vt:lpstr>SER_hh_tes</vt:lpstr>
      <vt:lpstr>SER_hh_eff</vt:lpstr>
      <vt:lpstr>SER_hh_emi</vt:lpstr>
      <vt:lpstr>SER_hh_fech</vt:lpstr>
      <vt:lpstr>SER_hh_tesh</vt:lpstr>
      <vt:lpstr>SER_hh_emih</vt:lpstr>
      <vt:lpstr>SER_hh_fecs</vt:lpstr>
      <vt:lpstr>SER_hh_tess</vt:lpstr>
      <vt:lpstr>SER_hh_emis</vt:lpstr>
      <vt:lpstr>SER_hh_num_in</vt:lpstr>
      <vt:lpstr>SER_hh_fec_in</vt:lpstr>
      <vt:lpstr>SER_hh_tes_in</vt:lpstr>
      <vt:lpstr>SER_hh_eff_in</vt:lpstr>
      <vt:lpstr>SER_hh_emi_in</vt:lpstr>
      <vt:lpstr>SER_hh_fech_in</vt:lpstr>
      <vt:lpstr>SER_hh_tesh_in</vt:lpstr>
      <vt:lpstr>SER_hh_emih_in</vt:lpstr>
      <vt:lpstr>SER_hh_fecs_in</vt:lpstr>
      <vt:lpstr>SER_hh_tess_in</vt:lpstr>
      <vt:lpstr>SER_hh_emis_in</vt:lpstr>
      <vt:lpstr>SER_se-appl</vt:lpstr>
      <vt:lpstr>SER_VE</vt:lpstr>
      <vt:lpstr>SER_SL</vt:lpstr>
      <vt:lpstr>SER_BL</vt:lpstr>
      <vt:lpstr>SER_CR</vt:lpstr>
      <vt:lpstr>SER_BT</vt:lpstr>
      <vt:lpstr>SER_IT</vt:lpstr>
      <vt:lpstr>AGR</vt:lpstr>
      <vt:lpstr>AGR_fec</vt:lpstr>
      <vt:lpstr>AGR_ued</vt:lpstr>
      <vt:lpstr>AGR_emi</vt:lpstr>
      <vt:lpstr>AGR!Print_Area</vt:lpstr>
      <vt:lpstr>AGR!Print_Titles</vt:lpstr>
      <vt:lpstr>AGR_emi!Print_Titles</vt:lpstr>
      <vt:lpstr>AGR_fec!Print_Titles</vt:lpstr>
      <vt:lpstr>AGR_ued!Print_Titles</vt:lpstr>
      <vt:lpstr>SER_BL!Print_Titles</vt:lpstr>
      <vt:lpstr>SER_BT!Print_Titles</vt:lpstr>
      <vt:lpstr>SER_CR!Print_Titles</vt:lpstr>
      <vt:lpstr>SER_hh_eff!Print_Titles</vt:lpstr>
      <vt:lpstr>SER_hh_eff_in!Print_Titles</vt:lpstr>
      <vt:lpstr>SER_hh_emi!Print_Titles</vt:lpstr>
      <vt:lpstr>SER_hh_emi_in!Print_Titles</vt:lpstr>
      <vt:lpstr>SER_hh_emih!Print_Titles</vt:lpstr>
      <vt:lpstr>SER_hh_emih_in!Print_Titles</vt:lpstr>
      <vt:lpstr>SER_hh_emis!Print_Titles</vt:lpstr>
      <vt:lpstr>SER_hh_emis_in!Print_Titles</vt:lpstr>
      <vt:lpstr>SER_hh_fec!Print_Titles</vt:lpstr>
      <vt:lpstr>SER_hh_fec_in!Print_Titles</vt:lpstr>
      <vt:lpstr>SER_hh_fech!Print_Titles</vt:lpstr>
      <vt:lpstr>SER_hh_fech_in!Print_Titles</vt:lpstr>
      <vt:lpstr>SER_hh_fecs!Print_Titles</vt:lpstr>
      <vt:lpstr>SER_hh_fecs_in!Print_Titles</vt:lpstr>
      <vt:lpstr>SER_hh_num!Print_Titles</vt:lpstr>
      <vt:lpstr>SER_hh_num_in!Print_Titles</vt:lpstr>
      <vt:lpstr>SER_hh_tes!Print_Titles</vt:lpstr>
      <vt:lpstr>SER_hh_tes_in!Print_Titles</vt:lpstr>
      <vt:lpstr>SER_hh_tesh!Print_Titles</vt:lpstr>
      <vt:lpstr>SER_hh_tesh_in!Print_Titles</vt:lpstr>
      <vt:lpstr>SER_hh_tess!Print_Titles</vt:lpstr>
      <vt:lpstr>SER_hh_tess_in!Print_Titles</vt:lpstr>
      <vt:lpstr>SER_IT!Print_Titles</vt:lpstr>
      <vt:lpstr>'SER_se-appl'!Print_Titles</vt:lpstr>
      <vt:lpstr>SER_SL!Print_Titles</vt:lpstr>
      <vt:lpstr>SER_summary!Print_Titles</vt:lpstr>
      <vt:lpstr>SER_VE!Print_Titles</vt:lpstr>
    </vt:vector>
  </TitlesOfParts>
  <Company>European Commission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JRC-IDEES-2023</dc:title>
  <dc:creator>JRC C.6</dc:creator>
  <dc:description>v2023-1.00</dc:description>
  <cp:lastModifiedBy>JRC-SVQ-ROZSAMA</cp:lastModifiedBy>
  <dcterms:created xsi:type="dcterms:W3CDTF">2025-11-06T10:30:24Z</dcterms:created>
  <dcterms:modified xsi:type="dcterms:W3CDTF">2025-11-06T10:30:24Z</dcterms:modified>
</cp:coreProperties>
</file>