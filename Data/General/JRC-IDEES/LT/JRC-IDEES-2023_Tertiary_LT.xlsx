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LT\"/>
    </mc:Choice>
  </mc:AlternateContent>
  <bookViews>
    <workbookView xWindow="-120" yWindow="-120" windowWidth="29040" windowHeight="15720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5" i="6" l="1"/>
  <c r="X95" i="6"/>
  <c r="Y67" i="6"/>
  <c r="X67" i="6"/>
  <c r="Y119" i="6"/>
  <c r="Y173" i="6" s="1"/>
  <c r="X119" i="6"/>
  <c r="X173" i="6" s="1"/>
  <c r="X26" i="12"/>
  <c r="X24" i="12"/>
  <c r="Y16" i="7"/>
  <c r="X16" i="7"/>
  <c r="Y14" i="13"/>
  <c r="X13" i="12"/>
  <c r="X21" i="12"/>
  <c r="X20" i="12"/>
  <c r="X16" i="8"/>
  <c r="Y14" i="12"/>
  <c r="Y6" i="12"/>
  <c r="Y33" i="13"/>
  <c r="Y22" i="13"/>
  <c r="X22" i="13"/>
  <c r="Y21" i="13"/>
  <c r="X21" i="13"/>
  <c r="Y20" i="13"/>
  <c r="Y18" i="13"/>
  <c r="X18" i="10"/>
  <c r="Y17" i="13"/>
  <c r="X17" i="10"/>
  <c r="Y6" i="13"/>
  <c r="X6" i="10"/>
  <c r="Y33" i="14"/>
  <c r="Y33" i="17" s="1"/>
  <c r="X33" i="14"/>
  <c r="X33" i="17" s="1"/>
  <c r="Y26" i="14"/>
  <c r="Y26" i="17" s="1"/>
  <c r="X26" i="14"/>
  <c r="X26" i="17" s="1"/>
  <c r="Y25" i="14"/>
  <c r="Y25" i="17" s="1"/>
  <c r="X25" i="14"/>
  <c r="X25" i="17" s="1"/>
  <c r="X22" i="14"/>
  <c r="Y21" i="14"/>
  <c r="X21" i="14"/>
  <c r="Y20" i="14"/>
  <c r="X20" i="14"/>
  <c r="Y18" i="14"/>
  <c r="Y18" i="17" s="1"/>
  <c r="X18" i="14"/>
  <c r="X18" i="17" s="1"/>
  <c r="Y17" i="14"/>
  <c r="X16" i="1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Y6" i="14"/>
  <c r="X32" i="12"/>
  <c r="Y31" i="12"/>
  <c r="X31" i="12"/>
  <c r="X23" i="12"/>
  <c r="Y22" i="12"/>
  <c r="X17" i="12"/>
  <c r="X14" i="12"/>
  <c r="X33" i="13"/>
  <c r="X32" i="13"/>
  <c r="Y28" i="14"/>
  <c r="Y28" i="17" s="1"/>
  <c r="X28" i="14"/>
  <c r="X28" i="17" s="1"/>
  <c r="Y27" i="14"/>
  <c r="Y27" i="17" s="1"/>
  <c r="X27" i="14"/>
  <c r="X27" i="17" s="1"/>
  <c r="Y15" i="14"/>
  <c r="Y15" i="17" s="1"/>
  <c r="X15" i="14"/>
  <c r="X15" i="17" s="1"/>
  <c r="Y29" i="18"/>
  <c r="X28" i="23"/>
  <c r="Y26" i="23"/>
  <c r="Y24" i="25"/>
  <c r="Y14" i="24"/>
  <c r="X13" i="23"/>
  <c r="Y10" i="24"/>
  <c r="X9" i="23"/>
  <c r="Y8" i="23"/>
  <c r="Y7" i="25"/>
  <c r="X24" i="23"/>
  <c r="Y23" i="23"/>
  <c r="X23" i="23"/>
  <c r="Y22" i="23"/>
  <c r="Y20" i="23"/>
  <c r="Y20" i="26" s="1"/>
  <c r="X5" i="21"/>
  <c r="Y33" i="24"/>
  <c r="X33" i="21"/>
  <c r="Y22" i="24"/>
  <c r="Y20" i="21"/>
  <c r="X20" i="21"/>
  <c r="Y18" i="21"/>
  <c r="X18" i="24"/>
  <c r="Y17" i="24"/>
  <c r="X15" i="21"/>
  <c r="Y33" i="25"/>
  <c r="Y33" i="28" s="1"/>
  <c r="X33" i="25"/>
  <c r="X33" i="28" s="1"/>
  <c r="Y26" i="25"/>
  <c r="Y26" i="28" s="1"/>
  <c r="X25" i="25"/>
  <c r="X25" i="28" s="1"/>
  <c r="X24" i="25"/>
  <c r="Y23" i="25"/>
  <c r="X23" i="25"/>
  <c r="Y22" i="25"/>
  <c r="Y20" i="25"/>
  <c r="Y20" i="28" s="1"/>
  <c r="X20" i="25"/>
  <c r="X20" i="28" s="1"/>
  <c r="Y18" i="25"/>
  <c r="Y18" i="28" s="1"/>
  <c r="X18" i="25"/>
  <c r="X18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Y33" i="23"/>
  <c r="Y21" i="24"/>
  <c r="X21" i="24"/>
  <c r="Y20" i="24"/>
  <c r="Y20" i="27" s="1"/>
  <c r="X20" i="24"/>
  <c r="X20" i="27" s="1"/>
  <c r="Y18" i="24"/>
  <c r="Y28" i="25"/>
  <c r="Y28" i="28" s="1"/>
  <c r="X28" i="25"/>
  <c r="X28" i="28" s="1"/>
  <c r="Y27" i="25"/>
  <c r="Y27" i="28" s="1"/>
  <c r="X27" i="25"/>
  <c r="X27" i="28" s="1"/>
  <c r="X26" i="25"/>
  <c r="X26" i="28" s="1"/>
  <c r="Y25" i="25"/>
  <c r="Y25" i="28" s="1"/>
  <c r="Y15" i="25"/>
  <c r="Y15" i="28" s="1"/>
  <c r="X15" i="25"/>
  <c r="X15" i="28" s="1"/>
  <c r="X11" i="25"/>
  <c r="X11" i="28" s="1"/>
  <c r="Y15" i="35"/>
  <c r="X15" i="35"/>
  <c r="Y15" i="34"/>
  <c r="X15" i="34"/>
  <c r="Y15" i="33"/>
  <c r="X15" i="33"/>
  <c r="Y15" i="32"/>
  <c r="X15" i="32"/>
  <c r="Y15" i="31"/>
  <c r="X15" i="31"/>
  <c r="Y15" i="30"/>
  <c r="X15" i="30"/>
  <c r="Y14" i="35"/>
  <c r="X14" i="35"/>
  <c r="Y14" i="34"/>
  <c r="X14" i="34"/>
  <c r="Y14" i="33"/>
  <c r="X14" i="33"/>
  <c r="Y14" i="32"/>
  <c r="Y14" i="31"/>
  <c r="X14" i="31"/>
  <c r="Y14" i="30"/>
  <c r="X12" i="29"/>
  <c r="X5" i="30" s="1"/>
  <c r="Y12" i="35"/>
  <c r="X12" i="35"/>
  <c r="Y12" i="34"/>
  <c r="X12" i="34"/>
  <c r="Y12" i="33"/>
  <c r="X12" i="33"/>
  <c r="Y12" i="32"/>
  <c r="X12" i="32"/>
  <c r="Y12" i="31"/>
  <c r="X12" i="31"/>
  <c r="Y12" i="30"/>
  <c r="X12" i="30"/>
  <c r="Y10" i="35"/>
  <c r="X10" i="35"/>
  <c r="X10" i="34"/>
  <c r="Y10" i="33"/>
  <c r="X10" i="33"/>
  <c r="Y10" i="32"/>
  <c r="X10" i="32"/>
  <c r="Y10" i="31"/>
  <c r="X10" i="31"/>
  <c r="X10" i="30"/>
  <c r="Y9" i="35"/>
  <c r="X9" i="35"/>
  <c r="Y9" i="34"/>
  <c r="X9" i="34"/>
  <c r="Y9" i="33"/>
  <c r="X9" i="33"/>
  <c r="Y9" i="32"/>
  <c r="X9" i="32"/>
  <c r="Y9" i="31"/>
  <c r="X9" i="31"/>
  <c r="Y9" i="30"/>
  <c r="X9" i="30"/>
  <c r="Y8" i="32"/>
  <c r="Y10" i="30"/>
  <c r="X8" i="30"/>
  <c r="X14" i="32"/>
  <c r="Y10" i="34"/>
  <c r="Y49" i="38"/>
  <c r="X49" i="38"/>
  <c r="Y45" i="38"/>
  <c r="X45" i="38"/>
  <c r="Y40" i="39"/>
  <c r="X40" i="39"/>
  <c r="Y52" i="39"/>
  <c r="X52" i="39"/>
  <c r="Y47" i="39"/>
  <c r="X47" i="39"/>
  <c r="Y46" i="39"/>
  <c r="X46" i="39"/>
  <c r="Y32" i="39"/>
  <c r="X32" i="39"/>
  <c r="Y14" i="36"/>
  <c r="Y9" i="36"/>
  <c r="Y27" i="6" l="1"/>
  <c r="Y24" i="28" s="1"/>
  <c r="Y18" i="10"/>
  <c r="X7" i="12"/>
  <c r="Y33" i="10"/>
  <c r="X8" i="12"/>
  <c r="Y24" i="23"/>
  <c r="Y24" i="26" s="1"/>
  <c r="Y5" i="10"/>
  <c r="X25" i="23"/>
  <c r="Y24" i="12"/>
  <c r="X25" i="12"/>
  <c r="X23" i="21"/>
  <c r="Y7" i="24"/>
  <c r="Y7" i="27" s="1"/>
  <c r="Y23" i="10"/>
  <c r="Y10" i="12"/>
  <c r="X8" i="13"/>
  <c r="X11" i="12"/>
  <c r="Y8" i="13"/>
  <c r="X8" i="24"/>
  <c r="X8" i="27" s="1"/>
  <c r="X9" i="21"/>
  <c r="X25" i="24"/>
  <c r="X17" i="24"/>
  <c r="X17" i="27" s="1"/>
  <c r="X25" i="13"/>
  <c r="X12" i="12"/>
  <c r="X14" i="30"/>
  <c r="X7" i="14"/>
  <c r="Y25" i="13"/>
  <c r="Y17" i="10"/>
  <c r="X31" i="23"/>
  <c r="X26" i="13"/>
  <c r="X5" i="10"/>
  <c r="Y26" i="24"/>
  <c r="Y26" i="27" s="1"/>
  <c r="Y31" i="23"/>
  <c r="Y31" i="26" s="1"/>
  <c r="Y10" i="13"/>
  <c r="Y26" i="13"/>
  <c r="X27" i="21"/>
  <c r="X32" i="23"/>
  <c r="X11" i="13"/>
  <c r="Y8" i="25"/>
  <c r="Y8" i="28" s="1"/>
  <c r="X13" i="29"/>
  <c r="X5" i="31" s="1"/>
  <c r="X12" i="24"/>
  <c r="X12" i="13"/>
  <c r="X30" i="13"/>
  <c r="Y8" i="24"/>
  <c r="Y8" i="27" s="1"/>
  <c r="Y11" i="24"/>
  <c r="Y11" i="27" s="1"/>
  <c r="Y13" i="29"/>
  <c r="Y5" i="29" s="1"/>
  <c r="Y9" i="25"/>
  <c r="Y9" i="28" s="1"/>
  <c r="Y12" i="24"/>
  <c r="Y12" i="27" s="1"/>
  <c r="Y21" i="25"/>
  <c r="Y21" i="28" s="1"/>
  <c r="X10" i="14"/>
  <c r="X30" i="14"/>
  <c r="Y12" i="13"/>
  <c r="Y19" i="22"/>
  <c r="Y52" i="38"/>
  <c r="X14" i="29"/>
  <c r="X10" i="25"/>
  <c r="X10" i="28" s="1"/>
  <c r="X13" i="21"/>
  <c r="X31" i="24"/>
  <c r="X17" i="23"/>
  <c r="X22" i="24"/>
  <c r="X22" i="27" s="1"/>
  <c r="Y10" i="14"/>
  <c r="X31" i="13"/>
  <c r="Y33" i="12"/>
  <c r="X21" i="21"/>
  <c r="X7" i="21"/>
  <c r="Y17" i="23"/>
  <c r="Y17" i="26" s="1"/>
  <c r="X31" i="14"/>
  <c r="Y31" i="13"/>
  <c r="X9" i="36"/>
  <c r="Y53" i="38"/>
  <c r="Y31" i="14"/>
  <c r="X32" i="10"/>
  <c r="Y14" i="21"/>
  <c r="Y32" i="21"/>
  <c r="X17" i="13"/>
  <c r="X8" i="25"/>
  <c r="Y45" i="37"/>
  <c r="X33" i="10"/>
  <c r="Y33" i="21"/>
  <c r="Y12" i="23"/>
  <c r="Y12" i="26" s="1"/>
  <c r="X6" i="14"/>
  <c r="X10" i="12"/>
  <c r="X14" i="13"/>
  <c r="X13" i="24"/>
  <c r="X32" i="25"/>
  <c r="X11" i="24"/>
  <c r="X29" i="19"/>
  <c r="X71" i="6"/>
  <c r="X7" i="25"/>
  <c r="X7" i="28" s="1"/>
  <c r="X17" i="25"/>
  <c r="Y31" i="21"/>
  <c r="Y6" i="23"/>
  <c r="Y6" i="26" s="1"/>
  <c r="Y10" i="23"/>
  <c r="Y10" i="26" s="1"/>
  <c r="Y14" i="23"/>
  <c r="Y14" i="26" s="1"/>
  <c r="Y19" i="19"/>
  <c r="Y5" i="23"/>
  <c r="Y5" i="26" s="1"/>
  <c r="X14" i="36"/>
  <c r="X22" i="25"/>
  <c r="X17" i="21"/>
  <c r="X32" i="21"/>
  <c r="X7" i="23"/>
  <c r="X11" i="23"/>
  <c r="Y26" i="12"/>
  <c r="Y29" i="7"/>
  <c r="Y23" i="26"/>
  <c r="Y37" i="6"/>
  <c r="X33" i="24"/>
  <c r="Y30" i="14"/>
  <c r="Y24" i="13"/>
  <c r="Y30" i="13"/>
  <c r="X18" i="12"/>
  <c r="X23" i="14"/>
  <c r="X28" i="12"/>
  <c r="X33" i="12"/>
  <c r="X27" i="6"/>
  <c r="X23" i="26" s="1"/>
  <c r="Y8" i="14"/>
  <c r="Y12" i="12"/>
  <c r="Y18" i="12"/>
  <c r="Y28" i="12"/>
  <c r="X82" i="6"/>
  <c r="X81" i="6" s="1"/>
  <c r="X93" i="6" s="1"/>
  <c r="X107" i="6"/>
  <c r="X24" i="28"/>
  <c r="X9" i="25"/>
  <c r="X8" i="21"/>
  <c r="X9" i="14"/>
  <c r="X20" i="13"/>
  <c r="X24" i="14"/>
  <c r="Y8" i="36"/>
  <c r="X45" i="37"/>
  <c r="Y8" i="21"/>
  <c r="X71" i="29"/>
  <c r="X6" i="33" s="1"/>
  <c r="X20" i="6"/>
  <c r="Y8" i="33"/>
  <c r="X23" i="6"/>
  <c r="X162" i="6" s="1"/>
  <c r="Y115" i="6"/>
  <c r="X19" i="6"/>
  <c r="X21" i="6"/>
  <c r="X116" i="6"/>
  <c r="Y71" i="29"/>
  <c r="Y6" i="33" s="1"/>
  <c r="Y19" i="6"/>
  <c r="Y26" i="6"/>
  <c r="Y24" i="15" s="1"/>
  <c r="Y68" i="29"/>
  <c r="Y6" i="30" s="1"/>
  <c r="X101" i="6"/>
  <c r="X122" i="6" s="1"/>
  <c r="X118" i="6"/>
  <c r="Y73" i="29"/>
  <c r="Y6" i="35" s="1"/>
  <c r="Y118" i="6"/>
  <c r="X48" i="6"/>
  <c r="X47" i="6" s="1"/>
  <c r="X60" i="6" s="1"/>
  <c r="X37" i="6"/>
  <c r="X31" i="6" s="1"/>
  <c r="X21" i="27"/>
  <c r="X29" i="8"/>
  <c r="X30" i="12"/>
  <c r="X30" i="10"/>
  <c r="X4" i="7"/>
  <c r="X3" i="7" s="1"/>
  <c r="X5" i="12"/>
  <c r="X32" i="14"/>
  <c r="X29" i="11"/>
  <c r="Y20" i="12"/>
  <c r="Y20" i="10"/>
  <c r="X33" i="6"/>
  <c r="X5" i="24"/>
  <c r="X5" i="23"/>
  <c r="X30" i="23"/>
  <c r="X18" i="13"/>
  <c r="X20" i="10"/>
  <c r="X10" i="13"/>
  <c r="X14" i="10"/>
  <c r="X19" i="9"/>
  <c r="X19" i="10" s="1"/>
  <c r="X24" i="13"/>
  <c r="X29" i="9"/>
  <c r="X29" i="10" s="1"/>
  <c r="Y8" i="12"/>
  <c r="X22" i="12"/>
  <c r="Y31" i="10"/>
  <c r="Y24" i="14"/>
  <c r="Y101" i="6"/>
  <c r="Y122" i="6" s="1"/>
  <c r="X117" i="6"/>
  <c r="X9" i="13"/>
  <c r="X23" i="13"/>
  <c r="X52" i="37"/>
  <c r="Y31" i="24"/>
  <c r="Y31" i="27" s="1"/>
  <c r="X21" i="25"/>
  <c r="Y12" i="21"/>
  <c r="X9" i="24"/>
  <c r="X12" i="21"/>
  <c r="X17" i="14"/>
  <c r="X5" i="13"/>
  <c r="X6" i="12"/>
  <c r="Y14" i="10"/>
  <c r="X4" i="8"/>
  <c r="X9" i="12"/>
  <c r="Y117" i="6"/>
  <c r="X17" i="28"/>
  <c r="Y29" i="22"/>
  <c r="Y29" i="25" s="1"/>
  <c r="Y29" i="28" s="1"/>
  <c r="Y5" i="21"/>
  <c r="Y23" i="24"/>
  <c r="Y23" i="27" s="1"/>
  <c r="Y28" i="24"/>
  <c r="Y28" i="27" s="1"/>
  <c r="Y16" i="18"/>
  <c r="Y32" i="25"/>
  <c r="Y32" i="28" s="1"/>
  <c r="Y5" i="13"/>
  <c r="X5" i="14"/>
  <c r="X19" i="11"/>
  <c r="X4" i="9"/>
  <c r="X15" i="10"/>
  <c r="Y13" i="12"/>
  <c r="X27" i="10"/>
  <c r="Y11" i="12"/>
  <c r="Y21" i="27"/>
  <c r="X5" i="25"/>
  <c r="X28" i="13"/>
  <c r="X11" i="26"/>
  <c r="Y9" i="13"/>
  <c r="Y16" i="9"/>
  <c r="Y16" i="13" s="1"/>
  <c r="Y9" i="39"/>
  <c r="Y17" i="38"/>
  <c r="Y46" i="37"/>
  <c r="Y17" i="27"/>
  <c r="X6" i="25"/>
  <c r="Y15" i="21"/>
  <c r="X51" i="39"/>
  <c r="Y32" i="24"/>
  <c r="Y16" i="22"/>
  <c r="Y16" i="25" s="1"/>
  <c r="Y16" i="28" s="1"/>
  <c r="X6" i="24"/>
  <c r="X24" i="24"/>
  <c r="X30" i="24"/>
  <c r="X6" i="13"/>
  <c r="Y11" i="10"/>
  <c r="Y15" i="10"/>
  <c r="X8" i="14"/>
  <c r="Y22" i="26"/>
  <c r="X13" i="13"/>
  <c r="X9" i="39"/>
  <c r="X5" i="39" s="1"/>
  <c r="X46" i="37"/>
  <c r="X21" i="23"/>
  <c r="X21" i="26" s="1"/>
  <c r="Y13" i="13"/>
  <c r="X19" i="7"/>
  <c r="X27" i="12" s="1"/>
  <c r="X29" i="7"/>
  <c r="Y19" i="18"/>
  <c r="Y31" i="25"/>
  <c r="Y31" i="28" s="1"/>
  <c r="Y9" i="38"/>
  <c r="Y52" i="37"/>
  <c r="X32" i="24"/>
  <c r="Y51" i="39"/>
  <c r="Y6" i="24"/>
  <c r="Y24" i="24"/>
  <c r="Y18" i="23"/>
  <c r="Y18" i="26" s="1"/>
  <c r="X16" i="9"/>
  <c r="X16" i="13" s="1"/>
  <c r="X19" i="8"/>
  <c r="Y33" i="6"/>
  <c r="Y31" i="6" s="1"/>
  <c r="X16" i="10"/>
  <c r="X103" i="6"/>
  <c r="X124" i="6" s="1"/>
  <c r="X17" i="37"/>
  <c r="X50" i="37" s="1"/>
  <c r="Y11" i="23"/>
  <c r="Y11" i="26" s="1"/>
  <c r="Y71" i="6"/>
  <c r="Y104" i="6"/>
  <c r="Y10" i="21"/>
  <c r="X21" i="10"/>
  <c r="X105" i="6"/>
  <c r="X8" i="33"/>
  <c r="Y9" i="21"/>
  <c r="Y25" i="21"/>
  <c r="Y13" i="23"/>
  <c r="Y21" i="10"/>
  <c r="Y9" i="12"/>
  <c r="Y105" i="6"/>
  <c r="X72" i="29"/>
  <c r="X6" i="34" s="1"/>
  <c r="X10" i="21"/>
  <c r="X26" i="21"/>
  <c r="X14" i="23"/>
  <c r="X14" i="26" s="1"/>
  <c r="X22" i="10"/>
  <c r="Y72" i="29"/>
  <c r="Y6" i="34" s="1"/>
  <c r="Y22" i="10"/>
  <c r="Y25" i="12"/>
  <c r="X29" i="18"/>
  <c r="X17" i="29"/>
  <c r="X5" i="35" s="1"/>
  <c r="X11" i="21"/>
  <c r="X23" i="10"/>
  <c r="X24" i="10"/>
  <c r="X104" i="6"/>
  <c r="Y8" i="30"/>
  <c r="Y24" i="10"/>
  <c r="Y16" i="11"/>
  <c r="Y16" i="14" s="1"/>
  <c r="Y6" i="10"/>
  <c r="X25" i="10"/>
  <c r="X8" i="28"/>
  <c r="X16" i="19"/>
  <c r="X7" i="10"/>
  <c r="Y25" i="10"/>
  <c r="Y19" i="9"/>
  <c r="X12" i="23"/>
  <c r="Y22" i="21"/>
  <c r="Y13" i="21"/>
  <c r="Y16" i="19"/>
  <c r="X8" i="10"/>
  <c r="X26" i="10"/>
  <c r="X30" i="25"/>
  <c r="Y23" i="21"/>
  <c r="X14" i="21"/>
  <c r="X33" i="23"/>
  <c r="X4" i="11"/>
  <c r="X4" i="14" s="1"/>
  <c r="Y8" i="10"/>
  <c r="Y26" i="10"/>
  <c r="X15" i="7"/>
  <c r="X15" i="13" s="1"/>
  <c r="Y19" i="7"/>
  <c r="Y27" i="12" s="1"/>
  <c r="Y17" i="37"/>
  <c r="X31" i="25"/>
  <c r="Y24" i="21"/>
  <c r="Y27" i="24"/>
  <c r="Y27" i="27" s="1"/>
  <c r="X7" i="13"/>
  <c r="X9" i="10"/>
  <c r="X115" i="6"/>
  <c r="X23" i="24"/>
  <c r="X25" i="21"/>
  <c r="Y9" i="10"/>
  <c r="Y6" i="21"/>
  <c r="Y103" i="6"/>
  <c r="Y19" i="36"/>
  <c r="Y12" i="36" s="1"/>
  <c r="Y34" i="39"/>
  <c r="Y9" i="37"/>
  <c r="Y48" i="37" s="1"/>
  <c r="Y53" i="37"/>
  <c r="Y10" i="25"/>
  <c r="Y10" i="28" s="1"/>
  <c r="Y26" i="21"/>
  <c r="X10" i="10"/>
  <c r="Y30" i="10"/>
  <c r="X8" i="32"/>
  <c r="X34" i="39"/>
  <c r="Y27" i="21"/>
  <c r="Y19" i="11"/>
  <c r="Y10" i="10"/>
  <c r="X31" i="10"/>
  <c r="X102" i="6"/>
  <c r="X123" i="6" s="1"/>
  <c r="Y33" i="39"/>
  <c r="X30" i="21"/>
  <c r="X19" i="19"/>
  <c r="X11" i="10"/>
  <c r="X19" i="36"/>
  <c r="X9" i="37"/>
  <c r="X48" i="37" s="1"/>
  <c r="X12" i="10"/>
  <c r="Y23" i="6"/>
  <c r="Y70" i="29"/>
  <c r="Y6" i="32" s="1"/>
  <c r="X4" i="29"/>
  <c r="Y25" i="24"/>
  <c r="X29" i="22"/>
  <c r="Y12" i="10"/>
  <c r="X24" i="6"/>
  <c r="X17" i="38"/>
  <c r="X53" i="37"/>
  <c r="X17" i="39"/>
  <c r="X47" i="38"/>
  <c r="Y14" i="29"/>
  <c r="X7" i="24"/>
  <c r="X26" i="24"/>
  <c r="Y21" i="23"/>
  <c r="Y21" i="26" s="1"/>
  <c r="X13" i="10"/>
  <c r="Y24" i="6"/>
  <c r="Y17" i="39"/>
  <c r="Y47" i="38"/>
  <c r="X15" i="29"/>
  <c r="X7" i="29" s="1"/>
  <c r="Y17" i="25"/>
  <c r="Y17" i="28" s="1"/>
  <c r="Y25" i="23"/>
  <c r="Y25" i="26" s="1"/>
  <c r="X25" i="6"/>
  <c r="X51" i="38"/>
  <c r="Y15" i="29"/>
  <c r="Y5" i="33" s="1"/>
  <c r="X28" i="24"/>
  <c r="X28" i="27" s="1"/>
  <c r="X4" i="19"/>
  <c r="X26" i="23"/>
  <c r="Y9" i="14"/>
  <c r="Y25" i="6"/>
  <c r="Y49" i="37"/>
  <c r="X16" i="29"/>
  <c r="Y9" i="23"/>
  <c r="X26" i="6"/>
  <c r="X33" i="39"/>
  <c r="Y51" i="38"/>
  <c r="X9" i="38"/>
  <c r="X52" i="38"/>
  <c r="X68" i="29"/>
  <c r="X6" i="30" s="1"/>
  <c r="X6" i="27"/>
  <c r="X10" i="23"/>
  <c r="X6" i="29"/>
  <c r="X5" i="32"/>
  <c r="X9" i="29"/>
  <c r="Y12" i="29"/>
  <c r="Y16" i="29"/>
  <c r="X8" i="23"/>
  <c r="X8" i="26" s="1"/>
  <c r="Y30" i="23"/>
  <c r="Y30" i="26" s="1"/>
  <c r="X24" i="21"/>
  <c r="X29" i="20"/>
  <c r="X31" i="21"/>
  <c r="X4" i="18"/>
  <c r="X3" i="18" s="1"/>
  <c r="X15" i="18"/>
  <c r="X6" i="23"/>
  <c r="Y32" i="14"/>
  <c r="Y29" i="11"/>
  <c r="Y29" i="8"/>
  <c r="Y30" i="12"/>
  <c r="Y30" i="15" s="1"/>
  <c r="X69" i="29"/>
  <c r="X6" i="31" s="1"/>
  <c r="Y22" i="28"/>
  <c r="Y8" i="26"/>
  <c r="Y13" i="24"/>
  <c r="Y13" i="27" s="1"/>
  <c r="X4" i="22"/>
  <c r="Y48" i="6"/>
  <c r="Y102" i="6"/>
  <c r="X8" i="35"/>
  <c r="Y4" i="18"/>
  <c r="Y3" i="18" s="1"/>
  <c r="Y15" i="18"/>
  <c r="Y15" i="24" s="1"/>
  <c r="Y15" i="27" s="1"/>
  <c r="X16" i="14"/>
  <c r="X16" i="12"/>
  <c r="Y8" i="35"/>
  <c r="X8" i="34"/>
  <c r="Y26" i="26"/>
  <c r="Y5" i="25"/>
  <c r="Y5" i="28" s="1"/>
  <c r="X20" i="23"/>
  <c r="X20" i="26" s="1"/>
  <c r="Y30" i="25"/>
  <c r="Y30" i="28" s="1"/>
  <c r="Y11" i="21"/>
  <c r="Y19" i="20"/>
  <c r="Y21" i="21"/>
  <c r="Y19" i="8"/>
  <c r="Y21" i="12"/>
  <c r="Y82" i="6"/>
  <c r="Y116" i="6"/>
  <c r="X73" i="29"/>
  <c r="X6" i="35" s="1"/>
  <c r="Y4" i="19"/>
  <c r="Y7" i="23"/>
  <c r="Y21" i="6"/>
  <c r="Y20" i="6"/>
  <c r="Y69" i="29"/>
  <c r="Y6" i="31" s="1"/>
  <c r="Y5" i="24"/>
  <c r="Y5" i="27" s="1"/>
  <c r="Y32" i="12"/>
  <c r="Y7" i="10"/>
  <c r="Y4" i="9"/>
  <c r="Y23" i="12"/>
  <c r="Y23" i="14"/>
  <c r="X70" i="29"/>
  <c r="X6" i="32" s="1"/>
  <c r="Y29" i="20"/>
  <c r="Y30" i="21"/>
  <c r="Y30" i="24"/>
  <c r="Y30" i="27" s="1"/>
  <c r="X8" i="31"/>
  <c r="Y8" i="34"/>
  <c r="Y8" i="31"/>
  <c r="Y17" i="29"/>
  <c r="Y6" i="25"/>
  <c r="Y6" i="28" s="1"/>
  <c r="Y4" i="22"/>
  <c r="X22" i="21"/>
  <c r="X19" i="20"/>
  <c r="X19" i="18"/>
  <c r="X22" i="23"/>
  <c r="X22" i="26" s="1"/>
  <c r="Y22" i="14"/>
  <c r="Y13" i="10"/>
  <c r="Y16" i="8"/>
  <c r="Y16" i="12" s="1"/>
  <c r="Y17" i="12"/>
  <c r="Y107" i="6"/>
  <c r="Y32" i="10"/>
  <c r="Y29" i="9"/>
  <c r="Y32" i="13"/>
  <c r="Y9" i="24"/>
  <c r="Y9" i="27" s="1"/>
  <c r="X4" i="20"/>
  <c r="X6" i="21"/>
  <c r="Y27" i="10"/>
  <c r="Y28" i="13"/>
  <c r="Y28" i="16" s="1"/>
  <c r="Y7" i="12"/>
  <c r="Y4" i="7"/>
  <c r="Y3" i="7" s="1"/>
  <c r="Y7" i="14"/>
  <c r="Y15" i="7"/>
  <c r="Y15" i="12" s="1"/>
  <c r="X10" i="24"/>
  <c r="X19" i="22"/>
  <c r="Y4" i="20"/>
  <c r="Y16" i="20"/>
  <c r="Y17" i="21"/>
  <c r="Y32" i="23"/>
  <c r="Y32" i="26" s="1"/>
  <c r="Y29" i="19"/>
  <c r="Y29" i="23" s="1"/>
  <c r="Y29" i="26" s="1"/>
  <c r="Y4" i="11"/>
  <c r="Y5" i="14"/>
  <c r="Y4" i="8"/>
  <c r="Y5" i="12"/>
  <c r="Y149" i="6"/>
  <c r="X14" i="24"/>
  <c r="X14" i="27" s="1"/>
  <c r="Y6" i="27"/>
  <c r="Y14" i="27"/>
  <c r="Y22" i="27"/>
  <c r="X16" i="22"/>
  <c r="Y7" i="21"/>
  <c r="X16" i="20"/>
  <c r="X18" i="21"/>
  <c r="Y28" i="23"/>
  <c r="Y28" i="26" s="1"/>
  <c r="X16" i="18"/>
  <c r="X18" i="23"/>
  <c r="Y7" i="13"/>
  <c r="Y11" i="13"/>
  <c r="Y23" i="13"/>
  <c r="X149" i="6"/>
  <c r="X53" i="38"/>
  <c r="X45" i="39"/>
  <c r="X47" i="37"/>
  <c r="Y53" i="39"/>
  <c r="Y47" i="37"/>
  <c r="Y51" i="37"/>
  <c r="X53" i="39"/>
  <c r="Y49" i="39"/>
  <c r="X39" i="39"/>
  <c r="Y45" i="39"/>
  <c r="Y46" i="38"/>
  <c r="Y39" i="39"/>
  <c r="X49" i="39"/>
  <c r="X51" i="37"/>
  <c r="X49" i="37"/>
  <c r="X46" i="38"/>
  <c r="X31" i="28" l="1"/>
  <c r="X5" i="29"/>
  <c r="X10" i="27"/>
  <c r="Y5" i="39"/>
  <c r="Y37" i="39" s="1"/>
  <c r="X10" i="26"/>
  <c r="Y33" i="26"/>
  <c r="Y24" i="27"/>
  <c r="Y18" i="27"/>
  <c r="Y7" i="26"/>
  <c r="Y10" i="27"/>
  <c r="X25" i="26"/>
  <c r="X3" i="8"/>
  <c r="Y9" i="26"/>
  <c r="Y25" i="27"/>
  <c r="Y29" i="12"/>
  <c r="Y29" i="15" s="1"/>
  <c r="Y16" i="23"/>
  <c r="Y16" i="26" s="1"/>
  <c r="Y29" i="14"/>
  <c r="Y29" i="17" s="1"/>
  <c r="Y13" i="26"/>
  <c r="Y5" i="37"/>
  <c r="Y44" i="39" s="1"/>
  <c r="X12" i="36"/>
  <c r="Y5" i="31"/>
  <c r="Y10" i="16"/>
  <c r="Y139" i="6"/>
  <c r="X5" i="28"/>
  <c r="X12" i="26"/>
  <c r="X163" i="6"/>
  <c r="X26" i="26"/>
  <c r="X32" i="27"/>
  <c r="X23" i="27"/>
  <c r="Y23" i="28"/>
  <c r="Y32" i="27"/>
  <c r="X9" i="28"/>
  <c r="X15" i="12"/>
  <c r="X15" i="15" s="1"/>
  <c r="X90" i="6"/>
  <c r="X94" i="6"/>
  <c r="X4" i="13"/>
  <c r="X4" i="16" s="1"/>
  <c r="X4" i="23"/>
  <c r="X4" i="26" s="1"/>
  <c r="X29" i="13"/>
  <c r="X29" i="16" s="1"/>
  <c r="X91" i="6"/>
  <c r="X3" i="19"/>
  <c r="X25" i="27"/>
  <c r="X30" i="26"/>
  <c r="X5" i="26"/>
  <c r="X13" i="26"/>
  <c r="X5" i="27"/>
  <c r="X17" i="26"/>
  <c r="X11" i="27"/>
  <c r="X92" i="6"/>
  <c r="X27" i="13"/>
  <c r="X27" i="16" s="1"/>
  <c r="X28" i="26"/>
  <c r="X33" i="27"/>
  <c r="X9" i="27"/>
  <c r="X13" i="27"/>
  <c r="X113" i="6"/>
  <c r="X167" i="6" s="1"/>
  <c r="X89" i="6"/>
  <c r="X26" i="27"/>
  <c r="X21" i="28"/>
  <c r="X4" i="12"/>
  <c r="X4" i="15" s="1"/>
  <c r="X7" i="27"/>
  <c r="X30" i="27"/>
  <c r="X24" i="27"/>
  <c r="Y15" i="13"/>
  <c r="Y15" i="16" s="1"/>
  <c r="X33" i="26"/>
  <c r="X32" i="26"/>
  <c r="Y10" i="17"/>
  <c r="X22" i="15"/>
  <c r="X18" i="26"/>
  <c r="X6" i="26"/>
  <c r="X23" i="28"/>
  <c r="X22" i="28"/>
  <c r="X7" i="26"/>
  <c r="X30" i="28"/>
  <c r="X18" i="27"/>
  <c r="Y19" i="23"/>
  <c r="Y19" i="26" s="1"/>
  <c r="Y33" i="27"/>
  <c r="X31" i="26"/>
  <c r="Y7" i="28"/>
  <c r="X114" i="6"/>
  <c r="X144" i="6" s="1"/>
  <c r="X29" i="23"/>
  <c r="X29" i="26" s="1"/>
  <c r="X6" i="28"/>
  <c r="X57" i="6"/>
  <c r="X56" i="6"/>
  <c r="X19" i="13"/>
  <c r="X19" i="16" s="1"/>
  <c r="Y19" i="25"/>
  <c r="Y19" i="28" s="1"/>
  <c r="Y172" i="6"/>
  <c r="X9" i="26"/>
  <c r="X59" i="6"/>
  <c r="X61" i="6"/>
  <c r="Y19" i="14"/>
  <c r="Y19" i="17" s="1"/>
  <c r="X100" i="6"/>
  <c r="X130" i="6" s="1"/>
  <c r="Y48" i="39"/>
  <c r="X29" i="14"/>
  <c r="X29" i="17" s="1"/>
  <c r="X48" i="38"/>
  <c r="X99" i="6"/>
  <c r="X12" i="27"/>
  <c r="X24" i="26"/>
  <c r="X58" i="6"/>
  <c r="Y50" i="39"/>
  <c r="Y48" i="38"/>
  <c r="X19" i="14"/>
  <c r="X19" i="17" s="1"/>
  <c r="X31" i="27"/>
  <c r="X16" i="23"/>
  <c r="X16" i="26" s="1"/>
  <c r="X5" i="37"/>
  <c r="X35" i="37" s="1"/>
  <c r="X48" i="39"/>
  <c r="Y27" i="23"/>
  <c r="Y27" i="26" s="1"/>
  <c r="X55" i="6"/>
  <c r="X32" i="28"/>
  <c r="X161" i="6"/>
  <c r="Y5" i="16"/>
  <c r="X169" i="6"/>
  <c r="X159" i="6"/>
  <c r="X155" i="6"/>
  <c r="X171" i="6"/>
  <c r="X131" i="6"/>
  <c r="X165" i="6"/>
  <c r="Y14" i="15"/>
  <c r="Y9" i="17"/>
  <c r="Y23" i="16"/>
  <c r="X156" i="6"/>
  <c r="X11" i="29"/>
  <c r="Y147" i="6"/>
  <c r="Y11" i="15"/>
  <c r="Y158" i="6"/>
  <c r="X164" i="6"/>
  <c r="X16" i="17"/>
  <c r="X172" i="6"/>
  <c r="Y12" i="15"/>
  <c r="X170" i="6"/>
  <c r="Y24" i="17"/>
  <c r="Y10" i="15"/>
  <c r="Y6" i="16"/>
  <c r="Y138" i="6"/>
  <c r="Y7" i="15"/>
  <c r="Y16" i="17"/>
  <c r="Y24" i="16"/>
  <c r="Y9" i="16"/>
  <c r="Y18" i="15"/>
  <c r="Y14" i="16"/>
  <c r="Y5" i="15"/>
  <c r="Y32" i="15"/>
  <c r="Y20" i="15"/>
  <c r="Y25" i="15"/>
  <c r="Y11" i="16"/>
  <c r="Y17" i="16"/>
  <c r="Y22" i="15"/>
  <c r="Y18" i="16"/>
  <c r="Y17" i="15"/>
  <c r="Y6" i="17"/>
  <c r="Y27" i="15"/>
  <c r="Y12" i="16"/>
  <c r="Y7" i="16"/>
  <c r="Y148" i="6"/>
  <c r="Y21" i="16"/>
  <c r="Y26" i="15"/>
  <c r="Y22" i="16"/>
  <c r="Y5" i="17"/>
  <c r="Y16" i="15"/>
  <c r="Y145" i="6"/>
  <c r="Y32" i="17"/>
  <c r="Y133" i="6"/>
  <c r="Y8" i="16"/>
  <c r="Y20" i="16"/>
  <c r="Y8" i="15"/>
  <c r="Y33" i="15"/>
  <c r="Y25" i="16"/>
  <c r="Y141" i="6"/>
  <c r="Y26" i="16"/>
  <c r="Y15" i="15"/>
  <c r="Y21" i="15"/>
  <c r="Y9" i="15"/>
  <c r="Y31" i="17"/>
  <c r="Y13" i="15"/>
  <c r="X27" i="15"/>
  <c r="X32" i="17"/>
  <c r="Y8" i="17"/>
  <c r="Y33" i="16"/>
  <c r="Y17" i="17"/>
  <c r="Y30" i="16"/>
  <c r="Y7" i="17"/>
  <c r="Y32" i="16"/>
  <c r="Y22" i="17"/>
  <c r="Y23" i="17"/>
  <c r="Y31" i="16"/>
  <c r="Y28" i="15"/>
  <c r="Y30" i="17"/>
  <c r="Y140" i="6"/>
  <c r="Y13" i="16"/>
  <c r="Y20" i="17"/>
  <c r="Y6" i="15"/>
  <c r="Y21" i="17"/>
  <c r="Y31" i="15"/>
  <c r="Y23" i="15"/>
  <c r="Y16" i="16"/>
  <c r="Y50" i="38"/>
  <c r="X10" i="16"/>
  <c r="X6" i="15"/>
  <c r="X31" i="16"/>
  <c r="Y131" i="6"/>
  <c r="X11" i="16"/>
  <c r="X22" i="16"/>
  <c r="X10" i="15"/>
  <c r="X50" i="39"/>
  <c r="X8" i="16"/>
  <c r="X36" i="39"/>
  <c r="X138" i="6"/>
  <c r="X146" i="6"/>
  <c r="Y19" i="13"/>
  <c r="Y19" i="16" s="1"/>
  <c r="X7" i="16"/>
  <c r="X29" i="12"/>
  <c r="X29" i="15" s="1"/>
  <c r="X3" i="9"/>
  <c r="X134" i="6"/>
  <c r="X28" i="15"/>
  <c r="X25" i="15"/>
  <c r="X24" i="15"/>
  <c r="X33" i="16"/>
  <c r="X148" i="6"/>
  <c r="X9" i="15"/>
  <c r="X50" i="38"/>
  <c r="X21" i="17"/>
  <c r="X7" i="15"/>
  <c r="X132" i="6"/>
  <c r="Y19" i="12"/>
  <c r="Y19" i="15" s="1"/>
  <c r="X23" i="17"/>
  <c r="X28" i="16"/>
  <c r="Y50" i="37"/>
  <c r="X4" i="10"/>
  <c r="X10" i="17"/>
  <c r="X14" i="16"/>
  <c r="X21" i="16"/>
  <c r="X135" i="6"/>
  <c r="X5" i="15"/>
  <c r="X30" i="17"/>
  <c r="X23" i="16"/>
  <c r="X19" i="12"/>
  <c r="X19" i="15" s="1"/>
  <c r="X30" i="15"/>
  <c r="X26" i="16"/>
  <c r="Y5" i="38"/>
  <c r="Y33" i="36" s="1"/>
  <c r="X145" i="6"/>
  <c r="Y27" i="13"/>
  <c r="Y27" i="16" s="1"/>
  <c r="X29" i="25"/>
  <c r="X29" i="28" s="1"/>
  <c r="X4" i="17"/>
  <c r="X140" i="6"/>
  <c r="X16" i="15"/>
  <c r="X20" i="17"/>
  <c r="X32" i="16"/>
  <c r="X8" i="15"/>
  <c r="X23" i="15"/>
  <c r="Y31" i="36"/>
  <c r="Y34" i="36"/>
  <c r="Y32" i="36"/>
  <c r="X8" i="36"/>
  <c r="X3" i="11"/>
  <c r="Y44" i="37"/>
  <c r="X3" i="35"/>
  <c r="Y159" i="6"/>
  <c r="Y135" i="6"/>
  <c r="X5" i="38"/>
  <c r="X38" i="38" s="1"/>
  <c r="X44" i="37"/>
  <c r="X3" i="31"/>
  <c r="Y163" i="6"/>
  <c r="Y165" i="6"/>
  <c r="Y37" i="37"/>
  <c r="Y3" i="31"/>
  <c r="X158" i="6"/>
  <c r="X125" i="6"/>
  <c r="Y164" i="6"/>
  <c r="X3" i="32"/>
  <c r="X3" i="30"/>
  <c r="X3" i="33"/>
  <c r="Y171" i="6"/>
  <c r="Y162" i="6"/>
  <c r="Y157" i="6"/>
  <c r="Y124" i="6"/>
  <c r="Y134" i="6"/>
  <c r="Y125" i="6"/>
  <c r="X12" i="15"/>
  <c r="X13" i="16"/>
  <c r="X16" i="16"/>
  <c r="Y169" i="6"/>
  <c r="X35" i="39"/>
  <c r="X16" i="25"/>
  <c r="X16" i="28" s="1"/>
  <c r="X30" i="16"/>
  <c r="X9" i="17"/>
  <c r="X31" i="17"/>
  <c r="X147" i="6"/>
  <c r="X26" i="15"/>
  <c r="Y33" i="37"/>
  <c r="X5" i="33"/>
  <c r="X139" i="6"/>
  <c r="X22" i="17"/>
  <c r="X31" i="15"/>
  <c r="X6" i="16"/>
  <c r="X5" i="16"/>
  <c r="X7" i="17"/>
  <c r="X6" i="17"/>
  <c r="X21" i="15"/>
  <c r="X14" i="15"/>
  <c r="X20" i="15"/>
  <c r="X18" i="16"/>
  <c r="X18" i="15"/>
  <c r="X17" i="16"/>
  <c r="X141" i="6"/>
  <c r="X17" i="15"/>
  <c r="X20" i="16"/>
  <c r="X137" i="6"/>
  <c r="X13" i="15"/>
  <c r="X133" i="6"/>
  <c r="X157" i="6"/>
  <c r="X25" i="16"/>
  <c r="Y5" i="32"/>
  <c r="Y6" i="29"/>
  <c r="X17" i="17"/>
  <c r="X9" i="16"/>
  <c r="Y36" i="39"/>
  <c r="Y155" i="6"/>
  <c r="X8" i="29"/>
  <c r="X3" i="29" s="1"/>
  <c r="X5" i="34"/>
  <c r="X15" i="16"/>
  <c r="X32" i="15"/>
  <c r="X33" i="15"/>
  <c r="X5" i="17"/>
  <c r="X11" i="15"/>
  <c r="X24" i="17"/>
  <c r="Y7" i="29"/>
  <c r="X12" i="16"/>
  <c r="X24" i="16"/>
  <c r="X8" i="17"/>
  <c r="X3" i="20"/>
  <c r="X4" i="24"/>
  <c r="X4" i="27" s="1"/>
  <c r="X4" i="21"/>
  <c r="Y137" i="6"/>
  <c r="Y161" i="6"/>
  <c r="Y9" i="29"/>
  <c r="Y5" i="35"/>
  <c r="Y146" i="6"/>
  <c r="Y170" i="6"/>
  <c r="Y100" i="6"/>
  <c r="Y47" i="6"/>
  <c r="X3" i="10"/>
  <c r="X3" i="13"/>
  <c r="X29" i="24"/>
  <c r="X29" i="27" s="1"/>
  <c r="X29" i="21"/>
  <c r="Y3" i="11"/>
  <c r="Y4" i="14"/>
  <c r="Y4" i="17" s="1"/>
  <c r="Y114" i="6"/>
  <c r="Y81" i="6"/>
  <c r="Y19" i="10"/>
  <c r="X16" i="24"/>
  <c r="X16" i="27" s="1"/>
  <c r="X16" i="21"/>
  <c r="X27" i="23"/>
  <c r="X27" i="26" s="1"/>
  <c r="X27" i="24"/>
  <c r="X27" i="27" s="1"/>
  <c r="X3" i="22"/>
  <c r="X4" i="25"/>
  <c r="X4" i="28" s="1"/>
  <c r="X19" i="21"/>
  <c r="X19" i="24"/>
  <c r="X19" i="27" s="1"/>
  <c r="Y4" i="10"/>
  <c r="Y4" i="13"/>
  <c r="Y4" i="16" s="1"/>
  <c r="Y3" i="9"/>
  <c r="X19" i="23"/>
  <c r="X19" i="26" s="1"/>
  <c r="Y16" i="21"/>
  <c r="Y16" i="24"/>
  <c r="Y16" i="27" s="1"/>
  <c r="Y3" i="22"/>
  <c r="Y4" i="25"/>
  <c r="Y4" i="28" s="1"/>
  <c r="Y4" i="23"/>
  <c r="Y4" i="26" s="1"/>
  <c r="Y3" i="19"/>
  <c r="X15" i="23"/>
  <c r="X15" i="26" s="1"/>
  <c r="X15" i="24"/>
  <c r="X15" i="27" s="1"/>
  <c r="Y5" i="34"/>
  <c r="Y8" i="29"/>
  <c r="Y29" i="10"/>
  <c r="Y29" i="13"/>
  <c r="Y29" i="16" s="1"/>
  <c r="Y3" i="20"/>
  <c r="Y4" i="21"/>
  <c r="Y4" i="24"/>
  <c r="Y4" i="27" s="1"/>
  <c r="Y15" i="23"/>
  <c r="Y15" i="26" s="1"/>
  <c r="Y29" i="21"/>
  <c r="Y29" i="24"/>
  <c r="Y29" i="27" s="1"/>
  <c r="Y19" i="24"/>
  <c r="Y19" i="27" s="1"/>
  <c r="Y19" i="21"/>
  <c r="Y4" i="29"/>
  <c r="Y5" i="30"/>
  <c r="Y11" i="29"/>
  <c r="Y3" i="8"/>
  <c r="Y4" i="12"/>
  <c r="Y4" i="15" s="1"/>
  <c r="X19" i="25"/>
  <c r="X19" i="28" s="1"/>
  <c r="X129" i="6"/>
  <c r="X153" i="6"/>
  <c r="Y123" i="6"/>
  <c r="Y132" i="6"/>
  <c r="Y156" i="6"/>
  <c r="Y16" i="10"/>
  <c r="Y38" i="39"/>
  <c r="Y35" i="39"/>
  <c r="X38" i="39"/>
  <c r="X37" i="39"/>
  <c r="X32" i="37" l="1"/>
  <c r="X39" i="37"/>
  <c r="X33" i="37"/>
  <c r="X3" i="12"/>
  <c r="X143" i="6"/>
  <c r="X40" i="37"/>
  <c r="X34" i="37"/>
  <c r="Y34" i="37"/>
  <c r="X3" i="23"/>
  <c r="X3" i="26" s="1"/>
  <c r="Y32" i="37"/>
  <c r="Y40" i="37"/>
  <c r="Y39" i="37"/>
  <c r="X34" i="36"/>
  <c r="Y35" i="37"/>
  <c r="Y38" i="37"/>
  <c r="X38" i="37"/>
  <c r="X32" i="36"/>
  <c r="X31" i="36"/>
  <c r="Y36" i="37"/>
  <c r="Y31" i="37" s="1"/>
  <c r="X37" i="37"/>
  <c r="X36" i="37"/>
  <c r="X31" i="37" s="1"/>
  <c r="Y39" i="38"/>
  <c r="Y44" i="38"/>
  <c r="X3" i="14"/>
  <c r="X168" i="6"/>
  <c r="X44" i="39"/>
  <c r="X154" i="6"/>
  <c r="X121" i="6"/>
  <c r="X31" i="39"/>
  <c r="Y33" i="38"/>
  <c r="Y34" i="38"/>
  <c r="Y35" i="38"/>
  <c r="Y32" i="38"/>
  <c r="Y36" i="38"/>
  <c r="Y40" i="38"/>
  <c r="Y38" i="38"/>
  <c r="Y37" i="38"/>
  <c r="Y3" i="32"/>
  <c r="Y31" i="39"/>
  <c r="Y3" i="12"/>
  <c r="Y3" i="33"/>
  <c r="X36" i="38"/>
  <c r="X35" i="38"/>
  <c r="X44" i="38"/>
  <c r="X33" i="38"/>
  <c r="Y121" i="6"/>
  <c r="X39" i="38"/>
  <c r="X37" i="38"/>
  <c r="Y3" i="35"/>
  <c r="X32" i="38"/>
  <c r="Y3" i="14"/>
  <c r="X3" i="16"/>
  <c r="Y3" i="34"/>
  <c r="Y3" i="25"/>
  <c r="X3" i="15"/>
  <c r="X34" i="38"/>
  <c r="X33" i="36"/>
  <c r="X3" i="34"/>
  <c r="X3" i="25"/>
  <c r="X40" i="38"/>
  <c r="Y3" i="23"/>
  <c r="Y3" i="10"/>
  <c r="Y3" i="13"/>
  <c r="Y144" i="6"/>
  <c r="Y168" i="6"/>
  <c r="Y99" i="6"/>
  <c r="Y61" i="6"/>
  <c r="Y57" i="6"/>
  <c r="Y60" i="6"/>
  <c r="Y55" i="6"/>
  <c r="Y59" i="6"/>
  <c r="Y58" i="6"/>
  <c r="Y3" i="24"/>
  <c r="Y3" i="21"/>
  <c r="Y56" i="6"/>
  <c r="Y3" i="30"/>
  <c r="Y3" i="29"/>
  <c r="Y130" i="6"/>
  <c r="Y154" i="6"/>
  <c r="Y93" i="6"/>
  <c r="Y89" i="6"/>
  <c r="Y113" i="6"/>
  <c r="Y91" i="6"/>
  <c r="Y94" i="6"/>
  <c r="Y92" i="6"/>
  <c r="Y90" i="6"/>
  <c r="X3" i="21"/>
  <c r="X3" i="24"/>
  <c r="X3" i="17" l="1"/>
  <c r="Y31" i="38"/>
  <c r="X31" i="38"/>
  <c r="Y3" i="27"/>
  <c r="Y3" i="28"/>
  <c r="Y3" i="16"/>
  <c r="X3" i="27"/>
  <c r="Y3" i="26"/>
  <c r="Y3" i="17"/>
  <c r="Y3" i="15"/>
  <c r="X3" i="28"/>
  <c r="Y143" i="6"/>
  <c r="Y167" i="6"/>
  <c r="Y129" i="6"/>
  <c r="Y153" i="6"/>
  <c r="Y14" i="6" l="1"/>
  <c r="X14" i="6"/>
  <c r="H9" i="36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D5" i="38" l="1"/>
  <c r="I5" i="38"/>
  <c r="X15" i="6"/>
  <c r="Y15" i="6"/>
  <c r="B5" i="38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L9" i="29" s="1"/>
  <c r="K17" i="29"/>
  <c r="K9" i="29" s="1"/>
  <c r="J17" i="29"/>
  <c r="J9" i="29" s="1"/>
  <c r="I17" i="29"/>
  <c r="I9" i="29" s="1"/>
  <c r="H17" i="29"/>
  <c r="H9" i="29" s="1"/>
  <c r="G17" i="29"/>
  <c r="G9" i="29" s="1"/>
  <c r="F17" i="29"/>
  <c r="F9" i="29" s="1"/>
  <c r="E17" i="29"/>
  <c r="E9" i="29" s="1"/>
  <c r="D17" i="29"/>
  <c r="D9" i="29" s="1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P8" i="29" s="1"/>
  <c r="O16" i="29"/>
  <c r="O8" i="29" s="1"/>
  <c r="N16" i="29"/>
  <c r="N8" i="29" s="1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G8" i="29" s="1"/>
  <c r="F16" i="29"/>
  <c r="F8" i="29" s="1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L7" i="29" s="1"/>
  <c r="K15" i="29"/>
  <c r="K7" i="29" s="1"/>
  <c r="J15" i="29"/>
  <c r="J7" i="29" s="1"/>
  <c r="I15" i="29"/>
  <c r="I7" i="29" s="1"/>
  <c r="H15" i="29"/>
  <c r="H7" i="29" s="1"/>
  <c r="G15" i="29"/>
  <c r="G7" i="29" s="1"/>
  <c r="F15" i="29"/>
  <c r="F7" i="29" s="1"/>
  <c r="E15" i="29"/>
  <c r="E7" i="29" s="1"/>
  <c r="D15" i="29"/>
  <c r="D7" i="29" s="1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P6" i="29" s="1"/>
  <c r="O14" i="29"/>
  <c r="O6" i="29" s="1"/>
  <c r="N14" i="29"/>
  <c r="N6" i="29" s="1"/>
  <c r="M14" i="29"/>
  <c r="M6" i="29" s="1"/>
  <c r="L14" i="29"/>
  <c r="L6" i="29" s="1"/>
  <c r="K14" i="29"/>
  <c r="K6" i="29" s="1"/>
  <c r="J14" i="29"/>
  <c r="J6" i="29" s="1"/>
  <c r="I14" i="29"/>
  <c r="I6" i="29" s="1"/>
  <c r="H14" i="29"/>
  <c r="H6" i="29" s="1"/>
  <c r="G14" i="29"/>
  <c r="G6" i="29" s="1"/>
  <c r="F14" i="29"/>
  <c r="F6" i="29" s="1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L5" i="29" s="1"/>
  <c r="K13" i="29"/>
  <c r="J13" i="29"/>
  <c r="J5" i="29" s="1"/>
  <c r="I13" i="29"/>
  <c r="I5" i="29" s="1"/>
  <c r="H13" i="29"/>
  <c r="H5" i="29" s="1"/>
  <c r="G13" i="29"/>
  <c r="F13" i="29"/>
  <c r="F5" i="29" s="1"/>
  <c r="E13" i="29"/>
  <c r="D13" i="29"/>
  <c r="D5" i="29" s="1"/>
  <c r="W12" i="29"/>
  <c r="W5" i="30" s="1"/>
  <c r="V12" i="29"/>
  <c r="V5" i="30" s="1"/>
  <c r="U12" i="29"/>
  <c r="U5" i="30" s="1"/>
  <c r="T12" i="29"/>
  <c r="S12" i="29"/>
  <c r="S5" i="30" s="1"/>
  <c r="R12" i="29"/>
  <c r="R5" i="30" s="1"/>
  <c r="Q12" i="29"/>
  <c r="P12" i="29"/>
  <c r="P4" i="29" s="1"/>
  <c r="O12" i="29"/>
  <c r="O4" i="29" s="1"/>
  <c r="N12" i="29"/>
  <c r="N4" i="29" s="1"/>
  <c r="M12" i="29"/>
  <c r="M4" i="29" s="1"/>
  <c r="L12" i="29"/>
  <c r="K12" i="29"/>
  <c r="J12" i="29"/>
  <c r="I12" i="29"/>
  <c r="H12" i="29"/>
  <c r="H4" i="29" s="1"/>
  <c r="G12" i="29"/>
  <c r="G4" i="29" s="1"/>
  <c r="F12" i="29"/>
  <c r="F4" i="29" s="1"/>
  <c r="E12" i="29"/>
  <c r="E4" i="29" s="1"/>
  <c r="D12" i="29"/>
  <c r="H8" i="29"/>
  <c r="K5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V4" i="29" l="1"/>
  <c r="T7" i="29"/>
  <c r="R7" i="29"/>
  <c r="V8" i="29"/>
  <c r="W8" i="29"/>
  <c r="S7" i="29"/>
  <c r="N11" i="29"/>
  <c r="L11" i="29"/>
  <c r="U8" i="29"/>
  <c r="W4" i="29"/>
  <c r="J11" i="29"/>
  <c r="K11" i="29"/>
  <c r="R5" i="29"/>
  <c r="S5" i="29"/>
  <c r="T5" i="29"/>
  <c r="T11" i="29"/>
  <c r="U6" i="29"/>
  <c r="V6" i="29"/>
  <c r="W6" i="29"/>
  <c r="R9" i="29"/>
  <c r="S9" i="29"/>
  <c r="G11" i="29"/>
  <c r="T9" i="29"/>
  <c r="U11" i="29"/>
  <c r="V11" i="29"/>
  <c r="W11" i="29"/>
  <c r="U4" i="29"/>
  <c r="D11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19" i="23" s="1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8" i="34"/>
  <c r="S3" i="33"/>
  <c r="S8" i="32"/>
  <c r="W3" i="31"/>
  <c r="W8" i="30"/>
  <c r="W8" i="35"/>
  <c r="S8" i="33"/>
  <c r="U8" i="32"/>
  <c r="W8" i="31"/>
  <c r="B69" i="29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S8" i="30"/>
  <c r="G3" i="29"/>
  <c r="P11" i="29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R3" i="35" l="1"/>
  <c r="N3" i="29"/>
  <c r="T3" i="35"/>
  <c r="U3" i="32"/>
  <c r="K3" i="29"/>
  <c r="V3" i="32"/>
  <c r="W3" i="32"/>
  <c r="W3" i="35"/>
  <c r="V3" i="31"/>
  <c r="W3" i="8"/>
  <c r="W3" i="29"/>
  <c r="V4" i="14"/>
  <c r="U19" i="25"/>
  <c r="U3" i="30"/>
  <c r="R3" i="8"/>
  <c r="U27" i="24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V3" i="23" l="1"/>
  <c r="T3" i="14"/>
  <c r="U3" i="25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C113" i="6" s="1"/>
  <c r="S81" i="6"/>
  <c r="S113" i="6" s="1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W90" i="6" l="1"/>
  <c r="T56" i="6"/>
  <c r="L90" i="6"/>
  <c r="S91" i="6"/>
  <c r="O56" i="6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D15" i="16" s="1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I15" i="16" s="1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32" i="17" s="1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P23" i="28" s="1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I30" i="17" s="1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Q9" i="17" s="1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Q29" i="19"/>
  <c r="Q30" i="21"/>
  <c r="M29" i="19"/>
  <c r="M29" i="23" s="1"/>
  <c r="M30" i="21"/>
  <c r="I29" i="19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C16" i="8"/>
  <c r="C16" i="12" s="1"/>
  <c r="M4" i="8"/>
  <c r="E4" i="8"/>
  <c r="Q4" i="8"/>
  <c r="J33" i="10"/>
  <c r="B32" i="10"/>
  <c r="J31" i="10"/>
  <c r="N29" i="9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Q29" i="9"/>
  <c r="Q19" i="9"/>
  <c r="Q16" i="9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J32" i="21"/>
  <c r="J29" i="20"/>
  <c r="F32" i="21"/>
  <c r="Q31" i="21"/>
  <c r="Q29" i="20"/>
  <c r="M31" i="21"/>
  <c r="E31" i="21"/>
  <c r="P30" i="21"/>
  <c r="P29" i="20"/>
  <c r="P30" i="27"/>
  <c r="L30" i="21"/>
  <c r="L29" i="20"/>
  <c r="H30" i="21"/>
  <c r="H29" i="20"/>
  <c r="D30" i="21"/>
  <c r="D29" i="20"/>
  <c r="I29" i="20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H4" i="19"/>
  <c r="D4" i="19"/>
  <c r="J4" i="19"/>
  <c r="O29" i="20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5" i="21"/>
  <c r="O4" i="19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N29" i="8"/>
  <c r="J29" i="8"/>
  <c r="F29" i="8"/>
  <c r="B29" i="8"/>
  <c r="N19" i="8"/>
  <c r="J19" i="8"/>
  <c r="J19" i="12" s="1"/>
  <c r="F19" i="8"/>
  <c r="B19" i="8"/>
  <c r="N16" i="8"/>
  <c r="J16" i="8"/>
  <c r="J16" i="12" s="1"/>
  <c r="F16" i="8"/>
  <c r="F16" i="12" s="1"/>
  <c r="B16" i="8"/>
  <c r="N4" i="8"/>
  <c r="J4" i="8"/>
  <c r="F4" i="8"/>
  <c r="B4" i="8"/>
  <c r="O29" i="9"/>
  <c r="K29" i="9"/>
  <c r="G29" i="9"/>
  <c r="C29" i="9"/>
  <c r="O19" i="9"/>
  <c r="K19" i="9"/>
  <c r="K19" i="13" s="1"/>
  <c r="G19" i="9"/>
  <c r="C19" i="9"/>
  <c r="O16" i="9"/>
  <c r="K16" i="9"/>
  <c r="K16" i="13" s="1"/>
  <c r="G16" i="9"/>
  <c r="C16" i="9"/>
  <c r="C4" i="9"/>
  <c r="E29" i="11"/>
  <c r="E19" i="1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J19" i="24" l="1"/>
  <c r="K29" i="13"/>
  <c r="N29" i="12"/>
  <c r="C4" i="24"/>
  <c r="I29" i="24"/>
  <c r="E19" i="14"/>
  <c r="J29" i="12"/>
  <c r="E4" i="24"/>
  <c r="K16" i="24"/>
  <c r="P29" i="25"/>
  <c r="P29" i="28" s="1"/>
  <c r="O4" i="24"/>
  <c r="F29" i="23"/>
  <c r="K29" i="12"/>
  <c r="N19" i="24"/>
  <c r="O4" i="23"/>
  <c r="O4" i="26" s="1"/>
  <c r="N19" i="23"/>
  <c r="G16" i="12"/>
  <c r="C4" i="13"/>
  <c r="O4" i="12"/>
  <c r="F4" i="24"/>
  <c r="F4" i="27" s="1"/>
  <c r="C16" i="13"/>
  <c r="E4" i="23"/>
  <c r="H4" i="12"/>
  <c r="H4" i="15" s="1"/>
  <c r="J29" i="13"/>
  <c r="J29" i="16" s="1"/>
  <c r="C4" i="12"/>
  <c r="C4" i="15" s="1"/>
  <c r="P29" i="24"/>
  <c r="P29" i="27" s="1"/>
  <c r="G19" i="24"/>
  <c r="G19" i="27" s="1"/>
  <c r="P29" i="12"/>
  <c r="P29" i="15" s="1"/>
  <c r="H29" i="23"/>
  <c r="H29" i="26" s="1"/>
  <c r="O29" i="13"/>
  <c r="P19" i="24"/>
  <c r="J19" i="23"/>
  <c r="P29" i="13"/>
  <c r="P29" i="16" s="1"/>
  <c r="H29" i="24"/>
  <c r="G19" i="23"/>
  <c r="G19" i="26" s="1"/>
  <c r="O29" i="23"/>
  <c r="O29" i="26" s="1"/>
  <c r="O29" i="12"/>
  <c r="C17" i="16"/>
  <c r="E4" i="13"/>
  <c r="E4" i="16" s="1"/>
  <c r="P4" i="12"/>
  <c r="O4" i="13"/>
  <c r="O4" i="16" s="1"/>
  <c r="K4" i="24"/>
  <c r="K4" i="27" s="1"/>
  <c r="D16" i="13"/>
  <c r="O16" i="24"/>
  <c r="O16" i="27" s="1"/>
  <c r="B16" i="13"/>
  <c r="M29" i="24"/>
  <c r="L19" i="24"/>
  <c r="N29" i="13"/>
  <c r="K19" i="12"/>
  <c r="K19" i="15" s="1"/>
  <c r="H29" i="12"/>
  <c r="D16" i="25"/>
  <c r="O29" i="24"/>
  <c r="J4" i="12"/>
  <c r="H4" i="23"/>
  <c r="Q16" i="13"/>
  <c r="Q16" i="16" s="1"/>
  <c r="O16" i="12"/>
  <c r="O16" i="15" s="1"/>
  <c r="N4" i="12"/>
  <c r="N4" i="15" s="1"/>
  <c r="L4" i="23"/>
  <c r="N29" i="24"/>
  <c r="D16" i="14"/>
  <c r="D16" i="17" s="1"/>
  <c r="K16" i="12"/>
  <c r="K16" i="15" s="1"/>
  <c r="I29" i="23"/>
  <c r="C19" i="23"/>
  <c r="C19" i="26" s="1"/>
  <c r="F4" i="12"/>
  <c r="F4" i="15" s="1"/>
  <c r="E19" i="24"/>
  <c r="E19" i="27" s="1"/>
  <c r="P16" i="25"/>
  <c r="G29" i="12"/>
  <c r="G29" i="15" s="1"/>
  <c r="G29" i="13"/>
  <c r="G29" i="16" s="1"/>
  <c r="I4" i="23"/>
  <c r="I4" i="26" s="1"/>
  <c r="G16" i="13"/>
  <c r="G16" i="16" s="1"/>
  <c r="N29" i="23"/>
  <c r="C19" i="13"/>
  <c r="C19" i="16" s="1"/>
  <c r="K19" i="24"/>
  <c r="K19" i="27" s="1"/>
  <c r="O19" i="23"/>
  <c r="O19" i="26" s="1"/>
  <c r="Q29" i="24"/>
  <c r="Q29" i="27" s="1"/>
  <c r="G29" i="24"/>
  <c r="G29" i="27" s="1"/>
  <c r="C19" i="12"/>
  <c r="C19" i="15" s="1"/>
  <c r="P16" i="23"/>
  <c r="P16" i="26" s="1"/>
  <c r="M4" i="14"/>
  <c r="M4" i="17" s="1"/>
  <c r="O16" i="13"/>
  <c r="O16" i="23"/>
  <c r="O16" i="26" s="1"/>
  <c r="F19" i="12"/>
  <c r="F19" i="15" s="1"/>
  <c r="M16" i="24"/>
  <c r="M16" i="27" s="1"/>
  <c r="J4" i="23"/>
  <c r="J4" i="26" s="1"/>
  <c r="P19" i="12"/>
  <c r="P19" i="15" s="1"/>
  <c r="H4" i="24"/>
  <c r="M4" i="12"/>
  <c r="O19" i="24"/>
  <c r="O19" i="27" s="1"/>
  <c r="P16" i="24"/>
  <c r="P16" i="27" s="1"/>
  <c r="L19" i="13"/>
  <c r="G4" i="23"/>
  <c r="G4" i="26" s="1"/>
  <c r="P4" i="24"/>
  <c r="P4" i="27" s="1"/>
  <c r="C29" i="24"/>
  <c r="C29" i="27" s="1"/>
  <c r="G4" i="24"/>
  <c r="I4" i="24"/>
  <c r="I4" i="27" s="1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19" i="27" s="1"/>
  <c r="D4" i="24"/>
  <c r="D4" i="27" s="1"/>
  <c r="P19" i="23"/>
  <c r="P19" i="26" s="1"/>
  <c r="N16" i="14"/>
  <c r="D4" i="13"/>
  <c r="N16" i="12"/>
  <c r="N16" i="15" s="1"/>
  <c r="E16" i="12"/>
  <c r="E16" i="15" s="1"/>
  <c r="I16" i="14"/>
  <c r="I16" i="17" s="1"/>
  <c r="Q4" i="23"/>
  <c r="Q4" i="26" s="1"/>
  <c r="J29" i="24"/>
  <c r="J29" i="27" s="1"/>
  <c r="P16" i="13"/>
  <c r="P16" i="16" s="1"/>
  <c r="C29" i="12"/>
  <c r="G16" i="24"/>
  <c r="G16" i="27" s="1"/>
  <c r="I4" i="12"/>
  <c r="I4" i="15" s="1"/>
  <c r="L16" i="13"/>
  <c r="L16" i="16" s="1"/>
  <c r="B29" i="13"/>
  <c r="B29" i="16" s="1"/>
  <c r="L4" i="24"/>
  <c r="Q29" i="23"/>
  <c r="Q29" i="26" s="1"/>
  <c r="G16" i="25"/>
  <c r="G16" i="28" s="1"/>
  <c r="Q4" i="24"/>
  <c r="Q4" i="27" s="1"/>
  <c r="D4" i="23"/>
  <c r="C29" i="13"/>
  <c r="C29" i="16" s="1"/>
  <c r="B29" i="12"/>
  <c r="H19" i="24"/>
  <c r="H19" i="27" s="1"/>
  <c r="Q4" i="12"/>
  <c r="Q4" i="15" s="1"/>
  <c r="B4" i="14"/>
  <c r="B4" i="17" s="1"/>
  <c r="N19" i="12"/>
  <c r="D29" i="25"/>
  <c r="D29" i="28" s="1"/>
  <c r="F16" i="24"/>
  <c r="F16" i="27" s="1"/>
  <c r="D29" i="24"/>
  <c r="D29" i="27" s="1"/>
  <c r="G19" i="14"/>
  <c r="G19" i="17" s="1"/>
  <c r="D29" i="23"/>
  <c r="D29" i="26" s="1"/>
  <c r="I16" i="13"/>
  <c r="B4" i="13"/>
  <c r="B4" i="16" s="1"/>
  <c r="M4" i="23"/>
  <c r="M4" i="26" s="1"/>
  <c r="B4" i="12"/>
  <c r="I16" i="23"/>
  <c r="I16" i="26" s="1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H19" i="16" s="1"/>
  <c r="I19" i="24"/>
  <c r="I19" i="27" s="1"/>
  <c r="K16" i="23"/>
  <c r="E29" i="13"/>
  <c r="E29" i="16" s="1"/>
  <c r="L16" i="24"/>
  <c r="L16" i="27" s="1"/>
  <c r="M4" i="13"/>
  <c r="M4" i="16" s="1"/>
  <c r="D27" i="13"/>
  <c r="D27" i="16" s="1"/>
  <c r="D27" i="12"/>
  <c r="D27" i="15" s="1"/>
  <c r="M27" i="12"/>
  <c r="M27" i="15" s="1"/>
  <c r="M27" i="13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E15" i="26" s="1"/>
  <c r="Q19" i="13"/>
  <c r="Q19" i="16" s="1"/>
  <c r="I29" i="12"/>
  <c r="I29" i="15" s="1"/>
  <c r="D19" i="13"/>
  <c r="D19" i="16" s="1"/>
  <c r="E4" i="12"/>
  <c r="M19" i="12"/>
  <c r="M19" i="15" s="1"/>
  <c r="N27" i="12"/>
  <c r="N27" i="15" s="1"/>
  <c r="N27" i="13"/>
  <c r="N27" i="16" s="1"/>
  <c r="E29" i="23"/>
  <c r="E29" i="26" s="1"/>
  <c r="N19" i="13"/>
  <c r="N19" i="16" s="1"/>
  <c r="M16" i="12"/>
  <c r="M16" i="15" s="1"/>
  <c r="E29" i="12"/>
  <c r="E29" i="15" s="1"/>
  <c r="P27" i="13"/>
  <c r="P27" i="12"/>
  <c r="P27" i="15" s="1"/>
  <c r="N27" i="23"/>
  <c r="N27" i="26" s="1"/>
  <c r="N27" i="24"/>
  <c r="N27" i="27" s="1"/>
  <c r="C27" i="12"/>
  <c r="C27" i="15" s="1"/>
  <c r="C27" i="13"/>
  <c r="C27" i="16" s="1"/>
  <c r="L19" i="12"/>
  <c r="L19" i="15" s="1"/>
  <c r="I27" i="13"/>
  <c r="I27" i="16" s="1"/>
  <c r="I27" i="12"/>
  <c r="I27" i="15" s="1"/>
  <c r="E27" i="12"/>
  <c r="E27" i="13"/>
  <c r="E27" i="16" s="1"/>
  <c r="E19" i="23"/>
  <c r="E19" i="26" s="1"/>
  <c r="D15" i="23"/>
  <c r="D15" i="26" s="1"/>
  <c r="D15" i="24"/>
  <c r="D15" i="27" s="1"/>
  <c r="E19" i="13"/>
  <c r="E19" i="16" s="1"/>
  <c r="C16" i="23"/>
  <c r="C16" i="26" s="1"/>
  <c r="F16" i="23"/>
  <c r="F16" i="26" s="1"/>
  <c r="F3" i="19"/>
  <c r="F3" i="23" s="1"/>
  <c r="F3" i="26" s="1"/>
  <c r="F19" i="23"/>
  <c r="F19" i="26" s="1"/>
  <c r="B16" i="10"/>
  <c r="B16" i="12"/>
  <c r="B16" i="15" s="1"/>
  <c r="Q27" i="13"/>
  <c r="Q27" i="16" s="1"/>
  <c r="Q27" i="12"/>
  <c r="Q27" i="15" s="1"/>
  <c r="F29" i="12"/>
  <c r="F29" i="15" s="1"/>
  <c r="L29" i="23"/>
  <c r="L29" i="26" s="1"/>
  <c r="I15" i="24"/>
  <c r="I15" i="27" s="1"/>
  <c r="I15" i="23"/>
  <c r="I15" i="26" s="1"/>
  <c r="M4" i="24"/>
  <c r="M4" i="27" s="1"/>
  <c r="I19" i="23"/>
  <c r="I19" i="26" s="1"/>
  <c r="Q19" i="23"/>
  <c r="Q19" i="26" s="1"/>
  <c r="G15" i="23"/>
  <c r="G15" i="26" s="1"/>
  <c r="G15" i="24"/>
  <c r="G15" i="27" s="1"/>
  <c r="H27" i="23"/>
  <c r="H27" i="26" s="1"/>
  <c r="H27" i="24"/>
  <c r="H27" i="27" s="1"/>
  <c r="Q29" i="13"/>
  <c r="Q29" i="16" s="1"/>
  <c r="I16" i="12"/>
  <c r="I16" i="15" s="1"/>
  <c r="F29" i="13"/>
  <c r="F29" i="16" s="1"/>
  <c r="D29" i="13"/>
  <c r="D29" i="16" s="1"/>
  <c r="C4" i="23"/>
  <c r="C4" i="26" s="1"/>
  <c r="K4" i="23"/>
  <c r="K4" i="26" s="1"/>
  <c r="M19" i="13"/>
  <c r="M19" i="16" s="1"/>
  <c r="N4" i="21"/>
  <c r="N4" i="24"/>
  <c r="N4" i="27" s="1"/>
  <c r="P4" i="13"/>
  <c r="P4" i="16" s="1"/>
  <c r="G29" i="23"/>
  <c r="B19" i="13"/>
  <c r="K27" i="12"/>
  <c r="K27" i="15" s="1"/>
  <c r="K27" i="13"/>
  <c r="K27" i="16" s="1"/>
  <c r="H15" i="23"/>
  <c r="H15" i="26" s="1"/>
  <c r="H15" i="24"/>
  <c r="H15" i="27" s="1"/>
  <c r="L16" i="12"/>
  <c r="L16" i="15" s="1"/>
  <c r="P15" i="23"/>
  <c r="P15" i="26" s="1"/>
  <c r="P15" i="24"/>
  <c r="P15" i="27" s="1"/>
  <c r="M29" i="12"/>
  <c r="M29" i="15" s="1"/>
  <c r="H16" i="12"/>
  <c r="H16" i="15" s="1"/>
  <c r="J15" i="24"/>
  <c r="J15" i="27" s="1"/>
  <c r="J15" i="23"/>
  <c r="J15" i="26" s="1"/>
  <c r="L27" i="23"/>
  <c r="L27" i="26" s="1"/>
  <c r="L27" i="24"/>
  <c r="L27" i="27" s="1"/>
  <c r="O19" i="12"/>
  <c r="G27" i="24"/>
  <c r="G27" i="27" s="1"/>
  <c r="G27" i="23"/>
  <c r="G27" i="26" s="1"/>
  <c r="L4" i="13"/>
  <c r="K4" i="12"/>
  <c r="K4" i="15" s="1"/>
  <c r="P4" i="23"/>
  <c r="P4" i="26" s="1"/>
  <c r="K29" i="23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6" s="1"/>
  <c r="K27" i="24"/>
  <c r="K27" i="27" s="1"/>
  <c r="B27" i="12"/>
  <c r="B27" i="15" s="1"/>
  <c r="B27" i="13"/>
  <c r="Q19" i="24"/>
  <c r="Q19" i="27" s="1"/>
  <c r="K15" i="23"/>
  <c r="K15" i="24"/>
  <c r="K15" i="27" s="1"/>
  <c r="P27" i="23"/>
  <c r="P27" i="26" s="1"/>
  <c r="P27" i="24"/>
  <c r="P27" i="27" s="1"/>
  <c r="P16" i="12"/>
  <c r="P16" i="15" s="1"/>
  <c r="F4" i="13"/>
  <c r="F4" i="16" s="1"/>
  <c r="L29" i="13"/>
  <c r="L29" i="16" s="1"/>
  <c r="L15" i="23"/>
  <c r="L15" i="26" s="1"/>
  <c r="L15" i="24"/>
  <c r="J27" i="12"/>
  <c r="J27" i="15" s="1"/>
  <c r="J27" i="13"/>
  <c r="J27" i="16" s="1"/>
  <c r="E16" i="24"/>
  <c r="E16" i="27" s="1"/>
  <c r="D16" i="12"/>
  <c r="D16" i="15" s="1"/>
  <c r="M15" i="23"/>
  <c r="M15" i="26" s="1"/>
  <c r="M15" i="24"/>
  <c r="M15" i="27" s="1"/>
  <c r="D19" i="23"/>
  <c r="D19" i="26" s="1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N4" i="26" s="1"/>
  <c r="H19" i="12"/>
  <c r="L4" i="12"/>
  <c r="L4" i="15" s="1"/>
  <c r="I16" i="24"/>
  <c r="I16" i="27" s="1"/>
  <c r="H16" i="13"/>
  <c r="H16" i="16" s="1"/>
  <c r="L29" i="12"/>
  <c r="L29" i="15" s="1"/>
  <c r="M19" i="21"/>
  <c r="M19" i="24"/>
  <c r="M19" i="27" s="1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H19" i="26" s="1"/>
  <c r="O27" i="24"/>
  <c r="O27" i="27" s="1"/>
  <c r="O27" i="23"/>
  <c r="O27" i="26" s="1"/>
  <c r="Q19" i="12"/>
  <c r="Q19" i="15" s="1"/>
  <c r="J27" i="24"/>
  <c r="J27" i="27" s="1"/>
  <c r="J27" i="23"/>
  <c r="J27" i="26" s="1"/>
  <c r="N4" i="13"/>
  <c r="N4" i="16" s="1"/>
  <c r="Q16" i="12"/>
  <c r="Q16" i="15" s="1"/>
  <c r="L27" i="13"/>
  <c r="L27" i="16" s="1"/>
  <c r="L27" i="12"/>
  <c r="L27" i="15" s="1"/>
  <c r="K4" i="13"/>
  <c r="K4" i="16" s="1"/>
  <c r="I29" i="13"/>
  <c r="I29" i="16" s="1"/>
  <c r="J16" i="24"/>
  <c r="H29" i="13"/>
  <c r="H29" i="16" s="1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6" s="1"/>
  <c r="G27" i="12"/>
  <c r="G27" i="15" s="1"/>
  <c r="O27" i="13"/>
  <c r="O27" i="16" s="1"/>
  <c r="O27" i="12"/>
  <c r="O27" i="15" s="1"/>
  <c r="B19" i="12"/>
  <c r="I27" i="23"/>
  <c r="I27" i="26" s="1"/>
  <c r="I27" i="24"/>
  <c r="I27" i="27" s="1"/>
  <c r="D27" i="23"/>
  <c r="D27" i="26" s="1"/>
  <c r="D27" i="24"/>
  <c r="D27" i="27" s="1"/>
  <c r="L29" i="24"/>
  <c r="L29" i="27" s="1"/>
  <c r="L19" i="23"/>
  <c r="L19" i="26" s="1"/>
  <c r="C15" i="24"/>
  <c r="C15" i="27" s="1"/>
  <c r="C15" i="23"/>
  <c r="F27" i="13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L16" i="26" s="1"/>
  <c r="M16" i="13"/>
  <c r="M16" i="16" s="1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N19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17" i="15"/>
  <c r="M21" i="16"/>
  <c r="D16" i="28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J16" i="14"/>
  <c r="J16" i="17" s="1"/>
  <c r="J16" i="21"/>
  <c r="J16" i="27"/>
  <c r="H19" i="10"/>
  <c r="H19" i="15"/>
  <c r="L31" i="37"/>
  <c r="P44" i="37"/>
  <c r="Q3" i="11"/>
  <c r="B30" i="15"/>
  <c r="B31" i="15"/>
  <c r="B32" i="15"/>
  <c r="B33" i="15"/>
  <c r="L17" i="26"/>
  <c r="L11" i="26"/>
  <c r="L7" i="27"/>
  <c r="L24" i="26"/>
  <c r="L6" i="27"/>
  <c r="L28" i="26"/>
  <c r="L14" i="27"/>
  <c r="L14" i="26"/>
  <c r="L10" i="28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D44" i="37"/>
  <c r="C29" i="14"/>
  <c r="C29" i="17" s="1"/>
  <c r="O3" i="11"/>
  <c r="O3" i="14" s="1"/>
  <c r="O3" i="17" s="1"/>
  <c r="L3" i="8"/>
  <c r="E19" i="15"/>
  <c r="J29" i="2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K29" i="2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O8" i="17"/>
  <c r="O31" i="15"/>
  <c r="O16" i="17"/>
  <c r="B30" i="16"/>
  <c r="J33" i="1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L21" i="26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1"/>
  <c r="G16" i="10"/>
  <c r="G19" i="10"/>
  <c r="G29" i="10"/>
  <c r="F3" i="8"/>
  <c r="F16" i="15"/>
  <c r="G16" i="21"/>
  <c r="O3" i="19"/>
  <c r="I3" i="19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1"/>
  <c r="J29" i="21"/>
  <c r="G29" i="21"/>
  <c r="I19" i="21"/>
  <c r="Q3" i="9"/>
  <c r="Q4" i="10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3" i="8"/>
  <c r="B89" i="6"/>
  <c r="B91" i="6"/>
  <c r="B92" i="6"/>
  <c r="B93" i="6"/>
  <c r="B94" i="6"/>
  <c r="B113" i="6"/>
  <c r="G3" i="20"/>
  <c r="G3" i="24" s="1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1"/>
  <c r="G19" i="21"/>
  <c r="O19" i="21"/>
  <c r="M9" i="17"/>
  <c r="M32" i="17"/>
  <c r="K4" i="25"/>
  <c r="K4" i="28" s="1"/>
  <c r="K3" i="22"/>
  <c r="K3" i="25" s="1"/>
  <c r="K3" i="28" s="1"/>
  <c r="M3" i="20"/>
  <c r="M3" i="24" s="1"/>
  <c r="M4" i="21"/>
  <c r="Q3" i="20"/>
  <c r="Q3" i="24" s="1"/>
  <c r="Q4" i="21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M16" i="21"/>
  <c r="H19" i="21"/>
  <c r="D3" i="19"/>
  <c r="D4" i="26"/>
  <c r="L3" i="19"/>
  <c r="L4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1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G29" i="26"/>
  <c r="C21" i="17"/>
  <c r="J14" i="16"/>
  <c r="B23" i="16"/>
  <c r="G11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4" i="16"/>
  <c r="D3" i="9"/>
  <c r="H16" i="10"/>
  <c r="F17" i="16"/>
  <c r="B18" i="16"/>
  <c r="B19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P27" i="16"/>
  <c r="E8" i="15"/>
  <c r="E12" i="15"/>
  <c r="C17" i="15"/>
  <c r="C44" i="37"/>
  <c r="Q44" i="37"/>
  <c r="P10" i="30"/>
  <c r="H10" i="31"/>
  <c r="F3" i="20"/>
  <c r="F3" i="24" s="1"/>
  <c r="F4" i="21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3" i="8"/>
  <c r="N19" i="15"/>
  <c r="N29" i="15"/>
  <c r="G3" i="22"/>
  <c r="G3" i="25" s="1"/>
  <c r="G3" i="28" s="1"/>
  <c r="G4" i="25"/>
  <c r="G4" i="28" s="1"/>
  <c r="L19" i="27"/>
  <c r="L19" i="21"/>
  <c r="P19" i="27"/>
  <c r="P19" i="21"/>
  <c r="M3" i="19"/>
  <c r="C3" i="22"/>
  <c r="C3" i="25" s="1"/>
  <c r="C3" i="28" s="1"/>
  <c r="C4" i="25"/>
  <c r="C4" i="28" s="1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F31" i="16"/>
  <c r="C16" i="15"/>
  <c r="E16" i="21"/>
  <c r="E19" i="10"/>
  <c r="J29" i="10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G28" i="16"/>
  <c r="F28" i="15"/>
  <c r="C16" i="16"/>
  <c r="C16" i="10"/>
  <c r="C19" i="10"/>
  <c r="C29" i="10"/>
  <c r="B4" i="15"/>
  <c r="B3" i="8"/>
  <c r="B19" i="15"/>
  <c r="B29" i="15"/>
  <c r="O3" i="22"/>
  <c r="O3" i="25" s="1"/>
  <c r="O3" i="28" s="1"/>
  <c r="O4" i="25"/>
  <c r="O4" i="28" s="1"/>
  <c r="I4" i="21"/>
  <c r="I3" i="20"/>
  <c r="I3" i="24" s="1"/>
  <c r="C19" i="27"/>
  <c r="C19" i="21"/>
  <c r="K19" i="21"/>
  <c r="K29" i="21"/>
  <c r="K29" i="27"/>
  <c r="E4" i="26"/>
  <c r="E3" i="19"/>
  <c r="Q3" i="19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30" i="16"/>
  <c r="C31" i="16"/>
  <c r="C32" i="16"/>
  <c r="C33" i="16"/>
  <c r="H3" i="8"/>
  <c r="H3" i="12" s="1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0"/>
  <c r="B32" i="16"/>
  <c r="M3" i="8"/>
  <c r="M3" i="12" s="1"/>
  <c r="M4" i="15"/>
  <c r="M14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22" i="15"/>
  <c r="C24" i="15"/>
  <c r="K25" i="15"/>
  <c r="C28" i="15"/>
  <c r="K28" i="15"/>
  <c r="O7" i="16"/>
  <c r="B29" i="10"/>
  <c r="M23" i="15"/>
  <c r="M28" i="15"/>
  <c r="C15" i="15"/>
  <c r="E9" i="16"/>
  <c r="C21" i="15"/>
  <c r="M32" i="15"/>
  <c r="M5" i="15"/>
  <c r="M9" i="15"/>
  <c r="M13" i="15"/>
  <c r="B130" i="6" l="1"/>
  <c r="B154" i="6"/>
  <c r="G3" i="13"/>
  <c r="Q3" i="13"/>
  <c r="Q3" i="12"/>
  <c r="D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43" i="4"/>
  <c r="B15" i="4"/>
  <c r="B9" i="4"/>
  <c r="B4" i="4"/>
  <c r="B25" i="4"/>
  <c r="B44" i="4"/>
  <c r="B28" i="4"/>
  <c r="B30" i="4"/>
  <c r="B24" i="4"/>
  <c r="B33" i="4"/>
  <c r="B11" i="4"/>
  <c r="B29" i="4"/>
  <c r="B36" i="4"/>
  <c r="B23" i="4"/>
  <c r="B7" i="4"/>
  <c r="B8" i="4"/>
  <c r="B12" i="4"/>
  <c r="B16" i="4"/>
  <c r="B17" i="4"/>
  <c r="B34" i="4"/>
  <c r="B39" i="4"/>
  <c r="B22" i="4"/>
  <c r="B45" i="4"/>
  <c r="B35" i="4"/>
  <c r="B14" i="4"/>
  <c r="B42" i="4"/>
  <c r="B10" i="4"/>
  <c r="B27" i="4"/>
  <c r="B37" i="4"/>
  <c r="B21" i="4"/>
  <c r="B38" i="4"/>
  <c r="B20" i="4"/>
  <c r="B26" i="4"/>
  <c r="B13" i="4"/>
  <c r="B31" i="6" l="1"/>
</calcChain>
</file>

<file path=xl/sharedStrings.xml><?xml version="1.0" encoding="utf-8"?>
<sst xmlns="http://schemas.openxmlformats.org/spreadsheetml/2006/main" count="2101" uniqueCount="1057">
  <si>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</si>
  <si>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</si>
  <si>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</si>
  <si>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</si>
  <si>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</si>
  <si>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</si>
  <si>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</si>
  <si>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</si>
  <si>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</si>
  <si>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</si>
  <si>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</si>
  <si>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</si>
  <si>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</si>
  <si>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</si>
  <si>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</si>
  <si>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</si>
  <si>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</si>
  <si>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</si>
  <si>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</si>
  <si>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</si>
  <si>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</si>
  <si>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</si>
  <si>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</si>
  <si>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</si>
  <si>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</si>
  <si>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</si>
  <si>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</si>
  <si>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</si>
  <si>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</si>
  <si>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</si>
  <si>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</si>
  <si>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</si>
  <si>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</si>
  <si>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</si>
  <si>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</si>
  <si>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</si>
  <si>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</si>
  <si>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</si>
  <si>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</si>
  <si>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</si>
  <si>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</si>
  <si>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</si>
  <si>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</si>
  <si>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</si>
  <si>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</si>
  <si>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</si>
  <si>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</si>
  <si>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</si>
  <si>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</si>
  <si>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</si>
  <si>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</si>
  <si>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</si>
  <si>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</si>
  <si>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</si>
  <si>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</si>
  <si>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</si>
  <si>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</si>
  <si>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</si>
  <si>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</si>
  <si>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</si>
  <si>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</si>
  <si>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</si>
  <si>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</si>
  <si>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</si>
  <si>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</si>
  <si>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</si>
  <si>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</si>
  <si>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</si>
  <si>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</si>
  <si>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</si>
  <si>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</si>
  <si>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</si>
  <si>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</si>
  <si>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</si>
  <si>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</si>
  <si>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</si>
  <si>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</si>
  <si>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</si>
  <si>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</si>
  <si>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</si>
  <si>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</si>
  <si>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</si>
  <si>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</si>
  <si>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</si>
  <si>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</si>
  <si>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</si>
  <si>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</si>
  <si>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</si>
  <si>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</si>
  <si>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</si>
  <si>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</si>
  <si>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</si>
  <si>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</si>
  <si>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</si>
  <si>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</si>
  <si>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</si>
  <si>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</si>
  <si>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</si>
  <si>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</si>
  <si>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</si>
  <si>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</si>
  <si>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</si>
  <si>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</si>
  <si>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</si>
  <si>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</si>
  <si>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</si>
  <si>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</si>
  <si>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</si>
  <si>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</si>
  <si>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</si>
  <si>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</si>
  <si>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</si>
  <si>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</si>
  <si>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</si>
  <si>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</si>
  <si>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</si>
  <si>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</si>
  <si>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</si>
  <si>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</si>
  <si>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</si>
  <si>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</si>
  <si>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</si>
  <si>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</si>
  <si>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</si>
  <si>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</si>
  <si>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</si>
  <si>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</si>
  <si>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</si>
  <si>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</si>
  <si>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</si>
  <si>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</si>
  <si>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</si>
  <si>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</si>
  <si>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</si>
  <si>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</si>
  <si>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</si>
  <si>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</si>
  <si>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</si>
  <si>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</si>
  <si>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</si>
  <si>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</si>
  <si>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</si>
  <si>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</si>
  <si>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</si>
  <si>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</si>
  <si>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</si>
  <si>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</si>
  <si>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Mean heating degree-days over period 2000- 2020</t>
  </si>
  <si>
    <t>Value added per capita relative to EU</t>
  </si>
  <si>
    <t>Natural gas</t>
  </si>
  <si>
    <t>Code</t>
  </si>
  <si>
    <t>Ambient heat</t>
  </si>
  <si>
    <t>Solar and geothermal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</si>
  <si>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</si>
  <si>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</si>
  <si>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</si>
  <si>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</si>
  <si>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</si>
  <si>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</si>
  <si>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</si>
  <si>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</si>
  <si>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</si>
  <si>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</si>
  <si>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</si>
  <si>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</si>
  <si>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</si>
  <si>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</si>
  <si>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</si>
  <si>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</si>
  <si>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</si>
  <si>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</si>
  <si>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</si>
  <si>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</si>
  <si>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</si>
  <si>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</si>
  <si>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</si>
  <si>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JRC-IDEES-2023 - Integrated Database of the European Energy System</t>
  </si>
  <si>
    <t>v2023-1.00</t>
  </si>
  <si>
    <t>Gross domestic product (M€2023)</t>
  </si>
  <si>
    <t>Value added (M€2023)</t>
  </si>
  <si>
    <t>GDP per capita (€2023)</t>
  </si>
  <si>
    <t>Value added per employee (€2023)</t>
  </si>
  <si>
    <t>Value added per capita (€2023)</t>
  </si>
  <si>
    <t>Value added intensity (toe / M€2023)</t>
  </si>
  <si>
    <t>Data centers - final energy consumption (ktoe)</t>
  </si>
  <si>
    <t>LT</t>
  </si>
  <si>
    <t>Lithuania</t>
  </si>
  <si>
    <t>LT - Services sector summary</t>
  </si>
  <si>
    <t>Macro.number.LT.Population</t>
  </si>
  <si>
    <t>Macro.Meuro2015.LT.GDP</t>
  </si>
  <si>
    <t>Macro.Meuro2015.LT.VA</t>
  </si>
  <si>
    <t>Macro.number.LT.Employees</t>
  </si>
  <si>
    <t>NUM.number.LT.Ser.Bld</t>
  </si>
  <si>
    <t>SurfaceArea.ksqm.LT.Ser.Bld</t>
  </si>
  <si>
    <t>NUM.number.LT.Ser.BldNew</t>
  </si>
  <si>
    <t>SurfaceArea.ksqm.LT.Ser.BldNew</t>
  </si>
  <si>
    <t>HDD.Celsius.LT.Actual</t>
  </si>
  <si>
    <t>HDD.Celsius.LT.Mean</t>
  </si>
  <si>
    <t>HDD.ratio.LT.Relative</t>
  </si>
  <si>
    <t>FEC.ktoe.LT.ES.Ser</t>
  </si>
  <si>
    <t>FEC.ktoe.LT.ES.Ser.Solids</t>
  </si>
  <si>
    <t>FEC.ktoe.LT.ES.Ser.LPG</t>
  </si>
  <si>
    <t>FEC.ktoe.LT.ES.Ser.Oil</t>
  </si>
  <si>
    <t>FEC.ktoe.LT.ES.Ser.NG</t>
  </si>
  <si>
    <t>FEC.ktoe.LT.ES.Ser.Biomass_Waste</t>
  </si>
  <si>
    <t>FEC.ktoe.LT.ES.Ser.Biogas</t>
  </si>
  <si>
    <t>FEC.ktoe.LT.ES.Ser.LiqBio</t>
  </si>
  <si>
    <t>FEC.ktoe.LT.ES.Ser.Solar</t>
  </si>
  <si>
    <t>FEC.ktoe.LT.ES.Ser.Geo</t>
  </si>
  <si>
    <t>FEC.ktoe.LT.ES.Ser.Ambient</t>
  </si>
  <si>
    <t>FEC.ktoe.LT.ES.Ser.Steam_Distr</t>
  </si>
  <si>
    <t>FEC.ktoe.LT.ES.Ser.Elec</t>
  </si>
  <si>
    <t>FEC.ktoe.LT.Ser</t>
  </si>
  <si>
    <t>FEC.ktoe.LT.Ser.Bld.Thermal</t>
  </si>
  <si>
    <t>FEC.ktoe.LT.Ser.Bld.Thermal.SH</t>
  </si>
  <si>
    <t>FEC.ktoe.LT.Ser.Bld.Thermal.SC</t>
  </si>
  <si>
    <t>FEC.ktoe.LT.Ser.Bld.Thermal.HW</t>
  </si>
  <si>
    <t>FEC.ktoe.LT.Ser.Bld.Thermal.CA</t>
  </si>
  <si>
    <t>FEC.ktoe.LT.Ser.SEU</t>
  </si>
  <si>
    <t>EMI.ktCO2.LT.ES.Ser</t>
  </si>
  <si>
    <t>EMI.ktCO2.LT.ES.Ser.Solids</t>
  </si>
  <si>
    <t>EMI.ktCO2.LT.ES.Ser.LPG</t>
  </si>
  <si>
    <t>EMI.ktCO2.LT.ES.Ser.Oil</t>
  </si>
  <si>
    <t>EMI.ktCO2.LT.ES.Ser.NG</t>
  </si>
  <si>
    <t>EMI.ktCO2.LT.ES.Ser.Biomass_Waste</t>
  </si>
  <si>
    <t>EMI.ktCO2.LT.ES.Ser.Biogas</t>
  </si>
  <si>
    <t>EMI.ktCO2.LT.ES.Ser.LiqBio</t>
  </si>
  <si>
    <t>EMI.ktCO2.LT.ES.Ser.Solar</t>
  </si>
  <si>
    <t>EMI.ktCO2.LT.ES.Ser.Geo</t>
  </si>
  <si>
    <t>EMI.ktCO2.LT.ES.Ser.Ambient</t>
  </si>
  <si>
    <t>EMI.ktCO2.LT.ES.Ser.Steam_Distr</t>
  </si>
  <si>
    <t>EMI.ktCO2.LT.ES.Ser.Elec</t>
  </si>
  <si>
    <t>EMI.ktCO2.LT.Ser</t>
  </si>
  <si>
    <t>EMI.ktCO2.LT.Ser.Bld.Thermal</t>
  </si>
  <si>
    <t>EMI.ktCO2.LT.Ser.Bld.Thermal.SH</t>
  </si>
  <si>
    <t>EMI.ktCO2.LT.Ser.Bld.Thermal.SC</t>
  </si>
  <si>
    <t>EMI.ktCO2.LT.Ser.Bld.Thermal.HW</t>
  </si>
  <si>
    <t>EMI.ktCO2.LT.Ser.Bld.Thermal.CA</t>
  </si>
  <si>
    <t>EMI.ktCO2.LT.Ser.SEU</t>
  </si>
  <si>
    <t>Eff.ratio.LT.Ser.Bld.Thermal</t>
  </si>
  <si>
    <t>Eff.ratio.LT.Ser.Bld.Thermal.SH</t>
  </si>
  <si>
    <t>Eff.ratio.LT.Ser.Bld.Thermal.SC</t>
  </si>
  <si>
    <t>Eff.ratio.LT.Ser.Bld.Thermal.HW</t>
  </si>
  <si>
    <t>Eff.ratio.LT.Ser.Bld.Thermal.CA</t>
  </si>
  <si>
    <t>LT - Number of buildings</t>
  </si>
  <si>
    <t>NUM.number.LT.Ser.Bld.Thermal</t>
  </si>
  <si>
    <t>NUM.number.LT.Ser.Bld.Thermal.SH</t>
  </si>
  <si>
    <t>NUM.number.LT.Ser.Bld.Thermal.SH.Solids</t>
  </si>
  <si>
    <t>NUM.number.LT.Ser.Bld.Thermal.SH.LPG</t>
  </si>
  <si>
    <t>NUM.number.LT.Ser.Bld.Thermal.SH.Oil</t>
  </si>
  <si>
    <t>NUM.number.LT.Ser.Bld.Thermal.SH.GasHP</t>
  </si>
  <si>
    <t>NUM.number.LT.Ser.Bld.Thermal.SH.GasTH</t>
  </si>
  <si>
    <t>NUM.number.LT.Ser.Bld.Thermal.SH.Biomass</t>
  </si>
  <si>
    <t>NUM.number.LT.Ser.Bld.Thermal.SH.Geo</t>
  </si>
  <si>
    <t>NUM.number.LT.Ser.Bld.Thermal.SH.DistrHeat</t>
  </si>
  <si>
    <t>NUM.number.LT.Ser.Bld.Thermal.SH.AdvElc</t>
  </si>
  <si>
    <t>NUM.number.LT.Ser.Bld.Thermal.SH.ConvElc</t>
  </si>
  <si>
    <t>NUM.number.LT.Ser.Bld.Thermal.SC</t>
  </si>
  <si>
    <t>NUM.number.LT.Ser.Bld.Thermal.SC.GasHP</t>
  </si>
  <si>
    <t>NUM.number.LT.Ser.Bld.Thermal.SC.AC</t>
  </si>
  <si>
    <t>NUM.number.LT.Ser.Bld.Thermal.HW</t>
  </si>
  <si>
    <t>NUM.number.LT.Ser.Bld.Thermal.HW.Solids</t>
  </si>
  <si>
    <t>NUM.number.LT.Ser.Bld.Thermal.HW.LPG</t>
  </si>
  <si>
    <t>NUM.number.LT.Ser.Bld.Thermal.HW.Oil</t>
  </si>
  <si>
    <t>NUM.number.LT.Ser.Bld.Thermal.HW.Gas</t>
  </si>
  <si>
    <t>NUM.number.LT.Ser.Bld.Thermal.HW.Biomass</t>
  </si>
  <si>
    <t>NUM.number.LT.Ser.Bld.Thermal.HW.DistrHeat</t>
  </si>
  <si>
    <t>NUM.number.LT.Ser.Bld.Thermal.HW.Elc</t>
  </si>
  <si>
    <t>NUM.number.LT.Ser.Bld.Thermal.HW.Solar</t>
  </si>
  <si>
    <t>NUM.number.LT.Ser.Bld.Thermal.CA</t>
  </si>
  <si>
    <t>NUM.number.LT.Ser.Bld.Thermal.CA.LPG</t>
  </si>
  <si>
    <t>NUM.number.LT.Ser.Bld.Thermal.CA.Gas</t>
  </si>
  <si>
    <t>NUM.number.LT.Ser.Bld.Thermal.CA.Biomass</t>
  </si>
  <si>
    <t>NUM.number.LT.Ser.Bld.Thermal.CA.Elc</t>
  </si>
  <si>
    <t>LT - Final energy consumption</t>
  </si>
  <si>
    <t>FEC.ktoe.LT.Ser.Bld.Thermal.SH.Solids.Solids</t>
  </si>
  <si>
    <t>FEC.ktoe.LT.Ser.Bld.Thermal.SH.LPG.LPG</t>
  </si>
  <si>
    <t>FEC.ktoe.LT.Ser.Bld.Thermal.SH.Oil.Oil_LiqBio</t>
  </si>
  <si>
    <t>FEC.ktoe.LT.Ser.Bld.Thermal.SH.GasHP.NG_Biogas</t>
  </si>
  <si>
    <t>FEC.ktoe.LT.Ser.Bld.Thermal.SH.GasTH.NG_Biogas</t>
  </si>
  <si>
    <t>FEC.ktoe.LT.Ser.Bld.Thermal.SH.Biomass.Biomass_Waste</t>
  </si>
  <si>
    <t>FEC.ktoe.LT.Ser.Bld.Thermal.SH.Geo.Geo</t>
  </si>
  <si>
    <t>FEC.ktoe.LT.Ser.Bld.Thermal.SH.DistrHeat.Steam_Distr</t>
  </si>
  <si>
    <t>FEC.ktoe.LT.Ser.Bld.Thermal.SH.AdvElc.Elec</t>
  </si>
  <si>
    <t>FEC.ktoe.LT.Ser.Bld.Thermal.SH.ConvElc.Elec</t>
  </si>
  <si>
    <t>FEC.ktoe.LT.Ser.Bld.Thermal.SH.TotalCirculation.Elec</t>
  </si>
  <si>
    <t>FEC.ktoe.LT.Ser.Bld.Thermal.SC.GasHP.NG_Biogas</t>
  </si>
  <si>
    <t>FEC.ktoe.LT.Ser.Bld.Thermal.SC.AC.Elec</t>
  </si>
  <si>
    <t>FEC.ktoe.LT.Ser.Bld.Thermal.HW.Solids.Solids</t>
  </si>
  <si>
    <t>FEC.ktoe.LT.Ser.Bld.Thermal.HW.LPG.LPG</t>
  </si>
  <si>
    <t>FEC.ktoe.LT.Ser.Bld.Thermal.HW.Oil.Oil_LiqBio</t>
  </si>
  <si>
    <t>FEC.ktoe.LT.Ser.Bld.Thermal.HW.Gas.NG_Biogas</t>
  </si>
  <si>
    <t>FEC.ktoe.LT.Ser.Bld.Thermal.HW.Biomass.Biomass_Waste</t>
  </si>
  <si>
    <t>FEC.ktoe.LT.Ser.Bld.Thermal.HW.DistrHeat.Steam_Distr</t>
  </si>
  <si>
    <t>FEC.ktoe.LT.Ser.Bld.Thermal.HW.Elc.Elec</t>
  </si>
  <si>
    <t>FEC.ktoe.LT.Ser.Bld.Thermal.HW.TotalSolar.Solar</t>
  </si>
  <si>
    <t>FEC.ktoe.LT.Ser.Bld.Thermal.CA.LPG</t>
  </si>
  <si>
    <t>FEC.ktoe.LT.Ser.Bld.Thermal.CA.Gas.NG_Biogas</t>
  </si>
  <si>
    <t>FEC.ktoe.LT.Ser.Bld.Thermal.CA.Biomass.Biomass_Waste</t>
  </si>
  <si>
    <t>FEC.ktoe.LT.Ser.Bld.Thermal.CA.Elc.Elec</t>
  </si>
  <si>
    <t>LT - Thermal energy service</t>
  </si>
  <si>
    <t>TES.ktoe.LT.Ser.Bld.Thermal</t>
  </si>
  <si>
    <t>TES.ktoe.LT.Ser.Bld.Thermal.SH</t>
  </si>
  <si>
    <t>TES.ktoe.LT.Ser.Bld.Thermal.SH.Solids.Solids</t>
  </si>
  <si>
    <t>TES.ktoe.LT.Ser.Bld.Thermal.SH.LPG.LPG</t>
  </si>
  <si>
    <t>TES.ktoe.LT.Ser.Bld.Thermal.SH.Oil.Oil_LiqBio</t>
  </si>
  <si>
    <t>TES.ktoe.LT.Ser.Bld.Thermal.SH.GasHP.NG_Biogas</t>
  </si>
  <si>
    <t>TES.ktoe.LT.Ser.Bld.Thermal.SH.GasTH.NG_Biogas</t>
  </si>
  <si>
    <t>TES.ktoe.LT.Ser.Bld.Thermal.SH.Biomass.Biomass_Waste</t>
  </si>
  <si>
    <t>TES.ktoe.LT.Ser.Bld.Thermal.SH.Geo.Geo</t>
  </si>
  <si>
    <t>TES.ktoe.LT.Ser.Bld.Thermal.SH.DistrHeat.Steam_Distr</t>
  </si>
  <si>
    <t>TES.ktoe.LT.Ser.Bld.Thermal.SH.AdvElc.Elec</t>
  </si>
  <si>
    <t>TES.ktoe.LT.Ser.Bld.Thermal.SH.ConvElc.Elec</t>
  </si>
  <si>
    <t>TES.ktoe.LT.Ser.Bld.Thermal.SH.TotalCirculation.Elec</t>
  </si>
  <si>
    <t>TES.ktoe.LT.Ser.Bld.Thermal.SC</t>
  </si>
  <si>
    <t>TES.ktoe.LT.Ser.Bld.Thermal.SC.GasHP.NG_Biogas</t>
  </si>
  <si>
    <t>TES.ktoe.LT.Ser.Bld.Thermal.SC.AC.Elec</t>
  </si>
  <si>
    <t>TES.ktoe.LT.Ser.Bld.Thermal.HW</t>
  </si>
  <si>
    <t>TES.ktoe.LT.Ser.Bld.Thermal.HW.Solids.Solids</t>
  </si>
  <si>
    <t>TES.ktoe.LT.Ser.Bld.Thermal.HW.LPG.LPG</t>
  </si>
  <si>
    <t>TES.ktoe.LT.Ser.Bld.Thermal.HW.Oil.Oil_LiqBio</t>
  </si>
  <si>
    <t>TES.ktoe.LT.Ser.Bld.Thermal.HW.Gas.NG_Biogas</t>
  </si>
  <si>
    <t>TES.ktoe.LT.Ser.Bld.Thermal.HW.Biomass.Biomass_Waste</t>
  </si>
  <si>
    <t>TES.ktoe.LT.Ser.Bld.Thermal.HW.DistrHeat.Steam_Distr</t>
  </si>
  <si>
    <t>TES.ktoe.LT.Ser.Bld.Thermal.HW.Elc.Elec</t>
  </si>
  <si>
    <t>TES.ktoe.LT.Ser.Bld.Thermal.HW.TotalSolar.Solar</t>
  </si>
  <si>
    <t>TES.ktoe.LT.Ser.Bld.Thermal.CA</t>
  </si>
  <si>
    <t>TES.ktoe.LT.Ser.Bld.Thermal.CA.LPG</t>
  </si>
  <si>
    <t>TES.ktoe.LT.Ser.Bld.Thermal.CA.Gas.NG_Biogas</t>
  </si>
  <si>
    <t>TES.ktoe.LT.Ser.Bld.Thermal.CA.Biomass.Biomass_Waste</t>
  </si>
  <si>
    <t>TES.ktoe.LT.Ser.Bld.Thermal.CA.Elc.Elec</t>
  </si>
  <si>
    <t>LT - System efficiency indicator of total stock</t>
  </si>
  <si>
    <t>Eff.ratio.LT.Ser.Bld.Thermal.SH.Solids.Solids</t>
  </si>
  <si>
    <t>Eff.ratio.LT.Ser.Bld.Thermal.SH.LPG.LPG</t>
  </si>
  <si>
    <t>Eff.ratio.LT.Ser.Bld.Thermal.SH.Oil.Oil_LiqBio</t>
  </si>
  <si>
    <t>Eff.ratio.LT.Ser.Bld.Thermal.SH.GasHP.NG_Biogas</t>
  </si>
  <si>
    <t>Eff.ratio.LT.Ser.Bld.Thermal.SH.GasTH.NG_Biogas</t>
  </si>
  <si>
    <t>Eff.ratio.LT.Ser.Bld.Thermal.SH.Biomass.Biomass_Waste</t>
  </si>
  <si>
    <t>Eff.ratio.LT.Ser.Bld.Thermal.SH.Geo.Geo</t>
  </si>
  <si>
    <t>Eff.ratio.LT.Ser.Bld.Thermal.SH.DistrHeat.Steam_Distr</t>
  </si>
  <si>
    <t>Eff.ratio.LT.Ser.Bld.Thermal.SH.AdvElc.Elec</t>
  </si>
  <si>
    <t>Eff.ratio.LT.Ser.Bld.Thermal.SH.ConvElc.Elec</t>
  </si>
  <si>
    <t>Eff.ratio.LT.Ser.Bld.Thermal.SH.TotalCirculation.Elec</t>
  </si>
  <si>
    <t>Eff.ratio.LT.Ser.Bld.Thermal.SC.GasHP.NG_Biogas</t>
  </si>
  <si>
    <t>Eff.ratio.LT.Ser.Bld.Thermal.SC.AC.Elec</t>
  </si>
  <si>
    <t>Eff.ratio.LT.Ser.Bld.Thermal.HW.Solids.Solids</t>
  </si>
  <si>
    <t>Eff.ratio.LT.Ser.Bld.Thermal.HW.LPG.LPG</t>
  </si>
  <si>
    <t>Eff.ratio.LT.Ser.Bld.Thermal.HW.Oil.Oil_LiqBio</t>
  </si>
  <si>
    <t>Eff.ratio.LT.Ser.Bld.Thermal.HW.Gas.NG_Biogas</t>
  </si>
  <si>
    <t>Eff.ratio.LT.Ser.Bld.Thermal.HW.Biomass.Biomass_Waste</t>
  </si>
  <si>
    <t>Eff.ratio.LT.Ser.Bld.Thermal.HW.DistrHeat.Steam_Distr</t>
  </si>
  <si>
    <t>Eff.ratio.LT.Ser.Bld.Thermal.HW.Elc.Elec</t>
  </si>
  <si>
    <t>Eff.ratio.LT.Ser.Bld.Thermal.HW.TotalSolar.Solar</t>
  </si>
  <si>
    <t>Eff.ratio.LT.Ser.Bld.Thermal.CA.LPG</t>
  </si>
  <si>
    <t>Eff.ratio.LT.Ser.Bld.Thermal.CA.Gas.NG_Biogas</t>
  </si>
  <si>
    <t>Eff.ratio.LT.Ser.Bld.Thermal.CA.Biomass.Biomass_Waste</t>
  </si>
  <si>
    <t>Eff.ratio.LT.Ser.Bld.Thermal.CA.Elc.Elec</t>
  </si>
  <si>
    <t>LT - CO2 emissions</t>
  </si>
  <si>
    <t>EMI.ktCO2.LT.Ser.Bld.Thermal.SH.Solids.Solids</t>
  </si>
  <si>
    <t>EMI.ktCO2.LT.Ser.Bld.Thermal.SH.LPG.LPG</t>
  </si>
  <si>
    <t>EMI.ktCO2.LT.Ser.Bld.Thermal.SH.Oil.Oil_LiqBio</t>
  </si>
  <si>
    <t>EMI.ktCO2.LT.Ser.Bld.Thermal.SH.GasHP.NG_Biogas</t>
  </si>
  <si>
    <t>EMI.ktCO2.LT.Ser.Bld.Thermal.SH.GasTH.NG_Biogas</t>
  </si>
  <si>
    <t>EMI.ktCO2.LT.Ser.Bld.Thermal.SH.Biomass.Biomass_Waste</t>
  </si>
  <si>
    <t>EMI.ktCO2.LT.Ser.Bld.Thermal.SH.Geo.Geo</t>
  </si>
  <si>
    <t>EMI.ktCO2.LT.Ser.Bld.Thermal.SH.DistrHeat.Steam_Distr</t>
  </si>
  <si>
    <t>EMI.ktCO2.LT.Ser.Bld.Thermal.SH.AdvElc.Elec</t>
  </si>
  <si>
    <t>EMI.ktCO2.LT.Ser.Bld.Thermal.SH.ConvElc.Elec</t>
  </si>
  <si>
    <t>EMI.ktCO2.LT.Ser.Bld.Thermal.SH.TotalCirculation.Elec</t>
  </si>
  <si>
    <t>EMI.ktCO2.LT.Ser.Bld.Thermal.SC.GasHP.NG_Biogas</t>
  </si>
  <si>
    <t>EMI.ktCO2.LT.Ser.Bld.Thermal.SC.AC.Elec</t>
  </si>
  <si>
    <t>EMI.ktCO2.LT.Ser.Bld.Thermal.HW.Solids.Solids</t>
  </si>
  <si>
    <t>EMI.ktCO2.LT.Ser.Bld.Thermal.HW.LPG.LPG</t>
  </si>
  <si>
    <t>EMI.ktCO2.LT.Ser.Bld.Thermal.HW.Oil.Oil_LiqBio</t>
  </si>
  <si>
    <t>EMI.ktCO2.LT.Ser.Bld.Thermal.HW.Gas.NG_Biogas</t>
  </si>
  <si>
    <t>EMI.ktCO2.LT.Ser.Bld.Thermal.HW.Biomass.Biomass_Waste</t>
  </si>
  <si>
    <t>EMI.ktCO2.LT.Ser.Bld.Thermal.HW.DistrHeat.Steam_Distr</t>
  </si>
  <si>
    <t>EMI.ktCO2.LT.Ser.Bld.Thermal.HW.Elc.Elec</t>
  </si>
  <si>
    <t>EMI.ktCO2.LT.Ser.Bld.Thermal.HW.TotalSolar.Solar</t>
  </si>
  <si>
    <t>EMI.ktCO2.LT.Ser.Bld.Thermal.CA.LPG</t>
  </si>
  <si>
    <t>EMI.ktCO2.LT.Ser.Bld.Thermal.CA.Gas.NG_Biogas</t>
  </si>
  <si>
    <t>EMI.ktCO2.LT.Ser.Bld.Thermal.CA.Biomass.Biomass_Waste</t>
  </si>
  <si>
    <t>EMI.ktCO2.LT.Ser.Bld.Thermal.CA.Elc.Elec</t>
  </si>
  <si>
    <t>LT - Final energy consumption per building</t>
  </si>
  <si>
    <t>FEC_per_building.kWh.LT.Ser.Bld.Thermal</t>
  </si>
  <si>
    <t>FEC_per_building.kWh.LT.Ser.Bld.Thermal.SH</t>
  </si>
  <si>
    <t>FEC_per_building.kWh.LT.Ser.Bld.Thermal.SH.Solids.Solids</t>
  </si>
  <si>
    <t>FEC_per_building.kWh.LT.Ser.Bld.Thermal.SH.LPG.LPG</t>
  </si>
  <si>
    <t>FEC_per_building.kWh.LT.Ser.Bld.Thermal.SH.Oil.Oil_LiqBio</t>
  </si>
  <si>
    <t>FEC_per_building.kWh.LT.Ser.Bld.Thermal.SH.GasHP.NG_Biogas</t>
  </si>
  <si>
    <t>FEC_per_building.kWh.LT.Ser.Bld.Thermal.SH.GasTH.NG_Biogas</t>
  </si>
  <si>
    <t>FEC_per_building.kWh.LT.Ser.Bld.Thermal.SH.Biomass.Biomass_Waste</t>
  </si>
  <si>
    <t>FEC_per_building.kWh.LT.Ser.Bld.Thermal.SH.Geo.Geo</t>
  </si>
  <si>
    <t>FEC_per_building.kWh.LT.Ser.Bld.Thermal.SH.DistrHeat.Steam_Distr</t>
  </si>
  <si>
    <t>FEC_per_building.kWh.LT.Ser.Bld.Thermal.SH.AdvElc.Elec</t>
  </si>
  <si>
    <t>FEC_per_building.kWh.LT.Ser.Bld.Thermal.SH.ConvElc.Elec</t>
  </si>
  <si>
    <t>FEC_per_building.kWh.LT.Ser.Bld.Thermal.SH.TotalCirculation.Elec</t>
  </si>
  <si>
    <t>FEC_per_building.kWh.LT.Ser.Bld.Thermal.SC</t>
  </si>
  <si>
    <t>FEC_per_building.kWh.LT.Ser.Bld.Thermal.SC.GasHP.NG_Biogas</t>
  </si>
  <si>
    <t>FEC_per_building.kWh.LT.Ser.Bld.Thermal.SC.AC.Elec</t>
  </si>
  <si>
    <t>FEC_per_building.kWh.LT.Ser.Bld.Thermal.HW</t>
  </si>
  <si>
    <t>FEC_per_building.kWh.LT.Ser.Bld.Thermal.HW.Solids.Solids</t>
  </si>
  <si>
    <t>FEC_per_building.kWh.LT.Ser.Bld.Thermal.HW.LPG.LPG</t>
  </si>
  <si>
    <t>FEC_per_building.kWh.LT.Ser.Bld.Thermal.HW.Oil.Oil_LiqBio</t>
  </si>
  <si>
    <t>FEC_per_building.kWh.LT.Ser.Bld.Thermal.HW.Gas.NG_Biogas</t>
  </si>
  <si>
    <t>FEC_per_building.kWh.LT.Ser.Bld.Thermal.HW.Biomass.Biomass_Waste</t>
  </si>
  <si>
    <t>FEC_per_building.kWh.LT.Ser.Bld.Thermal.HW.DistrHeat.Steam_Distr</t>
  </si>
  <si>
    <t>FEC_per_building.kWh.LT.Ser.Bld.Thermal.HW.Elc.Elec</t>
  </si>
  <si>
    <t>FEC_per_building.kWh.LT.Ser.Bld.Thermal.HW.TotalSolar.Solar</t>
  </si>
  <si>
    <t>FEC_per_building.kWh.LT.Ser.Bld.Thermal.CA</t>
  </si>
  <si>
    <t>FEC_per_building.kWh.LT.Ser.Bld.Thermal.CA.LPG</t>
  </si>
  <si>
    <t>FEC_per_building.kWh.LT.Ser.Bld.Thermal.CA.Gas.NG_Biogas</t>
  </si>
  <si>
    <t>FEC_per_building.kWh.LT.Ser.Bld.Thermal.CA.Biomass.Biomass_Waste</t>
  </si>
  <si>
    <t>FEC_per_building.kWh.LT.Ser.Bld.Thermal.CA.Elc.Elec</t>
  </si>
  <si>
    <t>LT - Thermal energy service per building</t>
  </si>
  <si>
    <t>TES_per_building.kWh.LT.Ser.Bld.Thermal</t>
  </si>
  <si>
    <t>TES_per_building.kWh.LT.Ser.Bld.Thermal.SH</t>
  </si>
  <si>
    <t>TES_per_building.kWh.LT.Ser.Bld.Thermal.SH.Solids.Solids</t>
  </si>
  <si>
    <t>TES_per_building.kWh.LT.Ser.Bld.Thermal.SH.LPG.LPG</t>
  </si>
  <si>
    <t>TES_per_building.kWh.LT.Ser.Bld.Thermal.SH.Oil.Oil_LiqBio</t>
  </si>
  <si>
    <t>TES_per_building.kWh.LT.Ser.Bld.Thermal.SH.GasHP.NG_Biogas</t>
  </si>
  <si>
    <t>TES_per_building.kWh.LT.Ser.Bld.Thermal.SH.GasTH.NG_Biogas</t>
  </si>
  <si>
    <t>TES_per_building.kWh.LT.Ser.Bld.Thermal.SH.Biomass.Biomass_Waste</t>
  </si>
  <si>
    <t>TES_per_building.kWh.LT.Ser.Bld.Thermal.SH.Geo.Geo</t>
  </si>
  <si>
    <t>TES_per_building.kWh.LT.Ser.Bld.Thermal.SH.DistrHeat.Steam_Distr</t>
  </si>
  <si>
    <t>TES_per_building.kWh.LT.Ser.Bld.Thermal.SH.AdvElc.Elec</t>
  </si>
  <si>
    <t>TES_per_building.kWh.LT.Ser.Bld.Thermal.SH.ConvElc.Elec</t>
  </si>
  <si>
    <t>TES_per_building.kWh.LT.Ser.Bld.Thermal.SH.TotalCirculation.Elec</t>
  </si>
  <si>
    <t>TES_per_building.kWh.LT.Ser.Bld.Thermal.SC</t>
  </si>
  <si>
    <t>TES_per_building.kWh.LT.Ser.Bld.Thermal.SC.GasHP.NG_Biogas</t>
  </si>
  <si>
    <t>TES_per_building.kWh.LT.Ser.Bld.Thermal.SC.AC.Elec</t>
  </si>
  <si>
    <t>TES_per_building.kWh.LT.Ser.Bld.Thermal.HW</t>
  </si>
  <si>
    <t>TES_per_building.kWh.LT.Ser.Bld.Thermal.HW.Solids.Solids</t>
  </si>
  <si>
    <t>TES_per_building.kWh.LT.Ser.Bld.Thermal.HW.LPG.LPG</t>
  </si>
  <si>
    <t>TES_per_building.kWh.LT.Ser.Bld.Thermal.HW.Oil.Oil_LiqBio</t>
  </si>
  <si>
    <t>TES_per_building.kWh.LT.Ser.Bld.Thermal.HW.Gas.NG_Biogas</t>
  </si>
  <si>
    <t>TES_per_building.kWh.LT.Ser.Bld.Thermal.HW.Biomass.Biomass_Waste</t>
  </si>
  <si>
    <t>TES_per_building.kWh.LT.Ser.Bld.Thermal.HW.DistrHeat.Steam_Distr</t>
  </si>
  <si>
    <t>TES_per_building.kWh.LT.Ser.Bld.Thermal.HW.Elc.Elec</t>
  </si>
  <si>
    <t>TES_per_building.kWh.LT.Ser.Bld.Thermal.HW.TotalSolar.Solar</t>
  </si>
  <si>
    <t>TES_per_building.kWh.LT.Ser.Bld.Thermal.CA</t>
  </si>
  <si>
    <t>TES_per_building.kWh.LT.Ser.Bld.Thermal.CA.LPG</t>
  </si>
  <si>
    <t>TES_per_building.kWh.LT.Ser.Bld.Thermal.CA.Gas.NG_Biogas</t>
  </si>
  <si>
    <t>TES_per_building.kWh.LT.Ser.Bld.Thermal.CA.Biomass.Biomass_Waste</t>
  </si>
  <si>
    <t>TES_per_building.kWh.LT.Ser.Bld.Thermal.CA.Elc.Elec</t>
  </si>
  <si>
    <t>LT - CO2 emissions per building</t>
  </si>
  <si>
    <t>EMI_per_building.kgCO2.LT.Ser.Bld.Thermal</t>
  </si>
  <si>
    <t>EMI_per_building.kgCO2.LT.Ser.Bld.Thermal.SH</t>
  </si>
  <si>
    <t>EMI_per_building.kgCO2.LT.Ser.Bld.Thermal.SH.Solids.Solids</t>
  </si>
  <si>
    <t>EMI_per_building.kgCO2.LT.Ser.Bld.Thermal.SH.LPG.LPG</t>
  </si>
  <si>
    <t>EMI_per_building.kgCO2.LT.Ser.Bld.Thermal.SH.Oil.Oil_LiqBio</t>
  </si>
  <si>
    <t>EMI_per_building.kgCO2.LT.Ser.Bld.Thermal.SH.GasHP.NG_Biogas</t>
  </si>
  <si>
    <t>EMI_per_building.kgCO2.LT.Ser.Bld.Thermal.SH.GasTH.NG_Biogas</t>
  </si>
  <si>
    <t>EMI_per_building.kgCO2.LT.Ser.Bld.Thermal.SH.Biomass.Biomass_Waste</t>
  </si>
  <si>
    <t>EMI_per_building.kgCO2.LT.Ser.Bld.Thermal.SH.Geo.Geo</t>
  </si>
  <si>
    <t>EMI_per_building.kgCO2.LT.Ser.Bld.Thermal.SH.DistrHeat.Steam_Distr</t>
  </si>
  <si>
    <t>EMI_per_building.kgCO2.LT.Ser.Bld.Thermal.SH.AdvElc.Elec</t>
  </si>
  <si>
    <t>EMI_per_building.kgCO2.LT.Ser.Bld.Thermal.SH.ConvElc.Elec</t>
  </si>
  <si>
    <t>EMI_per_building.kgCO2.LT.Ser.Bld.Thermal.SH.TotalCirculation.Elec</t>
  </si>
  <si>
    <t>EMI_per_building.kgCO2.LT.Ser.Bld.Thermal.SC</t>
  </si>
  <si>
    <t>EMI_per_building.kgCO2.LT.Ser.Bld.Thermal.SC.GasHP.NG_Biogas</t>
  </si>
  <si>
    <t>EMI_per_building.kgCO2.LT.Ser.Bld.Thermal.SC.AC.Elec</t>
  </si>
  <si>
    <t>EMI_per_building.kgCO2.LT.Ser.Bld.Thermal.HW</t>
  </si>
  <si>
    <t>EMI_per_building.kgCO2.LT.Ser.Bld.Thermal.HW.Solids.Solids</t>
  </si>
  <si>
    <t>EMI_per_building.kgCO2.LT.Ser.Bld.Thermal.HW.LPG.LPG</t>
  </si>
  <si>
    <t>EMI_per_building.kgCO2.LT.Ser.Bld.Thermal.HW.Oil.Oil_LiqBio</t>
  </si>
  <si>
    <t>EMI_per_building.kgCO2.LT.Ser.Bld.Thermal.HW.Gas.NG_Biogas</t>
  </si>
  <si>
    <t>EMI_per_building.kgCO2.LT.Ser.Bld.Thermal.HW.Biomass.Biomass_Waste</t>
  </si>
  <si>
    <t>EMI_per_building.kgCO2.LT.Ser.Bld.Thermal.HW.DistrHeat.Steam_Distr</t>
  </si>
  <si>
    <t>EMI_per_building.kgCO2.LT.Ser.Bld.Thermal.HW.Elc.Elec</t>
  </si>
  <si>
    <t>EMI_per_building.kgCO2.LT.Ser.Bld.Thermal.HW.TotalSolar.Solar</t>
  </si>
  <si>
    <t>EMI_per_building.kgCO2.LT.Ser.Bld.Thermal.CA</t>
  </si>
  <si>
    <t>EMI_per_building.kgCO2.LT.Ser.Bld.Thermal.CA.LPG</t>
  </si>
  <si>
    <t>EMI_per_building.kgCO2.LT.Ser.Bld.Thermal.CA.Gas.NG_Biogas</t>
  </si>
  <si>
    <t>EMI_per_building.kgCO2.LT.Ser.Bld.Thermal.CA.Biomass.Biomass_Waste</t>
  </si>
  <si>
    <t>EMI_per_building.kgCO2.LT.Ser.Bld.Thermal.CA.Elc.Elec</t>
  </si>
  <si>
    <t>LT - Final energy consumption per useful surface area</t>
  </si>
  <si>
    <t>FEC_per_sqm.kWh.LT.Ser.Bld.Thermal</t>
  </si>
  <si>
    <t>FEC_per_sqm.kWh.LT.Ser.Bld.Thermal.SH</t>
  </si>
  <si>
    <t>FEC_per_sqm.kWh.LT.Ser.Bld.Thermal.SH.Solids.Solids</t>
  </si>
  <si>
    <t>FEC_per_sqm.kWh.LT.Ser.Bld.Thermal.SH.LPG.LPG</t>
  </si>
  <si>
    <t>FEC_per_sqm.kWh.LT.Ser.Bld.Thermal.SH.Oil.Oil_LiqBio</t>
  </si>
  <si>
    <t>FEC_per_sqm.kWh.LT.Ser.Bld.Thermal.SH.GasHP.NG_Biogas</t>
  </si>
  <si>
    <t>FEC_per_sqm.kWh.LT.Ser.Bld.Thermal.SH.GasTH.NG_Biogas</t>
  </si>
  <si>
    <t>FEC_per_sqm.kWh.LT.Ser.Bld.Thermal.SH.Biomass.Biomass_Waste</t>
  </si>
  <si>
    <t>FEC_per_sqm.kWh.LT.Ser.Bld.Thermal.SH.Geo.Geo</t>
  </si>
  <si>
    <t>FEC_per_sqm.kWh.LT.Ser.Bld.Thermal.SH.DistrHeat.Steam_Distr</t>
  </si>
  <si>
    <t>FEC_per_sqm.kWh.LT.Ser.Bld.Thermal.SH.AdvElc.Elec</t>
  </si>
  <si>
    <t>FEC_per_sqm.kWh.LT.Ser.Bld.Thermal.SH.ConvElc.Elec</t>
  </si>
  <si>
    <t>FEC_per_sqm.kWh.LT.Ser.Bld.Thermal.SH.TotalCirculation.Elec</t>
  </si>
  <si>
    <t>FEC_per_sqm.kWh.LT.Ser.Bld.Thermal.SC</t>
  </si>
  <si>
    <t>FEC_per_sqm.kWh.LT.Ser.Bld.Thermal.SC.GasHP.NG_Biogas</t>
  </si>
  <si>
    <t>FEC_per_sqm.kWh.LT.Ser.Bld.Thermal.SC.AC.Elec</t>
  </si>
  <si>
    <t>FEC_per_sqm.kWh.LT.Ser.Bld.Thermal.HW</t>
  </si>
  <si>
    <t>FEC_per_sqm.kWh.LT.Ser.Bld.Thermal.HW.Solids.Solids</t>
  </si>
  <si>
    <t>FEC_per_sqm.kWh.LT.Ser.Bld.Thermal.HW.LPG.LPG</t>
  </si>
  <si>
    <t>FEC_per_sqm.kWh.LT.Ser.Bld.Thermal.HW.Oil.Oil_LiqBio</t>
  </si>
  <si>
    <t>FEC_per_sqm.kWh.LT.Ser.Bld.Thermal.HW.Gas.NG_Biogas</t>
  </si>
  <si>
    <t>FEC_per_sqm.kWh.LT.Ser.Bld.Thermal.HW.Biomass.Biomass_Waste</t>
  </si>
  <si>
    <t>FEC_per_sqm.kWh.LT.Ser.Bld.Thermal.HW.DistrHeat.Steam_Distr</t>
  </si>
  <si>
    <t>FEC_per_sqm.kWh.LT.Ser.Bld.Thermal.HW.Elc.Elec</t>
  </si>
  <si>
    <t>FEC_per_sqm.kWh.LT.Ser.Bld.Thermal.HW.TotalSolar.Solar</t>
  </si>
  <si>
    <t>FEC_per_sqm.kWh.LT.Ser.Bld.Thermal.CA</t>
  </si>
  <si>
    <t>FEC_per_sqm.kWh.LT.Ser.Bld.Thermal.CA.LPG</t>
  </si>
  <si>
    <t>FEC_per_sqm.kWh.LT.Ser.Bld.Thermal.CA.Gas.NG_Biogas</t>
  </si>
  <si>
    <t>FEC_per_sqm.kWh.LT.Ser.Bld.Thermal.CA.Biomass.Biomass_Waste</t>
  </si>
  <si>
    <t>FEC_per_sqm.kWh.LT.Ser.Bld.Thermal.CA.Elc.Elec</t>
  </si>
  <si>
    <t>LT - Thermal energy service per useful surface area</t>
  </si>
  <si>
    <t>TES_per_sqm.kWh.LT.Ser.Bld.Thermal</t>
  </si>
  <si>
    <t>TES_per_sqm.kWh.LT.Ser.Bld.Thermal.SH</t>
  </si>
  <si>
    <t>TES_per_sqm.kWh.LT.Ser.Bld.Thermal.SH.Solids.Solids</t>
  </si>
  <si>
    <t>TES_per_sqm.kWh.LT.Ser.Bld.Thermal.SH.LPG.LPG</t>
  </si>
  <si>
    <t>TES_per_sqm.kWh.LT.Ser.Bld.Thermal.SH.Oil.Oil_LiqBio</t>
  </si>
  <si>
    <t>TES_per_sqm.kWh.LT.Ser.Bld.Thermal.SH.GasHP.NG_Biogas</t>
  </si>
  <si>
    <t>TES_per_sqm.kWh.LT.Ser.Bld.Thermal.SH.GasTH.NG_Biogas</t>
  </si>
  <si>
    <t>TES_per_sqm.kWh.LT.Ser.Bld.Thermal.SH.Biomass.Biomass_Waste</t>
  </si>
  <si>
    <t>TES_per_sqm.kWh.LT.Ser.Bld.Thermal.SH.Geo.Geo</t>
  </si>
  <si>
    <t>TES_per_sqm.kWh.LT.Ser.Bld.Thermal.SH.DistrHeat.Steam_Distr</t>
  </si>
  <si>
    <t>TES_per_sqm.kWh.LT.Ser.Bld.Thermal.SH.AdvElc.Elec</t>
  </si>
  <si>
    <t>TES_per_sqm.kWh.LT.Ser.Bld.Thermal.SH.ConvElc.Elec</t>
  </si>
  <si>
    <t>TES_per_sqm.kWh.LT.Ser.Bld.Thermal.SH.TotalCirculation.Elec</t>
  </si>
  <si>
    <t>TES_per_sqm.kWh.LT.Ser.Bld.Thermal.SC</t>
  </si>
  <si>
    <t>TES_per_sqm.kWh.LT.Ser.Bld.Thermal.SC.GasHP.NG_Biogas</t>
  </si>
  <si>
    <t>TES_per_sqm.kWh.LT.Ser.Bld.Thermal.SC.AC.Elec</t>
  </si>
  <si>
    <t>TES_per_sqm.kWh.LT.Ser.Bld.Thermal.HW</t>
  </si>
  <si>
    <t>TES_per_sqm.kWh.LT.Ser.Bld.Thermal.HW.Solids.Solids</t>
  </si>
  <si>
    <t>TES_per_sqm.kWh.LT.Ser.Bld.Thermal.HW.LPG.LPG</t>
  </si>
  <si>
    <t>TES_per_sqm.kWh.LT.Ser.Bld.Thermal.HW.Oil.Oil_LiqBio</t>
  </si>
  <si>
    <t>TES_per_sqm.kWh.LT.Ser.Bld.Thermal.HW.Gas.NG_Biogas</t>
  </si>
  <si>
    <t>TES_per_sqm.kWh.LT.Ser.Bld.Thermal.HW.Biomass.Biomass_Waste</t>
  </si>
  <si>
    <t>TES_per_sqm.kWh.LT.Ser.Bld.Thermal.HW.DistrHeat.Steam_Distr</t>
  </si>
  <si>
    <t>TES_per_sqm.kWh.LT.Ser.Bld.Thermal.HW.Elc.Elec</t>
  </si>
  <si>
    <t>TES_per_sqm.kWh.LT.Ser.Bld.Thermal.HW.TotalSolar.Solar</t>
  </si>
  <si>
    <t>TES_per_sqm.kWh.LT.Ser.Bld.Thermal.CA</t>
  </si>
  <si>
    <t>TES_per_sqm.kWh.LT.Ser.Bld.Thermal.CA.LPG</t>
  </si>
  <si>
    <t>TES_per_sqm.kWh.LT.Ser.Bld.Thermal.CA.Gas.NG_Biogas</t>
  </si>
  <si>
    <t>TES_per_sqm.kWh.LT.Ser.Bld.Thermal.CA.Biomass.Biomass_Waste</t>
  </si>
  <si>
    <t>TES_per_sqm.kWh.LT.Ser.Bld.Thermal.CA.Elc.Elec</t>
  </si>
  <si>
    <t>LT - CO2 emissions per useful surface area</t>
  </si>
  <si>
    <t>EMI_per_sqm.kgCO2.LT.Ser.Bld.Thermal</t>
  </si>
  <si>
    <t>EMI_per_sqm.kgCO2.LT.Ser.Bld.Thermal.SH</t>
  </si>
  <si>
    <t>EMI_per_sqm.kgCO2.LT.Ser.Bld.Thermal.SH.Solids.Solids</t>
  </si>
  <si>
    <t>EMI_per_sqm.kgCO2.LT.Ser.Bld.Thermal.SH.LPG.LPG</t>
  </si>
  <si>
    <t>EMI_per_sqm.kgCO2.LT.Ser.Bld.Thermal.SH.Oil.Oil_LiqBio</t>
  </si>
  <si>
    <t>EMI_per_sqm.kgCO2.LT.Ser.Bld.Thermal.SH.GasHP.NG_Biogas</t>
  </si>
  <si>
    <t>EMI_per_sqm.kgCO2.LT.Ser.Bld.Thermal.SH.GasTH.NG_Biogas</t>
  </si>
  <si>
    <t>EMI_per_sqm.kgCO2.LT.Ser.Bld.Thermal.SH.Biomass.Biomass_Waste</t>
  </si>
  <si>
    <t>EMI_per_sqm.kgCO2.LT.Ser.Bld.Thermal.SH.Geo.Geo</t>
  </si>
  <si>
    <t>EMI_per_sqm.kgCO2.LT.Ser.Bld.Thermal.SH.DistrHeat.Steam_Distr</t>
  </si>
  <si>
    <t>EMI_per_sqm.kgCO2.LT.Ser.Bld.Thermal.SH.AdvElc.Elec</t>
  </si>
  <si>
    <t>EMI_per_sqm.kgCO2.LT.Ser.Bld.Thermal.SH.ConvElc.Elec</t>
  </si>
  <si>
    <t>EMI_per_sqm.kgCO2.LT.Ser.Bld.Thermal.SH.TotalCirculation.Elec</t>
  </si>
  <si>
    <t>EMI_per_sqm.kgCO2.LT.Ser.Bld.Thermal.SC</t>
  </si>
  <si>
    <t>EMI_per_sqm.kgCO2.LT.Ser.Bld.Thermal.SC.GasHP.NG_Biogas</t>
  </si>
  <si>
    <t>EMI_per_sqm.kgCO2.LT.Ser.Bld.Thermal.SC.AC.Elec</t>
  </si>
  <si>
    <t>EMI_per_sqm.kgCO2.LT.Ser.Bld.Thermal.HW</t>
  </si>
  <si>
    <t>EMI_per_sqm.kgCO2.LT.Ser.Bld.Thermal.HW.Solids.Solids</t>
  </si>
  <si>
    <t>EMI_per_sqm.kgCO2.LT.Ser.Bld.Thermal.HW.LPG.LPG</t>
  </si>
  <si>
    <t>EMI_per_sqm.kgCO2.LT.Ser.Bld.Thermal.HW.Oil.Oil_LiqBio</t>
  </si>
  <si>
    <t>EMI_per_sqm.kgCO2.LT.Ser.Bld.Thermal.HW.Gas.NG_Biogas</t>
  </si>
  <si>
    <t>EMI_per_sqm.kgCO2.LT.Ser.Bld.Thermal.HW.Biomass.Biomass_Waste</t>
  </si>
  <si>
    <t>EMI_per_sqm.kgCO2.LT.Ser.Bld.Thermal.HW.DistrHeat.Steam_Distr</t>
  </si>
  <si>
    <t>EMI_per_sqm.kgCO2.LT.Ser.Bld.Thermal.HW.Elc.Elec</t>
  </si>
  <si>
    <t>EMI_per_sqm.kgCO2.LT.Ser.Bld.Thermal.HW.TotalSolar.Solar</t>
  </si>
  <si>
    <t>EMI_per_sqm.kgCO2.LT.Ser.Bld.Thermal.CA</t>
  </si>
  <si>
    <t>EMI_per_sqm.kgCO2.LT.Ser.Bld.Thermal.CA.LPG</t>
  </si>
  <si>
    <t>EMI_per_sqm.kgCO2.LT.Ser.Bld.Thermal.CA.Gas.NG_Biogas</t>
  </si>
  <si>
    <t>EMI_per_sqm.kgCO2.LT.Ser.Bld.Thermal.CA.Biomass.Biomass_Waste</t>
  </si>
  <si>
    <t>EMI_per_sqm.kgCO2.LT.Ser.Bld.Thermal.CA.Elc.Elec</t>
  </si>
  <si>
    <t>LT - Number of new and renovated buildings</t>
  </si>
  <si>
    <t>NUM.number.LT.Ser.BldNew.Thermal</t>
  </si>
  <si>
    <t>NUM.number.LT.Ser.BldNew.Thermal.SH</t>
  </si>
  <si>
    <t>NUM.number.LT.Ser.BldNew.Thermal.SH.Solids</t>
  </si>
  <si>
    <t>NUM.number.LT.Ser.BldNew.Thermal.SH.LPG</t>
  </si>
  <si>
    <t>NUM.number.LT.Ser.BldNew.Thermal.SH.Oil</t>
  </si>
  <si>
    <t>NUM.number.LT.Ser.BldNew.Thermal.SH.GasHP</t>
  </si>
  <si>
    <t>NUM.number.LT.Ser.BldNew.Thermal.SH.GasTH</t>
  </si>
  <si>
    <t>NUM.number.LT.Ser.BldNew.Thermal.SH.Biomass</t>
  </si>
  <si>
    <t>NUM.number.LT.Ser.BldNew.Thermal.SH.Geo</t>
  </si>
  <si>
    <t>NUM.number.LT.Ser.BldNew.Thermal.SH.DistrHeat</t>
  </si>
  <si>
    <t>NUM.number.LT.Ser.BldNew.Thermal.SH.AdvElc</t>
  </si>
  <si>
    <t>NUM.number.LT.Ser.BldNew.Thermal.SH.ConvElc</t>
  </si>
  <si>
    <t>NUM.number.LT.Ser.BldNew.Thermal.SC</t>
  </si>
  <si>
    <t>NUM.number.LT.Ser.BldNew.Thermal.SC.GasHP</t>
  </si>
  <si>
    <t>NUM.number.LT.Ser.BldNew.Thermal.SC.AC</t>
  </si>
  <si>
    <t>NUM.number.LT.Ser.BldNew.Thermal.HW</t>
  </si>
  <si>
    <t>NUM.number.LT.Ser.BldNew.Thermal.HW.Solids</t>
  </si>
  <si>
    <t>NUM.number.LT.Ser.BldNew.Thermal.HW.LPG</t>
  </si>
  <si>
    <t>NUM.number.LT.Ser.BldNew.Thermal.HW.Oil</t>
  </si>
  <si>
    <t>NUM.number.LT.Ser.BldNew.Thermal.HW.Gas</t>
  </si>
  <si>
    <t>NUM.number.LT.Ser.BldNew.Thermal.HW.Biomass</t>
  </si>
  <si>
    <t>NUM.number.LT.Ser.BldNew.Thermal.HW.DistrHeat</t>
  </si>
  <si>
    <t>NUM.number.LT.Ser.BldNew.Thermal.HW.Elc</t>
  </si>
  <si>
    <t>NUM.number.LT.Ser.BldNew.Thermal.HW.Solar</t>
  </si>
  <si>
    <t>NUM.number.LT.Ser.BldNew.Thermal.CA</t>
  </si>
  <si>
    <t>NUM.number.LT.Ser.BldNew.Thermal.CA.LPG</t>
  </si>
  <si>
    <t>NUM.number.LT.Ser.BldNew.Thermal.CA.Gas</t>
  </si>
  <si>
    <t>NUM.number.LT.Ser.BldNew.Thermal.CA.Biomass</t>
  </si>
  <si>
    <t>NUM.number.LT.Ser.BldNew.Thermal.CA.Elc</t>
  </si>
  <si>
    <t>LT - Final energy consumption in new and renovated buildings</t>
  </si>
  <si>
    <t>FEC.ktoe.LT.Ser.BldNew.Thermal</t>
  </si>
  <si>
    <t>FEC.ktoe.LT.Ser.BldNew.Thermal.SH</t>
  </si>
  <si>
    <t>FEC.ktoe.LT.Ser.BldNew.Thermal.SH.Solids.Solids</t>
  </si>
  <si>
    <t>FEC.ktoe.LT.Ser.BldNew.Thermal.SH.LPG.LPG</t>
  </si>
  <si>
    <t>FEC.ktoe.LT.Ser.BldNew.Thermal.SH.Oil.Oil_LiqBio</t>
  </si>
  <si>
    <t>FEC.ktoe.LT.Ser.BldNew.Thermal.SH.GasHP.NG_Biogas</t>
  </si>
  <si>
    <t>FEC.ktoe.LT.Ser.BldNew.Thermal.SH.GasTH.NG_Biogas</t>
  </si>
  <si>
    <t>FEC.ktoe.LT.Ser.BldNew.Thermal.SH.Biomass.Biomass_Waste</t>
  </si>
  <si>
    <t>FEC.ktoe.LT.Ser.BldNew.Thermal.SH.Geo.Geo</t>
  </si>
  <si>
    <t>FEC.ktoe.LT.Ser.BldNew.Thermal.SH.DistrHeat.Steam_Distr</t>
  </si>
  <si>
    <t>FEC.ktoe.LT.Ser.BldNew.Thermal.SH.AdvElc.Elec</t>
  </si>
  <si>
    <t>FEC.ktoe.LT.Ser.BldNew.Thermal.SH.ConvElc.Elec</t>
  </si>
  <si>
    <t>FEC.ktoe.LT.Ser.BldNew.Thermal.SH.TotalCirculation.Elec</t>
  </si>
  <si>
    <t>FEC.ktoe.LT.Ser.BldNew.Thermal.SC</t>
  </si>
  <si>
    <t>FEC.ktoe.LT.Ser.BldNew.Thermal.SC.GasHP.NG_Biogas</t>
  </si>
  <si>
    <t>FEC.ktoe.LT.Ser.BldNew.Thermal.SC.AC.Elec</t>
  </si>
  <si>
    <t>FEC.ktoe.LT.Ser.BldNew.Thermal.HW</t>
  </si>
  <si>
    <t>FEC.ktoe.LT.Ser.BldNew.Thermal.HW.Solids.Solids</t>
  </si>
  <si>
    <t>FEC.ktoe.LT.Ser.BldNew.Thermal.HW.LPG.LPG</t>
  </si>
  <si>
    <t>FEC.ktoe.LT.Ser.BldNew.Thermal.HW.Oil.Oil_LiqBio</t>
  </si>
  <si>
    <t>FEC.ktoe.LT.Ser.BldNew.Thermal.HW.Gas.NG_Biogas</t>
  </si>
  <si>
    <t>FEC.ktoe.LT.Ser.BldNew.Thermal.HW.Biomass.Biomass_Waste</t>
  </si>
  <si>
    <t>FEC.ktoe.LT.Ser.BldNew.Thermal.HW.DistrHeat.Steam_Distr</t>
  </si>
  <si>
    <t>FEC.ktoe.LT.Ser.BldNew.Thermal.HW.Elc.Elec</t>
  </si>
  <si>
    <t>FEC.ktoe.LT.Ser.BldNew.Thermal.HW.TotalSolar.Solar</t>
  </si>
  <si>
    <t>FEC.ktoe.LT.Ser.BldNew.Thermal.CA</t>
  </si>
  <si>
    <t>FEC.ktoe.LT.Ser.BldNew.Thermal.CA.LPG</t>
  </si>
  <si>
    <t>FEC.ktoe.LT.Ser.BldNew.Thermal.CA.Gas.NG_Biogas</t>
  </si>
  <si>
    <t>FEC.ktoe.LT.Ser.BldNew.Thermal.CA.Biomass.Biomass_Waste</t>
  </si>
  <si>
    <t>FEC.ktoe.LT.Ser.BldNew.Thermal.CA.Elc.Elec</t>
  </si>
  <si>
    <t>LT - Thermal energy service in new and renovated buildings</t>
  </si>
  <si>
    <t>TES.ktoe.LT.Ser.BldNew.Thermal</t>
  </si>
  <si>
    <t>TES.ktoe.LT.Ser.BldNew.Thermal.SH</t>
  </si>
  <si>
    <t>TES.ktoe.LT.Ser.BldNew.Thermal.SH.Solids.Solids</t>
  </si>
  <si>
    <t>TES.ktoe.LT.Ser.BldNew.Thermal.SH.LPG.LPG</t>
  </si>
  <si>
    <t>TES.ktoe.LT.Ser.BldNew.Thermal.SH.Oil.Oil_LiqBio</t>
  </si>
  <si>
    <t>TES.ktoe.LT.Ser.BldNew.Thermal.SH.GasHP.NG_Biogas</t>
  </si>
  <si>
    <t>TES.ktoe.LT.Ser.BldNew.Thermal.SH.GasTH.NG_Biogas</t>
  </si>
  <si>
    <t>TES.ktoe.LT.Ser.BldNew.Thermal.SH.Biomass.Biomass_Waste</t>
  </si>
  <si>
    <t>TES.ktoe.LT.Ser.BldNew.Thermal.SH.Geo.Geo</t>
  </si>
  <si>
    <t>TES.ktoe.LT.Ser.BldNew.Thermal.SH.DistrHeat.Steam_Distr</t>
  </si>
  <si>
    <t>TES.ktoe.LT.Ser.BldNew.Thermal.SH.AdvElc.Elec</t>
  </si>
  <si>
    <t>TES.ktoe.LT.Ser.BldNew.Thermal.SH.ConvElc.Elec</t>
  </si>
  <si>
    <t>TES.ktoe.LT.Ser.BldNew.Thermal.SH.TotalCirculation.Elec</t>
  </si>
  <si>
    <t>TES.ktoe.LT.Ser.BldNew.Thermal.SC</t>
  </si>
  <si>
    <t>TES.ktoe.LT.Ser.BldNew.Thermal.SC.GasHP.NG_Biogas</t>
  </si>
  <si>
    <t>TES.ktoe.LT.Ser.BldNew.Thermal.SC.AC.Elec</t>
  </si>
  <si>
    <t>TES.ktoe.LT.Ser.BldNew.Thermal.HW</t>
  </si>
  <si>
    <t>TES.ktoe.LT.Ser.BldNew.Thermal.HW.Solids.Solids</t>
  </si>
  <si>
    <t>TES.ktoe.LT.Ser.BldNew.Thermal.HW.LPG.LPG</t>
  </si>
  <si>
    <t>TES.ktoe.LT.Ser.BldNew.Thermal.HW.Oil.Oil_LiqBio</t>
  </si>
  <si>
    <t>TES.ktoe.LT.Ser.BldNew.Thermal.HW.Gas.NG_Biogas</t>
  </si>
  <si>
    <t>TES.ktoe.LT.Ser.BldNew.Thermal.HW.Biomass.Biomass_Waste</t>
  </si>
  <si>
    <t>TES.ktoe.LT.Ser.BldNew.Thermal.HW.DistrHeat.Steam_Distr</t>
  </si>
  <si>
    <t>TES.ktoe.LT.Ser.BldNew.Thermal.HW.Elc.Elec</t>
  </si>
  <si>
    <t>TES.ktoe.LT.Ser.BldNew.Thermal.HW.TotalSolar.Solar</t>
  </si>
  <si>
    <t>TES.ktoe.LT.Ser.BldNew.Thermal.CA</t>
  </si>
  <si>
    <t>TES.ktoe.LT.Ser.BldNew.Thermal.CA.LPG</t>
  </si>
  <si>
    <t>TES.ktoe.LT.Ser.BldNew.Thermal.CA.Gas.NG_Biogas</t>
  </si>
  <si>
    <t>TES.ktoe.LT.Ser.BldNew.Thermal.CA.Biomass.Biomass_Waste</t>
  </si>
  <si>
    <t>TES.ktoe.LT.Ser.BldNew.Thermal.CA.Elc.Elec</t>
  </si>
  <si>
    <t>LT - System efficiency indicator of new and renovated buildings</t>
  </si>
  <si>
    <t>Eff.ratio.LT.Ser.BldNew.Thermal</t>
  </si>
  <si>
    <t>Eff.ratio.LT.Ser.BldNew.Thermal.SH</t>
  </si>
  <si>
    <t>Eff.ratio.LT.Ser.BldNew.Thermal.SH.Solids.Solids</t>
  </si>
  <si>
    <t>Eff.ratio.LT.Ser.BldNew.Thermal.SH.LPG.LPG</t>
  </si>
  <si>
    <t>Eff.ratio.LT.Ser.BldNew.Thermal.SH.Oil.Oil_LiqBio</t>
  </si>
  <si>
    <t>Eff.ratio.LT.Ser.BldNew.Thermal.SH.GasHP.NG_Biogas</t>
  </si>
  <si>
    <t>Eff.ratio.LT.Ser.BldNew.Thermal.SH.GasTH.NG_Biogas</t>
  </si>
  <si>
    <t>Eff.ratio.LT.Ser.BldNew.Thermal.SH.Biomass.Biomass_Waste</t>
  </si>
  <si>
    <t>Eff.ratio.LT.Ser.BldNew.Thermal.SH.Geo.Geo</t>
  </si>
  <si>
    <t>Eff.ratio.LT.Ser.BldNew.Thermal.SH.DistrHeat.Steam_Distr</t>
  </si>
  <si>
    <t>Eff.ratio.LT.Ser.BldNew.Thermal.SH.AdvElc.Elec</t>
  </si>
  <si>
    <t>Eff.ratio.LT.Ser.BldNew.Thermal.SH.ConvElc.Elec</t>
  </si>
  <si>
    <t>Eff.ratio.LT.Ser.BldNew.Thermal.SH.TotalCirculation.Elec</t>
  </si>
  <si>
    <t>Eff.ratio.LT.Ser.BldNew.Thermal.SC</t>
  </si>
  <si>
    <t>Eff.ratio.LT.Ser.BldNew.Thermal.SC.GasHP.NG_Biogas</t>
  </si>
  <si>
    <t>Eff.ratio.LT.Ser.BldNew.Thermal.SC.AC.Elec</t>
  </si>
  <si>
    <t>Eff.ratio.LT.Ser.BldNew.Thermal.HW</t>
  </si>
  <si>
    <t>Eff.ratio.LT.Ser.BldNew.Thermal.HW.Solids.Solids</t>
  </si>
  <si>
    <t>Eff.ratio.LT.Ser.BldNew.Thermal.HW.LPG.LPG</t>
  </si>
  <si>
    <t>Eff.ratio.LT.Ser.BldNew.Thermal.HW.Oil.Oil_LiqBio</t>
  </si>
  <si>
    <t>Eff.ratio.LT.Ser.BldNew.Thermal.HW.Gas.NG_Biogas</t>
  </si>
  <si>
    <t>Eff.ratio.LT.Ser.BldNew.Thermal.HW.Biomass.Biomass_Waste</t>
  </si>
  <si>
    <t>Eff.ratio.LT.Ser.BldNew.Thermal.HW.DistrHeat.Steam_Distr</t>
  </si>
  <si>
    <t>Eff.ratio.LT.Ser.BldNew.Thermal.HW.Elc.Elec</t>
  </si>
  <si>
    <t>Eff.ratio.LT.Ser.BldNew.Thermal.HW.TotalSolar.Solar</t>
  </si>
  <si>
    <t>Eff.ratio.LT.Ser.BldNew.Thermal.CA</t>
  </si>
  <si>
    <t>Eff.ratio.LT.Ser.BldNew.Thermal.CA.LPG</t>
  </si>
  <si>
    <t>Eff.ratio.LT.Ser.BldNew.Thermal.CA.Gas.NG_Biogas</t>
  </si>
  <si>
    <t>Eff.ratio.LT.Ser.BldNew.Thermal.CA.Biomass.Biomass_Waste</t>
  </si>
  <si>
    <t>Eff.ratio.LT.Ser.BldNew.Thermal.CA.Elc.Elec</t>
  </si>
  <si>
    <t>LT - CO2 emissions in new and renovated buildings</t>
  </si>
  <si>
    <t>EMI.ktCO2.LT.Ser.BldNew.Thermal</t>
  </si>
  <si>
    <t>EMI.ktCO2.LT.Ser.BldNew.Thermal.SH</t>
  </si>
  <si>
    <t>EMI.ktCO2.LT.Ser.BldNew.Thermal.SH.Solids.Solids</t>
  </si>
  <si>
    <t>EMI.ktCO2.LT.Ser.BldNew.Thermal.SH.LPG.LPG</t>
  </si>
  <si>
    <t>EMI.ktCO2.LT.Ser.BldNew.Thermal.SH.Oil.Oil_LiqBio</t>
  </si>
  <si>
    <t>EMI.ktCO2.LT.Ser.BldNew.Thermal.SH.GasHP.NG_Biogas</t>
  </si>
  <si>
    <t>EMI.ktCO2.LT.Ser.BldNew.Thermal.SH.GasTH.NG_Biogas</t>
  </si>
  <si>
    <t>EMI.ktCO2.LT.Ser.BldNew.Thermal.SH.Biomass.Biomass_Waste</t>
  </si>
  <si>
    <t>EMI.ktCO2.LT.Ser.BldNew.Thermal.SH.Geo.Geo</t>
  </si>
  <si>
    <t>EMI.ktCO2.LT.Ser.BldNew.Thermal.SH.DistrHeat.Steam_Distr</t>
  </si>
  <si>
    <t>EMI.ktCO2.LT.Ser.BldNew.Thermal.SH.AdvElc.Elec</t>
  </si>
  <si>
    <t>EMI.ktCO2.LT.Ser.BldNew.Thermal.SH.ConvElc.Elec</t>
  </si>
  <si>
    <t>EMI.ktCO2.LT.Ser.BldNew.Thermal.SH.TotalCirculation.Elec</t>
  </si>
  <si>
    <t>EMI.ktCO2.LT.Ser.BldNew.Thermal.SC</t>
  </si>
  <si>
    <t>EMI.ktCO2.LT.Ser.BldNew.Thermal.SC.GasHP.NG_Biogas</t>
  </si>
  <si>
    <t>EMI.ktCO2.LT.Ser.BldNew.Thermal.SC.AC.Elec</t>
  </si>
  <si>
    <t>EMI.ktCO2.LT.Ser.BldNew.Thermal.HW</t>
  </si>
  <si>
    <t>EMI.ktCO2.LT.Ser.BldNew.Thermal.HW.Solids.Solids</t>
  </si>
  <si>
    <t>EMI.ktCO2.LT.Ser.BldNew.Thermal.HW.LPG.LPG</t>
  </si>
  <si>
    <t>EMI.ktCO2.LT.Ser.BldNew.Thermal.HW.Oil.Oil_LiqBio</t>
  </si>
  <si>
    <t>EMI.ktCO2.LT.Ser.BldNew.Thermal.HW.Gas.NG_Biogas</t>
  </si>
  <si>
    <t>EMI.ktCO2.LT.Ser.BldNew.Thermal.HW.Biomass.Biomass_Waste</t>
  </si>
  <si>
    <t>EMI.ktCO2.LT.Ser.BldNew.Thermal.HW.DistrHeat.Steam_Distr</t>
  </si>
  <si>
    <t>EMI.ktCO2.LT.Ser.BldNew.Thermal.HW.Elc.Elec</t>
  </si>
  <si>
    <t>EMI.ktCO2.LT.Ser.BldNew.Thermal.HW.TotalSolar.Solar</t>
  </si>
  <si>
    <t>EMI.ktCO2.LT.Ser.BldNew.Thermal.CA</t>
  </si>
  <si>
    <t>EMI.ktCO2.LT.Ser.BldNew.Thermal.CA.LPG</t>
  </si>
  <si>
    <t>EMI.ktCO2.LT.Ser.BldNew.Thermal.CA.Gas.NG_Biogas</t>
  </si>
  <si>
    <t>EMI.ktCO2.LT.Ser.BldNew.Thermal.CA.Biomass.Biomass_Waste</t>
  </si>
  <si>
    <t>EMI.ktCO2.LT.Ser.BldNew.Thermal.CA.Elc.Elec</t>
  </si>
  <si>
    <t>LT - Final energy consumption of new and renovated buildings (per building)</t>
  </si>
  <si>
    <t>FEC_per_building.kWh.LT.Ser.BldNew.Thermal</t>
  </si>
  <si>
    <t>FEC_per_building.kWh.LT.Ser.BldNew.Thermal.SH</t>
  </si>
  <si>
    <t>FEC_per_building.kWh.LT.Ser.BldNew.Thermal.SH.Solids.Solids</t>
  </si>
  <si>
    <t>FEC_per_building.kWh.LT.Ser.BldNew.Thermal.SH.LPG.LPG</t>
  </si>
  <si>
    <t>FEC_per_building.kWh.LT.Ser.BldNew.Thermal.SH.Oil.Oil_LiqBio</t>
  </si>
  <si>
    <t>FEC_per_building.kWh.LT.Ser.BldNew.Thermal.SH.GasHP.NG_Biogas</t>
  </si>
  <si>
    <t>FEC_per_building.kWh.LT.Ser.BldNew.Thermal.SH.GasTH.NG_Biogas</t>
  </si>
  <si>
    <t>FEC_per_building.kWh.LT.Ser.BldNew.Thermal.SH.Biomass.Biomass_Waste</t>
  </si>
  <si>
    <t>FEC_per_building.kWh.LT.Ser.BldNew.Thermal.SH.Geo.Geo</t>
  </si>
  <si>
    <t>FEC_per_building.kWh.LT.Ser.BldNew.Thermal.SH.DistrHeat.Steam_Distr</t>
  </si>
  <si>
    <t>FEC_per_building.kWh.LT.Ser.BldNew.Thermal.SH.AdvElc.Elec</t>
  </si>
  <si>
    <t>FEC_per_building.kWh.LT.Ser.BldNew.Thermal.SH.ConvElc.Elec</t>
  </si>
  <si>
    <t>FEC_per_building.kWh.LT.Ser.BldNew.Thermal.SH.TotalCirculation.Elec</t>
  </si>
  <si>
    <t>FEC_per_building.kWh.LT.Ser.BldNew.Thermal.SC</t>
  </si>
  <si>
    <t>FEC_per_building.kWh.LT.Ser.BldNew.Thermal.SC.GasHP.NG_Biogas</t>
  </si>
  <si>
    <t>FEC_per_building.kWh.LT.Ser.BldNew.Thermal.SC.AC.Elec</t>
  </si>
  <si>
    <t>FEC_per_building.kWh.LT.Ser.BldNew.Thermal.HW</t>
  </si>
  <si>
    <t>FEC_per_building.kWh.LT.Ser.BldNew.Thermal.HW.Solids.Solids</t>
  </si>
  <si>
    <t>FEC_per_building.kWh.LT.Ser.BldNew.Thermal.HW.LPG.LPG</t>
  </si>
  <si>
    <t>FEC_per_building.kWh.LT.Ser.BldNew.Thermal.HW.Oil.Oil_LiqBio</t>
  </si>
  <si>
    <t>FEC_per_building.kWh.LT.Ser.BldNew.Thermal.HW.Gas.NG_Biogas</t>
  </si>
  <si>
    <t>FEC_per_building.kWh.LT.Ser.BldNew.Thermal.HW.Biomass.Biomass_Waste</t>
  </si>
  <si>
    <t>FEC_per_building.kWh.LT.Ser.BldNew.Thermal.HW.DistrHeat.Steam_Distr</t>
  </si>
  <si>
    <t>FEC_per_building.kWh.LT.Ser.BldNew.Thermal.HW.Elc.Elec</t>
  </si>
  <si>
    <t>FEC_per_building.kWh.LT.Ser.BldNew.Thermal.HW.TotalSolar.Solar</t>
  </si>
  <si>
    <t>FEC_per_building.kWh.LT.Ser.BldNew.Thermal.CA</t>
  </si>
  <si>
    <t>FEC_per_building.kWh.LT.Ser.BldNew.Thermal.CA.LPG</t>
  </si>
  <si>
    <t>FEC_per_building.kWh.LT.Ser.BldNew.Thermal.CA.Gas.NG_Biogas</t>
  </si>
  <si>
    <t>FEC_per_building.kWh.LT.Ser.BldNew.Thermal.CA.Biomass.Biomass_Waste</t>
  </si>
  <si>
    <t>FEC_per_building.kWh.LT.Ser.BldNew.Thermal.CA.Elc.Elec</t>
  </si>
  <si>
    <t>LT - Thermal energy service of new and renovated buildings (per building)</t>
  </si>
  <si>
    <t>TES_per_building.kWh.LT.Ser.BldNew.Thermal</t>
  </si>
  <si>
    <t>TES_per_building.kWh.LT.Ser.BldNew.Thermal.SH</t>
  </si>
  <si>
    <t>TES_per_building.kWh.LT.Ser.BldNew.Thermal.SH.Solids.Solids</t>
  </si>
  <si>
    <t>TES_per_building.kWh.LT.Ser.BldNew.Thermal.SH.LPG.LPG</t>
  </si>
  <si>
    <t>TES_per_building.kWh.LT.Ser.BldNew.Thermal.SH.Oil.Oil_LiqBio</t>
  </si>
  <si>
    <t>TES_per_building.kWh.LT.Ser.BldNew.Thermal.SH.GasHP.NG_Biogas</t>
  </si>
  <si>
    <t>TES_per_building.kWh.LT.Ser.BldNew.Thermal.SH.GasTH.NG_Biogas</t>
  </si>
  <si>
    <t>TES_per_building.kWh.LT.Ser.BldNew.Thermal.SH.Biomass.Biomass_Waste</t>
  </si>
  <si>
    <t>TES_per_building.kWh.LT.Ser.BldNew.Thermal.SH.Geo.Geo</t>
  </si>
  <si>
    <t>TES_per_building.kWh.LT.Ser.BldNew.Thermal.SH.DistrHeat.Steam_Distr</t>
  </si>
  <si>
    <t>TES_per_building.kWh.LT.Ser.BldNew.Thermal.SH.AdvElc.Elec</t>
  </si>
  <si>
    <t>TES_per_building.kWh.LT.Ser.BldNew.Thermal.SH.ConvElc.Elec</t>
  </si>
  <si>
    <t>TES_per_building.kWh.LT.Ser.BldNew.Thermal.SH.TotalCirculation.Elec</t>
  </si>
  <si>
    <t>TES_per_building.kWh.LT.Ser.BldNew.Thermal.SC</t>
  </si>
  <si>
    <t>TES_per_building.kWh.LT.Ser.BldNew.Thermal.SC.GasHP.NG_Biogas</t>
  </si>
  <si>
    <t>TES_per_building.kWh.LT.Ser.BldNew.Thermal.SC.AC.Elec</t>
  </si>
  <si>
    <t>TES_per_building.kWh.LT.Ser.BldNew.Thermal.HW</t>
  </si>
  <si>
    <t>TES_per_building.kWh.LT.Ser.BldNew.Thermal.HW.Solids.Solids</t>
  </si>
  <si>
    <t>TES_per_building.kWh.LT.Ser.BldNew.Thermal.HW.LPG.LPG</t>
  </si>
  <si>
    <t>TES_per_building.kWh.LT.Ser.BldNew.Thermal.HW.Oil.Oil_LiqBio</t>
  </si>
  <si>
    <t>TES_per_building.kWh.LT.Ser.BldNew.Thermal.HW.Gas.NG_Biogas</t>
  </si>
  <si>
    <t>TES_per_building.kWh.LT.Ser.BldNew.Thermal.HW.Biomass.Biomass_Waste</t>
  </si>
  <si>
    <t>TES_per_building.kWh.LT.Ser.BldNew.Thermal.HW.DistrHeat.Steam_Distr</t>
  </si>
  <si>
    <t>TES_per_building.kWh.LT.Ser.BldNew.Thermal.HW.Elc.Elec</t>
  </si>
  <si>
    <t>TES_per_building.kWh.LT.Ser.BldNew.Thermal.HW.TotalSolar.Solar</t>
  </si>
  <si>
    <t>TES_per_building.kWh.LT.Ser.BldNew.Thermal.CA</t>
  </si>
  <si>
    <t>TES_per_building.kWh.LT.Ser.BldNew.Thermal.CA.LPG</t>
  </si>
  <si>
    <t>TES_per_building.kWh.LT.Ser.BldNew.Thermal.CA.Gas.NG_Biogas</t>
  </si>
  <si>
    <t>TES_per_building.kWh.LT.Ser.BldNew.Thermal.CA.Biomass.Biomass_Waste</t>
  </si>
  <si>
    <t>TES_per_building.kWh.LT.Ser.BldNew.Thermal.CA.Elc.Elec</t>
  </si>
  <si>
    <t>LT - CO2 emissions in new and renovated buildings (per building)</t>
  </si>
  <si>
    <t>EMI_per_building.kgCO2.LT.Ser.BldNew.Thermal</t>
  </si>
  <si>
    <t>EMI_per_building.kgCO2.LT.Ser.BldNew.Thermal.SH</t>
  </si>
  <si>
    <t>EMI_per_building.kgCO2.LT.Ser.BldNew.Thermal.SH.Solids.Solids</t>
  </si>
  <si>
    <t>EMI_per_building.kgCO2.LT.Ser.BldNew.Thermal.SH.LPG.LPG</t>
  </si>
  <si>
    <t>EMI_per_building.kgCO2.LT.Ser.BldNew.Thermal.SH.Oil.Oil_LiqBio</t>
  </si>
  <si>
    <t>EMI_per_building.kgCO2.LT.Ser.BldNew.Thermal.SH.GasHP.NG_Biogas</t>
  </si>
  <si>
    <t>EMI_per_building.kgCO2.LT.Ser.BldNew.Thermal.SH.GasTH.NG_Biogas</t>
  </si>
  <si>
    <t>EMI_per_building.kgCO2.LT.Ser.BldNew.Thermal.SH.Biomass.Biomass_Waste</t>
  </si>
  <si>
    <t>EMI_per_building.kgCO2.LT.Ser.BldNew.Thermal.SH.Geo.Geo</t>
  </si>
  <si>
    <t>EMI_per_building.kgCO2.LT.Ser.BldNew.Thermal.SH.DistrHeat.Steam_Distr</t>
  </si>
  <si>
    <t>EMI_per_building.kgCO2.LT.Ser.BldNew.Thermal.SH.AdvElc.Elec</t>
  </si>
  <si>
    <t>EMI_per_building.kgCO2.LT.Ser.BldNew.Thermal.SH.ConvElc.Elec</t>
  </si>
  <si>
    <t>EMI_per_building.kgCO2.LT.Ser.BldNew.Thermal.SH.TotalCirculation.Elec</t>
  </si>
  <si>
    <t>EMI_per_building.kgCO2.LT.Ser.BldNew.Thermal.SC</t>
  </si>
  <si>
    <t>EMI_per_building.kgCO2.LT.Ser.BldNew.Thermal.SC.GasHP.NG_Biogas</t>
  </si>
  <si>
    <t>EMI_per_building.kgCO2.LT.Ser.BldNew.Thermal.SC.AC.Elec</t>
  </si>
  <si>
    <t>EMI_per_building.kgCO2.LT.Ser.BldNew.Thermal.HW</t>
  </si>
  <si>
    <t>EMI_per_building.kgCO2.LT.Ser.BldNew.Thermal.HW.Solids.Solids</t>
  </si>
  <si>
    <t>EMI_per_building.kgCO2.LT.Ser.BldNew.Thermal.HW.LPG.LPG</t>
  </si>
  <si>
    <t>EMI_per_building.kgCO2.LT.Ser.BldNew.Thermal.HW.Oil.Oil_LiqBio</t>
  </si>
  <si>
    <t>EMI_per_building.kgCO2.LT.Ser.BldNew.Thermal.HW.Gas.NG_Biogas</t>
  </si>
  <si>
    <t>EMI_per_building.kgCO2.LT.Ser.BldNew.Thermal.HW.Biomass.Biomass_Waste</t>
  </si>
  <si>
    <t>EMI_per_building.kgCO2.LT.Ser.BldNew.Thermal.HW.DistrHeat.Steam_Distr</t>
  </si>
  <si>
    <t>EMI_per_building.kgCO2.LT.Ser.BldNew.Thermal.HW.Elc.Elec</t>
  </si>
  <si>
    <t>EMI_per_building.kgCO2.LT.Ser.BldNew.Thermal.HW.TotalSolar.Solar</t>
  </si>
  <si>
    <t>EMI_per_building.kgCO2.LT.Ser.BldNew.Thermal.CA</t>
  </si>
  <si>
    <t>EMI_per_building.kgCO2.LT.Ser.BldNew.Thermal.CA.LPG</t>
  </si>
  <si>
    <t>EMI_per_building.kgCO2.LT.Ser.BldNew.Thermal.CA.Gas.NG_Biogas</t>
  </si>
  <si>
    <t>EMI_per_building.kgCO2.LT.Ser.BldNew.Thermal.CA.Biomass.Biomass_Waste</t>
  </si>
  <si>
    <t>EMI_per_building.kgCO2.LT.Ser.BldNew.Thermal.CA.Elc.Elec</t>
  </si>
  <si>
    <t>LT - Final energy consumption in new and renovated buildings per surface area</t>
  </si>
  <si>
    <t>FEC_per_sqm.kWh.LT.Ser.BldNew.Thermal</t>
  </si>
  <si>
    <t>FEC_per_sqm.kWh.LT.Ser.BldNew.Thermal.SH</t>
  </si>
  <si>
    <t>FEC_per_sqm.kWh.LT.Ser.BldNew.Thermal.SH.Solids.Solids</t>
  </si>
  <si>
    <t>FEC_per_sqm.kWh.LT.Ser.BldNew.Thermal.SH.LPG.LPG</t>
  </si>
  <si>
    <t>FEC_per_sqm.kWh.LT.Ser.BldNew.Thermal.SH.Oil.Oil_LiqBio</t>
  </si>
  <si>
    <t>FEC_per_sqm.kWh.LT.Ser.BldNew.Thermal.SH.GasHP.NG_Biogas</t>
  </si>
  <si>
    <t>FEC_per_sqm.kWh.LT.Ser.BldNew.Thermal.SH.GasTH.NG_Biogas</t>
  </si>
  <si>
    <t>FEC_per_sqm.kWh.LT.Ser.BldNew.Thermal.SH.Biomass.Biomass_Waste</t>
  </si>
  <si>
    <t>FEC_per_sqm.kWh.LT.Ser.BldNew.Thermal.SH.Geo.Geo</t>
  </si>
  <si>
    <t>FEC_per_sqm.kWh.LT.Ser.BldNew.Thermal.SH.DistrHeat.Steam_Distr</t>
  </si>
  <si>
    <t>FEC_per_sqm.kWh.LT.Ser.BldNew.Thermal.SH.AdvElc.Elec</t>
  </si>
  <si>
    <t>FEC_per_sqm.kWh.LT.Ser.BldNew.Thermal.SH.ConvElc.Elec</t>
  </si>
  <si>
    <t>FEC_per_sqm.kWh.LT.Ser.BldNew.Thermal.SH.TotalCirculation.Elec</t>
  </si>
  <si>
    <t>FEC_per_sqm.kWh.LT.Ser.BldNew.Thermal.SC</t>
  </si>
  <si>
    <t>FEC_per_sqm.kWh.LT.Ser.BldNew.Thermal.SC.GasHP.NG_Biogas</t>
  </si>
  <si>
    <t>FEC_per_sqm.kWh.LT.Ser.BldNew.Thermal.SC.AC.Elec</t>
  </si>
  <si>
    <t>FEC_per_sqm.kWh.LT.Ser.BldNew.Thermal.HW</t>
  </si>
  <si>
    <t>FEC_per_sqm.kWh.LT.Ser.BldNew.Thermal.HW.Solids.Solids</t>
  </si>
  <si>
    <t>FEC_per_sqm.kWh.LT.Ser.BldNew.Thermal.HW.LPG.LPG</t>
  </si>
  <si>
    <t>FEC_per_sqm.kWh.LT.Ser.BldNew.Thermal.HW.Oil.Oil_LiqBio</t>
  </si>
  <si>
    <t>FEC_per_sqm.kWh.LT.Ser.BldNew.Thermal.HW.Gas.NG_Biogas</t>
  </si>
  <si>
    <t>FEC_per_sqm.kWh.LT.Ser.BldNew.Thermal.HW.Biomass.Biomass_Waste</t>
  </si>
  <si>
    <t>FEC_per_sqm.kWh.LT.Ser.BldNew.Thermal.HW.DistrHeat.Steam_Distr</t>
  </si>
  <si>
    <t>FEC_per_sqm.kWh.LT.Ser.BldNew.Thermal.HW.Elc.Elec</t>
  </si>
  <si>
    <t>FEC_per_sqm.kWh.LT.Ser.BldNew.Thermal.HW.TotalSolar.Solar</t>
  </si>
  <si>
    <t>FEC_per_sqm.kWh.LT.Ser.BldNew.Thermal.CA</t>
  </si>
  <si>
    <t>FEC_per_sqm.kWh.LT.Ser.BldNew.Thermal.CA.LPG</t>
  </si>
  <si>
    <t>FEC_per_sqm.kWh.LT.Ser.BldNew.Thermal.CA.Gas.NG_Biogas</t>
  </si>
  <si>
    <t>FEC_per_sqm.kWh.LT.Ser.BldNew.Thermal.CA.Biomass.Biomass_Waste</t>
  </si>
  <si>
    <t>FEC_per_sqm.kWh.LT.Ser.BldNew.Thermal.CA.Elc.Elec</t>
  </si>
  <si>
    <t>LT - Thermal energy service in new and renovated buildings per surface area</t>
  </si>
  <si>
    <t>TES_per_sqm.kWh.LT.Ser.BldNew.Thermal</t>
  </si>
  <si>
    <t>TES_per_sqm.kWh.LT.Ser.BldNew.Thermal.SH</t>
  </si>
  <si>
    <t>TES_per_sqm.kWh.LT.Ser.BldNew.Thermal.SH.Solids.Solids</t>
  </si>
  <si>
    <t>TES_per_sqm.kWh.LT.Ser.BldNew.Thermal.SH.LPG.LPG</t>
  </si>
  <si>
    <t>TES_per_sqm.kWh.LT.Ser.BldNew.Thermal.SH.Oil.Oil_LiqBio</t>
  </si>
  <si>
    <t>TES_per_sqm.kWh.LT.Ser.BldNew.Thermal.SH.GasHP.NG_Biogas</t>
  </si>
  <si>
    <t>TES_per_sqm.kWh.LT.Ser.BldNew.Thermal.SH.GasTH.NG_Biogas</t>
  </si>
  <si>
    <t>TES_per_sqm.kWh.LT.Ser.BldNew.Thermal.SH.Biomass.Biomass_Waste</t>
  </si>
  <si>
    <t>TES_per_sqm.kWh.LT.Ser.BldNew.Thermal.SH.Geo.Geo</t>
  </si>
  <si>
    <t>TES_per_sqm.kWh.LT.Ser.BldNew.Thermal.SH.DistrHeat.Steam_Distr</t>
  </si>
  <si>
    <t>TES_per_sqm.kWh.LT.Ser.BldNew.Thermal.SH.AdvElc.Elec</t>
  </si>
  <si>
    <t>TES_per_sqm.kWh.LT.Ser.BldNew.Thermal.SH.ConvElc.Elec</t>
  </si>
  <si>
    <t>TES_per_sqm.kWh.LT.Ser.BldNew.Thermal.SH.TotalCirculation.Elec</t>
  </si>
  <si>
    <t>TES_per_sqm.kWh.LT.Ser.BldNew.Thermal.SC</t>
  </si>
  <si>
    <t>TES_per_sqm.kWh.LT.Ser.BldNew.Thermal.SC.GasHP.NG_Biogas</t>
  </si>
  <si>
    <t>TES_per_sqm.kWh.LT.Ser.BldNew.Thermal.SC.AC.Elec</t>
  </si>
  <si>
    <t>TES_per_sqm.kWh.LT.Ser.BldNew.Thermal.HW</t>
  </si>
  <si>
    <t>TES_per_sqm.kWh.LT.Ser.BldNew.Thermal.HW.Solids.Solids</t>
  </si>
  <si>
    <t>TES_per_sqm.kWh.LT.Ser.BldNew.Thermal.HW.LPG.LPG</t>
  </si>
  <si>
    <t>TES_per_sqm.kWh.LT.Ser.BldNew.Thermal.HW.Oil.Oil_LiqBio</t>
  </si>
  <si>
    <t>TES_per_sqm.kWh.LT.Ser.BldNew.Thermal.HW.Gas.NG_Biogas</t>
  </si>
  <si>
    <t>TES_per_sqm.kWh.LT.Ser.BldNew.Thermal.HW.Biomass.Biomass_Waste</t>
  </si>
  <si>
    <t>TES_per_sqm.kWh.LT.Ser.BldNew.Thermal.HW.DistrHeat.Steam_Distr</t>
  </si>
  <si>
    <t>TES_per_sqm.kWh.LT.Ser.BldNew.Thermal.HW.Elc.Elec</t>
  </si>
  <si>
    <t>TES_per_sqm.kWh.LT.Ser.BldNew.Thermal.HW.TotalSolar.Solar</t>
  </si>
  <si>
    <t>TES_per_sqm.kWh.LT.Ser.BldNew.Thermal.CA</t>
  </si>
  <si>
    <t>TES_per_sqm.kWh.LT.Ser.BldNew.Thermal.CA.LPG</t>
  </si>
  <si>
    <t>TES_per_sqm.kWh.LT.Ser.BldNew.Thermal.CA.Gas.NG_Biogas</t>
  </si>
  <si>
    <t>TES_per_sqm.kWh.LT.Ser.BldNew.Thermal.CA.Biomass.Biomass_Waste</t>
  </si>
  <si>
    <t>TES_per_sqm.kWh.LT.Ser.BldNew.Thermal.CA.Elc.Elec</t>
  </si>
  <si>
    <t>LT - CO2 emissions in new and renovated buildings per surface area</t>
  </si>
  <si>
    <t>EMI_per_sqm.kgCO2.LT.Ser.BldNew.Thermal</t>
  </si>
  <si>
    <t>EMI_per_sqm.kgCO2.LT.Ser.BldNew.Thermal.SH</t>
  </si>
  <si>
    <t>EMI_per_sqm.kgCO2.LT.Ser.BldNew.Thermal.SH.Solids.Solids</t>
  </si>
  <si>
    <t>EMI_per_sqm.kgCO2.LT.Ser.BldNew.Thermal.SH.LPG.LPG</t>
  </si>
  <si>
    <t>EMI_per_sqm.kgCO2.LT.Ser.BldNew.Thermal.SH.Oil.Oil_LiqBio</t>
  </si>
  <si>
    <t>EMI_per_sqm.kgCO2.LT.Ser.BldNew.Thermal.SH.GasHP.NG_Biogas</t>
  </si>
  <si>
    <t>EMI_per_sqm.kgCO2.LT.Ser.BldNew.Thermal.SH.GasTH.NG_Biogas</t>
  </si>
  <si>
    <t>EMI_per_sqm.kgCO2.LT.Ser.BldNew.Thermal.SH.Biomass.Biomass_Waste</t>
  </si>
  <si>
    <t>EMI_per_sqm.kgCO2.LT.Ser.BldNew.Thermal.SH.Geo.Geo</t>
  </si>
  <si>
    <t>EMI_per_sqm.kgCO2.LT.Ser.BldNew.Thermal.SH.DistrHeat.Steam_Distr</t>
  </si>
  <si>
    <t>EMI_per_sqm.kgCO2.LT.Ser.BldNew.Thermal.SH.AdvElc.Elec</t>
  </si>
  <si>
    <t>EMI_per_sqm.kgCO2.LT.Ser.BldNew.Thermal.SH.ConvElc.Elec</t>
  </si>
  <si>
    <t>EMI_per_sqm.kgCO2.LT.Ser.BldNew.Thermal.SH.TotalCirculation.Elec</t>
  </si>
  <si>
    <t>EMI_per_sqm.kgCO2.LT.Ser.BldNew.Thermal.SC</t>
  </si>
  <si>
    <t>EMI_per_sqm.kgCO2.LT.Ser.BldNew.Thermal.SC.GasHP.NG_Biogas</t>
  </si>
  <si>
    <t>EMI_per_sqm.kgCO2.LT.Ser.BldNew.Thermal.SC.AC.Elec</t>
  </si>
  <si>
    <t>EMI_per_sqm.kgCO2.LT.Ser.BldNew.Thermal.HW</t>
  </si>
  <si>
    <t>EMI_per_sqm.kgCO2.LT.Ser.BldNew.Thermal.HW.Solids.Solids</t>
  </si>
  <si>
    <t>EMI_per_sqm.kgCO2.LT.Ser.BldNew.Thermal.HW.LPG.LPG</t>
  </si>
  <si>
    <t>EMI_per_sqm.kgCO2.LT.Ser.BldNew.Thermal.HW.Oil.Oil_LiqBio</t>
  </si>
  <si>
    <t>EMI_per_sqm.kgCO2.LT.Ser.BldNew.Thermal.HW.Gas.NG_Biogas</t>
  </si>
  <si>
    <t>EMI_per_sqm.kgCO2.LT.Ser.BldNew.Thermal.HW.Biomass.Biomass_Waste</t>
  </si>
  <si>
    <t>EMI_per_sqm.kgCO2.LT.Ser.BldNew.Thermal.HW.DistrHeat.Steam_Distr</t>
  </si>
  <si>
    <t>EMI_per_sqm.kgCO2.LT.Ser.BldNew.Thermal.HW.Elc.Elec</t>
  </si>
  <si>
    <t>EMI_per_sqm.kgCO2.LT.Ser.BldNew.Thermal.HW.TotalSolar.Solar</t>
  </si>
  <si>
    <t>EMI_per_sqm.kgCO2.LT.Ser.BldNew.Thermal.CA</t>
  </si>
  <si>
    <t>EMI_per_sqm.kgCO2.LT.Ser.BldNew.Thermal.CA.LPG</t>
  </si>
  <si>
    <t>EMI_per_sqm.kgCO2.LT.Ser.BldNew.Thermal.CA.Gas.NG_Biogas</t>
  </si>
  <si>
    <t>EMI_per_sqm.kgCO2.LT.Ser.BldNew.Thermal.CA.Biomass.Biomass_Waste</t>
  </si>
  <si>
    <t>EMI_per_sqm.kgCO2.LT.Ser.BldNew.Thermal.CA.Elc.Elec</t>
  </si>
  <si>
    <t>FEC.ktoe.LT.Ser.SEU.VE</t>
  </si>
  <si>
    <t>FEC.ktoe.LT.Ser.SEU.SL</t>
  </si>
  <si>
    <t>FEC.ktoe.LT.Ser.SEU.BL</t>
  </si>
  <si>
    <t>FEC.ktoe.LT.Ser.SEU.CR</t>
  </si>
  <si>
    <t>FEC.ktoe.LT.Ser.SEU.BT</t>
  </si>
  <si>
    <t>FEC.ktoe.LT.Ser.SEU.IT</t>
  </si>
  <si>
    <t>Size.MW.LT.Ser.SEU</t>
  </si>
  <si>
    <t>Size.MW.LT.Ser.SEU.VE</t>
  </si>
  <si>
    <t>Size.MW.LT.Ser.SEU.SL</t>
  </si>
  <si>
    <t>Size.MW.LT.Ser.SEU.BL</t>
  </si>
  <si>
    <t>Size.MW.LT.Ser.SEU.CR</t>
  </si>
  <si>
    <t>Size.MW.LT.Ser.SEU.BT</t>
  </si>
  <si>
    <t>Size.MW.LT.Ser.SEU.IT</t>
  </si>
  <si>
    <t>NUM.Msqm.LT.Ser.SEU.VE</t>
  </si>
  <si>
    <t>NUM.k.LT.Ser.SEU.SL</t>
  </si>
  <si>
    <t>NUM.M.LT.Ser.SEU.BL</t>
  </si>
  <si>
    <t>NUM.k.LT.Ser.SEU.CR</t>
  </si>
  <si>
    <t>NUM.Msqm.LT.Ser.SEU.BT</t>
  </si>
  <si>
    <t>NUM.k.LT.Ser.SEU.IT</t>
  </si>
  <si>
    <t>NUM.Msqm.LT.Ser.SEUnew.VE</t>
  </si>
  <si>
    <t>NUM.k.LT.Ser.SEUnew.SL</t>
  </si>
  <si>
    <t>NUM.M.LT.Ser.SEUnew.BL</t>
  </si>
  <si>
    <t>NUM.k.LT.Ser.SEUnew.CR</t>
  </si>
  <si>
    <t>NUM.Msqm.LT.Ser.SEUnew.BT</t>
  </si>
  <si>
    <t>NUM.k.LT.Ser.SEUnew.IT</t>
  </si>
  <si>
    <t>NUM.Msqm.LT.Ser.SEUrepl.VE</t>
  </si>
  <si>
    <t>NUM.k.LT.Ser.SEUrepl.SL</t>
  </si>
  <si>
    <t>NUM.M.LT.Ser.SEUrepl.BL</t>
  </si>
  <si>
    <t>NUM.k.LT.Ser.SEUrepl.CR</t>
  </si>
  <si>
    <t>NUM.Msqm.LT.Ser.SEUrepl.BT</t>
  </si>
  <si>
    <t>NUM.k.LT.Ser.SEUrepl.IT</t>
  </si>
  <si>
    <t>Op.hours.LT.Ser.SEU.VE</t>
  </si>
  <si>
    <t>Op.hours.LT.Ser.SEU.SL</t>
  </si>
  <si>
    <t>Op.hours.LT.Ser.SEU.BL</t>
  </si>
  <si>
    <t>Op.hours.LT.Ser.SEU.CR</t>
  </si>
  <si>
    <t>Op.hours.LT.Ser.SEU.BT</t>
  </si>
  <si>
    <t>Op.hours.LT.Ser.SEU.IT</t>
  </si>
  <si>
    <t>Size_per_appl.W.LT.Ser.SEU.VE</t>
  </si>
  <si>
    <t>Size_per_appl.W.LT.Ser.SEU.SL</t>
  </si>
  <si>
    <t>Size_per_appl.W.LT.Ser.SEU.BL</t>
  </si>
  <si>
    <t>Size_per_appl.W.LT.Ser.SEU.CR</t>
  </si>
  <si>
    <t>Size_per_appl.W.LT.Ser.SEU.BT</t>
  </si>
  <si>
    <t>Size_per_appl.W.LT.Ser.SEU.IT</t>
  </si>
  <si>
    <t>Size_per_appl.W.LT.Ser.SEUnew.VE</t>
  </si>
  <si>
    <t>Size_per_appl.W.LT.Ser.SEUnew.SL</t>
  </si>
  <si>
    <t>Size_per_appl.W.LT.Ser.SEUnew.BL</t>
  </si>
  <si>
    <t>Size_per_appl.W.LT.Ser.SEUnew.CR</t>
  </si>
  <si>
    <t>Size_per_appl.W.LT.Ser.SEUnew.BT</t>
  </si>
  <si>
    <t>Size_per_appl.W.LT.Ser.SEUnew.IT</t>
  </si>
  <si>
    <t>NUM.sqm_per_building.LT.Ser.SEU.VE</t>
  </si>
  <si>
    <t>NUM.number_per_capita.LT.Ser.SEU.SL</t>
  </si>
  <si>
    <t>NUM.number_per_building.LT.Ser.SEU.BL</t>
  </si>
  <si>
    <t>NUM.number_per_capita.LT.Ser.SEU.CR</t>
  </si>
  <si>
    <t>NUM.sqm_per_building.LT.Ser.SEU.BT</t>
  </si>
  <si>
    <t>NUM.number_per_capita.LT.Ser.SEU.IT</t>
  </si>
  <si>
    <t>Lumens_per_sqm.lumen.LT.Ser.SEU.BL</t>
  </si>
  <si>
    <t>FEC.ktoe.LT.Ser.SEU.IT.DataCenters</t>
  </si>
  <si>
    <t>LT - Services / specific electric uses</t>
  </si>
  <si>
    <t>LT - Ventilation and others</t>
  </si>
  <si>
    <t>LT - Street lighting</t>
  </si>
  <si>
    <t>LT - Building lighting</t>
  </si>
  <si>
    <t>LT - Commercial refrigeration</t>
  </si>
  <si>
    <t>LT - Miscellaneous building technologies</t>
  </si>
  <si>
    <t>LT - ICT and multimedia</t>
  </si>
  <si>
    <t>LT - Agriculture, forestry and fishing</t>
  </si>
  <si>
    <t>VA.Meuro2015.Meuro2023.LT.AGR.AGR</t>
  </si>
  <si>
    <t>OUTPUT.index.index.LT.AGR.AGR</t>
  </si>
  <si>
    <t>CAP.index.index.LT.AGR.AGR</t>
  </si>
  <si>
    <t>NEWCAP.index.index.LT.AGR.AGR</t>
  </si>
  <si>
    <t>CAPOUT.index.LT.AGR.AGR</t>
  </si>
  <si>
    <t>CAPIDLE.index.LT.AGR.AGR</t>
  </si>
  <si>
    <t>FEC.ktoe.LT.ES.AGR</t>
  </si>
  <si>
    <t>FEC.ktoe.LT.ES.AGR.Solids</t>
  </si>
  <si>
    <t>FEC.ktoe.LT.ES.AGR.LPG</t>
  </si>
  <si>
    <t>FEC.ktoe.LT.ES.AGR.Diesel</t>
  </si>
  <si>
    <t>FEC.ktoe.LT.ES.AGR.RFO</t>
  </si>
  <si>
    <t>FEC.ktoe.LT.ES.AGR.NG</t>
  </si>
  <si>
    <t>FEC.ktoe.LT.ES.AGR.Biomass_Waste</t>
  </si>
  <si>
    <t>FEC.ktoe.LT.ES.AGR.Biogas</t>
  </si>
  <si>
    <t>FEC.ktoe.LT.ES.AGR.LiqBio</t>
  </si>
  <si>
    <t>FEC.ktoe.LT.ES.AGR.Solar</t>
  </si>
  <si>
    <t>FEC.ktoe.LT.ES.AGR.Geo</t>
  </si>
  <si>
    <t>FEC.ktoe.LT.ES.AGR.Ambient</t>
  </si>
  <si>
    <t>FEC.ktoe.LT.ES.AGR.Steam_Distr</t>
  </si>
  <si>
    <t>FEC.ktoe.LT.ES.AGR.Elec</t>
  </si>
  <si>
    <t>LT - Agriculture, forestry and fishing / final energy consumption</t>
  </si>
  <si>
    <t>FEC.ktoe.ktoe.LT.AGR.AGR.LIGHT.GENERIC.ELEC</t>
  </si>
  <si>
    <t>FEC.ktoe.ktoe.LT.AGR.AGR.FANS.GENERIC.ELEC</t>
  </si>
  <si>
    <t>FEC.ktoe.ktoe.LT.AGR.AGR.MOTOR.GENERIC.ELEC</t>
  </si>
  <si>
    <t>FEC.ktoe.ktoe.LT.AGR.AGR.LOW_ENTH.THERM.DIESEL_LIQBIO</t>
  </si>
  <si>
    <t>FEC.ktoe.ktoe.LT.AGR.AGR.LOW_ENTH.THERM.NG_BIOGAS</t>
  </si>
  <si>
    <t>FEC.ktoe.ktoe.LT.AGR.AGR.LOW_ENTH.THERM.SOLAR_GEO</t>
  </si>
  <si>
    <t>FEC.ktoe.ktoe.LT.AGR.AGR.LOW_ENTH.HP.AMBIENT</t>
  </si>
  <si>
    <t>FEC.ktoe.ktoe.LT.AGR.AGR.LOW_ENTH.THERM.STEAM_DISTR</t>
  </si>
  <si>
    <t>FEC.ktoe.ktoe.LT.AGR.AGR.LOW_ENTH.THERM.ELEC</t>
  </si>
  <si>
    <t>FEC.ktoe.ktoe.LT.AGR.AGR.FARM_DRIVES.MECH.DIESEL_LIQBIO</t>
  </si>
  <si>
    <t>FEC.ktoe.ktoe.LT.AGR.AGR.HEAT_USE.THERM.SOLIDS</t>
  </si>
  <si>
    <t>FEC.ktoe.ktoe.LT.AGR.AGR.HEAT_USE.THERM.LPG</t>
  </si>
  <si>
    <t>FEC.ktoe.ktoe.LT.AGR.AGR.HEAT_USE.THERM.DIESEL_LIQBIO</t>
  </si>
  <si>
    <t>FEC.ktoe.ktoe.LT.AGR.AGR.HEAT_USE.THERM.RFO</t>
  </si>
  <si>
    <t>FEC.ktoe.ktoe.LT.AGR.AGR.HEAT_USE.THERM.NG_BIOGAS</t>
  </si>
  <si>
    <t>FEC.ktoe.ktoe.LT.AGR.AGR.HEAT_USE.THERM.BIOMASS_WASTE</t>
  </si>
  <si>
    <t>FEC.ktoe.ktoe.LT.AGR.AGR.HEAT_USE.THERM.SOLAR_GEO</t>
  </si>
  <si>
    <t>FEC.ktoe.ktoe.LT.AGR.AGR.FARM_PUMP.MECH.DIESEL_LIQBIO</t>
  </si>
  <si>
    <t>FEC.ktoe.ktoe.LT.AGR.AGR.FARM_PUMP_ELEC.MECH.ELEC</t>
  </si>
  <si>
    <t>FEC.ktoe.ktoe.LT.AGR.AGR.GENERIC.MECH.ELEC</t>
  </si>
  <si>
    <t>LT - Agriculture, forestry and fishing / useful energy demand</t>
  </si>
  <si>
    <t>UED.ktoe.ktoe.LT.AGR.AGR.LIGHT.GENERIC.ELEC</t>
  </si>
  <si>
    <t>UED.ktoe.ktoe.LT.AGR.AGR.FANS.GENERIC.ELEC</t>
  </si>
  <si>
    <t>UED.ktoe.ktoe.LT.AGR.AGR.MOTOR.GENERIC.ELEC</t>
  </si>
  <si>
    <t>UED.ktoe.ktoe.LT.AGR.AGR.LOW_ENTH.THERM.DIESEL_LIQBIO</t>
  </si>
  <si>
    <t>UED.ktoe.ktoe.LT.AGR.AGR.LOW_ENTH.THERM.NG_BIOGAS</t>
  </si>
  <si>
    <t>UED.ktoe.ktoe.LT.AGR.AGR.LOW_ENTH.THERM.SOLAR_GEO</t>
  </si>
  <si>
    <t>UED.ktoe.ktoe.LT.AGR.AGR.LOW_ENTH.HP.AMBIENT</t>
  </si>
  <si>
    <t>UED.ktoe.ktoe.LT.AGR.AGR.LOW_ENTH.THERM.STEAM_DISTR</t>
  </si>
  <si>
    <t>UED.ktoe.ktoe.LT.AGR.AGR.LOW_ENTH.THERM.ELEC</t>
  </si>
  <si>
    <t>UED.ktoe.ktoe.LT.AGR.AGR.FARM_DRIVES.MECH.DIESEL_LIQBIO</t>
  </si>
  <si>
    <t>UED.ktoe.ktoe.LT.AGR.AGR.HEAT_USE.THERM.SOLIDS</t>
  </si>
  <si>
    <t>UED.ktoe.ktoe.LT.AGR.AGR.HEAT_USE.THERM.LPG</t>
  </si>
  <si>
    <t>UED.ktoe.ktoe.LT.AGR.AGR.HEAT_USE.THERM.DIESEL_LIQBIO</t>
  </si>
  <si>
    <t>UED.ktoe.ktoe.LT.AGR.AGR.HEAT_USE.THERM.RFO</t>
  </si>
  <si>
    <t>UED.ktoe.ktoe.LT.AGR.AGR.HEAT_USE.THERM.NG_BIOGAS</t>
  </si>
  <si>
    <t>UED.ktoe.ktoe.LT.AGR.AGR.HEAT_USE.THERM.BIOMASS_WASTE</t>
  </si>
  <si>
    <t>UED.ktoe.ktoe.LT.AGR.AGR.HEAT_USE.THERM.SOLAR_GEO</t>
  </si>
  <si>
    <t>UED.ktoe.ktoe.LT.AGR.AGR.FARM_PUMP.MECH.DIESEL_LIQBIO</t>
  </si>
  <si>
    <t>UED.ktoe.ktoe.LT.AGR.AGR.FARM_PUMP_ELEC.MECH.ELEC</t>
  </si>
  <si>
    <t>UED.ktoe.ktoe.LT.AGR.AGR.GENERIC.MECH.ELEC</t>
  </si>
  <si>
    <t>LT - Agriculture, forestry and fishing / CO2 emissions</t>
  </si>
  <si>
    <t>FUEL_EMI.ktCO2.ktCO2.LT.AGR.AGR.LIGHT.GENERIC.ELEC</t>
  </si>
  <si>
    <t>FUEL_EMI.ktCO2.ktCO2.LT.AGR.AGR.FANS.GENERIC.ELEC</t>
  </si>
  <si>
    <t>FUEL_EMI.ktCO2.ktCO2.LT.AGR.AGR.MOTOR.GENERIC.ELEC</t>
  </si>
  <si>
    <t>FUEL_EMI.ktCO2.ktCO2.LT.AGR.AGR.LOW_ENTH.THERM.DIESEL_LIQBIO</t>
  </si>
  <si>
    <t>FUEL_EMI.ktCO2.ktCO2.LT.AGR.AGR.LOW_ENTH.THERM.NG_BIOGAS</t>
  </si>
  <si>
    <t>FUEL_EMI.ktCO2.ktCO2.LT.AGR.AGR.LOW_ENTH.THERM.SOLAR_GEO</t>
  </si>
  <si>
    <t>FUEL_EMI.ktCO2.ktCO2.LT.AGR.AGR.LOW_ENTH.HP.AMBIENT</t>
  </si>
  <si>
    <t>FUEL_EMI.ktCO2.ktCO2.LT.AGR.AGR.LOW_ENTH.THERM.STEAM_DISTR</t>
  </si>
  <si>
    <t>FUEL_EMI.ktCO2.ktCO2.LT.AGR.AGR.LOW_ENTH.THERM.ELEC</t>
  </si>
  <si>
    <t>FUEL_EMI.ktCO2.ktCO2.LT.AGR.AGR.FARM_DRIVES.MECH.DIESEL_LIQBIO</t>
  </si>
  <si>
    <t>FUEL_EMI.ktCO2.ktCO2.LT.AGR.AGR.HEAT_USE.THERM.SOLIDS</t>
  </si>
  <si>
    <t>FUEL_EMI.ktCO2.ktCO2.LT.AGR.AGR.HEAT_USE.THERM.LPG</t>
  </si>
  <si>
    <t>FUEL_EMI.ktCO2.ktCO2.LT.AGR.AGR.HEAT_USE.THERM.DIESEL_LIQBIO</t>
  </si>
  <si>
    <t>FUEL_EMI.ktCO2.ktCO2.LT.AGR.AGR.HEAT_USE.THERM.RFO</t>
  </si>
  <si>
    <t>FUEL_EMI.ktCO2.ktCO2.LT.AGR.AGR.HEAT_USE.THERM.NG_BIOGAS</t>
  </si>
  <si>
    <t>FUEL_EMI.ktCO2.ktCO2.LT.AGR.AGR.HEAT_USE.THERM.BIOMASS_WASTE</t>
  </si>
  <si>
    <t>FUEL_EMI.ktCO2.ktCO2.LT.AGR.AGR.HEAT_USE.THERM.SOLAR_GEO</t>
  </si>
  <si>
    <t>FUEL_EMI.ktCO2.ktCO2.LT.AGR.AGR.FARM_PUMP.MECH.DIESEL_LIQBIO</t>
  </si>
  <si>
    <t>FUEL_EMI.ktCO2.ktCO2.LT.AGR.AGR.FARM_PUMP_ELEC.MECH.ELEC</t>
  </si>
  <si>
    <t>FUEL_EMI.ktCO2.ktCO2.LT.AGR.AGR.GENERIC.MECH.ELEC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</si>
</sst>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3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1" fillId="2" borderId="0" xfId="5" applyFont="1" applyFill="1" applyBorder="1" applyAlignment="1">
      <alignment horizontal="left" vertical="center"/>
    </xf>
    <xf numFmtId="0" fontId="11" fillId="2" borderId="0" xfId="5" applyFont="1" applyFill="1" applyAlignment="1">
      <alignment horizontal="left" vertical="center"/>
    </xf>
    <xf numFmtId="3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2" xfId="5" applyNumberFormat="1" applyFont="1" applyFill="1" applyBorder="1" applyAlignment="1">
      <alignment vertical="center" shrinkToFit="1"/>
    </xf>
    <xf numFmtId="0" fontId="10" fillId="2" borderId="5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4" fillId="2" borderId="0" xfId="3" applyFont="1" applyFill="1"/>
    <xf numFmtId="0" fontId="14" fillId="2" borderId="0" xfId="3" applyFont="1" applyFill="1" applyAlignment="1">
      <alignment horizontal="left" indent="1"/>
    </xf>
    <xf numFmtId="0" fontId="14" fillId="2" borderId="0" xfId="3" applyFont="1" applyFill="1" applyAlignment="1">
      <alignment horizontal="left" indent="2"/>
    </xf>
    <xf numFmtId="1" fontId="16" fillId="3" borderId="2" xfId="5" applyNumberFormat="1" applyFont="1" applyFill="1" applyBorder="1" applyAlignment="1">
      <alignment horizontal="center" vertical="center"/>
    </xf>
    <xf numFmtId="0" fontId="15" fillId="3" borderId="2" xfId="5" applyFont="1" applyFill="1" applyBorder="1" applyAlignment="1">
      <alignment horizontal="left" vertical="center" wrapText="1"/>
    </xf>
    <xf numFmtId="172" fontId="10" fillId="2" borderId="0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horizontal="left" vertical="center"/>
    </xf>
    <xf numFmtId="0" fontId="11" fillId="2" borderId="2" xfId="5" applyNumberFormat="1" applyFont="1" applyFill="1" applyBorder="1" applyAlignment="1">
      <alignment vertical="center"/>
    </xf>
    <xf numFmtId="0" fontId="11" fillId="2" borderId="2" xfId="5" applyNumberFormat="1" applyFont="1" applyFill="1" applyBorder="1" applyAlignment="1">
      <alignment vertical="center" shrinkToFit="1"/>
    </xf>
    <xf numFmtId="0" fontId="16" fillId="2" borderId="5" xfId="5" applyFont="1" applyFill="1" applyBorder="1" applyAlignment="1">
      <alignment horizontal="left" vertical="center"/>
    </xf>
    <xf numFmtId="169" fontId="17" fillId="2" borderId="5" xfId="5" applyNumberFormat="1" applyFont="1" applyFill="1" applyBorder="1" applyAlignment="1">
      <alignment vertical="center"/>
    </xf>
    <xf numFmtId="0" fontId="16" fillId="2" borderId="0" xfId="5" applyFont="1" applyFill="1" applyBorder="1" applyAlignment="1">
      <alignment horizontal="left" vertical="center"/>
    </xf>
    <xf numFmtId="169" fontId="17" fillId="2" borderId="0" xfId="5" applyNumberFormat="1" applyFont="1" applyFill="1" applyBorder="1" applyAlignment="1">
      <alignment vertical="center"/>
    </xf>
    <xf numFmtId="0" fontId="16" fillId="2" borderId="1" xfId="5" applyFont="1" applyFill="1" applyBorder="1" applyAlignment="1">
      <alignment horizontal="left" vertical="center"/>
    </xf>
    <xf numFmtId="169" fontId="17" fillId="2" borderId="1" xfId="5" applyNumberFormat="1" applyFont="1" applyFill="1" applyBorder="1" applyAlignment="1">
      <alignment vertical="center"/>
    </xf>
    <xf numFmtId="0" fontId="16" fillId="2" borderId="3" xfId="5" applyFont="1" applyFill="1" applyBorder="1" applyAlignment="1">
      <alignment horizontal="left" vertical="center"/>
    </xf>
    <xf numFmtId="169" fontId="17" fillId="2" borderId="3" xfId="5" applyNumberFormat="1" applyFont="1" applyFill="1" applyBorder="1" applyAlignment="1">
      <alignment vertical="center"/>
    </xf>
    <xf numFmtId="173" fontId="17" fillId="2" borderId="0" xfId="5" applyNumberFormat="1" applyFont="1" applyFill="1" applyBorder="1" applyAlignment="1">
      <alignment vertical="center"/>
    </xf>
    <xf numFmtId="173" fontId="17" fillId="2" borderId="1" xfId="5" applyNumberFormat="1" applyFont="1" applyFill="1" applyBorder="1" applyAlignment="1">
      <alignment vertical="center"/>
    </xf>
    <xf numFmtId="172" fontId="17" fillId="2" borderId="5" xfId="5" applyNumberFormat="1" applyFont="1" applyFill="1" applyBorder="1" applyAlignment="1">
      <alignment vertical="center"/>
    </xf>
    <xf numFmtId="172" fontId="17" fillId="2" borderId="0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171" fontId="17" fillId="2" borderId="1" xfId="5" applyNumberFormat="1" applyFont="1" applyFill="1" applyBorder="1" applyAlignment="1">
      <alignment vertical="center"/>
    </xf>
    <xf numFmtId="0" fontId="15" fillId="4" borderId="2" xfId="5" applyNumberFormat="1" applyFont="1" applyFill="1" applyBorder="1" applyAlignment="1">
      <alignment horizontal="left" vertical="center"/>
    </xf>
    <xf numFmtId="0" fontId="19" fillId="4" borderId="2" xfId="5" applyNumberFormat="1" applyFont="1" applyFill="1" applyBorder="1" applyAlignment="1">
      <alignment vertical="center"/>
    </xf>
    <xf numFmtId="0" fontId="16" fillId="2" borderId="5" xfId="5" applyFont="1" applyFill="1" applyBorder="1" applyAlignment="1">
      <alignment horizontal="left" vertical="center" indent="1"/>
    </xf>
    <xf numFmtId="0" fontId="16" fillId="2" borderId="0" xfId="5" applyFont="1" applyFill="1" applyBorder="1" applyAlignment="1">
      <alignment horizontal="left" vertical="center" indent="1"/>
    </xf>
    <xf numFmtId="0" fontId="16" fillId="2" borderId="1" xfId="5" applyFont="1" applyFill="1" applyBorder="1" applyAlignment="1">
      <alignment horizontal="left" vertical="center" indent="1"/>
    </xf>
    <xf numFmtId="165" fontId="17" fillId="2" borderId="1" xfId="5" applyNumberFormat="1" applyFont="1" applyFill="1" applyBorder="1" applyAlignment="1">
      <alignment vertical="center"/>
    </xf>
    <xf numFmtId="165" fontId="17" fillId="2" borderId="5" xfId="5" applyNumberFormat="1" applyFont="1" applyFill="1" applyBorder="1" applyAlignment="1">
      <alignment vertical="center"/>
    </xf>
    <xf numFmtId="165" fontId="17" fillId="2" borderId="0" xfId="5" applyNumberFormat="1" applyFont="1" applyFill="1" applyBorder="1" applyAlignment="1">
      <alignment vertical="center"/>
    </xf>
    <xf numFmtId="166" fontId="17" fillId="2" borderId="0" xfId="5" applyNumberFormat="1" applyFont="1" applyFill="1" applyBorder="1" applyAlignment="1">
      <alignment vertical="center"/>
    </xf>
    <xf numFmtId="167" fontId="17" fillId="2" borderId="1" xfId="5" applyNumberFormat="1" applyFont="1" applyFill="1" applyBorder="1" applyAlignment="1">
      <alignment vertical="center"/>
    </xf>
    <xf numFmtId="170" fontId="17" fillId="2" borderId="1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2"/>
    </xf>
    <xf numFmtId="166" fontId="17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 indent="2"/>
    </xf>
    <xf numFmtId="0" fontId="17" fillId="2" borderId="0" xfId="5" applyFont="1" applyFill="1" applyBorder="1" applyAlignment="1">
      <alignment horizontal="left" vertical="center" indent="3"/>
    </xf>
    <xf numFmtId="0" fontId="17" fillId="2" borderId="1" xfId="5" applyFont="1" applyFill="1" applyBorder="1" applyAlignment="1">
      <alignment horizontal="left" vertical="center" indent="2"/>
    </xf>
    <xf numFmtId="166" fontId="17" fillId="2" borderId="1" xfId="5" applyNumberFormat="1" applyFont="1" applyFill="1" applyBorder="1" applyAlignment="1">
      <alignment vertical="center"/>
    </xf>
    <xf numFmtId="166" fontId="17" fillId="2" borderId="4" xfId="1" applyNumberFormat="1" applyFont="1" applyFill="1" applyBorder="1" applyAlignment="1">
      <alignment vertical="center"/>
    </xf>
    <xf numFmtId="166" fontId="17" fillId="2" borderId="0" xfId="1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 indent="3"/>
    </xf>
    <xf numFmtId="166" fontId="17" fillId="2" borderId="3" xfId="1" applyNumberFormat="1" applyFont="1" applyFill="1" applyBorder="1" applyAlignment="1">
      <alignment vertical="center"/>
    </xf>
    <xf numFmtId="166" fontId="17" fillId="2" borderId="1" xfId="1" applyNumberFormat="1" applyFont="1" applyFill="1" applyBorder="1" applyAlignment="1">
      <alignment vertical="center"/>
    </xf>
    <xf numFmtId="0" fontId="18" fillId="2" borderId="2" xfId="5" applyFont="1" applyFill="1" applyBorder="1" applyAlignment="1">
      <alignment horizontal="left" vertical="center" indent="2"/>
    </xf>
    <xf numFmtId="168" fontId="17" fillId="2" borderId="2" xfId="5" applyNumberFormat="1" applyFont="1" applyFill="1" applyBorder="1" applyAlignment="1">
      <alignment vertical="center"/>
    </xf>
    <xf numFmtId="168" fontId="17" fillId="2" borderId="5" xfId="5" applyNumberFormat="1" applyFont="1" applyFill="1" applyBorder="1" applyAlignment="1">
      <alignment vertical="center"/>
    </xf>
    <xf numFmtId="168" fontId="17" fillId="2" borderId="0" xfId="5" applyNumberFormat="1" applyFont="1" applyFill="1" applyBorder="1" applyAlignment="1">
      <alignment vertical="center"/>
    </xf>
    <xf numFmtId="168" fontId="17" fillId="2" borderId="1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 indent="3"/>
    </xf>
    <xf numFmtId="167" fontId="17" fillId="2" borderId="5" xfId="5" applyNumberFormat="1" applyFont="1" applyFill="1" applyBorder="1" applyAlignment="1">
      <alignment vertical="center"/>
    </xf>
    <xf numFmtId="167" fontId="17" fillId="2" borderId="0" xfId="5" applyNumberFormat="1" applyFont="1" applyFill="1" applyBorder="1" applyAlignment="1">
      <alignment vertical="center"/>
    </xf>
    <xf numFmtId="0" fontId="18" fillId="2" borderId="4" xfId="5" applyFont="1" applyFill="1" applyBorder="1" applyAlignment="1">
      <alignment horizontal="left" vertical="center" indent="2"/>
    </xf>
    <xf numFmtId="0" fontId="18" fillId="2" borderId="1" xfId="5" applyFont="1" applyFill="1" applyBorder="1" applyAlignment="1">
      <alignment horizontal="left" vertical="center" indent="2"/>
    </xf>
    <xf numFmtId="0" fontId="20" fillId="5" borderId="2" xfId="5" applyFont="1" applyFill="1" applyBorder="1" applyAlignment="1">
      <alignment horizontal="left" vertical="center" indent="1"/>
    </xf>
    <xf numFmtId="166" fontId="21" fillId="5" borderId="2" xfId="5" applyNumberFormat="1" applyFont="1" applyFill="1" applyBorder="1" applyAlignment="1">
      <alignment vertical="center"/>
    </xf>
    <xf numFmtId="0" fontId="20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68" fontId="22" fillId="5" borderId="2" xfId="2" applyNumberFormat="1" applyFont="1" applyFill="1" applyBorder="1" applyAlignment="1">
      <alignment vertical="center"/>
    </xf>
    <xf numFmtId="0" fontId="20" fillId="5" borderId="4" xfId="5" applyFont="1" applyFill="1" applyBorder="1" applyAlignment="1">
      <alignment horizontal="left" vertical="center" indent="1"/>
    </xf>
    <xf numFmtId="166" fontId="21" fillId="5" borderId="4" xfId="5" applyNumberFormat="1" applyFont="1" applyFill="1" applyBorder="1" applyAlignment="1">
      <alignment vertical="center"/>
    </xf>
    <xf numFmtId="167" fontId="22" fillId="5" borderId="2" xfId="1" applyNumberFormat="1" applyFont="1" applyFill="1" applyBorder="1" applyAlignment="1">
      <alignment vertical="center"/>
    </xf>
    <xf numFmtId="1" fontId="16" fillId="3" borderId="2" xfId="5" applyNumberFormat="1" applyFont="1" applyFill="1" applyBorder="1" applyAlignment="1">
      <alignment horizontal="center" vertical="center" shrinkToFit="1"/>
    </xf>
    <xf numFmtId="169" fontId="17" fillId="2" borderId="5" xfId="5" applyNumberFormat="1" applyFont="1" applyFill="1" applyBorder="1" applyAlignment="1">
      <alignment vertical="center" shrinkToFit="1"/>
    </xf>
    <xf numFmtId="169" fontId="17" fillId="2" borderId="0" xfId="5" applyNumberFormat="1" applyFont="1" applyFill="1" applyBorder="1" applyAlignment="1">
      <alignment vertical="center" shrinkToFit="1"/>
    </xf>
    <xf numFmtId="169" fontId="17" fillId="2" borderId="1" xfId="5" applyNumberFormat="1" applyFont="1" applyFill="1" applyBorder="1" applyAlignment="1">
      <alignment vertical="center" shrinkToFit="1"/>
    </xf>
    <xf numFmtId="169" fontId="17" fillId="2" borderId="3" xfId="5" applyNumberFormat="1" applyFont="1" applyFill="1" applyBorder="1" applyAlignment="1">
      <alignment vertical="center" shrinkToFit="1"/>
    </xf>
    <xf numFmtId="173" fontId="17" fillId="2" borderId="0" xfId="5" applyNumberFormat="1" applyFont="1" applyFill="1" applyBorder="1" applyAlignment="1">
      <alignment vertical="center" shrinkToFit="1"/>
    </xf>
    <xf numFmtId="173" fontId="17" fillId="2" borderId="1" xfId="5" applyNumberFormat="1" applyFont="1" applyFill="1" applyBorder="1" applyAlignment="1">
      <alignment vertical="center" shrinkToFit="1"/>
    </xf>
    <xf numFmtId="172" fontId="17" fillId="2" borderId="5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Border="1" applyAlignment="1">
      <alignment vertical="center" shrinkToFit="1"/>
    </xf>
    <xf numFmtId="171" fontId="17" fillId="2" borderId="1" xfId="5" applyNumberFormat="1" applyFont="1" applyFill="1" applyBorder="1" applyAlignment="1">
      <alignment vertical="center" shrinkToFit="1"/>
    </xf>
    <xf numFmtId="0" fontId="19" fillId="4" borderId="2" xfId="5" applyNumberFormat="1" applyFont="1" applyFill="1" applyBorder="1" applyAlignment="1">
      <alignment vertical="center" shrinkToFit="1"/>
    </xf>
    <xf numFmtId="165" fontId="17" fillId="2" borderId="1" xfId="5" applyNumberFormat="1" applyFont="1" applyFill="1" applyBorder="1" applyAlignment="1">
      <alignment vertical="center" shrinkToFit="1"/>
    </xf>
    <xf numFmtId="165" fontId="17" fillId="2" borderId="5" xfId="5" applyNumberFormat="1" applyFont="1" applyFill="1" applyBorder="1" applyAlignment="1">
      <alignment vertical="center" shrinkToFit="1"/>
    </xf>
    <xf numFmtId="165" fontId="17" fillId="2" borderId="0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Border="1" applyAlignment="1">
      <alignment vertical="center" shrinkToFit="1"/>
    </xf>
    <xf numFmtId="170" fontId="17" fillId="2" borderId="1" xfId="5" applyNumberFormat="1" applyFont="1" applyFill="1" applyBorder="1" applyAlignment="1">
      <alignment vertical="center" shrinkToFit="1"/>
    </xf>
    <xf numFmtId="166" fontId="21" fillId="5" borderId="2" xfId="5" applyNumberFormat="1" applyFont="1" applyFill="1" applyBorder="1" applyAlignment="1">
      <alignment vertical="center" shrinkToFit="1"/>
    </xf>
    <xf numFmtId="166" fontId="17" fillId="2" borderId="5" xfId="5" applyNumberFormat="1" applyFont="1" applyFill="1" applyBorder="1" applyAlignment="1">
      <alignment vertical="center" shrinkToFit="1"/>
    </xf>
    <xf numFmtId="166" fontId="17" fillId="2" borderId="1" xfId="5" applyNumberFormat="1" applyFont="1" applyFill="1" applyBorder="1" applyAlignment="1">
      <alignment vertical="center" shrinkToFit="1"/>
    </xf>
    <xf numFmtId="166" fontId="10" fillId="2" borderId="0" xfId="5" applyNumberFormat="1" applyFont="1" applyFill="1" applyAlignment="1">
      <alignment vertical="center" shrinkToFit="1"/>
    </xf>
    <xf numFmtId="166" fontId="21" fillId="5" borderId="5" xfId="5" applyNumberFormat="1" applyFont="1" applyFill="1" applyBorder="1" applyAlignment="1">
      <alignment vertical="center" shrinkToFit="1"/>
    </xf>
    <xf numFmtId="166" fontId="17" fillId="2" borderId="4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Border="1" applyAlignment="1">
      <alignment vertical="center" shrinkToFit="1"/>
    </xf>
    <xf numFmtId="166" fontId="17" fillId="2" borderId="3" xfId="1" applyNumberFormat="1" applyFont="1" applyFill="1" applyBorder="1" applyAlignment="1">
      <alignment vertical="center" shrinkToFit="1"/>
    </xf>
    <xf numFmtId="166" fontId="17" fillId="2" borderId="1" xfId="1" applyNumberFormat="1" applyFont="1" applyFill="1" applyBorder="1" applyAlignment="1">
      <alignment vertical="center" shrinkToFit="1"/>
    </xf>
    <xf numFmtId="168" fontId="22" fillId="5" borderId="2" xfId="2" applyNumberFormat="1" applyFont="1" applyFill="1" applyBorder="1" applyAlignment="1">
      <alignment vertical="center" shrinkToFit="1"/>
    </xf>
    <xf numFmtId="168" fontId="17" fillId="2" borderId="2" xfId="5" applyNumberFormat="1" applyFont="1" applyFill="1" applyBorder="1" applyAlignment="1">
      <alignment vertical="center" shrinkToFit="1"/>
    </xf>
    <xf numFmtId="168" fontId="17" fillId="2" borderId="5" xfId="5" applyNumberFormat="1" applyFont="1" applyFill="1" applyBorder="1" applyAlignment="1">
      <alignment vertical="center" shrinkToFit="1"/>
    </xf>
    <xf numFmtId="168" fontId="17" fillId="2" borderId="0" xfId="5" applyNumberFormat="1" applyFont="1" applyFill="1" applyBorder="1" applyAlignment="1">
      <alignment vertical="center" shrinkToFit="1"/>
    </xf>
    <xf numFmtId="168" fontId="17" fillId="2" borderId="1" xfId="5" applyNumberFormat="1" applyFont="1" applyFill="1" applyBorder="1" applyAlignment="1">
      <alignment vertical="center" shrinkToFit="1"/>
    </xf>
    <xf numFmtId="166" fontId="21" fillId="5" borderId="4" xfId="5" applyNumberFormat="1" applyFont="1" applyFill="1" applyBorder="1" applyAlignment="1">
      <alignment vertical="center" shrinkToFit="1"/>
    </xf>
    <xf numFmtId="0" fontId="10" fillId="2" borderId="0" xfId="5" applyFont="1" applyFill="1" applyAlignment="1">
      <alignment vertical="center" shrinkToFit="1"/>
    </xf>
    <xf numFmtId="167" fontId="22" fillId="5" borderId="2" xfId="1" applyNumberFormat="1" applyFont="1" applyFill="1" applyBorder="1" applyAlignment="1">
      <alignment vertical="center" shrinkToFit="1"/>
    </xf>
    <xf numFmtId="167" fontId="17" fillId="2" borderId="5" xfId="5" applyNumberFormat="1" applyFont="1" applyFill="1" applyBorder="1" applyAlignment="1">
      <alignment vertical="center" shrinkToFit="1"/>
    </xf>
    <xf numFmtId="167" fontId="17" fillId="2" borderId="0" xfId="5" applyNumberFormat="1" applyFont="1" applyFill="1" applyBorder="1" applyAlignment="1">
      <alignment vertical="center" shrinkToFit="1"/>
    </xf>
    <xf numFmtId="167" fontId="17" fillId="2" borderId="1" xfId="5" applyNumberFormat="1" applyFont="1" applyFill="1" applyBorder="1" applyAlignment="1">
      <alignment vertical="center" shrinkToFit="1"/>
    </xf>
    <xf numFmtId="0" fontId="24" fillId="6" borderId="2" xfId="5" applyFont="1" applyFill="1" applyBorder="1" applyAlignment="1">
      <alignment horizontal="left" vertical="center"/>
    </xf>
    <xf numFmtId="169" fontId="22" fillId="6" borderId="2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/>
    </xf>
    <xf numFmtId="165" fontId="22" fillId="6" borderId="2" xfId="1" applyNumberFormat="1" applyFont="1" applyFill="1" applyBorder="1" applyAlignment="1">
      <alignment vertical="center"/>
    </xf>
    <xf numFmtId="0" fontId="25" fillId="2" borderId="0" xfId="5" applyFont="1" applyFill="1" applyBorder="1" applyAlignment="1">
      <alignment horizontal="left" vertical="center" indent="2"/>
    </xf>
    <xf numFmtId="0" fontId="25" fillId="2" borderId="7" xfId="5" applyFont="1" applyFill="1" applyBorder="1" applyAlignment="1">
      <alignment horizontal="left" vertical="center" indent="2"/>
    </xf>
    <xf numFmtId="0" fontId="16" fillId="5" borderId="2" xfId="5" applyFont="1" applyFill="1" applyBorder="1" applyAlignment="1">
      <alignment horizontal="left" vertical="center" indent="1"/>
    </xf>
    <xf numFmtId="166" fontId="17" fillId="5" borderId="2" xfId="1" applyNumberFormat="1" applyFont="1" applyFill="1" applyBorder="1" applyAlignment="1">
      <alignment vertical="center"/>
    </xf>
    <xf numFmtId="0" fontId="17" fillId="2" borderId="0" xfId="5" applyFont="1" applyFill="1" applyAlignment="1">
      <alignment horizontal="left" vertical="center" indent="2"/>
    </xf>
    <xf numFmtId="166" fontId="17" fillId="2" borderId="0" xfId="1" applyNumberFormat="1" applyFont="1" applyFill="1" applyAlignment="1">
      <alignment vertical="center"/>
    </xf>
    <xf numFmtId="0" fontId="17" fillId="2" borderId="7" xfId="5" applyFont="1" applyFill="1" applyBorder="1" applyAlignment="1">
      <alignment horizontal="left" vertical="center" indent="2"/>
    </xf>
    <xf numFmtId="166" fontId="17" fillId="2" borderId="7" xfId="1" applyNumberFormat="1" applyFont="1" applyFill="1" applyBorder="1" applyAlignment="1">
      <alignment vertical="center"/>
    </xf>
    <xf numFmtId="165" fontId="17" fillId="5" borderId="2" xfId="1" applyNumberFormat="1" applyFont="1" applyFill="1" applyBorder="1" applyAlignment="1">
      <alignment vertical="center"/>
    </xf>
    <xf numFmtId="165" fontId="17" fillId="2" borderId="0" xfId="1" applyNumberFormat="1" applyFont="1" applyFill="1" applyAlignment="1">
      <alignment vertical="center"/>
    </xf>
    <xf numFmtId="165" fontId="17" fillId="2" borderId="0" xfId="1" applyNumberFormat="1" applyFont="1" applyFill="1" applyBorder="1" applyAlignment="1">
      <alignment vertical="center"/>
    </xf>
    <xf numFmtId="165" fontId="17" fillId="2" borderId="7" xfId="1" applyNumberFormat="1" applyFont="1" applyFill="1" applyBorder="1" applyAlignment="1">
      <alignment vertical="center"/>
    </xf>
    <xf numFmtId="169" fontId="17" fillId="5" borderId="2" xfId="1" applyNumberFormat="1" applyFont="1" applyFill="1" applyBorder="1" applyAlignment="1">
      <alignment vertical="center"/>
    </xf>
    <xf numFmtId="169" fontId="17" fillId="2" borderId="0" xfId="1" applyNumberFormat="1" applyFont="1" applyFill="1" applyAlignment="1">
      <alignment vertical="center"/>
    </xf>
    <xf numFmtId="169" fontId="17" fillId="2" borderId="0" xfId="1" applyNumberFormat="1" applyFont="1" applyFill="1" applyBorder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9" fontId="18" fillId="2" borderId="7" xfId="1" applyNumberFormat="1" applyFont="1" applyFill="1" applyBorder="1" applyAlignment="1">
      <alignment vertical="center"/>
    </xf>
    <xf numFmtId="0" fontId="18" fillId="2" borderId="6" xfId="5" applyFont="1" applyFill="1" applyBorder="1" applyAlignment="1">
      <alignment horizontal="left" vertical="center" indent="2"/>
    </xf>
    <xf numFmtId="166" fontId="18" fillId="2" borderId="6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166" fontId="17" fillId="2" borderId="6" xfId="1" applyNumberFormat="1" applyFont="1" applyFill="1" applyBorder="1" applyAlignment="1">
      <alignment vertical="center"/>
    </xf>
    <xf numFmtId="165" fontId="17" fillId="2" borderId="6" xfId="1" applyNumberFormat="1" applyFont="1" applyFill="1" applyBorder="1" applyAlignment="1">
      <alignment vertical="center"/>
    </xf>
    <xf numFmtId="165" fontId="17" fillId="2" borderId="1" xfId="1" applyNumberFormat="1" applyFont="1" applyFill="1" applyBorder="1" applyAlignment="1">
      <alignment vertical="center"/>
    </xf>
    <xf numFmtId="169" fontId="18" fillId="2" borderId="6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9" fontId="17" fillId="2" borderId="1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 shrinkToFit="1"/>
    </xf>
    <xf numFmtId="166" fontId="17" fillId="5" borderId="2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Alignment="1">
      <alignment vertical="center" shrinkToFit="1"/>
    </xf>
    <xf numFmtId="166" fontId="17" fillId="2" borderId="7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6" fontId="17" fillId="2" borderId="6" xfId="1" applyNumberFormat="1" applyFont="1" applyFill="1" applyBorder="1" applyAlignment="1">
      <alignment vertical="center" shrinkToFit="1"/>
    </xf>
    <xf numFmtId="165" fontId="22" fillId="6" borderId="2" xfId="1" applyNumberFormat="1" applyFont="1" applyFill="1" applyBorder="1" applyAlignment="1">
      <alignment vertical="center" shrinkToFit="1"/>
    </xf>
    <xf numFmtId="165" fontId="17" fillId="5" borderId="2" xfId="1" applyNumberFormat="1" applyFont="1" applyFill="1" applyBorder="1" applyAlignment="1">
      <alignment vertical="center" shrinkToFit="1"/>
    </xf>
    <xf numFmtId="165" fontId="17" fillId="2" borderId="0" xfId="1" applyNumberFormat="1" applyFont="1" applyFill="1" applyAlignment="1">
      <alignment vertical="center" shrinkToFit="1"/>
    </xf>
    <xf numFmtId="165" fontId="17" fillId="2" borderId="0" xfId="1" applyNumberFormat="1" applyFont="1" applyFill="1" applyBorder="1" applyAlignment="1">
      <alignment vertical="center" shrinkToFit="1"/>
    </xf>
    <xf numFmtId="165" fontId="17" fillId="2" borderId="7" xfId="1" applyNumberFormat="1" applyFont="1" applyFill="1" applyBorder="1" applyAlignment="1">
      <alignment vertical="center" shrinkToFit="1"/>
    </xf>
    <xf numFmtId="165" fontId="17" fillId="2" borderId="6" xfId="1" applyNumberFormat="1" applyFont="1" applyFill="1" applyBorder="1" applyAlignment="1">
      <alignment vertical="center" shrinkToFit="1"/>
    </xf>
    <xf numFmtId="165" fontId="17" fillId="2" borderId="1" xfId="1" applyNumberFormat="1" applyFont="1" applyFill="1" applyBorder="1" applyAlignment="1">
      <alignment vertical="center" shrinkToFit="1"/>
    </xf>
    <xf numFmtId="169" fontId="22" fillId="6" borderId="2" xfId="1" applyNumberFormat="1" applyFont="1" applyFill="1" applyBorder="1" applyAlignment="1">
      <alignment vertical="center" shrinkToFit="1"/>
    </xf>
    <xf numFmtId="169" fontId="17" fillId="5" borderId="2" xfId="1" applyNumberFormat="1" applyFont="1" applyFill="1" applyBorder="1" applyAlignment="1">
      <alignment vertical="center" shrinkToFit="1"/>
    </xf>
    <xf numFmtId="169" fontId="17" fillId="2" borderId="0" xfId="1" applyNumberFormat="1" applyFont="1" applyFill="1" applyAlignment="1">
      <alignment vertical="center" shrinkToFit="1"/>
    </xf>
    <xf numFmtId="169" fontId="17" fillId="2" borderId="0" xfId="1" applyNumberFormat="1" applyFont="1" applyFill="1" applyBorder="1" applyAlignment="1">
      <alignment vertical="center" shrinkToFit="1"/>
    </xf>
    <xf numFmtId="169" fontId="18" fillId="2" borderId="7" xfId="1" applyNumberFormat="1" applyFont="1" applyFill="1" applyBorder="1" applyAlignment="1">
      <alignment vertical="center" shrinkToFit="1"/>
    </xf>
    <xf numFmtId="169" fontId="18" fillId="2" borderId="6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9" fontId="17" fillId="2" borderId="1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/>
    </xf>
    <xf numFmtId="0" fontId="15" fillId="6" borderId="2" xfId="5" applyFont="1" applyFill="1" applyBorder="1" applyAlignment="1">
      <alignment horizontal="left" vertical="center"/>
    </xf>
    <xf numFmtId="166" fontId="16" fillId="6" borderId="2" xfId="5" applyNumberFormat="1" applyFont="1" applyFill="1" applyBorder="1" applyAlignment="1">
      <alignment vertical="center"/>
    </xf>
    <xf numFmtId="166" fontId="17" fillId="2" borderId="0" xfId="5" applyNumberFormat="1" applyFont="1" applyFill="1" applyAlignment="1">
      <alignment vertical="center"/>
    </xf>
    <xf numFmtId="169" fontId="17" fillId="2" borderId="0" xfId="5" applyNumberFormat="1" applyFont="1" applyFill="1" applyAlignment="1">
      <alignment vertical="center"/>
    </xf>
    <xf numFmtId="173" fontId="17" fillId="2" borderId="0" xfId="5" applyNumberFormat="1" applyFont="1" applyFill="1" applyAlignment="1">
      <alignment vertical="center"/>
    </xf>
    <xf numFmtId="172" fontId="16" fillId="6" borderId="2" xfId="5" applyNumberFormat="1" applyFont="1" applyFill="1" applyBorder="1" applyAlignment="1">
      <alignment vertical="center"/>
    </xf>
    <xf numFmtId="172" fontId="17" fillId="2" borderId="0" xfId="5" applyNumberFormat="1" applyFont="1" applyFill="1" applyAlignment="1">
      <alignment vertical="center"/>
    </xf>
    <xf numFmtId="172" fontId="17" fillId="2" borderId="1" xfId="5" applyNumberFormat="1" applyFont="1" applyFill="1" applyBorder="1" applyAlignment="1">
      <alignment vertical="center"/>
    </xf>
    <xf numFmtId="165" fontId="16" fillId="6" borderId="2" xfId="2" applyNumberFormat="1" applyFont="1" applyFill="1" applyBorder="1" applyAlignment="1">
      <alignment vertical="center"/>
    </xf>
    <xf numFmtId="165" fontId="17" fillId="2" borderId="0" xfId="5" applyNumberFormat="1" applyFont="1" applyFill="1" applyAlignment="1">
      <alignment vertical="center"/>
    </xf>
    <xf numFmtId="166" fontId="16" fillId="6" borderId="2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Alignment="1">
      <alignment vertical="center" shrinkToFit="1"/>
    </xf>
    <xf numFmtId="169" fontId="17" fillId="2" borderId="0" xfId="5" applyNumberFormat="1" applyFont="1" applyFill="1" applyAlignment="1">
      <alignment vertical="center" shrinkToFit="1"/>
    </xf>
    <xf numFmtId="173" fontId="17" fillId="2" borderId="0" xfId="5" applyNumberFormat="1" applyFont="1" applyFill="1" applyAlignment="1">
      <alignment vertical="center" shrinkToFit="1"/>
    </xf>
    <xf numFmtId="172" fontId="16" fillId="6" borderId="2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Alignment="1">
      <alignment vertical="center" shrinkToFit="1"/>
    </xf>
    <xf numFmtId="172" fontId="17" fillId="2" borderId="1" xfId="5" applyNumberFormat="1" applyFont="1" applyFill="1" applyBorder="1" applyAlignment="1">
      <alignment vertical="center" shrinkToFit="1"/>
    </xf>
    <xf numFmtId="165" fontId="16" fillId="6" borderId="2" xfId="2" applyNumberFormat="1" applyFont="1" applyFill="1" applyBorder="1" applyAlignment="1">
      <alignment vertical="center" shrinkToFit="1"/>
    </xf>
    <xf numFmtId="165" fontId="17" fillId="2" borderId="0" xfId="5" applyNumberFormat="1" applyFont="1" applyFill="1" applyAlignment="1">
      <alignment vertical="center" shrinkToFit="1"/>
    </xf>
    <xf numFmtId="0" fontId="23" fillId="2" borderId="2" xfId="5" applyFont="1" applyFill="1" applyBorder="1" applyAlignment="1">
      <alignment horizontal="left" vertical="center"/>
    </xf>
    <xf numFmtId="166" fontId="17" fillId="2" borderId="2" xfId="5" applyNumberFormat="1" applyFont="1" applyFill="1" applyBorder="1" applyAlignment="1">
      <alignment vertical="center"/>
    </xf>
    <xf numFmtId="0" fontId="23" fillId="2" borderId="5" xfId="5" applyFont="1" applyFill="1" applyBorder="1" applyAlignment="1">
      <alignment horizontal="left" vertical="center"/>
    </xf>
    <xf numFmtId="0" fontId="23" fillId="2" borderId="7" xfId="5" applyFont="1" applyFill="1" applyBorder="1" applyAlignment="1">
      <alignment horizontal="left" vertical="center"/>
    </xf>
    <xf numFmtId="165" fontId="17" fillId="2" borderId="7" xfId="5" applyNumberFormat="1" applyFont="1" applyFill="1" applyBorder="1" applyAlignment="1">
      <alignment vertical="center"/>
    </xf>
    <xf numFmtId="0" fontId="23" fillId="2" borderId="0" xfId="5" applyFont="1" applyFill="1" applyBorder="1" applyAlignment="1">
      <alignment horizontal="left" vertical="center"/>
    </xf>
    <xf numFmtId="0" fontId="23" fillId="2" borderId="1" xfId="5" applyFont="1" applyFill="1" applyBorder="1" applyAlignment="1">
      <alignment horizontal="left" vertical="center"/>
    </xf>
    <xf numFmtId="172" fontId="17" fillId="2" borderId="2" xfId="5" applyNumberFormat="1" applyFont="1" applyFill="1" applyBorder="1" applyAlignment="1">
      <alignment vertical="center"/>
    </xf>
    <xf numFmtId="166" fontId="17" fillId="2" borderId="2" xfId="5" applyNumberFormat="1" applyFont="1" applyFill="1" applyBorder="1" applyAlignment="1">
      <alignment vertical="center" shrinkToFit="1"/>
    </xf>
    <xf numFmtId="165" fontId="17" fillId="2" borderId="7" xfId="5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 shrinkToFit="1"/>
    </xf>
    <xf numFmtId="172" fontId="17" fillId="2" borderId="2" xfId="5" applyNumberFormat="1" applyFont="1" applyFill="1" applyBorder="1" applyAlignment="1">
      <alignment vertical="center" shrinkToFit="1"/>
    </xf>
    <xf numFmtId="172" fontId="10" fillId="2" borderId="0" xfId="5" applyNumberFormat="1" applyFont="1" applyFill="1" applyBorder="1" applyAlignment="1">
      <alignment vertical="center" shrinkToFit="1"/>
    </xf>
    <xf numFmtId="0" fontId="13" fillId="2" borderId="2" xfId="5" applyNumberFormat="1" applyFont="1" applyFill="1" applyBorder="1" applyAlignment="1">
      <alignment vertical="center" shrinkToFit="1"/>
    </xf>
    <xf numFmtId="0" fontId="13" fillId="2" borderId="5" xfId="5" applyNumberFormat="1" applyFont="1" applyFill="1" applyBorder="1" applyAlignment="1">
      <alignment vertical="center" shrinkToFit="1"/>
    </xf>
    <xf numFmtId="0" fontId="13" fillId="2" borderId="6" xfId="5" applyNumberFormat="1" applyFont="1" applyFill="1" applyBorder="1" applyAlignment="1">
      <alignment vertical="center" shrinkToFit="1"/>
    </xf>
    <xf numFmtId="0" fontId="13" fillId="2" borderId="3" xfId="5" applyNumberFormat="1" applyFont="1" applyFill="1" applyBorder="1" applyAlignment="1">
      <alignment vertical="center" shrinkToFit="1"/>
    </xf>
    <xf numFmtId="0" fontId="13" fillId="2" borderId="1" xfId="5" applyNumberFormat="1" applyFont="1" applyFill="1" applyBorder="1" applyAlignment="1">
      <alignment vertical="center" shrinkToFit="1"/>
    </xf>
    <xf numFmtId="175" fontId="10" fillId="2" borderId="0" xfId="5" applyNumberFormat="1" applyFont="1" applyFill="1" applyAlignment="1">
      <alignment vertical="center"/>
    </xf>
    <xf numFmtId="0" fontId="13" fillId="2" borderId="0" xfId="5" applyNumberFormat="1" applyFont="1" applyFill="1" applyBorder="1" applyAlignment="1">
      <alignment vertical="center" shrinkToFit="1"/>
    </xf>
    <xf numFmtId="174" fontId="17" fillId="2" borderId="1" xfId="5" applyNumberFormat="1" applyFont="1" applyFill="1" applyBorder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0" fontId="16" fillId="6" borderId="5" xfId="5" applyFont="1" applyFill="1" applyBorder="1" applyAlignment="1">
      <alignment horizontal="left" vertical="center"/>
    </xf>
    <xf numFmtId="166" fontId="17" fillId="6" borderId="5" xfId="5" applyNumberFormat="1" applyFont="1" applyFill="1" applyBorder="1" applyAlignment="1">
      <alignment vertical="center"/>
    </xf>
    <xf numFmtId="0" fontId="16" fillId="6" borderId="1" xfId="5" applyFont="1" applyFill="1" applyBorder="1" applyAlignment="1">
      <alignment horizontal="left" vertical="center"/>
    </xf>
    <xf numFmtId="166" fontId="17" fillId="6" borderId="1" xfId="5" applyNumberFormat="1" applyFont="1" applyFill="1" applyBorder="1" applyAlignment="1">
      <alignment vertical="center"/>
    </xf>
    <xf numFmtId="0" fontId="16" fillId="5" borderId="6" xfId="5" applyFont="1" applyFill="1" applyBorder="1" applyAlignment="1">
      <alignment horizontal="left" vertical="center" indent="1"/>
    </xf>
    <xf numFmtId="166" fontId="17" fillId="5" borderId="6" xfId="5" applyNumberFormat="1" applyFont="1" applyFill="1" applyBorder="1" applyAlignment="1">
      <alignment vertical="center"/>
    </xf>
    <xf numFmtId="0" fontId="16" fillId="5" borderId="3" xfId="5" applyFont="1" applyFill="1" applyBorder="1" applyAlignment="1">
      <alignment horizontal="left" vertical="center" indent="1"/>
    </xf>
    <xf numFmtId="166" fontId="17" fillId="5" borderId="3" xfId="5" applyNumberFormat="1" applyFont="1" applyFill="1" applyBorder="1" applyAlignment="1">
      <alignment vertical="center"/>
    </xf>
    <xf numFmtId="0" fontId="18" fillId="5" borderId="2" xfId="5" applyFont="1" applyFill="1" applyBorder="1" applyAlignment="1">
      <alignment horizontal="left" vertical="center" indent="1"/>
    </xf>
    <xf numFmtId="166" fontId="17" fillId="5" borderId="2" xfId="5" applyNumberFormat="1" applyFont="1" applyFill="1" applyBorder="1" applyAlignment="1">
      <alignment vertical="center"/>
    </xf>
    <xf numFmtId="3" fontId="17" fillId="6" borderId="2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/>
    </xf>
    <xf numFmtId="0" fontId="15" fillId="6" borderId="2" xfId="5" applyNumberFormat="1" applyFont="1" applyFill="1" applyBorder="1" applyAlignment="1">
      <alignment horizontal="left" vertical="center"/>
    </xf>
    <xf numFmtId="0" fontId="24" fillId="5" borderId="2" xfId="5" applyFont="1" applyFill="1" applyBorder="1" applyAlignment="1">
      <alignment horizontal="left" vertical="center" indent="1"/>
    </xf>
    <xf numFmtId="0" fontId="22" fillId="5" borderId="2" xfId="5" applyFont="1" applyFill="1" applyBorder="1" applyAlignment="1">
      <alignment horizontal="left" vertical="center" indent="1"/>
    </xf>
    <xf numFmtId="176" fontId="22" fillId="5" borderId="2" xfId="2" applyNumberFormat="1" applyFont="1" applyFill="1" applyBorder="1" applyAlignment="1">
      <alignment vertical="center"/>
    </xf>
    <xf numFmtId="174" fontId="22" fillId="5" borderId="2" xfId="2" applyNumberFormat="1" applyFont="1" applyFill="1" applyBorder="1" applyAlignment="1">
      <alignment vertical="center"/>
    </xf>
    <xf numFmtId="165" fontId="22" fillId="5" borderId="2" xfId="2" applyNumberFormat="1" applyFont="1" applyFill="1" applyBorder="1" applyAlignment="1">
      <alignment vertical="center"/>
    </xf>
    <xf numFmtId="0" fontId="26" fillId="2" borderId="5" xfId="5" applyFont="1" applyFill="1" applyBorder="1" applyAlignment="1">
      <alignment horizontal="left" vertical="center" indent="2"/>
    </xf>
    <xf numFmtId="166" fontId="26" fillId="2" borderId="5" xfId="5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166" fontId="26" fillId="2" borderId="0" xfId="5" applyNumberFormat="1" applyFont="1" applyFill="1" applyBorder="1" applyAlignment="1">
      <alignment vertical="center"/>
    </xf>
    <xf numFmtId="0" fontId="26" fillId="2" borderId="3" xfId="5" applyFont="1" applyFill="1" applyBorder="1" applyAlignment="1">
      <alignment horizontal="left" vertical="center" indent="2"/>
    </xf>
    <xf numFmtId="166" fontId="26" fillId="2" borderId="3" xfId="5" applyNumberFormat="1" applyFont="1" applyFill="1" applyBorder="1" applyAlignment="1">
      <alignment vertical="center"/>
    </xf>
    <xf numFmtId="176" fontId="26" fillId="2" borderId="5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176" fontId="26" fillId="2" borderId="3" xfId="5" applyNumberFormat="1" applyFont="1" applyFill="1" applyBorder="1" applyAlignment="1">
      <alignment vertical="center"/>
    </xf>
    <xf numFmtId="174" fontId="26" fillId="2" borderId="5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3" xfId="5" applyNumberFormat="1" applyFont="1" applyFill="1" applyBorder="1" applyAlignment="1">
      <alignment vertical="center"/>
    </xf>
    <xf numFmtId="165" fontId="26" fillId="2" borderId="5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3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3"/>
    </xf>
    <xf numFmtId="166" fontId="27" fillId="2" borderId="0" xfId="5" applyNumberFormat="1" applyFont="1" applyFill="1" applyAlignment="1">
      <alignment vertical="center"/>
    </xf>
    <xf numFmtId="166" fontId="27" fillId="2" borderId="0" xfId="5" applyNumberFormat="1" applyFont="1" applyFill="1" applyBorder="1" applyAlignment="1">
      <alignment vertical="center"/>
    </xf>
    <xf numFmtId="0" fontId="25" fillId="2" borderId="8" xfId="5" applyFont="1" applyFill="1" applyBorder="1" applyAlignment="1">
      <alignment horizontal="left" vertical="center" indent="2"/>
    </xf>
    <xf numFmtId="166" fontId="25" fillId="2" borderId="8" xfId="5" applyNumberFormat="1" applyFont="1" applyFill="1" applyBorder="1" applyAlignment="1">
      <alignment vertical="center"/>
    </xf>
    <xf numFmtId="166" fontId="25" fillId="2" borderId="7" xfId="5" applyNumberFormat="1" applyFont="1" applyFill="1" applyBorder="1" applyAlignment="1">
      <alignment vertical="center"/>
    </xf>
    <xf numFmtId="176" fontId="25" fillId="2" borderId="0" xfId="5" applyNumberFormat="1" applyFont="1" applyFill="1" applyBorder="1" applyAlignment="1">
      <alignment vertical="center"/>
    </xf>
    <xf numFmtId="0" fontId="25" fillId="2" borderId="1" xfId="5" applyFont="1" applyFill="1" applyBorder="1" applyAlignment="1">
      <alignment horizontal="left" vertical="center" indent="2"/>
    </xf>
    <xf numFmtId="176" fontId="25" fillId="2" borderId="1" xfId="5" applyNumberFormat="1" applyFont="1" applyFill="1" applyBorder="1" applyAlignment="1">
      <alignment vertical="center"/>
    </xf>
    <xf numFmtId="174" fontId="25" fillId="2" borderId="0" xfId="5" applyNumberFormat="1" applyFont="1" applyFill="1" applyBorder="1" applyAlignment="1">
      <alignment vertical="center"/>
    </xf>
    <xf numFmtId="174" fontId="25" fillId="2" borderId="1" xfId="5" applyNumberFormat="1" applyFont="1" applyFill="1" applyBorder="1" applyAlignment="1">
      <alignment vertical="center"/>
    </xf>
    <xf numFmtId="165" fontId="25" fillId="2" borderId="0" xfId="5" applyNumberFormat="1" applyFont="1" applyFill="1" applyBorder="1" applyAlignment="1">
      <alignment vertical="center"/>
    </xf>
    <xf numFmtId="165" fontId="25" fillId="2" borderId="1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 shrinkToFit="1"/>
    </xf>
    <xf numFmtId="166" fontId="26" fillId="2" borderId="5" xfId="5" applyNumberFormat="1" applyFont="1" applyFill="1" applyBorder="1" applyAlignment="1">
      <alignment vertical="center" shrinkToFit="1"/>
    </xf>
    <xf numFmtId="166" fontId="26" fillId="2" borderId="0" xfId="5" applyNumberFormat="1" applyFont="1" applyFill="1" applyBorder="1" applyAlignment="1">
      <alignment vertical="center" shrinkToFit="1"/>
    </xf>
    <xf numFmtId="166" fontId="26" fillId="2" borderId="3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5" fillId="2" borderId="8" xfId="5" applyNumberFormat="1" applyFont="1" applyFill="1" applyBorder="1" applyAlignment="1">
      <alignment vertical="center" shrinkToFit="1"/>
    </xf>
    <xf numFmtId="166" fontId="25" fillId="2" borderId="7" xfId="5" applyNumberFormat="1" applyFont="1" applyFill="1" applyBorder="1" applyAlignment="1">
      <alignment vertical="center" shrinkToFit="1"/>
    </xf>
    <xf numFmtId="176" fontId="22" fillId="5" borderId="2" xfId="2" applyNumberFormat="1" applyFont="1" applyFill="1" applyBorder="1" applyAlignment="1">
      <alignment vertical="center" shrinkToFit="1"/>
    </xf>
    <xf numFmtId="176" fontId="26" fillId="2" borderId="5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3" xfId="5" applyNumberFormat="1" applyFont="1" applyFill="1" applyBorder="1" applyAlignment="1">
      <alignment vertical="center" shrinkToFit="1"/>
    </xf>
    <xf numFmtId="176" fontId="25" fillId="2" borderId="0" xfId="5" applyNumberFormat="1" applyFont="1" applyFill="1" applyBorder="1" applyAlignment="1">
      <alignment vertical="center" shrinkToFit="1"/>
    </xf>
    <xf numFmtId="176" fontId="25" fillId="2" borderId="1" xfId="5" applyNumberFormat="1" applyFont="1" applyFill="1" applyBorder="1" applyAlignment="1">
      <alignment vertical="center" shrinkToFit="1"/>
    </xf>
    <xf numFmtId="174" fontId="22" fillId="5" borderId="2" xfId="2" applyNumberFormat="1" applyFont="1" applyFill="1" applyBorder="1" applyAlignment="1">
      <alignment vertical="center" shrinkToFit="1"/>
    </xf>
    <xf numFmtId="174" fontId="26" fillId="2" borderId="5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3" xfId="5" applyNumberFormat="1" applyFont="1" applyFill="1" applyBorder="1" applyAlignment="1">
      <alignment vertical="center" shrinkToFit="1"/>
    </xf>
    <xf numFmtId="174" fontId="25" fillId="2" borderId="0" xfId="5" applyNumberFormat="1" applyFont="1" applyFill="1" applyBorder="1" applyAlignment="1">
      <alignment vertical="center" shrinkToFit="1"/>
    </xf>
    <xf numFmtId="174" fontId="25" fillId="2" borderId="1" xfId="5" applyNumberFormat="1" applyFont="1" applyFill="1" applyBorder="1" applyAlignment="1">
      <alignment vertical="center" shrinkToFit="1"/>
    </xf>
    <xf numFmtId="165" fontId="22" fillId="5" borderId="2" xfId="2" applyNumberFormat="1" applyFont="1" applyFill="1" applyBorder="1" applyAlignment="1">
      <alignment vertical="center" shrinkToFit="1"/>
    </xf>
    <xf numFmtId="165" fontId="26" fillId="2" borderId="5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3" xfId="5" applyNumberFormat="1" applyFont="1" applyFill="1" applyBorder="1" applyAlignment="1">
      <alignment vertical="center" shrinkToFit="1"/>
    </xf>
    <xf numFmtId="165" fontId="25" fillId="2" borderId="0" xfId="5" applyNumberFormat="1" applyFont="1" applyFill="1" applyBorder="1" applyAlignment="1">
      <alignment vertical="center" shrinkToFit="1"/>
    </xf>
    <xf numFmtId="165" fontId="25" fillId="2" borderId="1" xfId="5" applyNumberFormat="1" applyFont="1" applyFill="1" applyBorder="1" applyAlignment="1">
      <alignment vertical="center" shrinkToFit="1"/>
    </xf>
    <xf numFmtId="0" fontId="28" fillId="2" borderId="0" xfId="0" applyFont="1" applyFill="1"/>
    <xf numFmtId="0" fontId="29" fillId="2" borderId="1" xfId="0" applyFont="1" applyFill="1" applyBorder="1"/>
    <xf numFmtId="0" fontId="23" fillId="2" borderId="0" xfId="0" applyFont="1" applyFill="1"/>
    <xf numFmtId="0" fontId="30" fillId="2" borderId="0" xfId="0" applyFont="1" applyFill="1" applyAlignment="1">
      <alignment horizontal="left"/>
    </xf>
    <xf numFmtId="0" fontId="23" fillId="2" borderId="0" xfId="0" applyFont="1" applyFill="1" applyAlignment="1">
      <alignment horizontal="left"/>
    </xf>
    <xf numFmtId="0" fontId="23" fillId="2" borderId="0" xfId="0" applyFont="1" applyFill="1" applyAlignment="1">
      <alignment horizontal="left" indent="1"/>
    </xf>
    <xf numFmtId="0" fontId="32" fillId="2" borderId="0" xfId="6" applyFont="1" applyFill="1"/>
    <xf numFmtId="0" fontId="17" fillId="2" borderId="0" xfId="6" applyFont="1" applyFill="1" applyAlignment="1">
      <alignment vertical="center"/>
    </xf>
    <xf numFmtId="0" fontId="17" fillId="2" borderId="0" xfId="6" applyFont="1" applyFill="1" applyAlignment="1">
      <alignment horizontal="center" vertical="center"/>
    </xf>
    <xf numFmtId="0" fontId="33" fillId="2" borderId="2" xfId="6" applyFont="1" applyFill="1" applyBorder="1" applyAlignment="1">
      <alignment vertical="center"/>
    </xf>
    <xf numFmtId="0" fontId="34" fillId="2" borderId="2" xfId="6" applyFont="1" applyFill="1" applyBorder="1" applyAlignment="1">
      <alignment vertical="center"/>
    </xf>
    <xf numFmtId="0" fontId="35" fillId="2" borderId="0" xfId="6" applyFont="1" applyFill="1" applyAlignment="1">
      <alignment vertical="center"/>
    </xf>
    <xf numFmtId="0" fontId="34" fillId="2" borderId="0" xfId="6" applyFont="1" applyFill="1" applyAlignment="1">
      <alignment vertical="center"/>
    </xf>
    <xf numFmtId="0" fontId="15" fillId="2" borderId="0" xfId="6" applyFont="1" applyFill="1" applyAlignment="1">
      <alignment vertical="center"/>
    </xf>
    <xf numFmtId="0" fontId="19" fillId="2" borderId="0" xfId="6" applyFont="1" applyFill="1" applyAlignment="1">
      <alignment vertical="center"/>
    </xf>
    <xf numFmtId="0" fontId="38" fillId="2" borderId="0" xfId="9" applyFont="1" applyFill="1" applyAlignment="1">
      <alignment vertical="center"/>
    </xf>
    <xf numFmtId="0" fontId="39" fillId="2" borderId="0" xfId="3" applyFont="1" applyFill="1" applyAlignment="1">
      <alignment horizontal="left" vertical="center" indent="1"/>
    </xf>
    <xf numFmtId="166" fontId="17" fillId="7" borderId="0" xfId="5" applyNumberFormat="1" applyFont="1" applyFill="1" applyBorder="1" applyAlignment="1">
      <alignment vertical="center"/>
    </xf>
    <xf numFmtId="0" fontId="36" fillId="2" borderId="0" xfId="6" applyFont="1" applyFill="1" applyAlignment="1">
      <alignment horizontal="left" vertical="center"/>
    </xf>
    <xf numFmtId="177" fontId="37" fillId="2" borderId="0" xfId="6" quotePrefix="1" applyNumberFormat="1" applyFont="1" applyFill="1" applyAlignment="1">
      <alignment horizontal="left" vertical="center"/>
    </xf>
    <xf numFmtId="0" fontId="40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99"/>
    <col min="5" max="21" width="9.7109375" style="299" customWidth="1"/>
    <col min="22" max="22" width="9.7109375" style="300" customWidth="1"/>
    <col min="23" max="23" width="107.42578125" style="299" customWidth="1"/>
    <col min="24" max="24" width="44.7109375" style="299" customWidth="1"/>
    <col min="25" max="26" width="9.7109375" style="299" customWidth="1"/>
    <col min="27" max="16384" width="9.140625" style="299"/>
  </cols>
  <sheetData>
    <row r="2" spans="1:23" ht="21" x14ac:dyDescent="0.35">
      <c r="A2" s="298"/>
      <c r="B2" s="312"/>
      <c r="C2" s="312"/>
      <c r="D2" s="312"/>
      <c r="E2" s="312"/>
      <c r="F2" s="312"/>
      <c r="G2" s="312"/>
      <c r="H2" s="312"/>
      <c r="I2" s="312"/>
      <c r="J2" s="312"/>
      <c r="K2" s="312"/>
    </row>
    <row r="3" spans="1:23" ht="15" customHeight="1" x14ac:dyDescent="0.25">
      <c r="B3" s="312"/>
      <c r="C3" s="312"/>
      <c r="D3" s="312"/>
      <c r="E3" s="312"/>
      <c r="F3" s="312"/>
      <c r="G3" s="312"/>
      <c r="H3" s="312"/>
      <c r="I3" s="312"/>
      <c r="J3" s="312"/>
      <c r="K3" s="312"/>
    </row>
    <row r="6" spans="1:23" ht="31.5" x14ac:dyDescent="0.25">
      <c r="A6" s="301"/>
      <c r="B6" s="302" t="s">
        <v>176</v>
      </c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V6" s="299"/>
    </row>
    <row r="7" spans="1:23" ht="15" customHeight="1" x14ac:dyDescent="0.25">
      <c r="V7" s="299"/>
    </row>
    <row r="8" spans="1:23" ht="15" customHeight="1" x14ac:dyDescent="0.25">
      <c r="V8" s="299"/>
    </row>
    <row r="9" spans="1:23" ht="15" customHeight="1" x14ac:dyDescent="0.25">
      <c r="V9" s="299"/>
    </row>
    <row r="10" spans="1:23" ht="28.5" x14ac:dyDescent="0.25">
      <c r="C10" s="303" t="s">
        <v>186</v>
      </c>
      <c r="V10" s="299"/>
    </row>
    <row r="11" spans="1:23" ht="15" customHeight="1" x14ac:dyDescent="0.25">
      <c r="V11" s="299"/>
    </row>
    <row r="15" spans="1:23" ht="30" customHeight="1" x14ac:dyDescent="0.25">
      <c r="C15" s="303" t="s">
        <v>137</v>
      </c>
    </row>
    <row r="16" spans="1:23" ht="15" customHeight="1" x14ac:dyDescent="0.25">
      <c r="W16" s="304"/>
    </row>
    <row r="17" spans="12:32" ht="15" customHeight="1" x14ac:dyDescent="0.25">
      <c r="W17" s="304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299"/>
    </row>
    <row r="30" spans="12:32" ht="18.75" x14ac:dyDescent="0.25">
      <c r="L30" s="311">
        <v>45967.477048611108</v>
      </c>
      <c r="M30" s="311"/>
      <c r="N30" s="311"/>
      <c r="O30" s="311"/>
      <c r="V30" s="299"/>
    </row>
    <row r="31" spans="12:32" ht="15" customHeight="1" x14ac:dyDescent="0.25">
      <c r="L31" s="305" t="s">
        <v>177</v>
      </c>
      <c r="V31" s="299"/>
      <c r="AA31" s="306"/>
      <c r="AB31" s="306"/>
      <c r="AC31" s="306"/>
      <c r="AD31" s="306"/>
      <c r="AE31" s="306"/>
      <c r="AF31" s="306"/>
    </row>
    <row r="32" spans="12:32" ht="15" customHeight="1" x14ac:dyDescent="0.25">
      <c r="V32" s="299"/>
    </row>
    <row r="33" spans="2:32" ht="15" customHeight="1" x14ac:dyDescent="0.25">
      <c r="B33" s="307" t="s">
        <v>138</v>
      </c>
      <c r="V33" s="299"/>
    </row>
    <row r="34" spans="2:32" ht="15" customHeight="1" x14ac:dyDescent="0.25">
      <c r="B34" s="307"/>
      <c r="V34" s="307"/>
    </row>
    <row r="35" spans="2:32" ht="15" customHeight="1" x14ac:dyDescent="0.25">
      <c r="B35" s="307" t="s">
        <v>143</v>
      </c>
      <c r="V35" s="307"/>
    </row>
    <row r="36" spans="2:32" ht="15" customHeight="1" x14ac:dyDescent="0.25">
      <c r="B36" s="307" t="s">
        <v>139</v>
      </c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W36" s="306"/>
      <c r="X36" s="306"/>
      <c r="Y36" s="306"/>
      <c r="Z36" s="306"/>
    </row>
    <row r="38" spans="2:32" ht="15" customHeight="1" x14ac:dyDescent="0.25">
      <c r="B38" s="307" t="s">
        <v>144</v>
      </c>
    </row>
    <row r="39" spans="2:32" ht="15" customHeight="1" x14ac:dyDescent="0.25">
      <c r="B39" s="307" t="s">
        <v>145</v>
      </c>
    </row>
    <row r="40" spans="2:32" ht="15" customHeight="1" x14ac:dyDescent="0.25">
      <c r="B40" s="308" t="s">
        <v>146</v>
      </c>
      <c r="AA40" s="306"/>
      <c r="AB40" s="306"/>
      <c r="AC40" s="306"/>
      <c r="AD40" s="306"/>
      <c r="AE40" s="306"/>
      <c r="AF40" s="306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2" t="s">
        <v>185</v>
      </c>
      <c r="B1" s="292" t="s">
        <v>186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3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4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5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6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6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6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6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6" t="s">
        <v>153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6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6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6" t="s">
        <v>154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6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6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6" t="s">
        <v>155</v>
      </c>
    </row>
    <row r="18" spans="1:4" x14ac:dyDescent="0.25">
      <c r="B18" s="21"/>
      <c r="C18" s="21"/>
      <c r="D18" s="23"/>
    </row>
    <row r="19" spans="1:4" x14ac:dyDescent="0.25">
      <c r="A19" s="19"/>
      <c r="B19" s="295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6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6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6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6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6" t="s">
        <v>153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6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6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6" t="s">
        <v>154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6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6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6" t="s">
        <v>155</v>
      </c>
    </row>
    <row r="31" spans="1:4" x14ac:dyDescent="0.25">
      <c r="B31" s="21"/>
      <c r="C31" s="21"/>
      <c r="D31" s="23"/>
    </row>
    <row r="32" spans="1:4" x14ac:dyDescent="0.25">
      <c r="B32" s="295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6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6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6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6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6" t="s">
        <v>171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6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6" t="s">
        <v>3</v>
      </c>
    </row>
    <row r="41" spans="2:4" x14ac:dyDescent="0.25">
      <c r="B41" s="295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4" t="s">
        <v>175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7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7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7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3512074</v>
      </c>
      <c r="C3" s="34">
        <v>3486998</v>
      </c>
      <c r="D3" s="34">
        <v>3454637</v>
      </c>
      <c r="E3" s="34">
        <v>3431497</v>
      </c>
      <c r="F3" s="34">
        <v>3398929</v>
      </c>
      <c r="G3" s="34">
        <v>3355220</v>
      </c>
      <c r="H3" s="34">
        <v>3289835</v>
      </c>
      <c r="I3" s="34">
        <v>3249983</v>
      </c>
      <c r="J3" s="34">
        <v>3212605</v>
      </c>
      <c r="K3" s="34">
        <v>3183856</v>
      </c>
      <c r="L3" s="34">
        <v>3141976</v>
      </c>
      <c r="M3" s="34">
        <v>3052588</v>
      </c>
      <c r="N3" s="34">
        <v>3003641</v>
      </c>
      <c r="O3" s="34">
        <v>2974637</v>
      </c>
      <c r="P3" s="34">
        <v>2947862</v>
      </c>
      <c r="Q3" s="34">
        <v>2926644</v>
      </c>
      <c r="R3" s="34">
        <v>2895573</v>
      </c>
      <c r="S3" s="34">
        <v>2859077</v>
      </c>
      <c r="T3" s="34">
        <v>2826200</v>
      </c>
      <c r="U3" s="34">
        <v>2812200</v>
      </c>
      <c r="V3" s="34">
        <v>2809977</v>
      </c>
      <c r="W3" s="34">
        <v>2810761</v>
      </c>
      <c r="X3" s="34">
        <v>2805998</v>
      </c>
      <c r="Y3" s="34">
        <v>2857279</v>
      </c>
      <c r="DA3" s="88" t="s">
        <v>188</v>
      </c>
    </row>
    <row r="4" spans="1:105" ht="12" customHeight="1" x14ac:dyDescent="0.25">
      <c r="A4" s="35" t="s">
        <v>178</v>
      </c>
      <c r="B4" s="36">
        <v>30726.029437626825</v>
      </c>
      <c r="C4" s="36">
        <v>32718.688774902897</v>
      </c>
      <c r="D4" s="36">
        <v>34917.125269887219</v>
      </c>
      <c r="E4" s="36">
        <v>38601.881147590713</v>
      </c>
      <c r="F4" s="36">
        <v>41111.854833963538</v>
      </c>
      <c r="G4" s="36">
        <v>44290.328934993078</v>
      </c>
      <c r="H4" s="36">
        <v>47565.586839678384</v>
      </c>
      <c r="I4" s="36">
        <v>52835.136752534279</v>
      </c>
      <c r="J4" s="36">
        <v>54208.465272780631</v>
      </c>
      <c r="K4" s="36">
        <v>46164.605961527675</v>
      </c>
      <c r="L4" s="36">
        <v>46361.496982876975</v>
      </c>
      <c r="M4" s="36">
        <v>49293.188619678476</v>
      </c>
      <c r="N4" s="36">
        <v>51453.745014455992</v>
      </c>
      <c r="O4" s="36">
        <v>53536.012535589602</v>
      </c>
      <c r="P4" s="36">
        <v>55555.968167636638</v>
      </c>
      <c r="Q4" s="36">
        <v>57129.640908999987</v>
      </c>
      <c r="R4" s="36">
        <v>58656.402813233377</v>
      </c>
      <c r="S4" s="36">
        <v>61361.386459799847</v>
      </c>
      <c r="T4" s="36">
        <v>64379.353025224751</v>
      </c>
      <c r="U4" s="36">
        <v>67390.766812571746</v>
      </c>
      <c r="V4" s="36">
        <v>67419.629927655347</v>
      </c>
      <c r="W4" s="36">
        <v>71720.711054259562</v>
      </c>
      <c r="X4" s="36">
        <v>73540.717617764938</v>
      </c>
      <c r="Y4" s="36">
        <v>73792.800000000003</v>
      </c>
      <c r="DA4" s="89" t="s">
        <v>189</v>
      </c>
    </row>
    <row r="5" spans="1:105" ht="12" customHeight="1" x14ac:dyDescent="0.25">
      <c r="A5" s="35" t="s">
        <v>179</v>
      </c>
      <c r="B5" s="36">
        <v>18019.468613731184</v>
      </c>
      <c r="C5" s="36">
        <v>19219.642638457532</v>
      </c>
      <c r="D5" s="36">
        <v>20822.079963857803</v>
      </c>
      <c r="E5" s="36">
        <v>22602.222235031772</v>
      </c>
      <c r="F5" s="36">
        <v>23668.061815920391</v>
      </c>
      <c r="G5" s="36">
        <v>25413.101858394355</v>
      </c>
      <c r="H5" s="36">
        <v>27276.83185750194</v>
      </c>
      <c r="I5" s="36">
        <v>30604.240511422482</v>
      </c>
      <c r="J5" s="36">
        <v>31739.892458679587</v>
      </c>
      <c r="K5" s="36">
        <v>29429.27029318731</v>
      </c>
      <c r="L5" s="36">
        <v>28695.108241802467</v>
      </c>
      <c r="M5" s="36">
        <v>29398.01842461546</v>
      </c>
      <c r="N5" s="36">
        <v>30613.734143899001</v>
      </c>
      <c r="O5" s="36">
        <v>32493.271590545191</v>
      </c>
      <c r="P5" s="36">
        <v>33713.511704035882</v>
      </c>
      <c r="Q5" s="36">
        <v>34968.656187000008</v>
      </c>
      <c r="R5" s="36">
        <v>36665.07517789265</v>
      </c>
      <c r="S5" s="36">
        <v>38257.832238812189</v>
      </c>
      <c r="T5" s="36">
        <v>40686.779690870215</v>
      </c>
      <c r="U5" s="36">
        <v>42645.120197424512</v>
      </c>
      <c r="V5" s="36">
        <v>42580.542821625044</v>
      </c>
      <c r="W5" s="36">
        <v>45270.086943418813</v>
      </c>
      <c r="X5" s="36">
        <v>45660.087682691825</v>
      </c>
      <c r="Y5" s="36">
        <v>47585.402312684964</v>
      </c>
      <c r="DA5" s="89" t="s">
        <v>190</v>
      </c>
    </row>
    <row r="6" spans="1:105" ht="12" customHeight="1" x14ac:dyDescent="0.25">
      <c r="A6" s="37" t="s">
        <v>70</v>
      </c>
      <c r="B6" s="38">
        <v>794530</v>
      </c>
      <c r="C6" s="38">
        <v>781660</v>
      </c>
      <c r="D6" s="38">
        <v>790060.00000000012</v>
      </c>
      <c r="E6" s="38">
        <v>798910</v>
      </c>
      <c r="F6" s="38">
        <v>813829.99999999988</v>
      </c>
      <c r="G6" s="38">
        <v>832380.00000000012</v>
      </c>
      <c r="H6" s="38">
        <v>811380</v>
      </c>
      <c r="I6" s="38">
        <v>884349.99999999988</v>
      </c>
      <c r="J6" s="38">
        <v>902819.99999999988</v>
      </c>
      <c r="K6" s="38">
        <v>865870.00000000012</v>
      </c>
      <c r="L6" s="38">
        <v>850470</v>
      </c>
      <c r="M6" s="38">
        <v>861520.00000000012</v>
      </c>
      <c r="N6" s="38">
        <v>870990</v>
      </c>
      <c r="O6" s="38">
        <v>882210</v>
      </c>
      <c r="P6" s="38">
        <v>897290</v>
      </c>
      <c r="Q6" s="38">
        <v>907970</v>
      </c>
      <c r="R6" s="38">
        <v>946569.99999999988</v>
      </c>
      <c r="S6" s="38">
        <v>940780</v>
      </c>
      <c r="T6" s="38">
        <v>955960</v>
      </c>
      <c r="U6" s="38">
        <v>971770</v>
      </c>
      <c r="V6" s="38">
        <v>969270</v>
      </c>
      <c r="W6" s="38">
        <v>974560.00000000012</v>
      </c>
      <c r="X6" s="38">
        <v>1023850.0000000001</v>
      </c>
      <c r="Y6" s="38">
        <v>1045519.4075519937</v>
      </c>
      <c r="DA6" s="90" t="s">
        <v>191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29446.325808510654</v>
      </c>
      <c r="C8" s="34">
        <v>30758.893472254338</v>
      </c>
      <c r="D8" s="34">
        <v>32329.095806478599</v>
      </c>
      <c r="E8" s="34">
        <v>34700.491059361309</v>
      </c>
      <c r="F8" s="34">
        <v>36690.251730184304</v>
      </c>
      <c r="G8" s="34">
        <v>38912.257563759347</v>
      </c>
      <c r="H8" s="34">
        <v>40476.339330041788</v>
      </c>
      <c r="I8" s="34">
        <v>44681.765518081273</v>
      </c>
      <c r="J8" s="34">
        <v>46652.673526676437</v>
      </c>
      <c r="K8" s="34">
        <v>46561.275402728046</v>
      </c>
      <c r="L8" s="34">
        <v>46983.490545106804</v>
      </c>
      <c r="M8" s="34">
        <v>47951.164097780769</v>
      </c>
      <c r="N8" s="34">
        <v>48420.480293396198</v>
      </c>
      <c r="O8" s="34">
        <v>49023.235936405283</v>
      </c>
      <c r="P8" s="34">
        <v>49862.069214575822</v>
      </c>
      <c r="Q8" s="34">
        <v>50249.833059129327</v>
      </c>
      <c r="R8" s="34">
        <v>50613.841674154522</v>
      </c>
      <c r="S8" s="34">
        <v>51033.921541971737</v>
      </c>
      <c r="T8" s="34">
        <v>51394.555670353773</v>
      </c>
      <c r="U8" s="34">
        <v>51662.788167510451</v>
      </c>
      <c r="V8" s="34">
        <v>51822.172222222223</v>
      </c>
      <c r="W8" s="34">
        <v>51895.583090494772</v>
      </c>
      <c r="X8" s="34">
        <v>51899.378501921135</v>
      </c>
      <c r="Y8" s="34">
        <v>51844.778257970589</v>
      </c>
      <c r="DA8" s="88" t="s">
        <v>192</v>
      </c>
    </row>
    <row r="9" spans="1:105" ht="12" customHeight="1" x14ac:dyDescent="0.25">
      <c r="A9" s="39" t="s">
        <v>68</v>
      </c>
      <c r="B9" s="40">
        <v>26501.693227659587</v>
      </c>
      <c r="C9" s="40">
        <v>27683.004125028907</v>
      </c>
      <c r="D9" s="40">
        <v>29096.186225830737</v>
      </c>
      <c r="E9" s="40">
        <v>31230.441953425183</v>
      </c>
      <c r="F9" s="40">
        <v>33021.226557165872</v>
      </c>
      <c r="G9" s="40">
        <v>35021.031807383413</v>
      </c>
      <c r="H9" s="40">
        <v>36428.705397037607</v>
      </c>
      <c r="I9" s="40">
        <v>40213.588966273142</v>
      </c>
      <c r="J9" s="40">
        <v>41987.406174008793</v>
      </c>
      <c r="K9" s="40">
        <v>41905.14786245524</v>
      </c>
      <c r="L9" s="40">
        <v>42285.141490596121</v>
      </c>
      <c r="M9" s="40">
        <v>43156.047688002691</v>
      </c>
      <c r="N9" s="40">
        <v>43578.432264056573</v>
      </c>
      <c r="O9" s="40">
        <v>44120.912342764757</v>
      </c>
      <c r="P9" s="40">
        <v>44875.86229311824</v>
      </c>
      <c r="Q9" s="40">
        <v>45224.849753216396</v>
      </c>
      <c r="R9" s="40">
        <v>45552.457506739069</v>
      </c>
      <c r="S9" s="40">
        <v>45930.529387774564</v>
      </c>
      <c r="T9" s="40">
        <v>46255.1001033184</v>
      </c>
      <c r="U9" s="40">
        <v>46496.509350759407</v>
      </c>
      <c r="V9" s="40">
        <v>46639.955000000002</v>
      </c>
      <c r="W9" s="40">
        <v>46706.024781445296</v>
      </c>
      <c r="X9" s="40">
        <v>46709.440651729019</v>
      </c>
      <c r="Y9" s="40">
        <v>46660.300432173528</v>
      </c>
      <c r="DA9" s="91" t="s">
        <v>193</v>
      </c>
    </row>
    <row r="10" spans="1:105" ht="12" customHeight="1" x14ac:dyDescent="0.25">
      <c r="A10" s="35" t="s">
        <v>17</v>
      </c>
      <c r="B10" s="41"/>
      <c r="C10" s="41">
        <v>1430.4073603229244</v>
      </c>
      <c r="D10" s="41">
        <v>1692.9520181609764</v>
      </c>
      <c r="E10" s="41">
        <v>2500.4577777075992</v>
      </c>
      <c r="F10" s="41">
        <v>2128.6431703628045</v>
      </c>
      <c r="G10" s="41">
        <v>2368.6040275337496</v>
      </c>
      <c r="H10" s="41">
        <v>1719.7985081907291</v>
      </c>
      <c r="I10" s="41">
        <v>4367.4557708359407</v>
      </c>
      <c r="J10" s="41">
        <v>2149.7718337600877</v>
      </c>
      <c r="K10" s="41">
        <v>186.57951958380119</v>
      </c>
      <c r="L10" s="41">
        <v>608.79466196254907</v>
      </c>
      <c r="M10" s="41">
        <v>1155.6559257884699</v>
      </c>
      <c r="N10" s="41">
        <v>660.80570255669863</v>
      </c>
      <c r="O10" s="41">
        <v>796.349430246427</v>
      </c>
      <c r="P10" s="41">
        <v>1035.23277246927</v>
      </c>
      <c r="Q10" s="41">
        <v>586.96904591365785</v>
      </c>
      <c r="R10" s="41">
        <v>621.70006661046068</v>
      </c>
      <c r="S10" s="41">
        <v>679.63803024878337</v>
      </c>
      <c r="T10" s="41">
        <v>622.3465465459941</v>
      </c>
      <c r="U10" s="41">
        <v>531.79432110721928</v>
      </c>
      <c r="V10" s="41">
        <v>424.3214299297706</v>
      </c>
      <c r="W10" s="41">
        <v>339.16559761725421</v>
      </c>
      <c r="X10" s="41">
        <v>269.92660676224682</v>
      </c>
      <c r="Y10" s="41">
        <v>266.15065898421085</v>
      </c>
      <c r="DA10" s="92" t="s">
        <v>194</v>
      </c>
    </row>
    <row r="11" spans="1:105" ht="12" customHeight="1" x14ac:dyDescent="0.25">
      <c r="A11" s="37" t="s">
        <v>67</v>
      </c>
      <c r="B11" s="42"/>
      <c r="C11" s="42">
        <v>1287.366624290632</v>
      </c>
      <c r="D11" s="42">
        <v>1523.656816344879</v>
      </c>
      <c r="E11" s="42">
        <v>2250.4119999368395</v>
      </c>
      <c r="F11" s="42">
        <v>1915.7788533265241</v>
      </c>
      <c r="G11" s="42">
        <v>2131.7436247803744</v>
      </c>
      <c r="H11" s="42">
        <v>1547.8186573716559</v>
      </c>
      <c r="I11" s="42">
        <v>3930.7101937523466</v>
      </c>
      <c r="J11" s="42">
        <v>1934.7946503840787</v>
      </c>
      <c r="K11" s="42">
        <v>167.92156762542106</v>
      </c>
      <c r="L11" s="42">
        <v>547.91519576629412</v>
      </c>
      <c r="M11" s="42">
        <v>1040.0903332096227</v>
      </c>
      <c r="N11" s="42">
        <v>594.72513230102879</v>
      </c>
      <c r="O11" s="42">
        <v>716.71448722178434</v>
      </c>
      <c r="P11" s="42">
        <v>931.70949522234287</v>
      </c>
      <c r="Q11" s="42">
        <v>528.2721413222921</v>
      </c>
      <c r="R11" s="42">
        <v>559.53005994941464</v>
      </c>
      <c r="S11" s="42">
        <v>611.67422722390495</v>
      </c>
      <c r="T11" s="42">
        <v>560.11189189139475</v>
      </c>
      <c r="U11" s="42">
        <v>478.61488899649731</v>
      </c>
      <c r="V11" s="42">
        <v>381.88928693679355</v>
      </c>
      <c r="W11" s="42">
        <v>305.2490378555288</v>
      </c>
      <c r="X11" s="42">
        <v>242.93394608602216</v>
      </c>
      <c r="Y11" s="42">
        <v>239.53559308578977</v>
      </c>
      <c r="DA11" s="93" t="s">
        <v>195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3566.72</v>
      </c>
      <c r="C13" s="43">
        <v>4011.72</v>
      </c>
      <c r="D13" s="43">
        <v>3834.5</v>
      </c>
      <c r="E13" s="43">
        <v>4085.35</v>
      </c>
      <c r="F13" s="43">
        <v>4071.09</v>
      </c>
      <c r="G13" s="43">
        <v>4020.15</v>
      </c>
      <c r="H13" s="43">
        <v>3892.89</v>
      </c>
      <c r="I13" s="43">
        <v>3739.7</v>
      </c>
      <c r="J13" s="43">
        <v>3555.94</v>
      </c>
      <c r="K13" s="43">
        <v>3949.81</v>
      </c>
      <c r="L13" s="43">
        <v>4415</v>
      </c>
      <c r="M13" s="43">
        <v>3767.86</v>
      </c>
      <c r="N13" s="43">
        <v>4081.27</v>
      </c>
      <c r="O13" s="43">
        <v>3873.17</v>
      </c>
      <c r="P13" s="43">
        <v>3729.28</v>
      </c>
      <c r="Q13" s="43">
        <v>3523.32</v>
      </c>
      <c r="R13" s="43">
        <v>3829.94</v>
      </c>
      <c r="S13" s="43">
        <v>3761.5</v>
      </c>
      <c r="T13" s="43">
        <v>3687.57</v>
      </c>
      <c r="U13" s="43">
        <v>3391.36</v>
      </c>
      <c r="V13" s="43">
        <v>3304.68</v>
      </c>
      <c r="W13" s="43">
        <v>4016.22</v>
      </c>
      <c r="X13" s="43">
        <v>3772.72</v>
      </c>
      <c r="Y13" s="43">
        <v>3461.92</v>
      </c>
      <c r="DA13" s="94" t="s">
        <v>196</v>
      </c>
    </row>
    <row r="14" spans="1:105" ht="12" customHeight="1" x14ac:dyDescent="0.25">
      <c r="A14" s="35" t="s">
        <v>147</v>
      </c>
      <c r="B14" s="44">
        <f>AVERAGE($B$13:$V$13)</f>
        <v>3813.9438095238093</v>
      </c>
      <c r="C14" s="44">
        <f t="shared" ref="C14:Y14" si="0">AVERAGE($B$13:$V$13)</f>
        <v>3813.9438095238093</v>
      </c>
      <c r="D14" s="44">
        <f t="shared" si="0"/>
        <v>3813.9438095238093</v>
      </c>
      <c r="E14" s="44">
        <f t="shared" si="0"/>
        <v>3813.9438095238093</v>
      </c>
      <c r="F14" s="44">
        <f t="shared" si="0"/>
        <v>3813.9438095238093</v>
      </c>
      <c r="G14" s="44">
        <f t="shared" si="0"/>
        <v>3813.9438095238093</v>
      </c>
      <c r="H14" s="44">
        <f t="shared" si="0"/>
        <v>3813.9438095238093</v>
      </c>
      <c r="I14" s="44">
        <f t="shared" si="0"/>
        <v>3813.9438095238093</v>
      </c>
      <c r="J14" s="44">
        <f t="shared" si="0"/>
        <v>3813.9438095238093</v>
      </c>
      <c r="K14" s="44">
        <f t="shared" si="0"/>
        <v>3813.9438095238093</v>
      </c>
      <c r="L14" s="44">
        <f t="shared" si="0"/>
        <v>3813.9438095238093</v>
      </c>
      <c r="M14" s="44">
        <f t="shared" si="0"/>
        <v>3813.9438095238093</v>
      </c>
      <c r="N14" s="44">
        <f t="shared" si="0"/>
        <v>3813.9438095238093</v>
      </c>
      <c r="O14" s="44">
        <f t="shared" si="0"/>
        <v>3813.9438095238093</v>
      </c>
      <c r="P14" s="44">
        <f t="shared" si="0"/>
        <v>3813.9438095238093</v>
      </c>
      <c r="Q14" s="44">
        <f t="shared" si="0"/>
        <v>3813.9438095238093</v>
      </c>
      <c r="R14" s="44">
        <f t="shared" si="0"/>
        <v>3813.9438095238093</v>
      </c>
      <c r="S14" s="44">
        <f t="shared" si="0"/>
        <v>3813.9438095238093</v>
      </c>
      <c r="T14" s="44">
        <f t="shared" si="0"/>
        <v>3813.9438095238093</v>
      </c>
      <c r="U14" s="44">
        <f t="shared" si="0"/>
        <v>3813.9438095238093</v>
      </c>
      <c r="V14" s="44">
        <f t="shared" si="0"/>
        <v>3813.9438095238093</v>
      </c>
      <c r="W14" s="44">
        <f t="shared" si="0"/>
        <v>3813.9438095238093</v>
      </c>
      <c r="X14" s="44">
        <f t="shared" si="0"/>
        <v>3813.9438095238093</v>
      </c>
      <c r="Y14" s="44">
        <f t="shared" si="0"/>
        <v>3813.9438095238093</v>
      </c>
      <c r="DA14" s="95" t="s">
        <v>197</v>
      </c>
    </row>
    <row r="15" spans="1:105" ht="12" customHeight="1" x14ac:dyDescent="0.25">
      <c r="A15" s="45" t="s">
        <v>65</v>
      </c>
      <c r="B15" s="46">
        <f>B13/B14</f>
        <v>0.93517895861326894</v>
      </c>
      <c r="C15" s="46">
        <f t="shared" ref="C15:W15" si="1">C13/C14</f>
        <v>1.051856083978564</v>
      </c>
      <c r="D15" s="46">
        <f t="shared" si="1"/>
        <v>1.0053897465465693</v>
      </c>
      <c r="E15" s="46">
        <f t="shared" si="1"/>
        <v>1.0711615598002417</v>
      </c>
      <c r="F15" s="46">
        <f t="shared" si="1"/>
        <v>1.0674226478728057</v>
      </c>
      <c r="G15" s="46">
        <f t="shared" si="1"/>
        <v>1.0540663944658211</v>
      </c>
      <c r="H15" s="46">
        <f t="shared" si="1"/>
        <v>1.0206993585692201</v>
      </c>
      <c r="I15" s="46">
        <f t="shared" si="1"/>
        <v>0.9805335859069515</v>
      </c>
      <c r="J15" s="46">
        <f t="shared" si="1"/>
        <v>0.9323524880257682</v>
      </c>
      <c r="K15" s="46">
        <f t="shared" si="1"/>
        <v>1.0356235427844844</v>
      </c>
      <c r="L15" s="46">
        <f t="shared" si="1"/>
        <v>1.1575944010961283</v>
      </c>
      <c r="M15" s="46">
        <f t="shared" si="1"/>
        <v>0.98791701927838238</v>
      </c>
      <c r="N15" s="46">
        <f t="shared" si="1"/>
        <v>1.0700918009879039</v>
      </c>
      <c r="O15" s="46">
        <f t="shared" si="1"/>
        <v>1.01552885764292</v>
      </c>
      <c r="P15" s="46">
        <f t="shared" si="1"/>
        <v>0.97780150580289227</v>
      </c>
      <c r="Q15" s="46">
        <f t="shared" si="1"/>
        <v>0.92379966144281112</v>
      </c>
      <c r="R15" s="46">
        <f t="shared" si="1"/>
        <v>1.0041941337563094</v>
      </c>
      <c r="S15" s="46">
        <f t="shared" si="1"/>
        <v>0.98624945407091424</v>
      </c>
      <c r="T15" s="46">
        <f t="shared" si="1"/>
        <v>0.96686531951303512</v>
      </c>
      <c r="U15" s="46">
        <f t="shared" si="1"/>
        <v>0.8892003053457227</v>
      </c>
      <c r="V15" s="46">
        <f t="shared" si="1"/>
        <v>0.86647317449928718</v>
      </c>
      <c r="W15" s="46">
        <f t="shared" si="1"/>
        <v>1.0530359650215837</v>
      </c>
      <c r="X15" s="46">
        <f t="shared" ref="X15:Y15" si="2">X13/X14</f>
        <v>0.98919129080484369</v>
      </c>
      <c r="Y15" s="46">
        <f t="shared" si="2"/>
        <v>0.90770084010027374</v>
      </c>
      <c r="DA15" s="96" t="s">
        <v>198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180</v>
      </c>
      <c r="B19" s="34">
        <f t="shared" ref="B19:C19" si="3">B4*1000000/B3</f>
        <v>8748.6850896726046</v>
      </c>
      <c r="C19" s="34">
        <f t="shared" si="3"/>
        <v>9383.0534961313133</v>
      </c>
      <c r="D19" s="34">
        <f t="shared" ref="D19:W19" si="4">D4*1000000/D3</f>
        <v>10107.321049906899</v>
      </c>
      <c r="E19" s="34">
        <f t="shared" si="4"/>
        <v>11249.28308187089</v>
      </c>
      <c r="F19" s="34">
        <f t="shared" si="4"/>
        <v>12095.532102601595</v>
      </c>
      <c r="G19" s="34">
        <f t="shared" si="4"/>
        <v>13200.424691970446</v>
      </c>
      <c r="H19" s="34">
        <f t="shared" si="4"/>
        <v>14458.350294065927</v>
      </c>
      <c r="I19" s="34">
        <f t="shared" si="4"/>
        <v>16257.050191503857</v>
      </c>
      <c r="J19" s="34">
        <f t="shared" si="4"/>
        <v>16873.678921865787</v>
      </c>
      <c r="K19" s="34">
        <f t="shared" si="4"/>
        <v>14499.589793485531</v>
      </c>
      <c r="L19" s="34">
        <f t="shared" si="4"/>
        <v>14755.522315535503</v>
      </c>
      <c r="M19" s="34">
        <f t="shared" si="4"/>
        <v>16147.999212366187</v>
      </c>
      <c r="N19" s="34">
        <f t="shared" si="4"/>
        <v>17130.45767268991</v>
      </c>
      <c r="O19" s="34">
        <f t="shared" si="4"/>
        <v>17997.494328077544</v>
      </c>
      <c r="P19" s="34">
        <f t="shared" si="4"/>
        <v>18846.190278797527</v>
      </c>
      <c r="Q19" s="34">
        <f t="shared" si="4"/>
        <v>19520.529626767035</v>
      </c>
      <c r="R19" s="34">
        <f t="shared" si="4"/>
        <v>20257.2695674512</v>
      </c>
      <c r="S19" s="34">
        <f t="shared" si="4"/>
        <v>21461.956589416743</v>
      </c>
      <c r="T19" s="34">
        <f t="shared" si="4"/>
        <v>22779.475276068486</v>
      </c>
      <c r="U19" s="34">
        <f t="shared" si="4"/>
        <v>23963.717663242922</v>
      </c>
      <c r="V19" s="34">
        <f t="shared" si="4"/>
        <v>23992.947247488271</v>
      </c>
      <c r="W19" s="34">
        <f t="shared" si="4"/>
        <v>25516.474383364352</v>
      </c>
      <c r="X19" s="34">
        <f t="shared" ref="X19:Y19" si="5">X4*1000000/X3</f>
        <v>26208.399869766457</v>
      </c>
      <c r="Y19" s="34">
        <f t="shared" si="5"/>
        <v>25826.249379217079</v>
      </c>
      <c r="DA19" s="88"/>
    </row>
    <row r="20" spans="1:105" ht="12" customHeight="1" x14ac:dyDescent="0.25">
      <c r="A20" s="50" t="s">
        <v>181</v>
      </c>
      <c r="B20" s="36">
        <f t="shared" ref="B20:C20" si="6">B5*1000000/B6</f>
        <v>22679.406207105058</v>
      </c>
      <c r="C20" s="36">
        <f t="shared" si="6"/>
        <v>24588.238669571849</v>
      </c>
      <c r="D20" s="36">
        <f t="shared" ref="D20:W20" si="7">D5*1000000/D6</f>
        <v>26355.061595141888</v>
      </c>
      <c r="E20" s="36">
        <f t="shared" si="7"/>
        <v>28291.324723725793</v>
      </c>
      <c r="F20" s="36">
        <f t="shared" si="7"/>
        <v>29082.316719610229</v>
      </c>
      <c r="G20" s="36">
        <f t="shared" si="7"/>
        <v>30530.649292864258</v>
      </c>
      <c r="H20" s="36">
        <f t="shared" si="7"/>
        <v>33617.826243562748</v>
      </c>
      <c r="I20" s="36">
        <f t="shared" si="7"/>
        <v>34606.479913408133</v>
      </c>
      <c r="J20" s="36">
        <f t="shared" si="7"/>
        <v>35156.390486120814</v>
      </c>
      <c r="K20" s="36">
        <f t="shared" si="7"/>
        <v>33988.093239386173</v>
      </c>
      <c r="L20" s="36">
        <f t="shared" si="7"/>
        <v>33740.294474587543</v>
      </c>
      <c r="M20" s="36">
        <f t="shared" si="7"/>
        <v>34123.431173525227</v>
      </c>
      <c r="N20" s="36">
        <f t="shared" si="7"/>
        <v>35148.203933339079</v>
      </c>
      <c r="O20" s="36">
        <f t="shared" si="7"/>
        <v>36831.674533892379</v>
      </c>
      <c r="P20" s="36">
        <f t="shared" si="7"/>
        <v>37572.592700281828</v>
      </c>
      <c r="Q20" s="36">
        <f t="shared" si="7"/>
        <v>38513.008344989379</v>
      </c>
      <c r="R20" s="36">
        <f t="shared" si="7"/>
        <v>38734.668516742189</v>
      </c>
      <c r="S20" s="36">
        <f t="shared" si="7"/>
        <v>40666.077338816925</v>
      </c>
      <c r="T20" s="36">
        <f t="shared" si="7"/>
        <v>42561.173784332204</v>
      </c>
      <c r="U20" s="36">
        <f t="shared" si="7"/>
        <v>43883.964515702806</v>
      </c>
      <c r="V20" s="36">
        <f t="shared" si="7"/>
        <v>43930.527945386784</v>
      </c>
      <c r="W20" s="36">
        <f t="shared" si="7"/>
        <v>46451.821276698007</v>
      </c>
      <c r="X20" s="36">
        <f t="shared" ref="X20:Y20" si="8">X5*1000000/X6</f>
        <v>44596.462062501167</v>
      </c>
      <c r="Y20" s="36">
        <f t="shared" si="8"/>
        <v>45513.64801931574</v>
      </c>
      <c r="DA20" s="89"/>
    </row>
    <row r="21" spans="1:105" ht="12" customHeight="1" x14ac:dyDescent="0.25">
      <c r="A21" s="50" t="s">
        <v>182</v>
      </c>
      <c r="B21" s="36">
        <f t="shared" ref="B21:C21" si="9">B5*1000000/B3</f>
        <v>5130.7200855480787</v>
      </c>
      <c r="C21" s="36">
        <f t="shared" si="9"/>
        <v>5511.8020252542537</v>
      </c>
      <c r="D21" s="36">
        <f t="shared" ref="D21:W21" si="10">D5*1000000/D3</f>
        <v>6027.2844770254596</v>
      </c>
      <c r="E21" s="36">
        <f t="shared" si="10"/>
        <v>6586.6944470683702</v>
      </c>
      <c r="F21" s="36">
        <f t="shared" si="10"/>
        <v>6963.388118998776</v>
      </c>
      <c r="G21" s="36">
        <f t="shared" si="10"/>
        <v>7574.1983710142276</v>
      </c>
      <c r="H21" s="36">
        <f t="shared" si="10"/>
        <v>8291.2461742008163</v>
      </c>
      <c r="I21" s="36">
        <f t="shared" si="10"/>
        <v>9416.7386449167516</v>
      </c>
      <c r="J21" s="36">
        <f t="shared" si="10"/>
        <v>9879.7992466174928</v>
      </c>
      <c r="K21" s="36">
        <f t="shared" si="10"/>
        <v>9243.2793107437356</v>
      </c>
      <c r="L21" s="36">
        <f t="shared" si="10"/>
        <v>9132.8222245499219</v>
      </c>
      <c r="M21" s="36">
        <f t="shared" si="10"/>
        <v>9630.5228300102935</v>
      </c>
      <c r="N21" s="36">
        <f t="shared" si="10"/>
        <v>10192.208104729894</v>
      </c>
      <c r="O21" s="36">
        <f t="shared" si="10"/>
        <v>10923.4409410443</v>
      </c>
      <c r="P21" s="36">
        <f t="shared" si="10"/>
        <v>11436.597677922467</v>
      </c>
      <c r="Q21" s="36">
        <f t="shared" si="10"/>
        <v>11948.380529712533</v>
      </c>
      <c r="R21" s="36">
        <f t="shared" si="10"/>
        <v>12662.459270718662</v>
      </c>
      <c r="S21" s="36">
        <f t="shared" si="10"/>
        <v>13381.182891825643</v>
      </c>
      <c r="T21" s="36">
        <f t="shared" si="10"/>
        <v>14396.284654614046</v>
      </c>
      <c r="U21" s="36">
        <f t="shared" si="10"/>
        <v>15164.326931734768</v>
      </c>
      <c r="V21" s="36">
        <f t="shared" si="10"/>
        <v>15153.342116901686</v>
      </c>
      <c r="W21" s="36">
        <f t="shared" si="10"/>
        <v>16105.989425432763</v>
      </c>
      <c r="X21" s="36">
        <f t="shared" ref="X21:Y21" si="11">X5*1000000/X3</f>
        <v>16272.31654573233</v>
      </c>
      <c r="Y21" s="36">
        <f t="shared" si="11"/>
        <v>16654.097241706171</v>
      </c>
      <c r="DA21" s="89"/>
    </row>
    <row r="22" spans="1:105" ht="12" customHeight="1" x14ac:dyDescent="0.25">
      <c r="A22" s="51" t="s">
        <v>148</v>
      </c>
      <c r="B22" s="52">
        <v>0.27994162475192297</v>
      </c>
      <c r="C22" s="52">
        <v>0.29323429895969222</v>
      </c>
      <c r="D22" s="52">
        <v>0.31431642842845681</v>
      </c>
      <c r="E22" s="52">
        <v>0.33973543032433839</v>
      </c>
      <c r="F22" s="52">
        <v>0.3510213192997117</v>
      </c>
      <c r="G22" s="52">
        <v>0.37374778210218051</v>
      </c>
      <c r="H22" s="52">
        <v>0.39697167527285437</v>
      </c>
      <c r="I22" s="52">
        <v>0.4374549504488115</v>
      </c>
      <c r="J22" s="52">
        <v>0.45286739240174201</v>
      </c>
      <c r="K22" s="52">
        <v>0.43349556097774855</v>
      </c>
      <c r="L22" s="52">
        <v>0.42196756362617688</v>
      </c>
      <c r="M22" s="52">
        <v>0.43619824069599</v>
      </c>
      <c r="N22" s="52">
        <v>0.46310677441419112</v>
      </c>
      <c r="O22" s="52">
        <v>0.49347588527518521</v>
      </c>
      <c r="P22" s="52">
        <v>0.5082566766948643</v>
      </c>
      <c r="Q22" s="52">
        <v>0.52232024537825128</v>
      </c>
      <c r="R22" s="52">
        <v>0.5443741859928698</v>
      </c>
      <c r="S22" s="52">
        <v>0.56021537094056439</v>
      </c>
      <c r="T22" s="52">
        <v>0.58998946743328518</v>
      </c>
      <c r="U22" s="52">
        <v>0.60990544495568888</v>
      </c>
      <c r="V22" s="52">
        <v>0.64394310491768125</v>
      </c>
      <c r="W22" s="52">
        <v>0.64491572542940467</v>
      </c>
      <c r="X22" s="52">
        <v>0.63190775465596027</v>
      </c>
      <c r="Y22" s="52">
        <v>0.64522868209174078</v>
      </c>
      <c r="DA22" s="98"/>
    </row>
    <row r="23" spans="1:105" ht="12" customHeight="1" x14ac:dyDescent="0.25">
      <c r="A23" s="49" t="s">
        <v>63</v>
      </c>
      <c r="B23" s="53">
        <f t="shared" ref="B23:C23" si="12">B6/B8</f>
        <v>26.982313690571299</v>
      </c>
      <c r="C23" s="53">
        <f t="shared" si="12"/>
        <v>25.412487634026441</v>
      </c>
      <c r="D23" s="53">
        <f t="shared" ref="D23:W23" si="13">D6/D8</f>
        <v>24.4380481510923</v>
      </c>
      <c r="E23" s="53">
        <f t="shared" si="13"/>
        <v>23.023017127720859</v>
      </c>
      <c r="F23" s="53">
        <f t="shared" si="13"/>
        <v>22.181096111981127</v>
      </c>
      <c r="G23" s="53">
        <f t="shared" si="13"/>
        <v>21.391202981120049</v>
      </c>
      <c r="H23" s="53">
        <f t="shared" si="13"/>
        <v>20.045785103836916</v>
      </c>
      <c r="I23" s="53">
        <f t="shared" si="13"/>
        <v>19.792190164064397</v>
      </c>
      <c r="J23" s="53">
        <f t="shared" si="13"/>
        <v>19.351945596081624</v>
      </c>
      <c r="K23" s="53">
        <f t="shared" si="13"/>
        <v>18.596354857351447</v>
      </c>
      <c r="L23" s="53">
        <f t="shared" si="13"/>
        <v>18.101464793968443</v>
      </c>
      <c r="M23" s="53">
        <f t="shared" si="13"/>
        <v>17.966612828068385</v>
      </c>
      <c r="N23" s="53">
        <f t="shared" si="13"/>
        <v>17.988049575765764</v>
      </c>
      <c r="O23" s="53">
        <f t="shared" si="13"/>
        <v>17.995752078553828</v>
      </c>
      <c r="P23" s="53">
        <f t="shared" si="13"/>
        <v>17.995442510390276</v>
      </c>
      <c r="Q23" s="53">
        <f t="shared" si="13"/>
        <v>18.069114755696511</v>
      </c>
      <c r="R23" s="53">
        <f t="shared" si="13"/>
        <v>18.70180110203642</v>
      </c>
      <c r="S23" s="53">
        <f t="shared" si="13"/>
        <v>18.434405422406662</v>
      </c>
      <c r="T23" s="53">
        <f t="shared" si="13"/>
        <v>18.600413750661765</v>
      </c>
      <c r="U23" s="53">
        <f t="shared" si="13"/>
        <v>18.809863626584598</v>
      </c>
      <c r="V23" s="53">
        <f t="shared" si="13"/>
        <v>18.703770190172783</v>
      </c>
      <c r="W23" s="53">
        <f t="shared" si="13"/>
        <v>18.779247519014795</v>
      </c>
      <c r="X23" s="53">
        <f t="shared" ref="X23:Y23" si="14">X6/X8</f>
        <v>19.727596544573281</v>
      </c>
      <c r="Y23" s="53">
        <f t="shared" si="14"/>
        <v>20.166339652369061</v>
      </c>
      <c r="DA23" s="99"/>
    </row>
    <row r="24" spans="1:105" ht="12" customHeight="1" x14ac:dyDescent="0.25">
      <c r="A24" s="50" t="s">
        <v>62</v>
      </c>
      <c r="B24" s="54">
        <f t="shared" ref="B24:C24" si="15">B9*1000/B3</f>
        <v>7.5458812165289189</v>
      </c>
      <c r="C24" s="54">
        <f t="shared" si="15"/>
        <v>7.9389217100293461</v>
      </c>
      <c r="D24" s="54">
        <f t="shared" ref="D24:W24" si="16">D9*1000/D3</f>
        <v>8.4223570308054754</v>
      </c>
      <c r="E24" s="54">
        <f t="shared" si="16"/>
        <v>9.1011129992027335</v>
      </c>
      <c r="F24" s="54">
        <f t="shared" si="16"/>
        <v>9.7151857414985336</v>
      </c>
      <c r="G24" s="54">
        <f t="shared" si="16"/>
        <v>10.437775110837265</v>
      </c>
      <c r="H24" s="54">
        <f t="shared" si="16"/>
        <v>11.07311017027833</v>
      </c>
      <c r="I24" s="54">
        <f t="shared" si="16"/>
        <v>12.373476712423772</v>
      </c>
      <c r="J24" s="54">
        <f t="shared" si="16"/>
        <v>13.069582526955164</v>
      </c>
      <c r="K24" s="54">
        <f t="shared" si="16"/>
        <v>13.16175978513326</v>
      </c>
      <c r="L24" s="54">
        <f t="shared" si="16"/>
        <v>13.458136373605694</v>
      </c>
      <c r="M24" s="54">
        <f t="shared" si="16"/>
        <v>14.137527792156259</v>
      </c>
      <c r="N24" s="54">
        <f t="shared" si="16"/>
        <v>14.508535562025079</v>
      </c>
      <c r="O24" s="54">
        <f t="shared" si="16"/>
        <v>14.832368568926144</v>
      </c>
      <c r="P24" s="54">
        <f t="shared" si="16"/>
        <v>15.223189651726655</v>
      </c>
      <c r="Q24" s="54">
        <f t="shared" si="16"/>
        <v>15.452801828037982</v>
      </c>
      <c r="R24" s="54">
        <f t="shared" si="16"/>
        <v>15.731759312142731</v>
      </c>
      <c r="S24" s="54">
        <f t="shared" si="16"/>
        <v>16.064810212447782</v>
      </c>
      <c r="T24" s="54">
        <f t="shared" si="16"/>
        <v>16.366534605943812</v>
      </c>
      <c r="U24" s="54">
        <f t="shared" si="16"/>
        <v>16.533855824891333</v>
      </c>
      <c r="V24" s="54">
        <f t="shared" si="16"/>
        <v>16.597984609838445</v>
      </c>
      <c r="W24" s="54">
        <f t="shared" si="16"/>
        <v>16.616860978733268</v>
      </c>
      <c r="X24" s="54">
        <f t="shared" ref="X24:Y24" si="17">X9*1000/X3</f>
        <v>16.646284370740471</v>
      </c>
      <c r="Y24" s="54">
        <f t="shared" si="17"/>
        <v>16.330327011178653</v>
      </c>
      <c r="DA24" s="100"/>
    </row>
    <row r="25" spans="1:105" ht="12" customHeight="1" x14ac:dyDescent="0.25">
      <c r="A25" s="50" t="s">
        <v>61</v>
      </c>
      <c r="B25" s="54">
        <f t="shared" ref="B25:C25" si="18">B9*1000/B6</f>
        <v>33.355182595571705</v>
      </c>
      <c r="C25" s="54">
        <f t="shared" si="18"/>
        <v>35.415659142119218</v>
      </c>
      <c r="D25" s="54">
        <f t="shared" ref="D25:W25" si="19">D9*1000/D6</f>
        <v>36.82781842623438</v>
      </c>
      <c r="E25" s="54">
        <f t="shared" si="19"/>
        <v>39.091314357593703</v>
      </c>
      <c r="F25" s="54">
        <f t="shared" si="19"/>
        <v>40.575091305513283</v>
      </c>
      <c r="G25" s="54">
        <f t="shared" si="19"/>
        <v>42.073370104259361</v>
      </c>
      <c r="H25" s="54">
        <f t="shared" si="19"/>
        <v>44.89721880874265</v>
      </c>
      <c r="I25" s="54">
        <f t="shared" si="19"/>
        <v>45.472481445438063</v>
      </c>
      <c r="J25" s="54">
        <f t="shared" si="19"/>
        <v>46.506951744543542</v>
      </c>
      <c r="K25" s="54">
        <f t="shared" si="19"/>
        <v>48.396581314117867</v>
      </c>
      <c r="L25" s="54">
        <f t="shared" si="19"/>
        <v>49.719733195287453</v>
      </c>
      <c r="M25" s="54">
        <f t="shared" si="19"/>
        <v>50.092914486027816</v>
      </c>
      <c r="N25" s="54">
        <f t="shared" si="19"/>
        <v>50.033217676502105</v>
      </c>
      <c r="O25" s="54">
        <f t="shared" si="19"/>
        <v>50.011802567149267</v>
      </c>
      <c r="P25" s="54">
        <f t="shared" si="19"/>
        <v>50.012662899528848</v>
      </c>
      <c r="Q25" s="54">
        <f t="shared" si="19"/>
        <v>49.808748915951398</v>
      </c>
      <c r="R25" s="54">
        <f t="shared" si="19"/>
        <v>48.123707181443599</v>
      </c>
      <c r="S25" s="54">
        <f t="shared" si="19"/>
        <v>48.821753638230582</v>
      </c>
      <c r="T25" s="54">
        <f t="shared" si="19"/>
        <v>48.38602044365706</v>
      </c>
      <c r="U25" s="54">
        <f t="shared" si="19"/>
        <v>47.847236846948775</v>
      </c>
      <c r="V25" s="54">
        <f t="shared" si="19"/>
        <v>48.118640832791691</v>
      </c>
      <c r="W25" s="54">
        <f t="shared" si="19"/>
        <v>47.925242962408973</v>
      </c>
      <c r="X25" s="54">
        <f t="shared" ref="X25:Y25" si="20">X9*1000/X6</f>
        <v>45.621370954465021</v>
      </c>
      <c r="Y25" s="54">
        <f t="shared" si="20"/>
        <v>44.628822856024421</v>
      </c>
      <c r="DA25" s="100"/>
    </row>
    <row r="26" spans="1:105" ht="12" customHeight="1" x14ac:dyDescent="0.25">
      <c r="A26" s="50" t="s">
        <v>60</v>
      </c>
      <c r="B26" s="55">
        <f t="shared" ref="B26:C26" si="21">B9*1000/B8</f>
        <v>900</v>
      </c>
      <c r="C26" s="55">
        <f t="shared" si="21"/>
        <v>900.00000000000011</v>
      </c>
      <c r="D26" s="55">
        <f t="shared" ref="D26:W26" si="22">D9*1000/D8</f>
        <v>900</v>
      </c>
      <c r="E26" s="55">
        <f t="shared" si="22"/>
        <v>900.00000000000011</v>
      </c>
      <c r="F26" s="55">
        <f t="shared" si="22"/>
        <v>900</v>
      </c>
      <c r="G26" s="55">
        <f t="shared" si="22"/>
        <v>900</v>
      </c>
      <c r="H26" s="55">
        <f t="shared" si="22"/>
        <v>900</v>
      </c>
      <c r="I26" s="55">
        <f t="shared" si="22"/>
        <v>900</v>
      </c>
      <c r="J26" s="55">
        <f t="shared" si="22"/>
        <v>900</v>
      </c>
      <c r="K26" s="55">
        <f t="shared" si="22"/>
        <v>900</v>
      </c>
      <c r="L26" s="55">
        <f t="shared" si="22"/>
        <v>900</v>
      </c>
      <c r="M26" s="55">
        <f t="shared" si="22"/>
        <v>900</v>
      </c>
      <c r="N26" s="55">
        <f t="shared" si="22"/>
        <v>899.99999999999989</v>
      </c>
      <c r="O26" s="55">
        <f t="shared" si="22"/>
        <v>900.00000000000011</v>
      </c>
      <c r="P26" s="55">
        <f t="shared" si="22"/>
        <v>900</v>
      </c>
      <c r="Q26" s="55">
        <f t="shared" si="22"/>
        <v>900</v>
      </c>
      <c r="R26" s="55">
        <f t="shared" si="22"/>
        <v>899.99999999999989</v>
      </c>
      <c r="S26" s="55">
        <f t="shared" si="22"/>
        <v>900</v>
      </c>
      <c r="T26" s="55">
        <f t="shared" si="22"/>
        <v>900.00000000000011</v>
      </c>
      <c r="U26" s="55">
        <f t="shared" si="22"/>
        <v>900.00000000000011</v>
      </c>
      <c r="V26" s="55">
        <f t="shared" si="22"/>
        <v>900</v>
      </c>
      <c r="W26" s="55">
        <f t="shared" si="22"/>
        <v>900</v>
      </c>
      <c r="X26" s="55">
        <f t="shared" ref="X26:Y26" si="23">X9*1000/X8</f>
        <v>899.99999999999989</v>
      </c>
      <c r="Y26" s="55">
        <f t="shared" si="23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24">IF(SUM(B11)=0,"",B11*1000/B10)</f>
        <v/>
      </c>
      <c r="C27" s="57">
        <f t="shared" si="24"/>
        <v>900.00000000000011</v>
      </c>
      <c r="D27" s="57">
        <f t="shared" ref="D27:W27" si="25">IF(SUM(D11)=0,"",D11*1000/D10)</f>
        <v>900</v>
      </c>
      <c r="E27" s="57">
        <f t="shared" si="25"/>
        <v>900.00000000000011</v>
      </c>
      <c r="F27" s="57">
        <f t="shared" si="25"/>
        <v>900</v>
      </c>
      <c r="G27" s="57">
        <f t="shared" si="25"/>
        <v>900</v>
      </c>
      <c r="H27" s="57">
        <f t="shared" si="25"/>
        <v>899.99999999999989</v>
      </c>
      <c r="I27" s="57">
        <f t="shared" si="25"/>
        <v>900</v>
      </c>
      <c r="J27" s="57">
        <f t="shared" si="25"/>
        <v>899.99999999999989</v>
      </c>
      <c r="K27" s="57">
        <f t="shared" si="25"/>
        <v>900</v>
      </c>
      <c r="L27" s="57">
        <f t="shared" si="25"/>
        <v>900</v>
      </c>
      <c r="M27" s="57">
        <f t="shared" si="25"/>
        <v>899.99999999999989</v>
      </c>
      <c r="N27" s="57">
        <f t="shared" si="25"/>
        <v>900.00000000000011</v>
      </c>
      <c r="O27" s="57">
        <f t="shared" si="25"/>
        <v>900</v>
      </c>
      <c r="P27" s="57">
        <f t="shared" si="25"/>
        <v>899.99999999999989</v>
      </c>
      <c r="Q27" s="57">
        <f t="shared" si="25"/>
        <v>900.00000000000011</v>
      </c>
      <c r="R27" s="57">
        <f t="shared" si="25"/>
        <v>900.00000000000011</v>
      </c>
      <c r="S27" s="57">
        <f t="shared" si="25"/>
        <v>899.99999999999989</v>
      </c>
      <c r="T27" s="57">
        <f t="shared" si="25"/>
        <v>900.00000000000011</v>
      </c>
      <c r="U27" s="57">
        <f t="shared" si="25"/>
        <v>900</v>
      </c>
      <c r="V27" s="57">
        <f t="shared" si="25"/>
        <v>900</v>
      </c>
      <c r="W27" s="57">
        <f t="shared" si="25"/>
        <v>900.00000000000011</v>
      </c>
      <c r="X27" s="57">
        <f t="shared" ref="X27:Y27" si="26">IF(SUM(X11)=0,"",X11*1000/X10)</f>
        <v>900.00000000000011</v>
      </c>
      <c r="Y27" s="57">
        <f t="shared" si="26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469.13121238177109</v>
      </c>
      <c r="C31" s="80">
        <f t="shared" ref="C31:W31" si="27">SUM(C32:C33,C36:C37,C44:C45)</f>
        <v>477.73533963886501</v>
      </c>
      <c r="D31" s="80">
        <f t="shared" si="27"/>
        <v>495.86070507308671</v>
      </c>
      <c r="E31" s="80">
        <f t="shared" si="27"/>
        <v>522.72794496990537</v>
      </c>
      <c r="F31" s="80">
        <f t="shared" si="27"/>
        <v>548.56063821323005</v>
      </c>
      <c r="G31" s="80">
        <f t="shared" si="27"/>
        <v>565.3741999460002</v>
      </c>
      <c r="H31" s="80">
        <f t="shared" si="27"/>
        <v>610.58325120126506</v>
      </c>
      <c r="I31" s="80">
        <f t="shared" si="27"/>
        <v>632.20138700047892</v>
      </c>
      <c r="J31" s="80">
        <f t="shared" si="27"/>
        <v>608.73542136608967</v>
      </c>
      <c r="K31" s="80">
        <f t="shared" si="27"/>
        <v>592.95027972164121</v>
      </c>
      <c r="L31" s="80">
        <f t="shared" si="27"/>
        <v>602.48438868247501</v>
      </c>
      <c r="M31" s="80">
        <f t="shared" si="27"/>
        <v>584.57625056852783</v>
      </c>
      <c r="N31" s="80">
        <f t="shared" si="27"/>
        <v>612.07027932819631</v>
      </c>
      <c r="O31" s="80">
        <f t="shared" si="27"/>
        <v>588.72685841444115</v>
      </c>
      <c r="P31" s="80">
        <f t="shared" si="27"/>
        <v>580.67663942646595</v>
      </c>
      <c r="Q31" s="80">
        <f t="shared" si="27"/>
        <v>570.54787383577082</v>
      </c>
      <c r="R31" s="80">
        <f t="shared" si="27"/>
        <v>597.1816123020003</v>
      </c>
      <c r="S31" s="80">
        <f t="shared" si="27"/>
        <v>628.05721399762751</v>
      </c>
      <c r="T31" s="80">
        <f t="shared" si="27"/>
        <v>643.44973377362078</v>
      </c>
      <c r="U31" s="80">
        <f t="shared" si="27"/>
        <v>616.41470380613362</v>
      </c>
      <c r="V31" s="80">
        <f t="shared" si="27"/>
        <v>566.03252727598885</v>
      </c>
      <c r="W31" s="80">
        <f t="shared" si="27"/>
        <v>630.95835105508081</v>
      </c>
      <c r="X31" s="80">
        <f t="shared" ref="X31:Y31" si="28">SUM(X32:X33,X36:X37,X44:X45)</f>
        <v>604.93247539192953</v>
      </c>
      <c r="Y31" s="80">
        <f t="shared" si="28"/>
        <v>597.26579207153247</v>
      </c>
      <c r="DA31" s="103" t="s">
        <v>199</v>
      </c>
    </row>
    <row r="32" spans="1:105" ht="12" customHeight="1" x14ac:dyDescent="0.25">
      <c r="A32" s="58" t="s">
        <v>29</v>
      </c>
      <c r="B32" s="59">
        <v>44.818400687876178</v>
      </c>
      <c r="C32" s="59">
        <v>37.03387790197764</v>
      </c>
      <c r="D32" s="59">
        <v>43.384006878761816</v>
      </c>
      <c r="E32" s="59">
        <v>43.92631126397248</v>
      </c>
      <c r="F32" s="59">
        <v>43.252364574376614</v>
      </c>
      <c r="G32" s="59">
        <v>50.701977644024083</v>
      </c>
      <c r="H32" s="59">
        <v>68.093293207222686</v>
      </c>
      <c r="I32" s="59">
        <v>51.945915735167674</v>
      </c>
      <c r="J32" s="59">
        <v>39.482717110920035</v>
      </c>
      <c r="K32" s="59">
        <v>48.633190025795358</v>
      </c>
      <c r="L32" s="59">
        <v>49.106964746345653</v>
      </c>
      <c r="M32" s="59">
        <v>58.618142734307824</v>
      </c>
      <c r="N32" s="59">
        <v>40.986930352536547</v>
      </c>
      <c r="O32" s="59">
        <v>47.942132416165094</v>
      </c>
      <c r="P32" s="59">
        <v>41.944625967325877</v>
      </c>
      <c r="Q32" s="59">
        <v>31.328460877042129</v>
      </c>
      <c r="R32" s="59">
        <v>38.243508168529665</v>
      </c>
      <c r="S32" s="59">
        <v>39.788822012037826</v>
      </c>
      <c r="T32" s="59">
        <v>41.187016337059319</v>
      </c>
      <c r="U32" s="59">
        <v>34.636113499570079</v>
      </c>
      <c r="V32" s="59">
        <v>22.883748925193462</v>
      </c>
      <c r="W32" s="59">
        <v>27.925365434221838</v>
      </c>
      <c r="X32" s="59">
        <v>27.235683576956148</v>
      </c>
      <c r="Y32" s="59">
        <v>17.670593293207219</v>
      </c>
      <c r="DA32" s="104" t="s">
        <v>200</v>
      </c>
    </row>
    <row r="33" spans="1:105" ht="12" customHeight="1" x14ac:dyDescent="0.25">
      <c r="A33" s="60" t="s">
        <v>28</v>
      </c>
      <c r="B33" s="55">
        <f>SUM(B34:B35)</f>
        <v>19.891745485812553</v>
      </c>
      <c r="C33" s="55">
        <f t="shared" ref="C33:W33" si="29">SUM(C34:C35)</f>
        <v>14.060619088564058</v>
      </c>
      <c r="D33" s="55">
        <f t="shared" si="29"/>
        <v>15.145141874462594</v>
      </c>
      <c r="E33" s="55">
        <f t="shared" si="29"/>
        <v>9.9113499570077384</v>
      </c>
      <c r="F33" s="55">
        <f t="shared" si="29"/>
        <v>10.143078245915733</v>
      </c>
      <c r="G33" s="55">
        <f t="shared" si="29"/>
        <v>7.1135855546001707</v>
      </c>
      <c r="H33" s="55">
        <f t="shared" si="29"/>
        <v>6.0917454858125533</v>
      </c>
      <c r="I33" s="55">
        <f t="shared" si="29"/>
        <v>6.030696474634567</v>
      </c>
      <c r="J33" s="55">
        <f t="shared" si="29"/>
        <v>9.1578675838349106</v>
      </c>
      <c r="K33" s="55">
        <f t="shared" si="29"/>
        <v>3.0142734307824588</v>
      </c>
      <c r="L33" s="55">
        <f t="shared" si="29"/>
        <v>4.0360275150472926</v>
      </c>
      <c r="M33" s="55">
        <f t="shared" si="29"/>
        <v>5.0647463456577819</v>
      </c>
      <c r="N33" s="55">
        <f t="shared" si="29"/>
        <v>3.086156491831471</v>
      </c>
      <c r="O33" s="55">
        <f t="shared" si="29"/>
        <v>3.086156491831471</v>
      </c>
      <c r="P33" s="55">
        <f t="shared" si="29"/>
        <v>4.1148753224419607</v>
      </c>
      <c r="Q33" s="55">
        <f t="shared" si="29"/>
        <v>2.0473774720550302</v>
      </c>
      <c r="R33" s="55">
        <f t="shared" si="29"/>
        <v>2.0473774720550302</v>
      </c>
      <c r="S33" s="55">
        <f t="shared" si="29"/>
        <v>2.3715391229578673</v>
      </c>
      <c r="T33" s="55">
        <f t="shared" si="29"/>
        <v>1.7670679277730008</v>
      </c>
      <c r="U33" s="55">
        <f t="shared" si="29"/>
        <v>2.2751504729148753</v>
      </c>
      <c r="V33" s="55">
        <f t="shared" si="29"/>
        <v>2.5843508168529663</v>
      </c>
      <c r="W33" s="55">
        <f t="shared" si="29"/>
        <v>2.9952708512467754</v>
      </c>
      <c r="X33" s="55">
        <f t="shared" ref="X33:Y33" si="30">SUM(X34:X35)</f>
        <v>2.6867583834909716</v>
      </c>
      <c r="Y33" s="55">
        <f t="shared" si="30"/>
        <v>3.8249355116079098</v>
      </c>
      <c r="DA33" s="101"/>
    </row>
    <row r="34" spans="1:105" ht="12" customHeight="1" x14ac:dyDescent="0.25">
      <c r="A34" s="61" t="s">
        <v>52</v>
      </c>
      <c r="B34" s="55">
        <v>0</v>
      </c>
      <c r="C34" s="55">
        <v>0</v>
      </c>
      <c r="D34" s="55">
        <v>0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0</v>
      </c>
      <c r="S34" s="55">
        <v>0</v>
      </c>
      <c r="T34" s="55">
        <v>0</v>
      </c>
      <c r="U34" s="55">
        <v>0</v>
      </c>
      <c r="V34" s="55">
        <v>0</v>
      </c>
      <c r="W34" s="55">
        <v>0</v>
      </c>
      <c r="X34" s="55">
        <v>0</v>
      </c>
      <c r="Y34" s="55">
        <v>0</v>
      </c>
      <c r="DA34" s="101" t="s">
        <v>201</v>
      </c>
    </row>
    <row r="35" spans="1:105" ht="12" customHeight="1" x14ac:dyDescent="0.25">
      <c r="A35" s="61" t="s">
        <v>163</v>
      </c>
      <c r="B35" s="55">
        <v>19.891745485812553</v>
      </c>
      <c r="C35" s="55">
        <v>14.060619088564058</v>
      </c>
      <c r="D35" s="55">
        <v>15.145141874462594</v>
      </c>
      <c r="E35" s="55">
        <v>9.9113499570077384</v>
      </c>
      <c r="F35" s="55">
        <v>10.143078245915733</v>
      </c>
      <c r="G35" s="55">
        <v>7.1135855546001707</v>
      </c>
      <c r="H35" s="55">
        <v>6.0917454858125533</v>
      </c>
      <c r="I35" s="55">
        <v>6.030696474634567</v>
      </c>
      <c r="J35" s="55">
        <v>9.1578675838349106</v>
      </c>
      <c r="K35" s="55">
        <v>3.0142734307824588</v>
      </c>
      <c r="L35" s="55">
        <v>4.0360275150472926</v>
      </c>
      <c r="M35" s="55">
        <v>5.0647463456577819</v>
      </c>
      <c r="N35" s="55">
        <v>3.086156491831471</v>
      </c>
      <c r="O35" s="55">
        <v>3.086156491831471</v>
      </c>
      <c r="P35" s="55">
        <v>4.1148753224419607</v>
      </c>
      <c r="Q35" s="55">
        <v>2.0473774720550302</v>
      </c>
      <c r="R35" s="55">
        <v>2.0473774720550302</v>
      </c>
      <c r="S35" s="55">
        <v>2.3715391229578673</v>
      </c>
      <c r="T35" s="55">
        <v>1.7670679277730008</v>
      </c>
      <c r="U35" s="55">
        <v>2.2751504729148753</v>
      </c>
      <c r="V35" s="55">
        <v>2.5843508168529663</v>
      </c>
      <c r="W35" s="55">
        <v>2.9952708512467754</v>
      </c>
      <c r="X35" s="55">
        <v>2.6867583834909716</v>
      </c>
      <c r="Y35" s="55">
        <v>3.8249355116079098</v>
      </c>
      <c r="DA35" s="101" t="s">
        <v>202</v>
      </c>
    </row>
    <row r="36" spans="1:105" ht="12" customHeight="1" x14ac:dyDescent="0.25">
      <c r="A36" s="60" t="s">
        <v>149</v>
      </c>
      <c r="B36" s="55">
        <v>31.104901117798789</v>
      </c>
      <c r="C36" s="55">
        <v>33.920894239036969</v>
      </c>
      <c r="D36" s="55">
        <v>38.478073946689591</v>
      </c>
      <c r="E36" s="55">
        <v>40.004299226139302</v>
      </c>
      <c r="F36" s="55">
        <v>51.913155631986243</v>
      </c>
      <c r="G36" s="55">
        <v>50.580395528804807</v>
      </c>
      <c r="H36" s="55">
        <v>53.826311263972478</v>
      </c>
      <c r="I36" s="55">
        <v>71.990541702493545</v>
      </c>
      <c r="J36" s="55">
        <v>68.615649183147028</v>
      </c>
      <c r="K36" s="55">
        <v>62.145313843508163</v>
      </c>
      <c r="L36" s="55">
        <v>66.40154772141014</v>
      </c>
      <c r="M36" s="55">
        <v>60.14617368873602</v>
      </c>
      <c r="N36" s="55">
        <v>63.263112639724852</v>
      </c>
      <c r="O36" s="55">
        <v>63.198624247635422</v>
      </c>
      <c r="P36" s="55">
        <v>53.890799656061908</v>
      </c>
      <c r="Q36" s="55">
        <v>61.500429922613932</v>
      </c>
      <c r="R36" s="55">
        <v>65.477214101461726</v>
      </c>
      <c r="S36" s="55">
        <v>68.852966466036108</v>
      </c>
      <c r="T36" s="55">
        <v>73.107824591573518</v>
      </c>
      <c r="U36" s="55">
        <v>72.5938950988822</v>
      </c>
      <c r="V36" s="55">
        <v>69.345743766122098</v>
      </c>
      <c r="W36" s="55">
        <v>72.463370593293206</v>
      </c>
      <c r="X36" s="55">
        <v>71.862166809974198</v>
      </c>
      <c r="Y36" s="55">
        <v>91.308466821816012</v>
      </c>
      <c r="DA36" s="101" t="s">
        <v>203</v>
      </c>
    </row>
    <row r="37" spans="1:105" ht="12" customHeight="1" x14ac:dyDescent="0.25">
      <c r="A37" s="60" t="s">
        <v>51</v>
      </c>
      <c r="B37" s="55">
        <f>SUM(B38:B42)</f>
        <v>40.675494411006007</v>
      </c>
      <c r="C37" s="55">
        <f t="shared" ref="C37:W37" si="31">SUM(C38:C42)</f>
        <v>39.672312983662941</v>
      </c>
      <c r="D37" s="55">
        <f t="shared" si="31"/>
        <v>39.743938091143583</v>
      </c>
      <c r="E37" s="55">
        <f t="shared" si="31"/>
        <v>34.417626827171112</v>
      </c>
      <c r="F37" s="55">
        <f t="shared" si="31"/>
        <v>31.264918314703351</v>
      </c>
      <c r="G37" s="55">
        <f t="shared" si="31"/>
        <v>31.724677558039549</v>
      </c>
      <c r="H37" s="55">
        <f t="shared" si="31"/>
        <v>31.270851246775582</v>
      </c>
      <c r="I37" s="55">
        <f t="shared" si="31"/>
        <v>29.766122098022358</v>
      </c>
      <c r="J37" s="55">
        <f t="shared" si="31"/>
        <v>31.518056749785035</v>
      </c>
      <c r="K37" s="55">
        <f t="shared" si="31"/>
        <v>30.639122957867585</v>
      </c>
      <c r="L37" s="55">
        <f t="shared" si="31"/>
        <v>31.709114359415302</v>
      </c>
      <c r="M37" s="55">
        <f t="shared" si="31"/>
        <v>34.479793637145313</v>
      </c>
      <c r="N37" s="55">
        <f t="shared" si="31"/>
        <v>35.392175408426475</v>
      </c>
      <c r="O37" s="55">
        <f t="shared" si="31"/>
        <v>37.422355975924326</v>
      </c>
      <c r="P37" s="55">
        <f t="shared" si="31"/>
        <v>38.330008598452267</v>
      </c>
      <c r="Q37" s="55">
        <f t="shared" si="31"/>
        <v>38.32527944969906</v>
      </c>
      <c r="R37" s="55">
        <f t="shared" si="31"/>
        <v>39.949355116079111</v>
      </c>
      <c r="S37" s="55">
        <f t="shared" si="31"/>
        <v>35.536543422183996</v>
      </c>
      <c r="T37" s="55">
        <f t="shared" si="31"/>
        <v>36.6408426483233</v>
      </c>
      <c r="U37" s="55">
        <f t="shared" si="31"/>
        <v>35.989251934651755</v>
      </c>
      <c r="V37" s="55">
        <f t="shared" si="31"/>
        <v>38.186672398968177</v>
      </c>
      <c r="W37" s="55">
        <f t="shared" si="31"/>
        <v>39.508942390369732</v>
      </c>
      <c r="X37" s="55">
        <f t="shared" ref="X37:Y37" si="32">SUM(X38:X42)</f>
        <v>37.639208942390368</v>
      </c>
      <c r="Y37" s="55">
        <f t="shared" si="32"/>
        <v>39.795918388846054</v>
      </c>
      <c r="DA37" s="101"/>
    </row>
    <row r="38" spans="1:105" ht="12" customHeight="1" x14ac:dyDescent="0.25">
      <c r="A38" s="61" t="s">
        <v>164</v>
      </c>
      <c r="B38" s="55">
        <v>40.675494411006007</v>
      </c>
      <c r="C38" s="55">
        <v>39.672312983662941</v>
      </c>
      <c r="D38" s="55">
        <v>38.931900257953558</v>
      </c>
      <c r="E38" s="55">
        <v>33.486156491831473</v>
      </c>
      <c r="F38" s="55">
        <v>30.95442820292347</v>
      </c>
      <c r="G38" s="55">
        <v>31.175322441960443</v>
      </c>
      <c r="H38" s="55">
        <v>30.649871023215823</v>
      </c>
      <c r="I38" s="55">
        <v>29.049613069647464</v>
      </c>
      <c r="J38" s="55">
        <v>30.682115219260531</v>
      </c>
      <c r="K38" s="55">
        <v>29.397162510748068</v>
      </c>
      <c r="L38" s="55">
        <v>30.03723129836629</v>
      </c>
      <c r="M38" s="55">
        <v>32.545141874462594</v>
      </c>
      <c r="N38" s="55">
        <v>33.50533104041272</v>
      </c>
      <c r="O38" s="55">
        <v>35.320550300945825</v>
      </c>
      <c r="P38" s="55">
        <v>33.863628546861555</v>
      </c>
      <c r="Q38" s="55">
        <v>33.763284608770427</v>
      </c>
      <c r="R38" s="55">
        <v>34.694754944110066</v>
      </c>
      <c r="S38" s="55">
        <v>30.759587274290617</v>
      </c>
      <c r="T38" s="55">
        <v>31.792261392949271</v>
      </c>
      <c r="U38" s="55">
        <v>31.307910576096294</v>
      </c>
      <c r="V38" s="55">
        <v>33.529148753224412</v>
      </c>
      <c r="W38" s="55">
        <v>33.752794496990539</v>
      </c>
      <c r="X38" s="55">
        <v>31.883061049011179</v>
      </c>
      <c r="Y38" s="55">
        <v>33.697334479793632</v>
      </c>
      <c r="DA38" s="101" t="s">
        <v>204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0.81203783319002576</v>
      </c>
      <c r="E39" s="55">
        <v>0.93147033533963886</v>
      </c>
      <c r="F39" s="55">
        <v>0.31049011177987962</v>
      </c>
      <c r="G39" s="55">
        <v>0.5493551160791057</v>
      </c>
      <c r="H39" s="55">
        <v>0.62098022355975924</v>
      </c>
      <c r="I39" s="55">
        <v>0.7165090283748925</v>
      </c>
      <c r="J39" s="55">
        <v>0.83594153052450548</v>
      </c>
      <c r="K39" s="55">
        <v>1.241960447119518</v>
      </c>
      <c r="L39" s="55">
        <v>1.671883061049011</v>
      </c>
      <c r="M39" s="55">
        <v>1.9346517626827171</v>
      </c>
      <c r="N39" s="55">
        <v>1.886844368013757</v>
      </c>
      <c r="O39" s="55">
        <v>2.101805674978503</v>
      </c>
      <c r="P39" s="55">
        <v>4.4663800515907139</v>
      </c>
      <c r="Q39" s="55">
        <v>4.5619948409286319</v>
      </c>
      <c r="R39" s="55">
        <v>5.2546001719690452</v>
      </c>
      <c r="S39" s="55">
        <v>4.7769561478933786</v>
      </c>
      <c r="T39" s="55">
        <v>4.8485812553740324</v>
      </c>
      <c r="U39" s="55">
        <v>4.6813413585554597</v>
      </c>
      <c r="V39" s="55">
        <v>4.6575236457437663</v>
      </c>
      <c r="W39" s="55">
        <v>5.7561478933791914</v>
      </c>
      <c r="X39" s="55">
        <v>5.7561478933791914</v>
      </c>
      <c r="Y39" s="55">
        <v>6.098583909052425</v>
      </c>
      <c r="DA39" s="101" t="s">
        <v>205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X40" s="55">
        <v>0</v>
      </c>
      <c r="Y40" s="55">
        <v>0</v>
      </c>
      <c r="DA40" s="101" t="s">
        <v>206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5">
        <v>0</v>
      </c>
      <c r="N41" s="55">
        <v>0</v>
      </c>
      <c r="O41" s="55">
        <v>0</v>
      </c>
      <c r="P41" s="55">
        <v>0</v>
      </c>
      <c r="Q41" s="55">
        <v>0</v>
      </c>
      <c r="R41" s="55">
        <v>0</v>
      </c>
      <c r="S41" s="55">
        <v>0</v>
      </c>
      <c r="T41" s="55">
        <v>0</v>
      </c>
      <c r="U41" s="55">
        <v>0</v>
      </c>
      <c r="V41" s="55">
        <v>0</v>
      </c>
      <c r="W41" s="55">
        <v>0</v>
      </c>
      <c r="X41" s="55">
        <v>0</v>
      </c>
      <c r="Y41" s="55">
        <v>0</v>
      </c>
      <c r="DA41" s="101" t="s">
        <v>207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X42" s="55">
        <v>0</v>
      </c>
      <c r="Y42" s="55">
        <v>0</v>
      </c>
      <c r="DA42" s="101" t="s">
        <v>208</v>
      </c>
    </row>
    <row r="43" spans="1:105" ht="12" customHeight="1" x14ac:dyDescent="0.25">
      <c r="A43" s="61" t="s">
        <v>151</v>
      </c>
      <c r="B43" s="309">
        <v>2.651182271692038E-3</v>
      </c>
      <c r="C43" s="309">
        <v>4.4622727790515852E-3</v>
      </c>
      <c r="D43" s="55">
        <v>7.0336247491311534E-3</v>
      </c>
      <c r="E43" s="55">
        <v>1.5219967157434979E-2</v>
      </c>
      <c r="F43" s="55">
        <v>2.2012393594601221E-2</v>
      </c>
      <c r="G43" s="55">
        <v>3.279120048410937E-2</v>
      </c>
      <c r="H43" s="55">
        <v>4.3466583433977454E-2</v>
      </c>
      <c r="I43" s="55">
        <v>5.6207261159187255E-2</v>
      </c>
      <c r="J43" s="55">
        <v>0.1016454844799434</v>
      </c>
      <c r="K43" s="55">
        <v>0.1167849153152344</v>
      </c>
      <c r="L43" s="55">
        <v>0.13409395225450965</v>
      </c>
      <c r="M43" s="55">
        <v>0.25605909115949083</v>
      </c>
      <c r="N43" s="55">
        <v>0.41359748591733952</v>
      </c>
      <c r="O43" s="55">
        <v>0.60060542935370265</v>
      </c>
      <c r="P43" s="55">
        <v>1.0056796741585381</v>
      </c>
      <c r="Q43" s="55">
        <v>1.1351525843847863</v>
      </c>
      <c r="R43" s="55">
        <v>1.2264666245395097</v>
      </c>
      <c r="S43" s="55">
        <v>1.2781799333144956</v>
      </c>
      <c r="T43" s="55">
        <v>1.3613929492691299</v>
      </c>
      <c r="U43" s="55">
        <v>1.4092003439380894</v>
      </c>
      <c r="V43" s="55">
        <v>1.4092003439380907</v>
      </c>
      <c r="W43" s="55">
        <v>2.9616509028374858</v>
      </c>
      <c r="X43" s="55">
        <v>3.3677558039552853</v>
      </c>
      <c r="Y43" s="55">
        <v>4.9441100601891685</v>
      </c>
      <c r="DA43" s="101" t="s">
        <v>209</v>
      </c>
    </row>
    <row r="44" spans="1:105" ht="12" customHeight="1" x14ac:dyDescent="0.25">
      <c r="A44" s="60" t="s">
        <v>162</v>
      </c>
      <c r="B44" s="55">
        <v>167.98030954428199</v>
      </c>
      <c r="C44" s="55">
        <v>177.72519346517629</v>
      </c>
      <c r="D44" s="55">
        <v>174.93069647463449</v>
      </c>
      <c r="E44" s="55">
        <v>186.29982803095439</v>
      </c>
      <c r="F44" s="55">
        <v>189.57196904557179</v>
      </c>
      <c r="G44" s="55">
        <v>190.86173688736031</v>
      </c>
      <c r="H44" s="55">
        <v>204.33267411865859</v>
      </c>
      <c r="I44" s="55">
        <v>210.90094582975061</v>
      </c>
      <c r="J44" s="55">
        <v>178.91943250214959</v>
      </c>
      <c r="K44" s="55">
        <v>192.27093723129829</v>
      </c>
      <c r="L44" s="55">
        <v>205.33585554600171</v>
      </c>
      <c r="M44" s="55">
        <v>170.6314703353396</v>
      </c>
      <c r="N44" s="55">
        <v>199.57962166809969</v>
      </c>
      <c r="O44" s="55">
        <v>171.13310404127259</v>
      </c>
      <c r="P44" s="55">
        <v>169.58056749785041</v>
      </c>
      <c r="Q44" s="55">
        <v>174.3097162510748</v>
      </c>
      <c r="R44" s="55">
        <v>173.71263972484951</v>
      </c>
      <c r="S44" s="55">
        <v>202.1591573516767</v>
      </c>
      <c r="T44" s="55">
        <v>201.60980223559761</v>
      </c>
      <c r="U44" s="55">
        <v>175.12184006878761</v>
      </c>
      <c r="V44" s="55">
        <v>157.82940670679281</v>
      </c>
      <c r="W44" s="55">
        <v>197.5016337059329</v>
      </c>
      <c r="X44" s="55">
        <v>180.71083404987101</v>
      </c>
      <c r="Y44" s="55">
        <v>172.25563198624249</v>
      </c>
      <c r="DA44" s="101" t="s">
        <v>210</v>
      </c>
    </row>
    <row r="45" spans="1:105" ht="12" customHeight="1" x14ac:dyDescent="0.25">
      <c r="A45" s="62" t="s">
        <v>24</v>
      </c>
      <c r="B45" s="63">
        <v>164.66036113499561</v>
      </c>
      <c r="C45" s="63">
        <v>175.32244196044712</v>
      </c>
      <c r="D45" s="63">
        <v>184.17884780739465</v>
      </c>
      <c r="E45" s="63">
        <v>208.16852966466035</v>
      </c>
      <c r="F45" s="63">
        <v>222.41515240067631</v>
      </c>
      <c r="G45" s="63">
        <v>234.39182677317129</v>
      </c>
      <c r="H45" s="63">
        <v>246.96837587882314</v>
      </c>
      <c r="I45" s="63">
        <v>261.56716516041024</v>
      </c>
      <c r="J45" s="63">
        <v>281.04169823625313</v>
      </c>
      <c r="K45" s="63">
        <v>256.2474422323894</v>
      </c>
      <c r="L45" s="63">
        <v>245.89487879425494</v>
      </c>
      <c r="M45" s="63">
        <v>255.63592382734126</v>
      </c>
      <c r="N45" s="63">
        <v>269.76228276757729</v>
      </c>
      <c r="O45" s="63">
        <v>265.94448524161226</v>
      </c>
      <c r="P45" s="63">
        <v>272.81576238433354</v>
      </c>
      <c r="Q45" s="63">
        <v>263.03660986328589</v>
      </c>
      <c r="R45" s="63">
        <v>277.75151771902523</v>
      </c>
      <c r="S45" s="63">
        <v>279.34818562273506</v>
      </c>
      <c r="T45" s="63">
        <v>289.13718003329404</v>
      </c>
      <c r="U45" s="63">
        <v>295.79845273132707</v>
      </c>
      <c r="V45" s="63">
        <v>275.20260466205934</v>
      </c>
      <c r="W45" s="63">
        <v>290.5637680800163</v>
      </c>
      <c r="X45" s="63">
        <v>284.79782362924686</v>
      </c>
      <c r="Y45" s="63">
        <v>272.41024606981279</v>
      </c>
      <c r="DA45" s="105" t="s">
        <v>211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DA46" s="106"/>
    </row>
    <row r="47" spans="1:105" ht="12.95" customHeight="1" x14ac:dyDescent="0.25">
      <c r="A47" s="81" t="s">
        <v>56</v>
      </c>
      <c r="B47" s="82">
        <f t="shared" ref="B47" si="33">SUM(B48,B53)</f>
        <v>469.13121238177121</v>
      </c>
      <c r="C47" s="82">
        <f t="shared" ref="C47:W47" si="34">SUM(C48,C53)</f>
        <v>477.73533963886507</v>
      </c>
      <c r="D47" s="82">
        <f t="shared" si="34"/>
        <v>495.86070507308682</v>
      </c>
      <c r="E47" s="82">
        <f t="shared" si="34"/>
        <v>522.72794496990537</v>
      </c>
      <c r="F47" s="82">
        <f t="shared" si="34"/>
        <v>548.56063821322994</v>
      </c>
      <c r="G47" s="82">
        <f t="shared" si="34"/>
        <v>565.3741999460002</v>
      </c>
      <c r="H47" s="82">
        <f t="shared" si="34"/>
        <v>610.58325120126506</v>
      </c>
      <c r="I47" s="82">
        <f t="shared" si="34"/>
        <v>632.20138700047892</v>
      </c>
      <c r="J47" s="82">
        <f t="shared" si="34"/>
        <v>608.73542136608967</v>
      </c>
      <c r="K47" s="82">
        <f t="shared" si="34"/>
        <v>592.95027972164121</v>
      </c>
      <c r="L47" s="82">
        <f t="shared" si="34"/>
        <v>602.48438868247501</v>
      </c>
      <c r="M47" s="82">
        <f t="shared" si="34"/>
        <v>584.57625056852771</v>
      </c>
      <c r="N47" s="82">
        <f t="shared" si="34"/>
        <v>612.07027932819642</v>
      </c>
      <c r="O47" s="82">
        <f t="shared" si="34"/>
        <v>588.72685841444115</v>
      </c>
      <c r="P47" s="82">
        <f t="shared" si="34"/>
        <v>580.67663942646595</v>
      </c>
      <c r="Q47" s="82">
        <f t="shared" si="34"/>
        <v>570.54787383577093</v>
      </c>
      <c r="R47" s="82">
        <f t="shared" si="34"/>
        <v>597.1816123020003</v>
      </c>
      <c r="S47" s="82">
        <f t="shared" si="34"/>
        <v>628.05721399762763</v>
      </c>
      <c r="T47" s="82">
        <f t="shared" si="34"/>
        <v>643.44973377362066</v>
      </c>
      <c r="U47" s="82">
        <f t="shared" si="34"/>
        <v>616.41470380613362</v>
      </c>
      <c r="V47" s="82">
        <f t="shared" si="34"/>
        <v>566.03252727598897</v>
      </c>
      <c r="W47" s="82">
        <f t="shared" si="34"/>
        <v>630.95835105508081</v>
      </c>
      <c r="X47" s="82">
        <f t="shared" ref="X47:Y47" si="35">SUM(X48,X53)</f>
        <v>604.9324753919293</v>
      </c>
      <c r="Y47" s="82">
        <f t="shared" si="35"/>
        <v>597.26579207153247</v>
      </c>
      <c r="DA47" s="107" t="s">
        <v>212</v>
      </c>
    </row>
    <row r="48" spans="1:105" ht="12" customHeight="1" x14ac:dyDescent="0.25">
      <c r="A48" s="77" t="s">
        <v>36</v>
      </c>
      <c r="B48" s="64">
        <f t="shared" ref="B48" si="36">SUM(B49:B52)</f>
        <v>368.43502994259251</v>
      </c>
      <c r="C48" s="64">
        <f t="shared" ref="C48:W48" si="37">SUM(C49:C52)</f>
        <v>370.36981736600831</v>
      </c>
      <c r="D48" s="64">
        <f t="shared" si="37"/>
        <v>381.11131317293655</v>
      </c>
      <c r="E48" s="64">
        <f t="shared" si="37"/>
        <v>398.3096848573378</v>
      </c>
      <c r="F48" s="64">
        <f t="shared" si="37"/>
        <v>415.56370000025947</v>
      </c>
      <c r="G48" s="64">
        <f t="shared" si="37"/>
        <v>424.43550740862412</v>
      </c>
      <c r="H48" s="64">
        <f t="shared" si="37"/>
        <v>462.90950632906078</v>
      </c>
      <c r="I48" s="64">
        <f t="shared" si="37"/>
        <v>472.43845084781225</v>
      </c>
      <c r="J48" s="64">
        <f t="shared" si="37"/>
        <v>443.37879513405807</v>
      </c>
      <c r="K48" s="64">
        <f t="shared" si="37"/>
        <v>426.24858100126215</v>
      </c>
      <c r="L48" s="64">
        <f t="shared" si="37"/>
        <v>434.06371579917391</v>
      </c>
      <c r="M48" s="64">
        <f t="shared" si="37"/>
        <v>414.42344836448382</v>
      </c>
      <c r="N48" s="64">
        <f t="shared" si="37"/>
        <v>439.17858413252611</v>
      </c>
      <c r="O48" s="64">
        <f t="shared" si="37"/>
        <v>412.63195865652358</v>
      </c>
      <c r="P48" s="64">
        <f t="shared" si="37"/>
        <v>400.56212786139957</v>
      </c>
      <c r="Q48" s="64">
        <f t="shared" si="37"/>
        <v>385.02367656100648</v>
      </c>
      <c r="R48" s="64">
        <f t="shared" si="37"/>
        <v>409.19588226647488</v>
      </c>
      <c r="S48" s="64">
        <f t="shared" si="37"/>
        <v>435.77023907727687</v>
      </c>
      <c r="T48" s="64">
        <f t="shared" si="37"/>
        <v>453.37120818105251</v>
      </c>
      <c r="U48" s="64">
        <f t="shared" si="37"/>
        <v>429.66637632456832</v>
      </c>
      <c r="V48" s="64">
        <f t="shared" si="37"/>
        <v>387.31024307697464</v>
      </c>
      <c r="W48" s="64">
        <f t="shared" si="37"/>
        <v>448.68505620788238</v>
      </c>
      <c r="X48" s="64">
        <f t="shared" ref="X48:Y48" si="38">SUM(X49:X52)</f>
        <v>426.13835093072578</v>
      </c>
      <c r="Y48" s="64">
        <f t="shared" si="38"/>
        <v>418.24420353038585</v>
      </c>
      <c r="DA48" s="108" t="s">
        <v>213</v>
      </c>
    </row>
    <row r="49" spans="1:105" ht="12" customHeight="1" x14ac:dyDescent="0.25">
      <c r="A49" s="61" t="s">
        <v>32</v>
      </c>
      <c r="B49" s="65">
        <v>300.84624414397052</v>
      </c>
      <c r="C49" s="65">
        <v>300.39614273364515</v>
      </c>
      <c r="D49" s="65">
        <v>307.08268505570493</v>
      </c>
      <c r="E49" s="65">
        <v>319.93393949382101</v>
      </c>
      <c r="F49" s="65">
        <v>331.40985242679693</v>
      </c>
      <c r="G49" s="65">
        <v>333.36520398170046</v>
      </c>
      <c r="H49" s="65">
        <v>363.66535150809915</v>
      </c>
      <c r="I49" s="65">
        <v>366.01469489530035</v>
      </c>
      <c r="J49" s="65">
        <v>333.96407204358491</v>
      </c>
      <c r="K49" s="65">
        <v>314.53800291126112</v>
      </c>
      <c r="L49" s="65">
        <v>320.30665738071121</v>
      </c>
      <c r="M49" s="65">
        <v>299.09419938017027</v>
      </c>
      <c r="N49" s="65">
        <v>320.91590507569396</v>
      </c>
      <c r="O49" s="65">
        <v>292.89413674729684</v>
      </c>
      <c r="P49" s="65">
        <v>279.33866063729647</v>
      </c>
      <c r="Q49" s="65">
        <v>264.16061319259586</v>
      </c>
      <c r="R49" s="65">
        <v>287.95807856497117</v>
      </c>
      <c r="S49" s="65">
        <v>310.35293361688161</v>
      </c>
      <c r="T49" s="65">
        <v>327.89254394630512</v>
      </c>
      <c r="U49" s="65">
        <v>299.86783494483205</v>
      </c>
      <c r="V49" s="65">
        <v>269.06247546533092</v>
      </c>
      <c r="W49" s="65">
        <v>319.88435093942206</v>
      </c>
      <c r="X49" s="65">
        <v>298.09822673432626</v>
      </c>
      <c r="Y49" s="65">
        <v>288.44429790341724</v>
      </c>
      <c r="DA49" s="109" t="s">
        <v>214</v>
      </c>
    </row>
    <row r="50" spans="1:105" ht="12" customHeight="1" x14ac:dyDescent="0.25">
      <c r="A50" s="61" t="s">
        <v>31</v>
      </c>
      <c r="B50" s="65">
        <v>1.165352807056919</v>
      </c>
      <c r="C50" s="65">
        <v>1.2864017697449364</v>
      </c>
      <c r="D50" s="65">
        <v>1.4689840106473051</v>
      </c>
      <c r="E50" s="65">
        <v>1.3959410967031014</v>
      </c>
      <c r="F50" s="65">
        <v>1.472732719704509</v>
      </c>
      <c r="G50" s="65">
        <v>1.5635673526712102</v>
      </c>
      <c r="H50" s="65">
        <v>1.8294184108207201</v>
      </c>
      <c r="I50" s="65">
        <v>1.7999062238712265</v>
      </c>
      <c r="J50" s="65">
        <v>1.8533571742791057</v>
      </c>
      <c r="K50" s="65">
        <v>1.93515363676223</v>
      </c>
      <c r="L50" s="65">
        <v>2.5037095666596447</v>
      </c>
      <c r="M50" s="65">
        <v>2.0127903021893605</v>
      </c>
      <c r="N50" s="65">
        <v>2.2016188063932538</v>
      </c>
      <c r="O50" s="65">
        <v>2.0526801983271632</v>
      </c>
      <c r="P50" s="65">
        <v>2.2837077169581774</v>
      </c>
      <c r="Q50" s="65">
        <v>2.21224597958529</v>
      </c>
      <c r="R50" s="65">
        <v>2.1080720029282061</v>
      </c>
      <c r="S50" s="65">
        <v>2.084747616989659</v>
      </c>
      <c r="T50" s="65">
        <v>2.2331340543239788</v>
      </c>
      <c r="U50" s="65">
        <v>2.2013002146273446</v>
      </c>
      <c r="V50" s="65">
        <v>2.1547339253933093</v>
      </c>
      <c r="W50" s="65">
        <v>2.569561702507968</v>
      </c>
      <c r="X50" s="65">
        <v>2.350803973461979</v>
      </c>
      <c r="Y50" s="65">
        <v>2.4091107759556749</v>
      </c>
      <c r="DA50" s="109" t="s">
        <v>215</v>
      </c>
    </row>
    <row r="51" spans="1:105" ht="12" customHeight="1" x14ac:dyDescent="0.25">
      <c r="A51" s="61" t="s">
        <v>35</v>
      </c>
      <c r="B51" s="65">
        <v>32.284206546216772</v>
      </c>
      <c r="C51" s="65">
        <v>33.692388219040687</v>
      </c>
      <c r="D51" s="65">
        <v>35.525732154611589</v>
      </c>
      <c r="E51" s="65">
        <v>37.767065653852669</v>
      </c>
      <c r="F51" s="65">
        <v>41.337738754976264</v>
      </c>
      <c r="G51" s="65">
        <v>44.942879783114741</v>
      </c>
      <c r="H51" s="65">
        <v>48.501974505887873</v>
      </c>
      <c r="I51" s="65">
        <v>52.346735339567324</v>
      </c>
      <c r="J51" s="65">
        <v>54.920633041196183</v>
      </c>
      <c r="K51" s="65">
        <v>55.720578329468694</v>
      </c>
      <c r="L51" s="65">
        <v>56.983220301506449</v>
      </c>
      <c r="M51" s="65">
        <v>58.632830180834233</v>
      </c>
      <c r="N51" s="65">
        <v>59.451686327664106</v>
      </c>
      <c r="O51" s="65">
        <v>60.773123920199936</v>
      </c>
      <c r="P51" s="65">
        <v>61.632918977213023</v>
      </c>
      <c r="Q51" s="65">
        <v>62.260338188441722</v>
      </c>
      <c r="R51" s="65">
        <v>62.165395727496204</v>
      </c>
      <c r="S51" s="65">
        <v>64.154052391378343</v>
      </c>
      <c r="T51" s="65">
        <v>63.393304710862985</v>
      </c>
      <c r="U51" s="65">
        <v>63.747153574950019</v>
      </c>
      <c r="V51" s="65">
        <v>56.020267675269181</v>
      </c>
      <c r="W51" s="65">
        <v>61.242445255322458</v>
      </c>
      <c r="X51" s="65">
        <v>60.992449885983554</v>
      </c>
      <c r="Y51" s="65">
        <v>61.729776329917101</v>
      </c>
      <c r="DA51" s="109" t="s">
        <v>216</v>
      </c>
    </row>
    <row r="52" spans="1:105" ht="12" customHeight="1" x14ac:dyDescent="0.25">
      <c r="A52" s="66" t="s">
        <v>34</v>
      </c>
      <c r="B52" s="67">
        <v>34.139226445348307</v>
      </c>
      <c r="C52" s="67">
        <v>34.994884643577528</v>
      </c>
      <c r="D52" s="67">
        <v>37.033911951972698</v>
      </c>
      <c r="E52" s="67">
        <v>39.21273861296099</v>
      </c>
      <c r="F52" s="67">
        <v>41.343376098781818</v>
      </c>
      <c r="G52" s="67">
        <v>44.563856291137704</v>
      </c>
      <c r="H52" s="67">
        <v>48.91276190425306</v>
      </c>
      <c r="I52" s="67">
        <v>52.277114389073368</v>
      </c>
      <c r="J52" s="67">
        <v>52.640732874997866</v>
      </c>
      <c r="K52" s="67">
        <v>54.054846123770133</v>
      </c>
      <c r="L52" s="67">
        <v>54.270128550296597</v>
      </c>
      <c r="M52" s="67">
        <v>54.683628501289945</v>
      </c>
      <c r="N52" s="67">
        <v>56.609373922774836</v>
      </c>
      <c r="O52" s="67">
        <v>56.912017790699686</v>
      </c>
      <c r="P52" s="67">
        <v>57.306840529931911</v>
      </c>
      <c r="Q52" s="67">
        <v>56.390479200383567</v>
      </c>
      <c r="R52" s="67">
        <v>56.964335971079237</v>
      </c>
      <c r="S52" s="67">
        <v>59.178505452027252</v>
      </c>
      <c r="T52" s="67">
        <v>59.852225469560437</v>
      </c>
      <c r="U52" s="67">
        <v>63.850087590158921</v>
      </c>
      <c r="V52" s="67">
        <v>60.072766010981233</v>
      </c>
      <c r="W52" s="67">
        <v>64.988698310629914</v>
      </c>
      <c r="X52" s="67">
        <v>64.696870336953978</v>
      </c>
      <c r="Y52" s="67">
        <v>65.661018521095798</v>
      </c>
      <c r="DA52" s="110" t="s">
        <v>217</v>
      </c>
    </row>
    <row r="53" spans="1:105" ht="12" customHeight="1" x14ac:dyDescent="0.25">
      <c r="A53" s="78" t="s">
        <v>33</v>
      </c>
      <c r="B53" s="68">
        <v>100.69618243917867</v>
      </c>
      <c r="C53" s="68">
        <v>107.36552227285674</v>
      </c>
      <c r="D53" s="68">
        <v>114.74939190015026</v>
      </c>
      <c r="E53" s="68">
        <v>124.41826011256759</v>
      </c>
      <c r="F53" s="68">
        <v>132.99693821297043</v>
      </c>
      <c r="G53" s="68">
        <v>140.93869253737608</v>
      </c>
      <c r="H53" s="68">
        <v>147.67374487220425</v>
      </c>
      <c r="I53" s="68">
        <v>159.7629361526667</v>
      </c>
      <c r="J53" s="68">
        <v>165.3566262320316</v>
      </c>
      <c r="K53" s="68">
        <v>166.70169872037908</v>
      </c>
      <c r="L53" s="68">
        <v>168.42067288330108</v>
      </c>
      <c r="M53" s="68">
        <v>170.15280220404389</v>
      </c>
      <c r="N53" s="68">
        <v>172.89169519567028</v>
      </c>
      <c r="O53" s="68">
        <v>176.0948997579176</v>
      </c>
      <c r="P53" s="68">
        <v>180.11451156506644</v>
      </c>
      <c r="Q53" s="68">
        <v>185.52419727476445</v>
      </c>
      <c r="R53" s="68">
        <v>187.98573003552548</v>
      </c>
      <c r="S53" s="68">
        <v>192.28697492035076</v>
      </c>
      <c r="T53" s="68">
        <v>190.07852559256818</v>
      </c>
      <c r="U53" s="68">
        <v>186.7483274815653</v>
      </c>
      <c r="V53" s="68">
        <v>178.7222841990143</v>
      </c>
      <c r="W53" s="68">
        <v>182.27329484719849</v>
      </c>
      <c r="X53" s="68">
        <v>178.79412446120355</v>
      </c>
      <c r="Y53" s="68">
        <v>179.02158854114663</v>
      </c>
      <c r="DA53" s="111" t="s">
        <v>218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39">IF(B47=0,0,B47/B$47)</f>
        <v>1</v>
      </c>
      <c r="C55" s="83">
        <f t="shared" ref="C55:W55" si="40">IF(C47=0,0,C47/C$47)</f>
        <v>1</v>
      </c>
      <c r="D55" s="83">
        <f t="shared" si="40"/>
        <v>1</v>
      </c>
      <c r="E55" s="83">
        <f t="shared" si="40"/>
        <v>1</v>
      </c>
      <c r="F55" s="83">
        <f t="shared" si="40"/>
        <v>1</v>
      </c>
      <c r="G55" s="83">
        <f t="shared" si="40"/>
        <v>1</v>
      </c>
      <c r="H55" s="83">
        <f t="shared" si="40"/>
        <v>1</v>
      </c>
      <c r="I55" s="83">
        <f t="shared" si="40"/>
        <v>1</v>
      </c>
      <c r="J55" s="83">
        <f t="shared" si="40"/>
        <v>1</v>
      </c>
      <c r="K55" s="83">
        <f t="shared" si="40"/>
        <v>1</v>
      </c>
      <c r="L55" s="83">
        <f t="shared" si="40"/>
        <v>1</v>
      </c>
      <c r="M55" s="83">
        <f t="shared" si="40"/>
        <v>1</v>
      </c>
      <c r="N55" s="83">
        <f t="shared" si="40"/>
        <v>1</v>
      </c>
      <c r="O55" s="83">
        <f t="shared" si="40"/>
        <v>1</v>
      </c>
      <c r="P55" s="83">
        <f t="shared" si="40"/>
        <v>1</v>
      </c>
      <c r="Q55" s="83">
        <f t="shared" si="40"/>
        <v>1</v>
      </c>
      <c r="R55" s="83">
        <f t="shared" si="40"/>
        <v>1</v>
      </c>
      <c r="S55" s="83">
        <f t="shared" si="40"/>
        <v>1</v>
      </c>
      <c r="T55" s="83">
        <f t="shared" si="40"/>
        <v>1</v>
      </c>
      <c r="U55" s="83">
        <f t="shared" si="40"/>
        <v>1</v>
      </c>
      <c r="V55" s="83">
        <f t="shared" si="40"/>
        <v>1</v>
      </c>
      <c r="W55" s="83">
        <f t="shared" si="40"/>
        <v>1</v>
      </c>
      <c r="X55" s="83">
        <f t="shared" ref="X55:Y55" si="41">IF(X47=0,0,X47/X$47)</f>
        <v>1</v>
      </c>
      <c r="Y55" s="83">
        <f t="shared" si="41"/>
        <v>1</v>
      </c>
      <c r="DA55" s="112"/>
    </row>
    <row r="56" spans="1:105" ht="12" customHeight="1" x14ac:dyDescent="0.25">
      <c r="A56" s="69" t="s">
        <v>36</v>
      </c>
      <c r="B56" s="70">
        <f t="shared" ref="B56" si="42">IF(B48=0,0,B48/B$47)</f>
        <v>0.78535603732707127</v>
      </c>
      <c r="C56" s="70">
        <f t="shared" ref="C56:W56" si="43">IF(C48=0,0,C48/C$47)</f>
        <v>0.77526150283540318</v>
      </c>
      <c r="D56" s="70">
        <f t="shared" si="43"/>
        <v>0.76858542988753886</v>
      </c>
      <c r="E56" s="70">
        <f t="shared" si="43"/>
        <v>0.76198276501224627</v>
      </c>
      <c r="F56" s="70">
        <f t="shared" si="43"/>
        <v>0.75755289579987417</v>
      </c>
      <c r="G56" s="70">
        <f t="shared" si="43"/>
        <v>0.75071608759147945</v>
      </c>
      <c r="H56" s="70">
        <f t="shared" si="43"/>
        <v>0.75814314496562085</v>
      </c>
      <c r="I56" s="70">
        <f t="shared" si="43"/>
        <v>0.74729106984299354</v>
      </c>
      <c r="J56" s="70">
        <f t="shared" si="43"/>
        <v>0.72836043307460641</v>
      </c>
      <c r="K56" s="70">
        <f t="shared" si="43"/>
        <v>0.71886057832937245</v>
      </c>
      <c r="L56" s="70">
        <f t="shared" si="43"/>
        <v>0.72045637024453557</v>
      </c>
      <c r="M56" s="70">
        <f t="shared" si="43"/>
        <v>0.70892966993003503</v>
      </c>
      <c r="N56" s="70">
        <f t="shared" si="43"/>
        <v>0.71752966769529325</v>
      </c>
      <c r="O56" s="70">
        <f t="shared" si="43"/>
        <v>0.70088862561464194</v>
      </c>
      <c r="P56" s="70">
        <f t="shared" si="43"/>
        <v>0.68981960124491082</v>
      </c>
      <c r="Q56" s="70">
        <f t="shared" si="43"/>
        <v>0.67483149831495726</v>
      </c>
      <c r="R56" s="70">
        <f t="shared" si="43"/>
        <v>0.68521179124909282</v>
      </c>
      <c r="S56" s="70">
        <f t="shared" si="43"/>
        <v>0.69383844236669001</v>
      </c>
      <c r="T56" s="70">
        <f t="shared" si="43"/>
        <v>0.70459460061033796</v>
      </c>
      <c r="U56" s="70">
        <f t="shared" si="43"/>
        <v>0.69704108885063387</v>
      </c>
      <c r="V56" s="70">
        <f t="shared" si="43"/>
        <v>0.68425439248322206</v>
      </c>
      <c r="W56" s="70">
        <f t="shared" si="43"/>
        <v>0.71111675668860985</v>
      </c>
      <c r="X56" s="70">
        <f t="shared" ref="X56:Y56" si="44">IF(X48=0,0,X48/X$47)</f>
        <v>0.70443953377546031</v>
      </c>
      <c r="Y56" s="70">
        <f t="shared" si="44"/>
        <v>0.70026478844496454</v>
      </c>
      <c r="DA56" s="113"/>
    </row>
    <row r="57" spans="1:105" ht="12" customHeight="1" x14ac:dyDescent="0.25">
      <c r="A57" s="61" t="s">
        <v>32</v>
      </c>
      <c r="B57" s="71">
        <f t="shared" ref="B57" si="45">IF(B49=0,0,B49/B$47)</f>
        <v>0.6412837948184672</v>
      </c>
      <c r="C57" s="71">
        <f t="shared" ref="C57:W57" si="46">IF(C49=0,0,C49/C$47)</f>
        <v>0.62879196452312669</v>
      </c>
      <c r="D57" s="71">
        <f t="shared" si="46"/>
        <v>0.61929223653736154</v>
      </c>
      <c r="E57" s="71">
        <f t="shared" si="46"/>
        <v>0.61204674931285785</v>
      </c>
      <c r="F57" s="71">
        <f t="shared" si="46"/>
        <v>0.60414442696119086</v>
      </c>
      <c r="G57" s="71">
        <f t="shared" si="46"/>
        <v>0.58963639305355764</v>
      </c>
      <c r="H57" s="71">
        <f t="shared" si="46"/>
        <v>0.59560322166161916</v>
      </c>
      <c r="I57" s="71">
        <f t="shared" si="46"/>
        <v>0.57895269200828736</v>
      </c>
      <c r="J57" s="71">
        <f t="shared" si="46"/>
        <v>0.54861941710919593</v>
      </c>
      <c r="K57" s="71">
        <f t="shared" si="46"/>
        <v>0.53046269420586167</v>
      </c>
      <c r="L57" s="71">
        <f t="shared" si="46"/>
        <v>0.53164308220693357</v>
      </c>
      <c r="M57" s="71">
        <f t="shared" si="46"/>
        <v>0.51164274821169553</v>
      </c>
      <c r="N57" s="71">
        <f t="shared" si="46"/>
        <v>0.52431218426081516</v>
      </c>
      <c r="O57" s="71">
        <f t="shared" si="46"/>
        <v>0.49750428838276406</v>
      </c>
      <c r="P57" s="71">
        <f t="shared" si="46"/>
        <v>0.48105716963781964</v>
      </c>
      <c r="Q57" s="71">
        <f t="shared" si="46"/>
        <v>0.46299465006618012</v>
      </c>
      <c r="R57" s="71">
        <f t="shared" si="46"/>
        <v>0.48219515241763355</v>
      </c>
      <c r="S57" s="71">
        <f t="shared" si="46"/>
        <v>0.49414755009573685</v>
      </c>
      <c r="T57" s="71">
        <f t="shared" si="46"/>
        <v>0.50958532848140814</v>
      </c>
      <c r="U57" s="71">
        <f t="shared" si="46"/>
        <v>0.48647093116575363</v>
      </c>
      <c r="V57" s="71">
        <f t="shared" si="46"/>
        <v>0.47534808071929069</v>
      </c>
      <c r="W57" s="71">
        <f t="shared" si="46"/>
        <v>0.50698172138385267</v>
      </c>
      <c r="X57" s="71">
        <f t="shared" ref="X57:Y57" si="47">IF(X49=0,0,X49/X$47)</f>
        <v>0.49277934126646383</v>
      </c>
      <c r="Y57" s="71">
        <f t="shared" si="47"/>
        <v>0.48294126623758027</v>
      </c>
      <c r="DA57" s="114"/>
    </row>
    <row r="58" spans="1:105" ht="12" customHeight="1" x14ac:dyDescent="0.25">
      <c r="A58" s="61" t="s">
        <v>31</v>
      </c>
      <c r="B58" s="72">
        <f t="shared" ref="B58" si="48">IF(B50=0,0,B50/B$47)</f>
        <v>2.4840658142110022E-3</v>
      </c>
      <c r="C58" s="72">
        <f t="shared" ref="C58:W58" si="49">IF(C50=0,0,C50/C$47)</f>
        <v>2.6927079975229951E-3</v>
      </c>
      <c r="D58" s="72">
        <f t="shared" si="49"/>
        <v>2.9624932881721004E-3</v>
      </c>
      <c r="E58" s="72">
        <f t="shared" si="49"/>
        <v>2.6704925767522701E-3</v>
      </c>
      <c r="F58" s="72">
        <f t="shared" si="49"/>
        <v>2.6847218285684688E-3</v>
      </c>
      <c r="G58" s="72">
        <f t="shared" si="49"/>
        <v>2.765544223313602E-3</v>
      </c>
      <c r="H58" s="72">
        <f t="shared" si="49"/>
        <v>2.9961817773768141E-3</v>
      </c>
      <c r="I58" s="72">
        <f t="shared" si="49"/>
        <v>2.8470456738650955E-3</v>
      </c>
      <c r="J58" s="72">
        <f t="shared" si="49"/>
        <v>3.0446021526394935E-3</v>
      </c>
      <c r="K58" s="72">
        <f t="shared" si="49"/>
        <v>3.2636018616445921E-3</v>
      </c>
      <c r="L58" s="72">
        <f t="shared" si="49"/>
        <v>4.1556422269045127E-3</v>
      </c>
      <c r="M58" s="72">
        <f t="shared" si="49"/>
        <v>3.4431612646456779E-3</v>
      </c>
      <c r="N58" s="72">
        <f t="shared" si="49"/>
        <v>3.5970032866319427E-3</v>
      </c>
      <c r="O58" s="72">
        <f t="shared" si="49"/>
        <v>3.486642691749176E-3</v>
      </c>
      <c r="P58" s="72">
        <f t="shared" si="49"/>
        <v>3.9328389707803547E-3</v>
      </c>
      <c r="Q58" s="72">
        <f t="shared" si="49"/>
        <v>3.8774064036247251E-3</v>
      </c>
      <c r="R58" s="72">
        <f t="shared" si="49"/>
        <v>3.5300350169893283E-3</v>
      </c>
      <c r="S58" s="72">
        <f t="shared" si="49"/>
        <v>3.3193593999503584E-3</v>
      </c>
      <c r="T58" s="72">
        <f t="shared" si="49"/>
        <v>3.47056488970379E-3</v>
      </c>
      <c r="U58" s="72">
        <f t="shared" si="49"/>
        <v>3.5711351481967045E-3</v>
      </c>
      <c r="V58" s="72">
        <f t="shared" si="49"/>
        <v>3.8067316303585738E-3</v>
      </c>
      <c r="W58" s="72">
        <f t="shared" si="49"/>
        <v>4.0724743530395919E-3</v>
      </c>
      <c r="X58" s="72">
        <f t="shared" ref="X58:Y58" si="50">IF(X50=0,0,X50/X$47)</f>
        <v>3.8860601291721333E-3</v>
      </c>
      <c r="Y58" s="72">
        <f t="shared" si="50"/>
        <v>4.0335656385074607E-3</v>
      </c>
      <c r="DA58" s="115"/>
    </row>
    <row r="59" spans="1:105" ht="12" customHeight="1" x14ac:dyDescent="0.25">
      <c r="A59" s="61" t="s">
        <v>35</v>
      </c>
      <c r="B59" s="72">
        <f t="shared" ref="B59" si="51">IF(B51=0,0,B51/B$47)</f>
        <v>6.881700832121232E-2</v>
      </c>
      <c r="C59" s="72">
        <f t="shared" ref="C59:W59" si="52">IF(C51=0,0,C51/C$47)</f>
        <v>7.0525216419011008E-2</v>
      </c>
      <c r="D59" s="72">
        <f t="shared" si="52"/>
        <v>7.1644580405651054E-2</v>
      </c>
      <c r="E59" s="72">
        <f t="shared" si="52"/>
        <v>7.2249945726599721E-2</v>
      </c>
      <c r="F59" s="72">
        <f t="shared" si="52"/>
        <v>7.5356735199997985E-2</v>
      </c>
      <c r="G59" s="72">
        <f t="shared" si="52"/>
        <v>7.9492272175503073E-2</v>
      </c>
      <c r="H59" s="72">
        <f t="shared" si="52"/>
        <v>7.9435481419552215E-2</v>
      </c>
      <c r="I59" s="72">
        <f t="shared" si="52"/>
        <v>8.2800728400691831E-2</v>
      </c>
      <c r="J59" s="72">
        <f t="shared" si="52"/>
        <v>9.0220859692945743E-2</v>
      </c>
      <c r="K59" s="72">
        <f t="shared" si="52"/>
        <v>9.3971754858816425E-2</v>
      </c>
      <c r="L59" s="72">
        <f t="shared" si="52"/>
        <v>9.4580409670229806E-2</v>
      </c>
      <c r="M59" s="72">
        <f t="shared" si="52"/>
        <v>0.10029971303796736</v>
      </c>
      <c r="N59" s="72">
        <f t="shared" si="52"/>
        <v>9.7132124096791325E-2</v>
      </c>
      <c r="O59" s="72">
        <f t="shared" si="52"/>
        <v>0.10322804718621821</v>
      </c>
      <c r="P59" s="72">
        <f t="shared" si="52"/>
        <v>0.10613982859391043</v>
      </c>
      <c r="Q59" s="72">
        <f t="shared" si="52"/>
        <v>0.10912377566122176</v>
      </c>
      <c r="R59" s="72">
        <f t="shared" si="52"/>
        <v>0.10409797362625188</v>
      </c>
      <c r="S59" s="72">
        <f t="shared" si="52"/>
        <v>0.10214682828501143</v>
      </c>
      <c r="T59" s="72">
        <f t="shared" si="52"/>
        <v>9.8520989882274312E-2</v>
      </c>
      <c r="U59" s="72">
        <f t="shared" si="52"/>
        <v>0.10341601714127654</v>
      </c>
      <c r="V59" s="72">
        <f t="shared" si="52"/>
        <v>9.8970050263479895E-2</v>
      </c>
      <c r="W59" s="72">
        <f t="shared" si="52"/>
        <v>9.7062579729571039E-2</v>
      </c>
      <c r="X59" s="72">
        <f t="shared" ref="X59:Y59" si="53">IF(X51=0,0,X51/X$47)</f>
        <v>0.10082521994949468</v>
      </c>
      <c r="Y59" s="72">
        <f t="shared" si="53"/>
        <v>0.10335394584681645</v>
      </c>
      <c r="DA59" s="115"/>
    </row>
    <row r="60" spans="1:105" ht="12" customHeight="1" x14ac:dyDescent="0.25">
      <c r="A60" s="61" t="s">
        <v>34</v>
      </c>
      <c r="B60" s="73">
        <f t="shared" ref="B60" si="54">IF(B52=0,0,B52/B$47)</f>
        <v>7.2771168373180789E-2</v>
      </c>
      <c r="C60" s="73">
        <f t="shared" ref="C60:W60" si="55">IF(C52=0,0,C52/C$47)</f>
        <v>7.3251613895742446E-2</v>
      </c>
      <c r="D60" s="73">
        <f t="shared" si="55"/>
        <v>7.4686119656354147E-2</v>
      </c>
      <c r="E60" s="73">
        <f t="shared" si="55"/>
        <v>7.5015577396036398E-2</v>
      </c>
      <c r="F60" s="73">
        <f t="shared" si="55"/>
        <v>7.5367011810116999E-2</v>
      </c>
      <c r="G60" s="73">
        <f t="shared" si="55"/>
        <v>7.8821878139105156E-2</v>
      </c>
      <c r="H60" s="73">
        <f t="shared" si="55"/>
        <v>8.0108260107072712E-2</v>
      </c>
      <c r="I60" s="73">
        <f t="shared" si="55"/>
        <v>8.2690603760149237E-2</v>
      </c>
      <c r="J60" s="73">
        <f t="shared" si="55"/>
        <v>8.6475554119825174E-2</v>
      </c>
      <c r="K60" s="73">
        <f t="shared" si="55"/>
        <v>9.1162527403049753E-2</v>
      </c>
      <c r="L60" s="73">
        <f t="shared" si="55"/>
        <v>9.0077236140467656E-2</v>
      </c>
      <c r="M60" s="73">
        <f t="shared" si="55"/>
        <v>9.3544047415726458E-2</v>
      </c>
      <c r="N60" s="73">
        <f t="shared" si="55"/>
        <v>9.2488356051054862E-2</v>
      </c>
      <c r="O60" s="73">
        <f t="shared" si="55"/>
        <v>9.6669647353910607E-2</v>
      </c>
      <c r="P60" s="73">
        <f t="shared" si="55"/>
        <v>9.8689764042400346E-2</v>
      </c>
      <c r="Q60" s="73">
        <f t="shared" si="55"/>
        <v>9.8835666183930526E-2</v>
      </c>
      <c r="R60" s="73">
        <f t="shared" si="55"/>
        <v>9.5388630188217916E-2</v>
      </c>
      <c r="S60" s="73">
        <f t="shared" si="55"/>
        <v>9.4224704585991415E-2</v>
      </c>
      <c r="T60" s="73">
        <f t="shared" si="55"/>
        <v>9.3017717356951662E-2</v>
      </c>
      <c r="U60" s="73">
        <f t="shared" si="55"/>
        <v>0.10358300539540696</v>
      </c>
      <c r="V60" s="73">
        <f t="shared" si="55"/>
        <v>0.10612952987009287</v>
      </c>
      <c r="W60" s="73">
        <f t="shared" si="55"/>
        <v>0.10299998122214661</v>
      </c>
      <c r="X60" s="73">
        <f t="shared" ref="X60:Y60" si="56">IF(X52=0,0,X52/X$47)</f>
        <v>0.10694891243032963</v>
      </c>
      <c r="Y60" s="73">
        <f t="shared" si="56"/>
        <v>0.10993601072206025</v>
      </c>
      <c r="DA60" s="116"/>
    </row>
    <row r="61" spans="1:105" ht="12" customHeight="1" x14ac:dyDescent="0.25">
      <c r="A61" s="69" t="s">
        <v>33</v>
      </c>
      <c r="B61" s="70">
        <f t="shared" ref="B61" si="57">IF(B53=0,0,B53/B$47)</f>
        <v>0.21464396267292868</v>
      </c>
      <c r="C61" s="70">
        <f t="shared" ref="C61:W61" si="58">IF(C53=0,0,C53/C$47)</f>
        <v>0.22473849716459673</v>
      </c>
      <c r="D61" s="70">
        <f t="shared" si="58"/>
        <v>0.23141457011246114</v>
      </c>
      <c r="E61" s="70">
        <f t="shared" si="58"/>
        <v>0.23801723498775379</v>
      </c>
      <c r="F61" s="70">
        <f t="shared" si="58"/>
        <v>0.24244710420012575</v>
      </c>
      <c r="G61" s="70">
        <f t="shared" si="58"/>
        <v>0.24928391240852052</v>
      </c>
      <c r="H61" s="70">
        <f t="shared" si="58"/>
        <v>0.24185685503437912</v>
      </c>
      <c r="I61" s="70">
        <f t="shared" si="58"/>
        <v>0.25270893015700657</v>
      </c>
      <c r="J61" s="70">
        <f t="shared" si="58"/>
        <v>0.27163956692539365</v>
      </c>
      <c r="K61" s="70">
        <f t="shared" si="58"/>
        <v>0.28113942167062761</v>
      </c>
      <c r="L61" s="70">
        <f t="shared" si="58"/>
        <v>0.27954362975546437</v>
      </c>
      <c r="M61" s="70">
        <f t="shared" si="58"/>
        <v>0.29107033006996497</v>
      </c>
      <c r="N61" s="70">
        <f t="shared" si="58"/>
        <v>0.28247033230470669</v>
      </c>
      <c r="O61" s="70">
        <f t="shared" si="58"/>
        <v>0.29911137438535806</v>
      </c>
      <c r="P61" s="70">
        <f t="shared" si="58"/>
        <v>0.31018039875508935</v>
      </c>
      <c r="Q61" s="70">
        <f t="shared" si="58"/>
        <v>0.32516850168504274</v>
      </c>
      <c r="R61" s="70">
        <f t="shared" si="58"/>
        <v>0.31478820875090735</v>
      </c>
      <c r="S61" s="70">
        <f t="shared" si="58"/>
        <v>0.30616155763330993</v>
      </c>
      <c r="T61" s="70">
        <f t="shared" si="58"/>
        <v>0.29540539938966215</v>
      </c>
      <c r="U61" s="70">
        <f t="shared" si="58"/>
        <v>0.30295891114936618</v>
      </c>
      <c r="V61" s="70">
        <f t="shared" si="58"/>
        <v>0.31574560751677788</v>
      </c>
      <c r="W61" s="70">
        <f t="shared" si="58"/>
        <v>0.28888324331139026</v>
      </c>
      <c r="X61" s="70">
        <f t="shared" ref="X61:Y61" si="59">IF(X53=0,0,X53/X$47)</f>
        <v>0.29556046622453974</v>
      </c>
      <c r="Y61" s="70">
        <f t="shared" si="59"/>
        <v>0.29973521155503552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315.6789114</v>
      </c>
      <c r="C65" s="80">
        <v>272.36534435999999</v>
      </c>
      <c r="D65" s="80">
        <v>311.58969551999996</v>
      </c>
      <c r="E65" s="80">
        <v>301.74478379999999</v>
      </c>
      <c r="F65" s="80">
        <v>327.47220547200004</v>
      </c>
      <c r="G65" s="80">
        <v>345.18161484000001</v>
      </c>
      <c r="H65" s="80">
        <v>419.55001113599991</v>
      </c>
      <c r="I65" s="80">
        <v>397.85393426400003</v>
      </c>
      <c r="J65" s="80">
        <v>349.58853345600005</v>
      </c>
      <c r="K65" s="80">
        <v>352.03592275200003</v>
      </c>
      <c r="L65" s="80">
        <v>367.60599669600003</v>
      </c>
      <c r="M65" s="80">
        <v>393.08049129600005</v>
      </c>
      <c r="N65" s="80">
        <v>324.8874264960001</v>
      </c>
      <c r="O65" s="80">
        <v>352.5113303280001</v>
      </c>
      <c r="P65" s="80">
        <v>309.7747225440001</v>
      </c>
      <c r="Q65" s="80">
        <v>277.68165314399999</v>
      </c>
      <c r="R65" s="80">
        <v>314.90964107999997</v>
      </c>
      <c r="S65" s="80">
        <v>330.02766338399999</v>
      </c>
      <c r="T65" s="80">
        <v>344.192851512</v>
      </c>
      <c r="U65" s="80">
        <v>317.71727107200002</v>
      </c>
      <c r="V65" s="80">
        <v>263.44850227200004</v>
      </c>
      <c r="W65" s="80">
        <v>292.38061024799998</v>
      </c>
      <c r="X65" s="80">
        <v>288.30779495999997</v>
      </c>
      <c r="Y65" s="80">
        <v>299.000437987054</v>
      </c>
      <c r="DA65" s="103" t="s">
        <v>219</v>
      </c>
    </row>
    <row r="66" spans="1:105" ht="12" customHeight="1" x14ac:dyDescent="0.25">
      <c r="A66" s="58" t="s">
        <v>29</v>
      </c>
      <c r="B66" s="59">
        <v>180.21602447999999</v>
      </c>
      <c r="C66" s="59">
        <v>149.00366447999997</v>
      </c>
      <c r="D66" s="59">
        <v>174.37455359999996</v>
      </c>
      <c r="E66" s="59">
        <v>176.55425279999997</v>
      </c>
      <c r="F66" s="59">
        <v>174.17819599199998</v>
      </c>
      <c r="G66" s="59">
        <v>204.35757407999998</v>
      </c>
      <c r="H66" s="59">
        <v>274.27215621599993</v>
      </c>
      <c r="I66" s="59">
        <v>209.88372974399999</v>
      </c>
      <c r="J66" s="59">
        <v>160.027108416</v>
      </c>
      <c r="K66" s="59">
        <v>196.58559355200001</v>
      </c>
      <c r="L66" s="59">
        <v>198.989700696</v>
      </c>
      <c r="M66" s="59">
        <v>235.96526865600006</v>
      </c>
      <c r="N66" s="59">
        <v>166.72080657600006</v>
      </c>
      <c r="O66" s="59">
        <v>194.49618040800004</v>
      </c>
      <c r="P66" s="59">
        <v>170.43022598400006</v>
      </c>
      <c r="Q66" s="59">
        <v>126.87794078399997</v>
      </c>
      <c r="R66" s="59">
        <v>154.76527871999997</v>
      </c>
      <c r="S66" s="59">
        <v>161.06079110399995</v>
      </c>
      <c r="T66" s="59">
        <v>167.11784647199997</v>
      </c>
      <c r="U66" s="59">
        <v>140.264237232</v>
      </c>
      <c r="V66" s="59">
        <v>92.665423151999988</v>
      </c>
      <c r="W66" s="59">
        <v>113.00954716799998</v>
      </c>
      <c r="X66" s="59">
        <v>111.29644475999999</v>
      </c>
      <c r="Y66" s="59">
        <v>72.877082039999976</v>
      </c>
      <c r="DA66" s="104" t="s">
        <v>220</v>
      </c>
    </row>
    <row r="67" spans="1:105" ht="12" customHeight="1" x14ac:dyDescent="0.25">
      <c r="A67" s="60" t="s">
        <v>28</v>
      </c>
      <c r="B67" s="55">
        <f>SUM(B68:B69)</f>
        <v>62.403856920000003</v>
      </c>
      <c r="C67" s="55">
        <f t="shared" ref="C67:W67" si="60">SUM(C68:C69)</f>
        <v>43.688459880000003</v>
      </c>
      <c r="D67" s="55">
        <f t="shared" si="60"/>
        <v>46.838041920000002</v>
      </c>
      <c r="E67" s="55">
        <f t="shared" si="60"/>
        <v>31.228641000000003</v>
      </c>
      <c r="F67" s="55">
        <f t="shared" si="60"/>
        <v>31.360659479999999</v>
      </c>
      <c r="G67" s="55">
        <f t="shared" si="60"/>
        <v>22.021070760000001</v>
      </c>
      <c r="H67" s="55">
        <f t="shared" si="60"/>
        <v>18.850894919999998</v>
      </c>
      <c r="I67" s="55">
        <f t="shared" si="60"/>
        <v>18.879194520000006</v>
      </c>
      <c r="J67" s="55">
        <f t="shared" si="60"/>
        <v>28.397345040000008</v>
      </c>
      <c r="K67" s="55">
        <f t="shared" si="60"/>
        <v>9.4837391999999987</v>
      </c>
      <c r="L67" s="55">
        <f t="shared" si="60"/>
        <v>12.652686000000003</v>
      </c>
      <c r="M67" s="55">
        <f t="shared" si="60"/>
        <v>15.844202640000002</v>
      </c>
      <c r="N67" s="55">
        <f t="shared" si="60"/>
        <v>9.5745499200000026</v>
      </c>
      <c r="O67" s="55">
        <f t="shared" si="60"/>
        <v>9.5745499200000026</v>
      </c>
      <c r="P67" s="55">
        <f t="shared" si="60"/>
        <v>12.766066560000002</v>
      </c>
      <c r="Q67" s="55">
        <f t="shared" si="60"/>
        <v>6.3518223600000008</v>
      </c>
      <c r="R67" s="55">
        <f t="shared" si="60"/>
        <v>6.3518223600000008</v>
      </c>
      <c r="S67" s="55">
        <f t="shared" si="60"/>
        <v>7.2453826799999987</v>
      </c>
      <c r="T67" s="55">
        <f t="shared" si="60"/>
        <v>5.3597268000000007</v>
      </c>
      <c r="U67" s="55">
        <f t="shared" si="60"/>
        <v>6.9448705199999994</v>
      </c>
      <c r="V67" s="55">
        <f t="shared" si="60"/>
        <v>7.9041567600000002</v>
      </c>
      <c r="W67" s="55">
        <f t="shared" si="60"/>
        <v>9.16947504</v>
      </c>
      <c r="X67" s="55">
        <f t="shared" ref="X67:Y67" si="61">SUM(X68:X69)</f>
        <v>8.2218664799999992</v>
      </c>
      <c r="Y67" s="55">
        <f t="shared" si="61"/>
        <v>11.658503880000001</v>
      </c>
      <c r="DA67" s="101"/>
    </row>
    <row r="68" spans="1:105" ht="12" customHeight="1" x14ac:dyDescent="0.25">
      <c r="A68" s="61" t="s">
        <v>52</v>
      </c>
      <c r="B68" s="55">
        <v>0</v>
      </c>
      <c r="C68" s="55">
        <v>0</v>
      </c>
      <c r="D68" s="55">
        <v>0</v>
      </c>
      <c r="E68" s="55">
        <v>0</v>
      </c>
      <c r="F68" s="55">
        <v>0</v>
      </c>
      <c r="G68" s="55">
        <v>0</v>
      </c>
      <c r="H68" s="55">
        <v>0</v>
      </c>
      <c r="I68" s="55">
        <v>0</v>
      </c>
      <c r="J68" s="55">
        <v>0</v>
      </c>
      <c r="K68" s="55">
        <v>0</v>
      </c>
      <c r="L68" s="55">
        <v>0</v>
      </c>
      <c r="M68" s="55">
        <v>0</v>
      </c>
      <c r="N68" s="55">
        <v>0</v>
      </c>
      <c r="O68" s="55">
        <v>0</v>
      </c>
      <c r="P68" s="55">
        <v>0</v>
      </c>
      <c r="Q68" s="55">
        <v>0</v>
      </c>
      <c r="R68" s="55">
        <v>0</v>
      </c>
      <c r="S68" s="55">
        <v>0</v>
      </c>
      <c r="T68" s="55">
        <v>0</v>
      </c>
      <c r="U68" s="55">
        <v>0</v>
      </c>
      <c r="V68" s="55">
        <v>0</v>
      </c>
      <c r="W68" s="55">
        <v>0</v>
      </c>
      <c r="X68" s="55">
        <v>0</v>
      </c>
      <c r="Y68" s="55">
        <v>0</v>
      </c>
      <c r="DA68" s="101" t="s">
        <v>221</v>
      </c>
    </row>
    <row r="69" spans="1:105" ht="12" customHeight="1" x14ac:dyDescent="0.25">
      <c r="A69" s="61" t="s">
        <v>163</v>
      </c>
      <c r="B69" s="55">
        <v>62.403856920000003</v>
      </c>
      <c r="C69" s="55">
        <v>43.688459880000003</v>
      </c>
      <c r="D69" s="55">
        <v>46.838041920000002</v>
      </c>
      <c r="E69" s="55">
        <v>31.228641000000003</v>
      </c>
      <c r="F69" s="55">
        <v>31.360659479999999</v>
      </c>
      <c r="G69" s="55">
        <v>22.021070760000001</v>
      </c>
      <c r="H69" s="55">
        <v>18.850894919999998</v>
      </c>
      <c r="I69" s="55">
        <v>18.879194520000006</v>
      </c>
      <c r="J69" s="55">
        <v>28.397345040000008</v>
      </c>
      <c r="K69" s="55">
        <v>9.4837391999999987</v>
      </c>
      <c r="L69" s="55">
        <v>12.652686000000003</v>
      </c>
      <c r="M69" s="55">
        <v>15.844202640000002</v>
      </c>
      <c r="N69" s="55">
        <v>9.5745499200000026</v>
      </c>
      <c r="O69" s="55">
        <v>9.5745499200000026</v>
      </c>
      <c r="P69" s="55">
        <v>12.766066560000002</v>
      </c>
      <c r="Q69" s="55">
        <v>6.3518223600000008</v>
      </c>
      <c r="R69" s="55">
        <v>6.3518223600000008</v>
      </c>
      <c r="S69" s="55">
        <v>7.2453826799999987</v>
      </c>
      <c r="T69" s="55">
        <v>5.3597268000000007</v>
      </c>
      <c r="U69" s="55">
        <v>6.9448705199999994</v>
      </c>
      <c r="V69" s="55">
        <v>7.9041567600000002</v>
      </c>
      <c r="W69" s="55">
        <v>9.16947504</v>
      </c>
      <c r="X69" s="55">
        <v>8.2218664799999992</v>
      </c>
      <c r="Y69" s="55">
        <v>11.658503880000001</v>
      </c>
      <c r="DA69" s="101" t="s">
        <v>222</v>
      </c>
    </row>
    <row r="70" spans="1:105" ht="12" customHeight="1" x14ac:dyDescent="0.25">
      <c r="A70" s="60" t="s">
        <v>149</v>
      </c>
      <c r="B70" s="55">
        <v>73.059029999999993</v>
      </c>
      <c r="C70" s="55">
        <v>79.673220000000001</v>
      </c>
      <c r="D70" s="55">
        <v>90.377099999999999</v>
      </c>
      <c r="E70" s="55">
        <v>93.961890000000025</v>
      </c>
      <c r="F70" s="55">
        <v>121.93335000000002</v>
      </c>
      <c r="G70" s="55">
        <v>118.80297</v>
      </c>
      <c r="H70" s="55">
        <v>126.42695999999999</v>
      </c>
      <c r="I70" s="55">
        <v>169.09101000000001</v>
      </c>
      <c r="J70" s="55">
        <v>161.16408000000001</v>
      </c>
      <c r="K70" s="55">
        <v>145.96659</v>
      </c>
      <c r="L70" s="55">
        <v>155.96361000000002</v>
      </c>
      <c r="M70" s="55">
        <v>141.27101999999999</v>
      </c>
      <c r="N70" s="55">
        <v>148.59207000000004</v>
      </c>
      <c r="O70" s="55">
        <v>148.44060000000002</v>
      </c>
      <c r="P70" s="55">
        <v>126.57843000000001</v>
      </c>
      <c r="Q70" s="55">
        <v>144.45189000000002</v>
      </c>
      <c r="R70" s="55">
        <v>153.79254</v>
      </c>
      <c r="S70" s="55">
        <v>161.72148960000001</v>
      </c>
      <c r="T70" s="55">
        <v>171.71527824000003</v>
      </c>
      <c r="U70" s="55">
        <v>170.50816332000002</v>
      </c>
      <c r="V70" s="55">
        <v>162.87892236000002</v>
      </c>
      <c r="W70" s="55">
        <v>170.20158804000002</v>
      </c>
      <c r="X70" s="55">
        <v>168.78948371999999</v>
      </c>
      <c r="Y70" s="55">
        <v>214.46485206705401</v>
      </c>
      <c r="DA70" s="101" t="s">
        <v>223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62">SUM(C72:C76)</f>
        <v>0</v>
      </c>
      <c r="D71" s="55">
        <f t="shared" si="62"/>
        <v>0</v>
      </c>
      <c r="E71" s="55">
        <f t="shared" si="62"/>
        <v>0</v>
      </c>
      <c r="F71" s="55">
        <f t="shared" si="62"/>
        <v>0</v>
      </c>
      <c r="G71" s="55">
        <f t="shared" si="62"/>
        <v>0</v>
      </c>
      <c r="H71" s="55">
        <f t="shared" si="62"/>
        <v>0</v>
      </c>
      <c r="I71" s="55">
        <f t="shared" si="62"/>
        <v>0</v>
      </c>
      <c r="J71" s="55">
        <f t="shared" si="62"/>
        <v>0</v>
      </c>
      <c r="K71" s="55">
        <f t="shared" si="62"/>
        <v>0</v>
      </c>
      <c r="L71" s="55">
        <f t="shared" si="62"/>
        <v>0</v>
      </c>
      <c r="M71" s="55">
        <f t="shared" si="62"/>
        <v>0</v>
      </c>
      <c r="N71" s="55">
        <f t="shared" si="62"/>
        <v>0</v>
      </c>
      <c r="O71" s="55">
        <f t="shared" si="62"/>
        <v>0</v>
      </c>
      <c r="P71" s="55">
        <f t="shared" si="62"/>
        <v>0</v>
      </c>
      <c r="Q71" s="55">
        <f t="shared" si="62"/>
        <v>0</v>
      </c>
      <c r="R71" s="55">
        <f t="shared" si="62"/>
        <v>0</v>
      </c>
      <c r="S71" s="55">
        <f t="shared" si="62"/>
        <v>0</v>
      </c>
      <c r="T71" s="55">
        <f t="shared" si="62"/>
        <v>0</v>
      </c>
      <c r="U71" s="55">
        <f t="shared" si="62"/>
        <v>0</v>
      </c>
      <c r="V71" s="55">
        <f t="shared" si="62"/>
        <v>0</v>
      </c>
      <c r="W71" s="55">
        <f t="shared" si="62"/>
        <v>0</v>
      </c>
      <c r="X71" s="55">
        <f t="shared" ref="X71:Y71" si="63">SUM(X72:X76)</f>
        <v>0</v>
      </c>
      <c r="Y71" s="55">
        <f t="shared" si="63"/>
        <v>0</v>
      </c>
      <c r="DA71" s="101"/>
    </row>
    <row r="72" spans="1:105" ht="12" customHeight="1" x14ac:dyDescent="0.25">
      <c r="A72" s="61" t="s">
        <v>164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DA72" s="101" t="s">
        <v>224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X73" s="55">
        <v>0</v>
      </c>
      <c r="Y73" s="55">
        <v>0</v>
      </c>
      <c r="DA73" s="101" t="s">
        <v>225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X74" s="55">
        <v>0</v>
      </c>
      <c r="Y74" s="55">
        <v>0</v>
      </c>
      <c r="DA74" s="101" t="s">
        <v>226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X75" s="55">
        <v>0</v>
      </c>
      <c r="Y75" s="55">
        <v>0</v>
      </c>
      <c r="DA75" s="101" t="s">
        <v>227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X76" s="55">
        <v>0</v>
      </c>
      <c r="Y76" s="55">
        <v>0</v>
      </c>
      <c r="DA76" s="101" t="s">
        <v>228</v>
      </c>
    </row>
    <row r="77" spans="1:105" ht="12" customHeight="1" x14ac:dyDescent="0.25">
      <c r="A77" s="61" t="s">
        <v>151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DA77" s="101" t="s">
        <v>229</v>
      </c>
    </row>
    <row r="78" spans="1:105" ht="12" customHeight="1" x14ac:dyDescent="0.25">
      <c r="A78" s="60" t="s">
        <v>162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X78" s="55">
        <v>0</v>
      </c>
      <c r="Y78" s="55">
        <v>0</v>
      </c>
      <c r="DA78" s="101" t="s">
        <v>230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3">
        <v>0</v>
      </c>
      <c r="Y79" s="63">
        <v>0</v>
      </c>
      <c r="DA79" s="105" t="s">
        <v>231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64">B82+B87</f>
        <v>315.67891140000006</v>
      </c>
      <c r="C81" s="82">
        <f t="shared" ref="C81:W81" si="65">C82+C87</f>
        <v>272.36534435999994</v>
      </c>
      <c r="D81" s="82">
        <f t="shared" si="65"/>
        <v>311.58969551999996</v>
      </c>
      <c r="E81" s="82">
        <f t="shared" si="65"/>
        <v>301.74478380000005</v>
      </c>
      <c r="F81" s="82">
        <f t="shared" si="65"/>
        <v>327.47220547200004</v>
      </c>
      <c r="G81" s="82">
        <f t="shared" si="65"/>
        <v>345.18161483999995</v>
      </c>
      <c r="H81" s="82">
        <f t="shared" si="65"/>
        <v>419.55001113600014</v>
      </c>
      <c r="I81" s="82">
        <f t="shared" si="65"/>
        <v>397.85393426400015</v>
      </c>
      <c r="J81" s="82">
        <f t="shared" si="65"/>
        <v>349.58853345600005</v>
      </c>
      <c r="K81" s="82">
        <f t="shared" si="65"/>
        <v>352.03592275199992</v>
      </c>
      <c r="L81" s="82">
        <f t="shared" si="65"/>
        <v>367.60599669600003</v>
      </c>
      <c r="M81" s="82">
        <f t="shared" si="65"/>
        <v>393.08049129599976</v>
      </c>
      <c r="N81" s="82">
        <f t="shared" si="65"/>
        <v>324.8874264960001</v>
      </c>
      <c r="O81" s="82">
        <f t="shared" si="65"/>
        <v>352.51133032800016</v>
      </c>
      <c r="P81" s="82">
        <f t="shared" si="65"/>
        <v>309.77472254399987</v>
      </c>
      <c r="Q81" s="82">
        <f t="shared" si="65"/>
        <v>277.68165314400017</v>
      </c>
      <c r="R81" s="82">
        <f t="shared" si="65"/>
        <v>314.90964107999991</v>
      </c>
      <c r="S81" s="82">
        <f t="shared" si="65"/>
        <v>330.02766338399994</v>
      </c>
      <c r="T81" s="82">
        <f t="shared" si="65"/>
        <v>344.19285151200012</v>
      </c>
      <c r="U81" s="82">
        <f t="shared" si="65"/>
        <v>317.7172710719999</v>
      </c>
      <c r="V81" s="82">
        <f t="shared" si="65"/>
        <v>263.44850227199998</v>
      </c>
      <c r="W81" s="82">
        <f t="shared" si="65"/>
        <v>292.38061024799993</v>
      </c>
      <c r="X81" s="82">
        <f t="shared" ref="X81:Y81" si="66">X82+X87</f>
        <v>288.30779496000002</v>
      </c>
      <c r="Y81" s="82">
        <f t="shared" si="66"/>
        <v>299.00043798705366</v>
      </c>
      <c r="DA81" s="107" t="s">
        <v>232</v>
      </c>
    </row>
    <row r="82" spans="1:105" ht="12" customHeight="1" x14ac:dyDescent="0.25">
      <c r="A82" s="77" t="s">
        <v>36</v>
      </c>
      <c r="B82" s="64">
        <f t="shared" ref="B82" si="67">SUM(B83:B86)</f>
        <v>315.67891140000006</v>
      </c>
      <c r="C82" s="64">
        <f t="shared" ref="C82:W82" si="68">SUM(C83:C86)</f>
        <v>272.36534435999994</v>
      </c>
      <c r="D82" s="64">
        <f t="shared" si="68"/>
        <v>311.58969551999996</v>
      </c>
      <c r="E82" s="64">
        <f t="shared" si="68"/>
        <v>301.74478380000005</v>
      </c>
      <c r="F82" s="64">
        <f t="shared" si="68"/>
        <v>327.47220547200004</v>
      </c>
      <c r="G82" s="64">
        <f t="shared" si="68"/>
        <v>345.18161483999995</v>
      </c>
      <c r="H82" s="64">
        <f t="shared" si="68"/>
        <v>419.55001113600014</v>
      </c>
      <c r="I82" s="64">
        <f t="shared" si="68"/>
        <v>397.85393426400015</v>
      </c>
      <c r="J82" s="64">
        <f t="shared" si="68"/>
        <v>349.58853345600005</v>
      </c>
      <c r="K82" s="64">
        <f t="shared" si="68"/>
        <v>352.03592275199992</v>
      </c>
      <c r="L82" s="64">
        <f t="shared" si="68"/>
        <v>367.60599669600003</v>
      </c>
      <c r="M82" s="64">
        <f t="shared" si="68"/>
        <v>393.08049129599976</v>
      </c>
      <c r="N82" s="64">
        <f t="shared" si="68"/>
        <v>324.8874264960001</v>
      </c>
      <c r="O82" s="64">
        <f t="shared" si="68"/>
        <v>352.51133032800016</v>
      </c>
      <c r="P82" s="64">
        <f t="shared" si="68"/>
        <v>309.77472254399987</v>
      </c>
      <c r="Q82" s="64">
        <f t="shared" si="68"/>
        <v>277.68165314400017</v>
      </c>
      <c r="R82" s="64">
        <f t="shared" si="68"/>
        <v>314.90964107999991</v>
      </c>
      <c r="S82" s="64">
        <f t="shared" si="68"/>
        <v>330.02766338399994</v>
      </c>
      <c r="T82" s="64">
        <f t="shared" si="68"/>
        <v>344.19285151200012</v>
      </c>
      <c r="U82" s="64">
        <f t="shared" si="68"/>
        <v>317.7172710719999</v>
      </c>
      <c r="V82" s="64">
        <f t="shared" si="68"/>
        <v>263.44850227199998</v>
      </c>
      <c r="W82" s="64">
        <f t="shared" si="68"/>
        <v>292.38061024799993</v>
      </c>
      <c r="X82" s="64">
        <f t="shared" ref="X82:Y82" si="69">SUM(X83:X86)</f>
        <v>288.30779496000002</v>
      </c>
      <c r="Y82" s="64">
        <f t="shared" si="69"/>
        <v>299.00043798705366</v>
      </c>
      <c r="DA82" s="108" t="s">
        <v>233</v>
      </c>
    </row>
    <row r="83" spans="1:105" ht="12" customHeight="1" x14ac:dyDescent="0.25">
      <c r="A83" s="61" t="s">
        <v>32</v>
      </c>
      <c r="B83" s="65">
        <v>285.10023033633001</v>
      </c>
      <c r="C83" s="65">
        <v>242.99550841446128</v>
      </c>
      <c r="D83" s="65">
        <v>279.76341457165279</v>
      </c>
      <c r="E83" s="65">
        <v>269.59802814104006</v>
      </c>
      <c r="F83" s="65">
        <v>295.33514162676477</v>
      </c>
      <c r="G83" s="65">
        <v>311.96350213909585</v>
      </c>
      <c r="H83" s="65">
        <v>384.0057370192556</v>
      </c>
      <c r="I83" s="65">
        <v>351.34812634003788</v>
      </c>
      <c r="J83" s="65">
        <v>299.44266347966152</v>
      </c>
      <c r="K83" s="65">
        <v>303.69678035339979</v>
      </c>
      <c r="L83" s="65">
        <v>322.29012305243003</v>
      </c>
      <c r="M83" s="65">
        <v>349.62118755439593</v>
      </c>
      <c r="N83" s="65">
        <v>285.44802677037171</v>
      </c>
      <c r="O83" s="65">
        <v>317.54947278797977</v>
      </c>
      <c r="P83" s="65">
        <v>279.25263785769175</v>
      </c>
      <c r="Q83" s="65">
        <v>243.46480042338817</v>
      </c>
      <c r="R83" s="65">
        <v>278.77610108646002</v>
      </c>
      <c r="S83" s="65">
        <v>295.40263272036634</v>
      </c>
      <c r="T83" s="65">
        <v>308.51183581343798</v>
      </c>
      <c r="U83" s="65">
        <v>289.14769595597284</v>
      </c>
      <c r="V83" s="65">
        <v>237.96555130994051</v>
      </c>
      <c r="W83" s="65">
        <v>265.8642511994791</v>
      </c>
      <c r="X83" s="65">
        <v>258.70081374416651</v>
      </c>
      <c r="Y83" s="65">
        <v>265.77389827143867</v>
      </c>
      <c r="DA83" s="109" t="s">
        <v>234</v>
      </c>
    </row>
    <row r="84" spans="1:105" ht="12" customHeight="1" x14ac:dyDescent="0.25">
      <c r="A84" s="61" t="s">
        <v>31</v>
      </c>
      <c r="B84" s="65">
        <v>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DA84" s="109" t="s">
        <v>235</v>
      </c>
    </row>
    <row r="85" spans="1:105" ht="12" customHeight="1" x14ac:dyDescent="0.25">
      <c r="A85" s="61" t="s">
        <v>35</v>
      </c>
      <c r="B85" s="65">
        <v>10.395794567812727</v>
      </c>
      <c r="C85" s="65">
        <v>7.7425694249065238</v>
      </c>
      <c r="D85" s="65">
        <v>7.8072449960720043</v>
      </c>
      <c r="E85" s="65">
        <v>7.2538801852742676</v>
      </c>
      <c r="F85" s="65">
        <v>8.9202944528401655</v>
      </c>
      <c r="G85" s="65">
        <v>8.4691521353012842</v>
      </c>
      <c r="H85" s="65">
        <v>9.5907027284751223</v>
      </c>
      <c r="I85" s="65">
        <v>12.719952555899972</v>
      </c>
      <c r="J85" s="65">
        <v>14.031644492401584</v>
      </c>
      <c r="K85" s="65">
        <v>13.24913971877114</v>
      </c>
      <c r="L85" s="65">
        <v>13.120449101755806</v>
      </c>
      <c r="M85" s="65">
        <v>13.02265676503572</v>
      </c>
      <c r="N85" s="65">
        <v>12.71805800734027</v>
      </c>
      <c r="O85" s="65">
        <v>12.888263275222704</v>
      </c>
      <c r="P85" s="65">
        <v>11.72438404946554</v>
      </c>
      <c r="Q85" s="65">
        <v>12.673315865778802</v>
      </c>
      <c r="R85" s="65">
        <v>13.362561971205718</v>
      </c>
      <c r="S85" s="65">
        <v>13.582169789379966</v>
      </c>
      <c r="T85" s="65">
        <v>13.763995643366117</v>
      </c>
      <c r="U85" s="65">
        <v>14.290521786835518</v>
      </c>
      <c r="V85" s="65">
        <v>14.551160645137482</v>
      </c>
      <c r="W85" s="65">
        <v>15.190216173425272</v>
      </c>
      <c r="X85" s="65">
        <v>14.963009681112249</v>
      </c>
      <c r="Y85" s="65">
        <v>14.592237706611684</v>
      </c>
      <c r="DA85" s="109" t="s">
        <v>236</v>
      </c>
    </row>
    <row r="86" spans="1:105" ht="12" customHeight="1" x14ac:dyDescent="0.25">
      <c r="A86" s="66" t="s">
        <v>34</v>
      </c>
      <c r="B86" s="67">
        <v>20.182886495857289</v>
      </c>
      <c r="C86" s="67">
        <v>21.627266520632137</v>
      </c>
      <c r="D86" s="67">
        <v>24.01903595227515</v>
      </c>
      <c r="E86" s="67">
        <v>24.892875473685681</v>
      </c>
      <c r="F86" s="67">
        <v>23.216769392395125</v>
      </c>
      <c r="G86" s="67">
        <v>24.748960565602815</v>
      </c>
      <c r="H86" s="67">
        <v>25.953571388269381</v>
      </c>
      <c r="I86" s="67">
        <v>33.785855368062279</v>
      </c>
      <c r="J86" s="67">
        <v>36.114225483936956</v>
      </c>
      <c r="K86" s="67">
        <v>35.090002679828984</v>
      </c>
      <c r="L86" s="67">
        <v>32.19542454181417</v>
      </c>
      <c r="M86" s="67">
        <v>30.436646976568117</v>
      </c>
      <c r="N86" s="67">
        <v>26.721341718288105</v>
      </c>
      <c r="O86" s="67">
        <v>22.073594264797674</v>
      </c>
      <c r="P86" s="67">
        <v>18.797700636842613</v>
      </c>
      <c r="Q86" s="67">
        <v>21.543536854833157</v>
      </c>
      <c r="R86" s="67">
        <v>22.770978022334187</v>
      </c>
      <c r="S86" s="67">
        <v>21.042860874253623</v>
      </c>
      <c r="T86" s="67">
        <v>21.917020055196026</v>
      </c>
      <c r="U86" s="67">
        <v>14.279053329191511</v>
      </c>
      <c r="V86" s="67">
        <v>10.931790316921964</v>
      </c>
      <c r="W86" s="67">
        <v>11.326142875095544</v>
      </c>
      <c r="X86" s="67">
        <v>14.643971534721317</v>
      </c>
      <c r="Y86" s="67">
        <v>18.634302009003282</v>
      </c>
      <c r="DA86" s="110" t="s">
        <v>237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X87" s="68">
        <v>0</v>
      </c>
      <c r="Y87" s="68">
        <v>0</v>
      </c>
      <c r="DA87" s="111" t="s">
        <v>238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70">IF(B81=0,0,B81/B$81)</f>
        <v>1</v>
      </c>
      <c r="C89" s="83">
        <f t="shared" ref="C89:W89" si="71">IF(C81=0,0,C81/C$81)</f>
        <v>1</v>
      </c>
      <c r="D89" s="83">
        <f t="shared" si="71"/>
        <v>1</v>
      </c>
      <c r="E89" s="83">
        <f t="shared" si="71"/>
        <v>1</v>
      </c>
      <c r="F89" s="83">
        <f t="shared" si="71"/>
        <v>1</v>
      </c>
      <c r="G89" s="83">
        <f t="shared" si="71"/>
        <v>1</v>
      </c>
      <c r="H89" s="83">
        <f t="shared" si="71"/>
        <v>1</v>
      </c>
      <c r="I89" s="83">
        <f t="shared" si="71"/>
        <v>1</v>
      </c>
      <c r="J89" s="83">
        <f t="shared" si="71"/>
        <v>1</v>
      </c>
      <c r="K89" s="83">
        <f t="shared" si="71"/>
        <v>1</v>
      </c>
      <c r="L89" s="83">
        <f t="shared" si="71"/>
        <v>1</v>
      </c>
      <c r="M89" s="83">
        <f t="shared" si="71"/>
        <v>1</v>
      </c>
      <c r="N89" s="83">
        <f t="shared" si="71"/>
        <v>1</v>
      </c>
      <c r="O89" s="83">
        <f t="shared" si="71"/>
        <v>1</v>
      </c>
      <c r="P89" s="83">
        <f t="shared" si="71"/>
        <v>1</v>
      </c>
      <c r="Q89" s="83">
        <f t="shared" si="71"/>
        <v>1</v>
      </c>
      <c r="R89" s="83">
        <f t="shared" si="71"/>
        <v>1</v>
      </c>
      <c r="S89" s="83">
        <f t="shared" si="71"/>
        <v>1</v>
      </c>
      <c r="T89" s="83">
        <f t="shared" si="71"/>
        <v>1</v>
      </c>
      <c r="U89" s="83">
        <f t="shared" si="71"/>
        <v>1</v>
      </c>
      <c r="V89" s="83">
        <f t="shared" si="71"/>
        <v>1</v>
      </c>
      <c r="W89" s="83">
        <f t="shared" si="71"/>
        <v>1</v>
      </c>
      <c r="X89" s="83">
        <f t="shared" ref="X89:Y89" si="72">IF(X81=0,0,X81/X$81)</f>
        <v>1</v>
      </c>
      <c r="Y89" s="83">
        <f t="shared" si="72"/>
        <v>1</v>
      </c>
      <c r="DA89" s="112"/>
    </row>
    <row r="90" spans="1:105" ht="12" customHeight="1" x14ac:dyDescent="0.25">
      <c r="A90" s="69" t="s">
        <v>36</v>
      </c>
      <c r="B90" s="70">
        <f t="shared" ref="B90" si="73">IF(B82=0,0,B82/B$81)</f>
        <v>1</v>
      </c>
      <c r="C90" s="70">
        <f t="shared" ref="C90:W90" si="74">IF(C82=0,0,C82/C$81)</f>
        <v>1</v>
      </c>
      <c r="D90" s="70">
        <f t="shared" si="74"/>
        <v>1</v>
      </c>
      <c r="E90" s="70">
        <f t="shared" si="74"/>
        <v>1</v>
      </c>
      <c r="F90" s="70">
        <f t="shared" si="74"/>
        <v>1</v>
      </c>
      <c r="G90" s="70">
        <f t="shared" si="74"/>
        <v>1</v>
      </c>
      <c r="H90" s="70">
        <f t="shared" si="74"/>
        <v>1</v>
      </c>
      <c r="I90" s="70">
        <f t="shared" si="74"/>
        <v>1</v>
      </c>
      <c r="J90" s="70">
        <f t="shared" si="74"/>
        <v>1</v>
      </c>
      <c r="K90" s="70">
        <f t="shared" si="74"/>
        <v>1</v>
      </c>
      <c r="L90" s="70">
        <f t="shared" si="74"/>
        <v>1</v>
      </c>
      <c r="M90" s="70">
        <f t="shared" si="74"/>
        <v>1</v>
      </c>
      <c r="N90" s="70">
        <f t="shared" si="74"/>
        <v>1</v>
      </c>
      <c r="O90" s="70">
        <f t="shared" si="74"/>
        <v>1</v>
      </c>
      <c r="P90" s="70">
        <f t="shared" si="74"/>
        <v>1</v>
      </c>
      <c r="Q90" s="70">
        <f t="shared" si="74"/>
        <v>1</v>
      </c>
      <c r="R90" s="70">
        <f t="shared" si="74"/>
        <v>1</v>
      </c>
      <c r="S90" s="70">
        <f t="shared" si="74"/>
        <v>1</v>
      </c>
      <c r="T90" s="70">
        <f t="shared" si="74"/>
        <v>1</v>
      </c>
      <c r="U90" s="70">
        <f t="shared" si="74"/>
        <v>1</v>
      </c>
      <c r="V90" s="70">
        <f t="shared" si="74"/>
        <v>1</v>
      </c>
      <c r="W90" s="70">
        <f t="shared" si="74"/>
        <v>1</v>
      </c>
      <c r="X90" s="70">
        <f t="shared" ref="X90:Y90" si="75">IF(X82=0,0,X82/X$81)</f>
        <v>1</v>
      </c>
      <c r="Y90" s="70">
        <f t="shared" si="75"/>
        <v>1</v>
      </c>
      <c r="DA90" s="113"/>
    </row>
    <row r="91" spans="1:105" ht="12" customHeight="1" x14ac:dyDescent="0.25">
      <c r="A91" s="61" t="s">
        <v>32</v>
      </c>
      <c r="B91" s="71">
        <f t="shared" ref="B91" si="76">IF(B83=0,0,B83/B$81)</f>
        <v>0.90313359569045304</v>
      </c>
      <c r="C91" s="71">
        <f t="shared" ref="C91:W91" si="77">IF(C83=0,0,C83/C$81)</f>
        <v>0.89216750018416824</v>
      </c>
      <c r="D91" s="71">
        <f t="shared" si="77"/>
        <v>0.89785836500390837</v>
      </c>
      <c r="E91" s="71">
        <f t="shared" si="77"/>
        <v>0.89346375684072399</v>
      </c>
      <c r="F91" s="71">
        <f t="shared" si="77"/>
        <v>0.90186323202937269</v>
      </c>
      <c r="G91" s="71">
        <f t="shared" si="77"/>
        <v>0.90376627470063409</v>
      </c>
      <c r="H91" s="71">
        <f t="shared" si="77"/>
        <v>0.91528000673745047</v>
      </c>
      <c r="I91" s="71">
        <f t="shared" si="77"/>
        <v>0.88310833720924609</v>
      </c>
      <c r="J91" s="71">
        <f t="shared" si="77"/>
        <v>0.85655745204054301</v>
      </c>
      <c r="K91" s="71">
        <f t="shared" si="77"/>
        <v>0.86268690416388616</v>
      </c>
      <c r="L91" s="71">
        <f t="shared" si="77"/>
        <v>0.87672705545920415</v>
      </c>
      <c r="M91" s="71">
        <f t="shared" si="77"/>
        <v>0.8894391741540848</v>
      </c>
      <c r="N91" s="71">
        <f t="shared" si="77"/>
        <v>0.87860595237250905</v>
      </c>
      <c r="O91" s="71">
        <f t="shared" si="77"/>
        <v>0.90082061331903984</v>
      </c>
      <c r="P91" s="71">
        <f t="shared" si="77"/>
        <v>0.9014700604502266</v>
      </c>
      <c r="Q91" s="71">
        <f t="shared" si="77"/>
        <v>0.87677668894146266</v>
      </c>
      <c r="R91" s="71">
        <f t="shared" si="77"/>
        <v>0.88525743489587061</v>
      </c>
      <c r="S91" s="71">
        <f t="shared" si="77"/>
        <v>0.89508445956136096</v>
      </c>
      <c r="T91" s="71">
        <f t="shared" si="77"/>
        <v>0.89633423372443821</v>
      </c>
      <c r="U91" s="71">
        <f t="shared" si="77"/>
        <v>0.91007862109720583</v>
      </c>
      <c r="V91" s="71">
        <f t="shared" si="77"/>
        <v>0.90327160434660825</v>
      </c>
      <c r="W91" s="71">
        <f t="shared" si="77"/>
        <v>0.90930876358035706</v>
      </c>
      <c r="X91" s="71">
        <f t="shared" ref="X91:Y91" si="78">IF(X83=0,0,X83/X$81)</f>
        <v>0.89730773245329287</v>
      </c>
      <c r="Y91" s="71">
        <f t="shared" si="78"/>
        <v>0.88887461189252959</v>
      </c>
      <c r="DA91" s="114"/>
    </row>
    <row r="92" spans="1:105" ht="12" customHeight="1" x14ac:dyDescent="0.25">
      <c r="A92" s="61" t="s">
        <v>31</v>
      </c>
      <c r="B92" s="72">
        <f t="shared" ref="B92" si="79">IF(B84=0,0,B84/B$81)</f>
        <v>0</v>
      </c>
      <c r="C92" s="72">
        <f t="shared" ref="C92:W92" si="80">IF(C84=0,0,C84/C$81)</f>
        <v>0</v>
      </c>
      <c r="D92" s="72">
        <f t="shared" si="80"/>
        <v>0</v>
      </c>
      <c r="E92" s="72">
        <f t="shared" si="80"/>
        <v>0</v>
      </c>
      <c r="F92" s="72">
        <f t="shared" si="80"/>
        <v>0</v>
      </c>
      <c r="G92" s="72">
        <f t="shared" si="80"/>
        <v>0</v>
      </c>
      <c r="H92" s="72">
        <f t="shared" si="80"/>
        <v>0</v>
      </c>
      <c r="I92" s="72">
        <f t="shared" si="80"/>
        <v>0</v>
      </c>
      <c r="J92" s="72">
        <f t="shared" si="80"/>
        <v>0</v>
      </c>
      <c r="K92" s="72">
        <f t="shared" si="80"/>
        <v>0</v>
      </c>
      <c r="L92" s="72">
        <f t="shared" si="80"/>
        <v>0</v>
      </c>
      <c r="M92" s="72">
        <f t="shared" si="80"/>
        <v>0</v>
      </c>
      <c r="N92" s="72">
        <f t="shared" si="80"/>
        <v>0</v>
      </c>
      <c r="O92" s="72">
        <f t="shared" si="80"/>
        <v>0</v>
      </c>
      <c r="P92" s="72">
        <f t="shared" si="80"/>
        <v>0</v>
      </c>
      <c r="Q92" s="72">
        <f t="shared" si="80"/>
        <v>0</v>
      </c>
      <c r="R92" s="72">
        <f t="shared" si="80"/>
        <v>0</v>
      </c>
      <c r="S92" s="72">
        <f t="shared" si="80"/>
        <v>0</v>
      </c>
      <c r="T92" s="72">
        <f t="shared" si="80"/>
        <v>0</v>
      </c>
      <c r="U92" s="72">
        <f t="shared" si="80"/>
        <v>0</v>
      </c>
      <c r="V92" s="72">
        <f t="shared" si="80"/>
        <v>0</v>
      </c>
      <c r="W92" s="72">
        <f t="shared" si="80"/>
        <v>0</v>
      </c>
      <c r="X92" s="72">
        <f t="shared" ref="X92:Y92" si="81">IF(X84=0,0,X84/X$81)</f>
        <v>0</v>
      </c>
      <c r="Y92" s="72">
        <f t="shared" si="81"/>
        <v>0</v>
      </c>
      <c r="DA92" s="115"/>
    </row>
    <row r="93" spans="1:105" ht="12" customHeight="1" x14ac:dyDescent="0.25">
      <c r="A93" s="61" t="s">
        <v>35</v>
      </c>
      <c r="B93" s="72">
        <f t="shared" ref="B93" si="82">IF(B85=0,0,B85/B$81)</f>
        <v>3.2931545923383231E-2</v>
      </c>
      <c r="C93" s="72">
        <f t="shared" ref="C93:W93" si="83">IF(C85=0,0,C85/C$81)</f>
        <v>2.8427146056705193E-2</v>
      </c>
      <c r="D93" s="72">
        <f t="shared" si="83"/>
        <v>2.5056171973347179E-2</v>
      </c>
      <c r="E93" s="72">
        <f t="shared" si="83"/>
        <v>2.4039786517344484E-2</v>
      </c>
      <c r="F93" s="72">
        <f t="shared" si="83"/>
        <v>2.7239852127245286E-2</v>
      </c>
      <c r="G93" s="72">
        <f t="shared" si="83"/>
        <v>2.4535351163551804E-2</v>
      </c>
      <c r="H93" s="72">
        <f t="shared" si="83"/>
        <v>2.2859498209776539E-2</v>
      </c>
      <c r="I93" s="72">
        <f t="shared" si="83"/>
        <v>3.1971413276158565E-2</v>
      </c>
      <c r="J93" s="72">
        <f t="shared" si="83"/>
        <v>4.0137599347684662E-2</v>
      </c>
      <c r="K93" s="72">
        <f t="shared" si="83"/>
        <v>3.7635760621238676E-2</v>
      </c>
      <c r="L93" s="72">
        <f t="shared" si="83"/>
        <v>3.5691607916304081E-2</v>
      </c>
      <c r="M93" s="72">
        <f t="shared" si="83"/>
        <v>3.3129745824066664E-2</v>
      </c>
      <c r="N93" s="72">
        <f t="shared" si="83"/>
        <v>3.9146045584182831E-2</v>
      </c>
      <c r="O93" s="72">
        <f t="shared" si="83"/>
        <v>3.656127382694508E-2</v>
      </c>
      <c r="P93" s="72">
        <f t="shared" si="83"/>
        <v>3.7848097976426173E-2</v>
      </c>
      <c r="Q93" s="72">
        <f t="shared" si="83"/>
        <v>4.5639730685435934E-2</v>
      </c>
      <c r="R93" s="72">
        <f t="shared" si="83"/>
        <v>4.2433003719346531E-2</v>
      </c>
      <c r="S93" s="72">
        <f t="shared" si="83"/>
        <v>4.1154640341699439E-2</v>
      </c>
      <c r="T93" s="72">
        <f t="shared" si="83"/>
        <v>3.9989196704412797E-2</v>
      </c>
      <c r="U93" s="72">
        <f t="shared" si="83"/>
        <v>4.4978737663893167E-2</v>
      </c>
      <c r="V93" s="72">
        <f t="shared" si="83"/>
        <v>5.5233415713686597E-2</v>
      </c>
      <c r="W93" s="72">
        <f t="shared" si="83"/>
        <v>5.1953568879074402E-2</v>
      </c>
      <c r="X93" s="72">
        <f t="shared" ref="X93:Y93" si="84">IF(X85=0,0,X85/X$81)</f>
        <v>5.1899428120520376E-2</v>
      </c>
      <c r="Y93" s="72">
        <f t="shared" si="84"/>
        <v>4.8803399101520747E-2</v>
      </c>
      <c r="DA93" s="115"/>
    </row>
    <row r="94" spans="1:105" ht="12" customHeight="1" x14ac:dyDescent="0.25">
      <c r="A94" s="61" t="s">
        <v>34</v>
      </c>
      <c r="B94" s="73">
        <f t="shared" ref="B94" si="85">IF(B86=0,0,B86/B$81)</f>
        <v>6.3934858386163598E-2</v>
      </c>
      <c r="C94" s="73">
        <f t="shared" ref="C94:W94" si="86">IF(C86=0,0,C86/C$81)</f>
        <v>7.9405353759126621E-2</v>
      </c>
      <c r="D94" s="73">
        <f t="shared" si="86"/>
        <v>7.7085463022744424E-2</v>
      </c>
      <c r="E94" s="73">
        <f t="shared" si="86"/>
        <v>8.2496456641931448E-2</v>
      </c>
      <c r="F94" s="73">
        <f t="shared" si="86"/>
        <v>7.0896915843382119E-2</v>
      </c>
      <c r="G94" s="73">
        <f t="shared" si="86"/>
        <v>7.1698374135814147E-2</v>
      </c>
      <c r="H94" s="73">
        <f t="shared" si="86"/>
        <v>6.1860495052772968E-2</v>
      </c>
      <c r="I94" s="73">
        <f t="shared" si="86"/>
        <v>8.4920249514595272E-2</v>
      </c>
      <c r="J94" s="73">
        <f t="shared" si="86"/>
        <v>0.10330494861177238</v>
      </c>
      <c r="K94" s="73">
        <f t="shared" si="86"/>
        <v>9.9677335214875137E-2</v>
      </c>
      <c r="L94" s="73">
        <f t="shared" si="86"/>
        <v>8.7581336624491718E-2</v>
      </c>
      <c r="M94" s="73">
        <f t="shared" si="86"/>
        <v>7.7431080021848592E-2</v>
      </c>
      <c r="N94" s="73">
        <f t="shared" si="86"/>
        <v>8.2248002043308038E-2</v>
      </c>
      <c r="O94" s="73">
        <f t="shared" si="86"/>
        <v>6.2618112854015001E-2</v>
      </c>
      <c r="P94" s="73">
        <f t="shared" si="86"/>
        <v>6.0681841573347287E-2</v>
      </c>
      <c r="Q94" s="73">
        <f t="shared" si="86"/>
        <v>7.7583580373101244E-2</v>
      </c>
      <c r="R94" s="73">
        <f t="shared" si="86"/>
        <v>7.2309561384782839E-2</v>
      </c>
      <c r="S94" s="73">
        <f t="shared" si="86"/>
        <v>6.3760900096939577E-2</v>
      </c>
      <c r="T94" s="73">
        <f t="shared" si="86"/>
        <v>6.3676569571148978E-2</v>
      </c>
      <c r="U94" s="73">
        <f t="shared" si="86"/>
        <v>4.4942641238900877E-2</v>
      </c>
      <c r="V94" s="73">
        <f t="shared" si="86"/>
        <v>4.1494979939704989E-2</v>
      </c>
      <c r="W94" s="73">
        <f t="shared" si="86"/>
        <v>3.8737667540568455E-2</v>
      </c>
      <c r="X94" s="73">
        <f t="shared" ref="X94:Y94" si="87">IF(X86=0,0,X86/X$81)</f>
        <v>5.0792839426186967E-2</v>
      </c>
      <c r="Y94" s="73">
        <f t="shared" si="87"/>
        <v>6.2321989005949631E-2</v>
      </c>
      <c r="DA94" s="116"/>
    </row>
    <row r="95" spans="1:105" ht="12" customHeight="1" x14ac:dyDescent="0.25">
      <c r="A95" s="69" t="s">
        <v>33</v>
      </c>
      <c r="B95" s="70">
        <f t="shared" ref="B95" si="88">IF(B87=0,0,B87/B$81)</f>
        <v>0</v>
      </c>
      <c r="C95" s="70">
        <f t="shared" ref="C95:W95" si="89">IF(C87=0,0,C87/C$81)</f>
        <v>0</v>
      </c>
      <c r="D95" s="70">
        <f t="shared" si="89"/>
        <v>0</v>
      </c>
      <c r="E95" s="70">
        <f t="shared" si="89"/>
        <v>0</v>
      </c>
      <c r="F95" s="70">
        <f t="shared" si="89"/>
        <v>0</v>
      </c>
      <c r="G95" s="70">
        <f t="shared" si="89"/>
        <v>0</v>
      </c>
      <c r="H95" s="70">
        <f t="shared" si="89"/>
        <v>0</v>
      </c>
      <c r="I95" s="70">
        <f t="shared" si="89"/>
        <v>0</v>
      </c>
      <c r="J95" s="70">
        <f t="shared" si="89"/>
        <v>0</v>
      </c>
      <c r="K95" s="70">
        <f t="shared" si="89"/>
        <v>0</v>
      </c>
      <c r="L95" s="70">
        <f t="shared" si="89"/>
        <v>0</v>
      </c>
      <c r="M95" s="70">
        <f t="shared" si="89"/>
        <v>0</v>
      </c>
      <c r="N95" s="70">
        <f t="shared" si="89"/>
        <v>0</v>
      </c>
      <c r="O95" s="70">
        <f t="shared" si="89"/>
        <v>0</v>
      </c>
      <c r="P95" s="70">
        <f t="shared" si="89"/>
        <v>0</v>
      </c>
      <c r="Q95" s="70">
        <f t="shared" si="89"/>
        <v>0</v>
      </c>
      <c r="R95" s="70">
        <f t="shared" si="89"/>
        <v>0</v>
      </c>
      <c r="S95" s="70">
        <f t="shared" si="89"/>
        <v>0</v>
      </c>
      <c r="T95" s="70">
        <f t="shared" si="89"/>
        <v>0</v>
      </c>
      <c r="U95" s="70">
        <f t="shared" si="89"/>
        <v>0</v>
      </c>
      <c r="V95" s="70">
        <f t="shared" si="89"/>
        <v>0</v>
      </c>
      <c r="W95" s="70">
        <f t="shared" si="89"/>
        <v>0</v>
      </c>
      <c r="X95" s="70">
        <f t="shared" ref="X95:Y95" si="90">IF(X87=0,0,X87/X$81)</f>
        <v>0</v>
      </c>
      <c r="Y95" s="70">
        <f t="shared" si="90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91">B47*11630*1000/B$8</f>
        <v>185286.13842964044</v>
      </c>
      <c r="C99" s="82">
        <f t="shared" ref="C99:W99" si="92">C47*11630*1000/C$8</f>
        <v>180632.70075081781</v>
      </c>
      <c r="D99" s="82">
        <f t="shared" si="92"/>
        <v>178379.87287118461</v>
      </c>
      <c r="E99" s="82">
        <f t="shared" si="92"/>
        <v>175194.23542451431</v>
      </c>
      <c r="F99" s="82">
        <f t="shared" si="92"/>
        <v>173881.61491329779</v>
      </c>
      <c r="G99" s="82">
        <f t="shared" si="92"/>
        <v>168977.65272544461</v>
      </c>
      <c r="H99" s="82">
        <f t="shared" si="92"/>
        <v>175437.88121669999</v>
      </c>
      <c r="I99" s="82">
        <f t="shared" si="92"/>
        <v>164552.63227770731</v>
      </c>
      <c r="J99" s="82">
        <f t="shared" si="92"/>
        <v>151751.06623716743</v>
      </c>
      <c r="K99" s="82">
        <f t="shared" si="92"/>
        <v>148106.16104297363</v>
      </c>
      <c r="L99" s="82">
        <f t="shared" si="92"/>
        <v>149135.22514148179</v>
      </c>
      <c r="M99" s="82">
        <f t="shared" si="92"/>
        <v>141782.20533391857</v>
      </c>
      <c r="N99" s="82">
        <f t="shared" si="92"/>
        <v>147011.70466410596</v>
      </c>
      <c r="O99" s="82">
        <f t="shared" si="92"/>
        <v>139666.28747726869</v>
      </c>
      <c r="P99" s="82">
        <f t="shared" si="92"/>
        <v>135439.01051253735</v>
      </c>
      <c r="Q99" s="82">
        <f t="shared" si="92"/>
        <v>132049.62820278449</v>
      </c>
      <c r="R99" s="82">
        <f t="shared" si="92"/>
        <v>137219.81816327479</v>
      </c>
      <c r="S99" s="82">
        <f t="shared" si="92"/>
        <v>143126.47701950834</v>
      </c>
      <c r="T99" s="82">
        <f t="shared" si="92"/>
        <v>145605.31375707284</v>
      </c>
      <c r="U99" s="82">
        <f t="shared" si="92"/>
        <v>138763.37804341916</v>
      </c>
      <c r="V99" s="82">
        <f t="shared" si="92"/>
        <v>127029.76370791472</v>
      </c>
      <c r="W99" s="82">
        <f t="shared" si="92"/>
        <v>141400.1960431702</v>
      </c>
      <c r="X99" s="82">
        <f t="shared" ref="X99:Y99" si="93">X47*11630*1000/X$8</f>
        <v>135557.78300018975</v>
      </c>
      <c r="Y99" s="82">
        <f t="shared" si="93"/>
        <v>133980.72853603182</v>
      </c>
      <c r="DA99" s="107"/>
    </row>
    <row r="100" spans="1:105" ht="12" customHeight="1" x14ac:dyDescent="0.25">
      <c r="A100" s="77" t="s">
        <v>36</v>
      </c>
      <c r="B100" s="64">
        <f t="shared" si="91"/>
        <v>145515.58744873758</v>
      </c>
      <c r="C100" s="64">
        <f t="shared" ref="C100:W100" si="94">C48*11630*1000/C$8</f>
        <v>140037.57904529665</v>
      </c>
      <c r="D100" s="64">
        <f t="shared" si="94"/>
        <v>137100.17127398396</v>
      </c>
      <c r="E100" s="64">
        <f t="shared" si="94"/>
        <v>133494.98792297783</v>
      </c>
      <c r="F100" s="64">
        <f t="shared" si="94"/>
        <v>131724.5209039273</v>
      </c>
      <c r="G100" s="64">
        <f t="shared" si="94"/>
        <v>126854.24234443747</v>
      </c>
      <c r="H100" s="64">
        <f t="shared" si="94"/>
        <v>133007.02701173394</v>
      </c>
      <c r="I100" s="64">
        <f t="shared" si="94"/>
        <v>122968.71262028858</v>
      </c>
      <c r="J100" s="64">
        <f t="shared" si="94"/>
        <v>110529.47232403654</v>
      </c>
      <c r="K100" s="64">
        <f t="shared" si="94"/>
        <v>106467.68058149519</v>
      </c>
      <c r="L100" s="64">
        <f t="shared" si="94"/>
        <v>107445.42298103358</v>
      </c>
      <c r="M100" s="64">
        <f t="shared" si="94"/>
        <v>100513.61202932734</v>
      </c>
      <c r="N100" s="64">
        <f t="shared" si="94"/>
        <v>105485.25959495455</v>
      </c>
      <c r="O100" s="64">
        <f t="shared" si="94"/>
        <v>97890.512274642344</v>
      </c>
      <c r="P100" s="64">
        <f t="shared" si="94"/>
        <v>93428.484224763786</v>
      </c>
      <c r="Q100" s="64">
        <f t="shared" si="94"/>
        <v>89111.248452018073</v>
      </c>
      <c r="R100" s="64">
        <f t="shared" si="94"/>
        <v>94024.637398532315</v>
      </c>
      <c r="S100" s="64">
        <f t="shared" si="94"/>
        <v>99306.65187664752</v>
      </c>
      <c r="T100" s="64">
        <f t="shared" si="94"/>
        <v>102592.71789340768</v>
      </c>
      <c r="U100" s="64">
        <f t="shared" si="94"/>
        <v>96723.776123977004</v>
      </c>
      <c r="V100" s="64">
        <f t="shared" si="94"/>
        <v>86920.673793246431</v>
      </c>
      <c r="W100" s="64">
        <f t="shared" si="94"/>
        <v>100552.0488053528</v>
      </c>
      <c r="X100" s="64">
        <f t="shared" ref="X100:Y100" si="95">X48*11630*1000/X$8</f>
        <v>95492.261456288674</v>
      </c>
      <c r="Y100" s="64">
        <f t="shared" si="95"/>
        <v>93821.986523986561</v>
      </c>
      <c r="DA100" s="108"/>
    </row>
    <row r="101" spans="1:105" ht="12" customHeight="1" x14ac:dyDescent="0.25">
      <c r="A101" s="61" t="s">
        <v>32</v>
      </c>
      <c r="B101" s="65">
        <f t="shared" si="91"/>
        <v>118820.99797941966</v>
      </c>
      <c r="C101" s="65">
        <f t="shared" ref="C101:W101" si="96">C49*11630*1000/C$8</f>
        <v>113580.39076222478</v>
      </c>
      <c r="D101" s="65">
        <f t="shared" si="96"/>
        <v>110469.27042364613</v>
      </c>
      <c r="E101" s="65">
        <f t="shared" si="96"/>
        <v>107227.06228992551</v>
      </c>
      <c r="F101" s="65">
        <f t="shared" si="96"/>
        <v>105049.60860088075</v>
      </c>
      <c r="G101" s="65">
        <f t="shared" si="96"/>
        <v>99635.37365968783</v>
      </c>
      <c r="H101" s="65">
        <f t="shared" si="96"/>
        <v>104491.36725415497</v>
      </c>
      <c r="I101" s="65">
        <f t="shared" si="96"/>
        <v>95268.18943422845</v>
      </c>
      <c r="J101" s="65">
        <f t="shared" si="96"/>
        <v>83253.581504733767</v>
      </c>
      <c r="K101" s="65">
        <f t="shared" si="96"/>
        <v>78564.79321534303</v>
      </c>
      <c r="L101" s="65">
        <f t="shared" si="96"/>
        <v>79286.710759842361</v>
      </c>
      <c r="M101" s="65">
        <f t="shared" si="96"/>
        <v>72541.837184561024</v>
      </c>
      <c r="N101" s="65">
        <f t="shared" si="96"/>
        <v>77080.027984343265</v>
      </c>
      <c r="O101" s="65">
        <f t="shared" si="96"/>
        <v>69484.576962441119</v>
      </c>
      <c r="P101" s="65">
        <f t="shared" si="96"/>
        <v>65153.907055708107</v>
      </c>
      <c r="Q101" s="65">
        <f t="shared" si="96"/>
        <v>61138.271401117396</v>
      </c>
      <c r="R101" s="65">
        <f t="shared" si="96"/>
        <v>66166.731133960246</v>
      </c>
      <c r="S101" s="65">
        <f t="shared" si="96"/>
        <v>70725.597973023832</v>
      </c>
      <c r="T101" s="65">
        <f t="shared" si="96"/>
        <v>74198.331639536467</v>
      </c>
      <c r="U101" s="65">
        <f t="shared" si="96"/>
        <v>67504.349728487607</v>
      </c>
      <c r="V101" s="65">
        <f t="shared" si="96"/>
        <v>60383.354372782276</v>
      </c>
      <c r="W101" s="65">
        <f t="shared" si="96"/>
        <v>71687.314793980666</v>
      </c>
      <c r="X101" s="65">
        <f t="shared" ref="X101:Y101" si="97">X49*11630*1000/X$8</f>
        <v>66800.075010375745</v>
      </c>
      <c r="Y101" s="65">
        <f t="shared" si="97"/>
        <v>64704.822690624722</v>
      </c>
      <c r="DA101" s="109"/>
    </row>
    <row r="102" spans="1:105" ht="12" customHeight="1" x14ac:dyDescent="0.25">
      <c r="A102" s="61" t="s">
        <v>31</v>
      </c>
      <c r="B102" s="65">
        <f t="shared" si="91"/>
        <v>460.26296232023725</v>
      </c>
      <c r="C102" s="65">
        <f t="shared" ref="C102:W102" si="98">C50*11630*1000/C$8</f>
        <v>486.39111792590501</v>
      </c>
      <c r="D102" s="65">
        <f t="shared" si="98"/>
        <v>528.44917612587699</v>
      </c>
      <c r="E102" s="65">
        <f t="shared" si="98"/>
        <v>467.85490519095504</v>
      </c>
      <c r="F102" s="65">
        <f t="shared" si="98"/>
        <v>466.82376714446707</v>
      </c>
      <c r="G102" s="65">
        <f t="shared" si="98"/>
        <v>467.31517136394524</v>
      </c>
      <c r="H102" s="65">
        <f t="shared" si="98"/>
        <v>525.64378276307446</v>
      </c>
      <c r="I102" s="65">
        <f t="shared" si="98"/>
        <v>468.48885984936044</v>
      </c>
      <c r="J102" s="65">
        <f t="shared" si="98"/>
        <v>462.02162293101827</v>
      </c>
      <c r="K102" s="65">
        <f t="shared" si="98"/>
        <v>483.35954290088256</v>
      </c>
      <c r="L102" s="65">
        <f t="shared" si="98"/>
        <v>619.75263911685329</v>
      </c>
      <c r="M102" s="65">
        <f t="shared" si="98"/>
        <v>488.17899742178821</v>
      </c>
      <c r="N102" s="65">
        <f t="shared" si="98"/>
        <v>528.80158485015363</v>
      </c>
      <c r="O102" s="65">
        <f t="shared" si="98"/>
        <v>486.96644051635849</v>
      </c>
      <c r="P102" s="65">
        <f t="shared" si="98"/>
        <v>532.65981870763699</v>
      </c>
      <c r="Q102" s="65">
        <f t="shared" si="98"/>
        <v>512.0100739897407</v>
      </c>
      <c r="R102" s="65">
        <f t="shared" si="98"/>
        <v>484.39076314126834</v>
      </c>
      <c r="S102" s="65">
        <f t="shared" si="98"/>
        <v>475.08821687648395</v>
      </c>
      <c r="T102" s="65">
        <f t="shared" si="98"/>
        <v>505.33268967960129</v>
      </c>
      <c r="U102" s="65">
        <f t="shared" si="98"/>
        <v>495.54277661336096</v>
      </c>
      <c r="V102" s="65">
        <f t="shared" si="98"/>
        <v>483.56821950389468</v>
      </c>
      <c r="W102" s="65">
        <f t="shared" si="98"/>
        <v>575.84867190058105</v>
      </c>
      <c r="X102" s="65">
        <f t="shared" ref="X102:Y102" si="99">X50*11630*1000/X$8</f>
        <v>526.78569571600531</v>
      </c>
      <c r="Y102" s="65">
        <f t="shared" si="99"/>
        <v>540.42006284513388</v>
      </c>
      <c r="DA102" s="109"/>
    </row>
    <row r="103" spans="1:105" ht="12" customHeight="1" x14ac:dyDescent="0.25">
      <c r="A103" s="61" t="s">
        <v>35</v>
      </c>
      <c r="B103" s="65">
        <f t="shared" si="91"/>
        <v>12750.837730117864</v>
      </c>
      <c r="C103" s="65">
        <f t="shared" ref="C103:W103" si="100">C51*11630*1000/C$8</f>
        <v>12739.160312801878</v>
      </c>
      <c r="D103" s="65">
        <f t="shared" si="100"/>
        <v>12779.951144669396</v>
      </c>
      <c r="E103" s="65">
        <f t="shared" si="100"/>
        <v>12657.774001034295</v>
      </c>
      <c r="F103" s="65">
        <f t="shared" si="100"/>
        <v>13103.1508111694</v>
      </c>
      <c r="G103" s="65">
        <f t="shared" si="100"/>
        <v>13432.417562028682</v>
      </c>
      <c r="H103" s="65">
        <f t="shared" si="100"/>
        <v>13935.992553674781</v>
      </c>
      <c r="I103" s="65">
        <f t="shared" si="100"/>
        <v>13625.07781284536</v>
      </c>
      <c r="J103" s="65">
        <f t="shared" si="100"/>
        <v>13691.111655238397</v>
      </c>
      <c r="K103" s="65">
        <f t="shared" si="100"/>
        <v>13917.795858610703</v>
      </c>
      <c r="L103" s="65">
        <f t="shared" si="100"/>
        <v>14105.270690143301</v>
      </c>
      <c r="M103" s="65">
        <f t="shared" si="100"/>
        <v>14220.7145088822</v>
      </c>
      <c r="N103" s="65">
        <f t="shared" si="100"/>
        <v>14279.559141114774</v>
      </c>
      <c r="O103" s="65">
        <f t="shared" si="100"/>
        <v>14417.478114027412</v>
      </c>
      <c r="P103" s="65">
        <f t="shared" si="100"/>
        <v>14375.473360729546</v>
      </c>
      <c r="Q103" s="65">
        <f t="shared" si="100"/>
        <v>14409.754004148395</v>
      </c>
      <c r="R103" s="65">
        <f t="shared" si="100"/>
        <v>14284.305012159659</v>
      </c>
      <c r="S103" s="65">
        <f t="shared" si="100"/>
        <v>14619.915671150353</v>
      </c>
      <c r="T103" s="65">
        <f t="shared" si="100"/>
        <v>14345.17964346595</v>
      </c>
      <c r="U103" s="65">
        <f t="shared" si="100"/>
        <v>14350.355882319673</v>
      </c>
      <c r="V103" s="65">
        <f t="shared" si="100"/>
        <v>12572.142099130295</v>
      </c>
      <c r="W103" s="65">
        <f t="shared" si="100"/>
        <v>13724.667802217185</v>
      </c>
      <c r="X103" s="65">
        <f t="shared" ref="X103:Y103" si="101">X51*11630*1000/X$8</f>
        <v>13667.643286860002</v>
      </c>
      <c r="Y103" s="65">
        <f t="shared" si="101"/>
        <v>13847.436961630048</v>
      </c>
      <c r="DA103" s="109"/>
    </row>
    <row r="104" spans="1:105" ht="12" customHeight="1" x14ac:dyDescent="0.25">
      <c r="A104" s="66" t="s">
        <v>34</v>
      </c>
      <c r="B104" s="67">
        <f t="shared" si="91"/>
        <v>13483.488776879847</v>
      </c>
      <c r="C104" s="67">
        <f t="shared" ref="C104:W104" si="102">C52*11630*1000/C$8</f>
        <v>13231.636852344094</v>
      </c>
      <c r="D104" s="67">
        <f t="shared" si="102"/>
        <v>13322.500529542533</v>
      </c>
      <c r="E104" s="67">
        <f t="shared" si="102"/>
        <v>13142.296726827075</v>
      </c>
      <c r="F104" s="67">
        <f t="shared" si="102"/>
        <v>13104.937724732728</v>
      </c>
      <c r="G104" s="67">
        <f t="shared" si="102"/>
        <v>13319.135951357026</v>
      </c>
      <c r="H104" s="67">
        <f t="shared" si="102"/>
        <v>14054.023421141128</v>
      </c>
      <c r="I104" s="67">
        <f t="shared" si="102"/>
        <v>13606.95651336544</v>
      </c>
      <c r="J104" s="67">
        <f t="shared" si="102"/>
        <v>13122.757541133344</v>
      </c>
      <c r="K104" s="67">
        <f t="shared" si="102"/>
        <v>13501.731964640583</v>
      </c>
      <c r="L104" s="67">
        <f t="shared" si="102"/>
        <v>13433.688891931064</v>
      </c>
      <c r="M104" s="67">
        <f t="shared" si="102"/>
        <v>13262.881338462343</v>
      </c>
      <c r="N104" s="67">
        <f t="shared" si="102"/>
        <v>13596.870884646352</v>
      </c>
      <c r="O104" s="67">
        <f t="shared" si="102"/>
        <v>13501.490757657466</v>
      </c>
      <c r="P104" s="67">
        <f t="shared" si="102"/>
        <v>13366.44398961849</v>
      </c>
      <c r="Q104" s="67">
        <f t="shared" si="102"/>
        <v>13051.212972762545</v>
      </c>
      <c r="R104" s="67">
        <f t="shared" si="102"/>
        <v>13089.210489271125</v>
      </c>
      <c r="S104" s="67">
        <f t="shared" si="102"/>
        <v>13486.050015596862</v>
      </c>
      <c r="T104" s="67">
        <f t="shared" si="102"/>
        <v>13543.873920725664</v>
      </c>
      <c r="U104" s="67">
        <f t="shared" si="102"/>
        <v>14373.52773655638</v>
      </c>
      <c r="V104" s="67">
        <f t="shared" si="102"/>
        <v>13481.609101829976</v>
      </c>
      <c r="W104" s="67">
        <f t="shared" si="102"/>
        <v>14564.217537254382</v>
      </c>
      <c r="X104" s="67">
        <f t="shared" ref="X104:Y104" si="103">X52*11630*1000/X$8</f>
        <v>14497.757463336919</v>
      </c>
      <c r="Y104" s="67">
        <f t="shared" si="103"/>
        <v>14729.306808886638</v>
      </c>
      <c r="DA104" s="110"/>
    </row>
    <row r="105" spans="1:105" ht="12" customHeight="1" x14ac:dyDescent="0.25">
      <c r="A105" s="78" t="s">
        <v>33</v>
      </c>
      <c r="B105" s="68">
        <f t="shared" si="91"/>
        <v>39770.550980902837</v>
      </c>
      <c r="C105" s="68">
        <f t="shared" ref="C105:W105" si="104">C53*11630*1000/C$8</f>
        <v>40595.121705521116</v>
      </c>
      <c r="D105" s="68">
        <f t="shared" si="104"/>
        <v>41279.701597200656</v>
      </c>
      <c r="E105" s="68">
        <f t="shared" si="104"/>
        <v>41699.247501536476</v>
      </c>
      <c r="F105" s="68">
        <f t="shared" si="104"/>
        <v>42157.094009370434</v>
      </c>
      <c r="G105" s="68">
        <f t="shared" si="104"/>
        <v>42123.410381007132</v>
      </c>
      <c r="H105" s="68">
        <f t="shared" si="104"/>
        <v>42430.854204966032</v>
      </c>
      <c r="I105" s="68">
        <f t="shared" si="104"/>
        <v>41583.919657418715</v>
      </c>
      <c r="J105" s="68">
        <f t="shared" si="104"/>
        <v>41221.593913130884</v>
      </c>
      <c r="K105" s="68">
        <f t="shared" si="104"/>
        <v>41638.480461478452</v>
      </c>
      <c r="L105" s="68">
        <f t="shared" si="104"/>
        <v>41689.802160448206</v>
      </c>
      <c r="M105" s="68">
        <f t="shared" si="104"/>
        <v>41268.593304591224</v>
      </c>
      <c r="N105" s="68">
        <f t="shared" si="104"/>
        <v>41526.445069151407</v>
      </c>
      <c r="O105" s="68">
        <f t="shared" si="104"/>
        <v>41775.77520262637</v>
      </c>
      <c r="P105" s="68">
        <f t="shared" si="104"/>
        <v>42010.526287773566</v>
      </c>
      <c r="Q105" s="68">
        <f t="shared" si="104"/>
        <v>42938.379750766399</v>
      </c>
      <c r="R105" s="68">
        <f t="shared" si="104"/>
        <v>43195.180764742494</v>
      </c>
      <c r="S105" s="68">
        <f t="shared" si="104"/>
        <v>43819.82514286082</v>
      </c>
      <c r="T105" s="68">
        <f t="shared" si="104"/>
        <v>43012.59586366517</v>
      </c>
      <c r="U105" s="68">
        <f t="shared" si="104"/>
        <v>42039.601919442124</v>
      </c>
      <c r="V105" s="68">
        <f t="shared" si="104"/>
        <v>40109.089914668279</v>
      </c>
      <c r="W105" s="68">
        <f t="shared" si="104"/>
        <v>40848.147237817422</v>
      </c>
      <c r="X105" s="68">
        <f t="shared" ref="X105:Y105" si="105">X53*11630*1000/X$8</f>
        <v>40065.521543901072</v>
      </c>
      <c r="Y105" s="68">
        <f t="shared" si="105"/>
        <v>40158.742012045281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106">SUM(B108:B111)</f>
        <v>90466.340882070916</v>
      </c>
      <c r="C107" s="85">
        <f t="shared" ref="C107:W107" si="107">SUM(C108:C111)</f>
        <v>88807.595861576803</v>
      </c>
      <c r="D107" s="85">
        <f t="shared" si="107"/>
        <v>86996.348568997026</v>
      </c>
      <c r="E107" s="85">
        <f t="shared" si="107"/>
        <v>86479.998863696019</v>
      </c>
      <c r="F107" s="85">
        <f t="shared" si="107"/>
        <v>85791.206279497201</v>
      </c>
      <c r="G107" s="85">
        <f t="shared" si="107"/>
        <v>83414.845773549197</v>
      </c>
      <c r="H107" s="85">
        <f t="shared" si="107"/>
        <v>88065.008895206614</v>
      </c>
      <c r="I107" s="85">
        <f t="shared" si="107"/>
        <v>82082.923755213473</v>
      </c>
      <c r="J107" s="85">
        <f t="shared" si="107"/>
        <v>73960.961201352824</v>
      </c>
      <c r="K107" s="85">
        <f t="shared" si="107"/>
        <v>72404.339050692171</v>
      </c>
      <c r="L107" s="85">
        <f t="shared" si="107"/>
        <v>73908.787305750826</v>
      </c>
      <c r="M107" s="85">
        <f t="shared" si="107"/>
        <v>68648.620464970125</v>
      </c>
      <c r="N107" s="85">
        <f t="shared" si="107"/>
        <v>73715.75954616761</v>
      </c>
      <c r="O107" s="85">
        <f t="shared" si="107"/>
        <v>68339.176403524165</v>
      </c>
      <c r="P107" s="85">
        <f t="shared" si="107"/>
        <v>66255.133384827408</v>
      </c>
      <c r="Q107" s="85">
        <f t="shared" si="107"/>
        <v>63829.535977790561</v>
      </c>
      <c r="R107" s="85">
        <f t="shared" si="107"/>
        <v>67528.236626714555</v>
      </c>
      <c r="S107" s="85">
        <f t="shared" si="107"/>
        <v>72647.275726493535</v>
      </c>
      <c r="T107" s="85">
        <f t="shared" si="107"/>
        <v>76007.438254258712</v>
      </c>
      <c r="U107" s="85">
        <f t="shared" si="107"/>
        <v>72640.047702609038</v>
      </c>
      <c r="V107" s="85">
        <f t="shared" si="107"/>
        <v>66095.071461488216</v>
      </c>
      <c r="W107" s="85">
        <f t="shared" si="107"/>
        <v>78358.279261137111</v>
      </c>
      <c r="X107" s="85">
        <f t="shared" ref="X107:Y107" si="108">SUM(X108:X111)</f>
        <v>75198.096693842119</v>
      </c>
      <c r="Y107" s="85">
        <f t="shared" si="108"/>
        <v>74668.463095150437</v>
      </c>
      <c r="DA107" s="117"/>
    </row>
    <row r="108" spans="1:105" ht="12" customHeight="1" x14ac:dyDescent="0.25">
      <c r="A108" s="61" t="s">
        <v>32</v>
      </c>
      <c r="B108" s="65">
        <v>72275.628927580547</v>
      </c>
      <c r="C108" s="65">
        <v>70572.335196396365</v>
      </c>
      <c r="D108" s="65">
        <v>68514.192494659786</v>
      </c>
      <c r="E108" s="65">
        <v>68151.003039751769</v>
      </c>
      <c r="F108" s="65">
        <v>66979.923923392373</v>
      </c>
      <c r="G108" s="65">
        <v>64092.877745116188</v>
      </c>
      <c r="H108" s="65">
        <v>67564.078313384947</v>
      </c>
      <c r="I108" s="65">
        <v>62279.585783737683</v>
      </c>
      <c r="J108" s="65">
        <v>54385.447125394516</v>
      </c>
      <c r="K108" s="65">
        <v>52114.890885240166</v>
      </c>
      <c r="L108" s="65">
        <v>52913.915453737623</v>
      </c>
      <c r="M108" s="65">
        <v>47953.202453827675</v>
      </c>
      <c r="N108" s="65">
        <v>52289.802525560277</v>
      </c>
      <c r="O108" s="65">
        <v>46716.805231271217</v>
      </c>
      <c r="P108" s="65">
        <v>44345.49267418051</v>
      </c>
      <c r="Q108" s="65">
        <v>42030.240015671232</v>
      </c>
      <c r="R108" s="65">
        <v>45662.582813399466</v>
      </c>
      <c r="S108" s="65">
        <v>49931.204335317168</v>
      </c>
      <c r="T108" s="65">
        <v>53015.914980529698</v>
      </c>
      <c r="U108" s="65">
        <v>48556.759856361467</v>
      </c>
      <c r="V108" s="65">
        <v>43742.479947825108</v>
      </c>
      <c r="W108" s="65">
        <v>53533.129616068276</v>
      </c>
      <c r="X108" s="65">
        <v>50432.298791657129</v>
      </c>
      <c r="Y108" s="65">
        <v>49229.919801462354</v>
      </c>
      <c r="DA108" s="109"/>
    </row>
    <row r="109" spans="1:105" ht="12" customHeight="1" x14ac:dyDescent="0.25">
      <c r="A109" s="61" t="s">
        <v>31</v>
      </c>
      <c r="B109" s="65">
        <v>907.08684041469905</v>
      </c>
      <c r="C109" s="65">
        <v>1013.0574946240263</v>
      </c>
      <c r="D109" s="65">
        <v>1167.8881225038565</v>
      </c>
      <c r="E109" s="65">
        <v>1096.3863626489565</v>
      </c>
      <c r="F109" s="65">
        <v>1160.0822313112917</v>
      </c>
      <c r="G109" s="65">
        <v>1230.8473660763361</v>
      </c>
      <c r="H109" s="65">
        <v>1467.7146773307686</v>
      </c>
      <c r="I109" s="65">
        <v>1389.3022978803126</v>
      </c>
      <c r="J109" s="65">
        <v>1453.4375145701229</v>
      </c>
      <c r="K109" s="65">
        <v>1554.0676499403139</v>
      </c>
      <c r="L109" s="65">
        <v>2046.7013695496048</v>
      </c>
      <c r="M109" s="65">
        <v>1675.081048634795</v>
      </c>
      <c r="N109" s="65">
        <v>1884.649098667199</v>
      </c>
      <c r="O109" s="65">
        <v>1808.1831472003219</v>
      </c>
      <c r="P109" s="65">
        <v>2067.7089287538097</v>
      </c>
      <c r="Q109" s="65">
        <v>2076.0528910366352</v>
      </c>
      <c r="R109" s="65">
        <v>2045.680920452078</v>
      </c>
      <c r="S109" s="65">
        <v>2075.756623338998</v>
      </c>
      <c r="T109" s="65">
        <v>2269.9100660813588</v>
      </c>
      <c r="U109" s="65">
        <v>2271.1558638342735</v>
      </c>
      <c r="V109" s="65">
        <v>2254.4855143656901</v>
      </c>
      <c r="W109" s="65">
        <v>2725.0511257693147</v>
      </c>
      <c r="X109" s="65">
        <v>2523.2943127902026</v>
      </c>
      <c r="Y109" s="65">
        <v>2617.1778735328576</v>
      </c>
      <c r="DA109" s="109"/>
    </row>
    <row r="110" spans="1:105" ht="12" customHeight="1" x14ac:dyDescent="0.25">
      <c r="A110" s="61" t="s">
        <v>35</v>
      </c>
      <c r="B110" s="65">
        <v>8046.4355804916559</v>
      </c>
      <c r="C110" s="65">
        <v>8163.1650523619301</v>
      </c>
      <c r="D110" s="65">
        <v>8214.3131938869246</v>
      </c>
      <c r="E110" s="65">
        <v>8218.4814730094731</v>
      </c>
      <c r="F110" s="65">
        <v>8556.4953922187433</v>
      </c>
      <c r="G110" s="65">
        <v>8854.1470544507356</v>
      </c>
      <c r="H110" s="65">
        <v>9233.6502946848286</v>
      </c>
      <c r="I110" s="65">
        <v>9013.6635994988847</v>
      </c>
      <c r="J110" s="65">
        <v>9110.6842659025187</v>
      </c>
      <c r="K110" s="65">
        <v>9372.3810030817895</v>
      </c>
      <c r="L110" s="65">
        <v>9589.4011766246622</v>
      </c>
      <c r="M110" s="65">
        <v>9731.734311744518</v>
      </c>
      <c r="N110" s="65">
        <v>9869.4365335555558</v>
      </c>
      <c r="O110" s="65">
        <v>10086.405255083824</v>
      </c>
      <c r="P110" s="65">
        <v>10121.793464430788</v>
      </c>
      <c r="Q110" s="65">
        <v>10278.742619395789</v>
      </c>
      <c r="R110" s="65">
        <v>10312.865413177427</v>
      </c>
      <c r="S110" s="65">
        <v>10712.925384261711</v>
      </c>
      <c r="T110" s="65">
        <v>10670.815507146523</v>
      </c>
      <c r="U110" s="65">
        <v>10839.18762541622</v>
      </c>
      <c r="V110" s="65">
        <v>9634.921488941347</v>
      </c>
      <c r="W110" s="65">
        <v>10712.412559298678</v>
      </c>
      <c r="X110" s="65">
        <v>10845.634774895369</v>
      </c>
      <c r="Y110" s="65">
        <v>11172.705945873233</v>
      </c>
      <c r="DA110" s="109"/>
    </row>
    <row r="111" spans="1:105" ht="12" customHeight="1" x14ac:dyDescent="0.25">
      <c r="A111" s="74" t="s">
        <v>34</v>
      </c>
      <c r="B111" s="68">
        <v>9237.1895335840054</v>
      </c>
      <c r="C111" s="68">
        <v>9059.0381181944867</v>
      </c>
      <c r="D111" s="68">
        <v>9099.9547579464779</v>
      </c>
      <c r="E111" s="68">
        <v>9014.1279882858034</v>
      </c>
      <c r="F111" s="68">
        <v>9094.7047325748026</v>
      </c>
      <c r="G111" s="68">
        <v>9236.9736079059421</v>
      </c>
      <c r="H111" s="68">
        <v>9799.5656098060717</v>
      </c>
      <c r="I111" s="68">
        <v>9400.3720740966019</v>
      </c>
      <c r="J111" s="68">
        <v>9011.3922954856716</v>
      </c>
      <c r="K111" s="68">
        <v>9362.9995124299021</v>
      </c>
      <c r="L111" s="68">
        <v>9358.7693058389377</v>
      </c>
      <c r="M111" s="68">
        <v>9288.6026507631323</v>
      </c>
      <c r="N111" s="68">
        <v>9671.8713883845758</v>
      </c>
      <c r="O111" s="68">
        <v>9727.7827699688005</v>
      </c>
      <c r="P111" s="68">
        <v>9720.138317462297</v>
      </c>
      <c r="Q111" s="68">
        <v>9444.5004516869103</v>
      </c>
      <c r="R111" s="68">
        <v>9507.1074796855864</v>
      </c>
      <c r="S111" s="68">
        <v>9927.3893835756662</v>
      </c>
      <c r="T111" s="68">
        <v>10050.797700501131</v>
      </c>
      <c r="U111" s="68">
        <v>10972.944356997077</v>
      </c>
      <c r="V111" s="68">
        <v>10463.184510356075</v>
      </c>
      <c r="W111" s="68">
        <v>11387.685960000845</v>
      </c>
      <c r="X111" s="68">
        <v>11396.868814499408</v>
      </c>
      <c r="Y111" s="68">
        <v>11648.659474282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109">B81*1000000/B$8</f>
        <v>10720.485586312494</v>
      </c>
      <c r="C113" s="82">
        <f t="shared" ref="C113:W113" si="110">C81*1000000/C$8</f>
        <v>8854.8485856841235</v>
      </c>
      <c r="D113" s="82">
        <f t="shared" si="110"/>
        <v>9638.0578468748536</v>
      </c>
      <c r="E113" s="82">
        <f t="shared" si="110"/>
        <v>8695.6920374357924</v>
      </c>
      <c r="F113" s="82">
        <f t="shared" si="110"/>
        <v>8925.3191250959862</v>
      </c>
      <c r="G113" s="82">
        <f t="shared" si="110"/>
        <v>8870.7681448295716</v>
      </c>
      <c r="H113" s="82">
        <f t="shared" si="110"/>
        <v>10365.315097173512</v>
      </c>
      <c r="I113" s="82">
        <f t="shared" si="110"/>
        <v>8904.1677214612628</v>
      </c>
      <c r="J113" s="82">
        <f t="shared" si="110"/>
        <v>7493.4297871718336</v>
      </c>
      <c r="K113" s="82">
        <f t="shared" si="110"/>
        <v>7560.7018860006137</v>
      </c>
      <c r="L113" s="82">
        <f t="shared" si="110"/>
        <v>7824.1525359440357</v>
      </c>
      <c r="M113" s="82">
        <f t="shared" si="110"/>
        <v>8197.5171759008863</v>
      </c>
      <c r="N113" s="82">
        <f t="shared" si="110"/>
        <v>6709.7109431256449</v>
      </c>
      <c r="O113" s="82">
        <f t="shared" si="110"/>
        <v>7190.6989327528399</v>
      </c>
      <c r="P113" s="82">
        <f t="shared" si="110"/>
        <v>6212.6327170843851</v>
      </c>
      <c r="Q113" s="82">
        <f t="shared" si="110"/>
        <v>5526.0214062253744</v>
      </c>
      <c r="R113" s="82">
        <f t="shared" si="110"/>
        <v>6221.8087120781729</v>
      </c>
      <c r="S113" s="82">
        <f t="shared" si="110"/>
        <v>6466.8293835224067</v>
      </c>
      <c r="T113" s="82">
        <f t="shared" si="110"/>
        <v>6697.0683377372388</v>
      </c>
      <c r="U113" s="82">
        <f t="shared" si="110"/>
        <v>6149.8281904925343</v>
      </c>
      <c r="V113" s="82">
        <f t="shared" si="110"/>
        <v>5083.702418769486</v>
      </c>
      <c r="W113" s="82">
        <f t="shared" si="110"/>
        <v>5634.0172484072646</v>
      </c>
      <c r="X113" s="82">
        <f t="shared" ref="X113:Y113" si="111">X81*1000000/X$8</f>
        <v>5555.1300089138422</v>
      </c>
      <c r="Y113" s="82">
        <f t="shared" si="111"/>
        <v>5767.2237790135687</v>
      </c>
      <c r="DA113" s="107"/>
    </row>
    <row r="114" spans="1:105" ht="12" customHeight="1" x14ac:dyDescent="0.25">
      <c r="A114" s="77" t="s">
        <v>36</v>
      </c>
      <c r="B114" s="64">
        <f t="shared" ref="B114" si="112">B82*1000000/B$8</f>
        <v>10720.485586312494</v>
      </c>
      <c r="C114" s="64">
        <f t="shared" ref="C114:W114" si="113">C82*1000000/C$8</f>
        <v>8854.8485856841235</v>
      </c>
      <c r="D114" s="64">
        <f t="shared" si="113"/>
        <v>9638.0578468748536</v>
      </c>
      <c r="E114" s="64">
        <f t="shared" si="113"/>
        <v>8695.6920374357924</v>
      </c>
      <c r="F114" s="64">
        <f t="shared" si="113"/>
        <v>8925.3191250959862</v>
      </c>
      <c r="G114" s="64">
        <f t="shared" si="113"/>
        <v>8870.7681448295716</v>
      </c>
      <c r="H114" s="64">
        <f t="shared" si="113"/>
        <v>10365.315097173512</v>
      </c>
      <c r="I114" s="64">
        <f t="shared" si="113"/>
        <v>8904.1677214612628</v>
      </c>
      <c r="J114" s="64">
        <f t="shared" si="113"/>
        <v>7493.4297871718336</v>
      </c>
      <c r="K114" s="64">
        <f t="shared" si="113"/>
        <v>7560.7018860006137</v>
      </c>
      <c r="L114" s="64">
        <f t="shared" si="113"/>
        <v>7824.1525359440357</v>
      </c>
      <c r="M114" s="64">
        <f t="shared" si="113"/>
        <v>8197.5171759008863</v>
      </c>
      <c r="N114" s="64">
        <f t="shared" si="113"/>
        <v>6709.7109431256449</v>
      </c>
      <c r="O114" s="64">
        <f t="shared" si="113"/>
        <v>7190.6989327528399</v>
      </c>
      <c r="P114" s="64">
        <f t="shared" si="113"/>
        <v>6212.6327170843851</v>
      </c>
      <c r="Q114" s="64">
        <f t="shared" si="113"/>
        <v>5526.0214062253744</v>
      </c>
      <c r="R114" s="64">
        <f t="shared" si="113"/>
        <v>6221.8087120781729</v>
      </c>
      <c r="S114" s="64">
        <f t="shared" si="113"/>
        <v>6466.8293835224067</v>
      </c>
      <c r="T114" s="64">
        <f t="shared" si="113"/>
        <v>6697.0683377372388</v>
      </c>
      <c r="U114" s="64">
        <f t="shared" si="113"/>
        <v>6149.8281904925343</v>
      </c>
      <c r="V114" s="64">
        <f t="shared" si="113"/>
        <v>5083.702418769486</v>
      </c>
      <c r="W114" s="64">
        <f t="shared" si="113"/>
        <v>5634.0172484072646</v>
      </c>
      <c r="X114" s="64">
        <f t="shared" ref="X114:Y114" si="114">X82*1000000/X$8</f>
        <v>5555.1300089138422</v>
      </c>
      <c r="Y114" s="64">
        <f t="shared" si="114"/>
        <v>5767.2237790135687</v>
      </c>
      <c r="DA114" s="108"/>
    </row>
    <row r="115" spans="1:105" ht="12" customHeight="1" x14ac:dyDescent="0.25">
      <c r="A115" s="61" t="s">
        <v>32</v>
      </c>
      <c r="B115" s="65">
        <f t="shared" ref="B115" si="115">B83*1000000/B$8</f>
        <v>9682.0306951140774</v>
      </c>
      <c r="C115" s="65">
        <f t="shared" ref="C115:W115" si="116">C83*1000000/C$8</f>
        <v>7900.0081271991221</v>
      </c>
      <c r="D115" s="65">
        <f t="shared" si="116"/>
        <v>8653.610860208144</v>
      </c>
      <c r="E115" s="65">
        <f t="shared" si="116"/>
        <v>7769.2856760973527</v>
      </c>
      <c r="F115" s="65">
        <f t="shared" si="116"/>
        <v>8049.4171530526382</v>
      </c>
      <c r="G115" s="65">
        <f t="shared" si="116"/>
        <v>8017.1010799856758</v>
      </c>
      <c r="H115" s="65">
        <f t="shared" si="116"/>
        <v>9487.165671976767</v>
      </c>
      <c r="I115" s="65">
        <f t="shared" si="116"/>
        <v>7863.3447507318979</v>
      </c>
      <c r="J115" s="65">
        <f t="shared" si="116"/>
        <v>6418.553125544614</v>
      </c>
      <c r="K115" s="65">
        <f t="shared" si="116"/>
        <v>6522.5185033399257</v>
      </c>
      <c r="L115" s="65">
        <f t="shared" si="116"/>
        <v>6859.6462143018798</v>
      </c>
      <c r="M115" s="65">
        <f t="shared" si="116"/>
        <v>7291.1929070472088</v>
      </c>
      <c r="N115" s="65">
        <f t="shared" si="116"/>
        <v>5895.1919733291534</v>
      </c>
      <c r="O115" s="65">
        <f t="shared" si="116"/>
        <v>6477.5298227949797</v>
      </c>
      <c r="P115" s="65">
        <f t="shared" si="116"/>
        <v>5600.5023910251166</v>
      </c>
      <c r="Q115" s="65">
        <f t="shared" si="116"/>
        <v>4845.0867515699301</v>
      </c>
      <c r="R115" s="65">
        <f t="shared" si="116"/>
        <v>5507.9024208671035</v>
      </c>
      <c r="S115" s="65">
        <f t="shared" si="116"/>
        <v>5788.3584838256829</v>
      </c>
      <c r="T115" s="65">
        <f t="shared" si="116"/>
        <v>6002.8116167059052</v>
      </c>
      <c r="U115" s="65">
        <f t="shared" si="116"/>
        <v>5596.8271595881706</v>
      </c>
      <c r="V115" s="65">
        <f t="shared" si="116"/>
        <v>4591.9640398226466</v>
      </c>
      <c r="W115" s="65">
        <f t="shared" si="116"/>
        <v>5123.0612581396153</v>
      </c>
      <c r="X115" s="65">
        <f t="shared" ref="X115:Y115" si="117">X83*1000000/X$8</f>
        <v>4984.6611117817201</v>
      </c>
      <c r="Y115" s="65">
        <f t="shared" si="117"/>
        <v>5126.3387982680533</v>
      </c>
      <c r="DA115" s="109"/>
    </row>
    <row r="116" spans="1:105" ht="12" customHeight="1" x14ac:dyDescent="0.25">
      <c r="A116" s="61" t="s">
        <v>31</v>
      </c>
      <c r="B116" s="65">
        <f t="shared" ref="B116" si="118">B84*1000000/B$8</f>
        <v>0</v>
      </c>
      <c r="C116" s="65">
        <f t="shared" ref="C116:W116" si="119">C84*1000000/C$8</f>
        <v>0</v>
      </c>
      <c r="D116" s="65">
        <f t="shared" si="119"/>
        <v>0</v>
      </c>
      <c r="E116" s="65">
        <f t="shared" si="119"/>
        <v>0</v>
      </c>
      <c r="F116" s="65">
        <f t="shared" si="119"/>
        <v>0</v>
      </c>
      <c r="G116" s="65">
        <f t="shared" si="119"/>
        <v>0</v>
      </c>
      <c r="H116" s="65">
        <f t="shared" si="119"/>
        <v>0</v>
      </c>
      <c r="I116" s="65">
        <f t="shared" si="119"/>
        <v>0</v>
      </c>
      <c r="J116" s="65">
        <f t="shared" si="119"/>
        <v>0</v>
      </c>
      <c r="K116" s="65">
        <f t="shared" si="119"/>
        <v>0</v>
      </c>
      <c r="L116" s="65">
        <f t="shared" si="119"/>
        <v>0</v>
      </c>
      <c r="M116" s="65">
        <f t="shared" si="119"/>
        <v>0</v>
      </c>
      <c r="N116" s="65">
        <f t="shared" si="119"/>
        <v>0</v>
      </c>
      <c r="O116" s="65">
        <f t="shared" si="119"/>
        <v>0</v>
      </c>
      <c r="P116" s="65">
        <f t="shared" si="119"/>
        <v>0</v>
      </c>
      <c r="Q116" s="65">
        <f t="shared" si="119"/>
        <v>0</v>
      </c>
      <c r="R116" s="65">
        <f t="shared" si="119"/>
        <v>0</v>
      </c>
      <c r="S116" s="65">
        <f t="shared" si="119"/>
        <v>0</v>
      </c>
      <c r="T116" s="65">
        <f t="shared" si="119"/>
        <v>0</v>
      </c>
      <c r="U116" s="65">
        <f t="shared" si="119"/>
        <v>0</v>
      </c>
      <c r="V116" s="65">
        <f t="shared" si="119"/>
        <v>0</v>
      </c>
      <c r="W116" s="65">
        <f t="shared" si="119"/>
        <v>0</v>
      </c>
      <c r="X116" s="65">
        <f t="shared" ref="X116:Y116" si="120">X84*1000000/X$8</f>
        <v>0</v>
      </c>
      <c r="Y116" s="65">
        <f t="shared" si="120"/>
        <v>0</v>
      </c>
      <c r="DA116" s="109"/>
    </row>
    <row r="117" spans="1:105" ht="12" customHeight="1" x14ac:dyDescent="0.25">
      <c r="A117" s="61" t="s">
        <v>35</v>
      </c>
      <c r="B117" s="65">
        <f t="shared" ref="B117" si="121">B85*1000000/B$8</f>
        <v>353.04216340661787</v>
      </c>
      <c r="C117" s="65">
        <f t="shared" ref="C117:W117" si="122">C85*1000000/C$8</f>
        <v>251.71807405525198</v>
      </c>
      <c r="D117" s="65">
        <f t="shared" si="122"/>
        <v>241.49283490036456</v>
      </c>
      <c r="E117" s="65">
        <f t="shared" si="122"/>
        <v>209.04258020052876</v>
      </c>
      <c r="F117" s="65">
        <f t="shared" si="122"/>
        <v>243.12437315608892</v>
      </c>
      <c r="G117" s="65">
        <f t="shared" si="122"/>
        <v>217.64741152384252</v>
      </c>
      <c r="H117" s="65">
        <f t="shared" si="122"/>
        <v>236.94590190760761</v>
      </c>
      <c r="I117" s="65">
        <f t="shared" si="122"/>
        <v>284.67882610306918</v>
      </c>
      <c r="J117" s="65">
        <f t="shared" si="122"/>
        <v>300.76828253750898</v>
      </c>
      <c r="K117" s="65">
        <f t="shared" si="122"/>
        <v>284.55276631006689</v>
      </c>
      <c r="L117" s="65">
        <f t="shared" si="122"/>
        <v>279.25658459027079</v>
      </c>
      <c r="M117" s="65">
        <f t="shared" si="122"/>
        <v>271.58166042601709</v>
      </c>
      <c r="N117" s="65">
        <f t="shared" si="122"/>
        <v>262.65865043628685</v>
      </c>
      <c r="O117" s="65">
        <f t="shared" si="122"/>
        <v>262.90111268749837</v>
      </c>
      <c r="P117" s="65">
        <f t="shared" si="122"/>
        <v>235.13633176776054</v>
      </c>
      <c r="Q117" s="65">
        <f t="shared" si="122"/>
        <v>252.20612874208007</v>
      </c>
      <c r="R117" s="65">
        <f t="shared" si="122"/>
        <v>264.01003222067578</v>
      </c>
      <c r="S117" s="65">
        <f t="shared" si="122"/>
        <v>266.14003742999853</v>
      </c>
      <c r="T117" s="65">
        <f t="shared" si="122"/>
        <v>267.81038310066924</v>
      </c>
      <c r="U117" s="65">
        <f t="shared" si="122"/>
        <v>276.61150885817852</v>
      </c>
      <c r="V117" s="65">
        <f t="shared" si="122"/>
        <v>280.79024906056907</v>
      </c>
      <c r="W117" s="65">
        <f t="shared" si="122"/>
        <v>292.70730318102005</v>
      </c>
      <c r="X117" s="65">
        <f t="shared" ref="X117:Y117" si="123">X85*1000000/X$8</f>
        <v>288.3080705977697</v>
      </c>
      <c r="Y117" s="65">
        <f t="shared" si="123"/>
        <v>281.46012379497989</v>
      </c>
      <c r="DA117" s="109"/>
    </row>
    <row r="118" spans="1:105" ht="12" customHeight="1" x14ac:dyDescent="0.25">
      <c r="A118" s="66" t="s">
        <v>34</v>
      </c>
      <c r="B118" s="67">
        <f t="shared" ref="B118" si="124">B86*1000000/B$8</f>
        <v>685.41272779179735</v>
      </c>
      <c r="C118" s="67">
        <f t="shared" ref="C118:W118" si="125">C86*1000000/C$8</f>
        <v>703.12238442974979</v>
      </c>
      <c r="D118" s="67">
        <f t="shared" si="125"/>
        <v>742.95415176634322</v>
      </c>
      <c r="E118" s="67">
        <f t="shared" si="125"/>
        <v>717.36378113791034</v>
      </c>
      <c r="F118" s="67">
        <f t="shared" si="125"/>
        <v>632.77759888725905</v>
      </c>
      <c r="G118" s="67">
        <f t="shared" si="125"/>
        <v>636.01965332005261</v>
      </c>
      <c r="H118" s="67">
        <f t="shared" si="125"/>
        <v>641.20352328913498</v>
      </c>
      <c r="I118" s="67">
        <f t="shared" si="125"/>
        <v>756.14414462629577</v>
      </c>
      <c r="J118" s="67">
        <f t="shared" si="125"/>
        <v>774.10837908971075</v>
      </c>
      <c r="K118" s="67">
        <f t="shared" si="125"/>
        <v>753.63061635062184</v>
      </c>
      <c r="L118" s="67">
        <f t="shared" si="125"/>
        <v>685.24973705188518</v>
      </c>
      <c r="M118" s="67">
        <f t="shared" si="125"/>
        <v>634.74260842765977</v>
      </c>
      <c r="N118" s="67">
        <f t="shared" si="125"/>
        <v>551.86031936020436</v>
      </c>
      <c r="O118" s="67">
        <f t="shared" si="125"/>
        <v>450.26799727036251</v>
      </c>
      <c r="P118" s="67">
        <f t="shared" si="125"/>
        <v>376.99399429150878</v>
      </c>
      <c r="Q118" s="67">
        <f t="shared" si="125"/>
        <v>428.72852591336425</v>
      </c>
      <c r="R118" s="67">
        <f t="shared" si="125"/>
        <v>449.89625899039339</v>
      </c>
      <c r="S118" s="67">
        <f t="shared" si="125"/>
        <v>412.33086226672549</v>
      </c>
      <c r="T118" s="67">
        <f t="shared" si="125"/>
        <v>426.44633793066436</v>
      </c>
      <c r="U118" s="67">
        <f t="shared" si="125"/>
        <v>276.38952204618494</v>
      </c>
      <c r="V118" s="67">
        <f t="shared" si="125"/>
        <v>210.94812988626956</v>
      </c>
      <c r="W118" s="67">
        <f t="shared" si="125"/>
        <v>218.24868708662891</v>
      </c>
      <c r="X118" s="67">
        <f t="shared" ref="X118:Y118" si="126">X86*1000000/X$8</f>
        <v>282.16082653435336</v>
      </c>
      <c r="Y118" s="67">
        <f t="shared" si="126"/>
        <v>359.42485695053489</v>
      </c>
      <c r="DA118" s="110"/>
    </row>
    <row r="119" spans="1:105" ht="12" customHeight="1" x14ac:dyDescent="0.25">
      <c r="A119" s="78" t="s">
        <v>33</v>
      </c>
      <c r="B119" s="68">
        <f t="shared" ref="B119" si="127">B87*1000000/B$8</f>
        <v>0</v>
      </c>
      <c r="C119" s="68">
        <f t="shared" ref="C119:W119" si="128">C87*1000000/C$8</f>
        <v>0</v>
      </c>
      <c r="D119" s="68">
        <f t="shared" si="128"/>
        <v>0</v>
      </c>
      <c r="E119" s="68">
        <f t="shared" si="128"/>
        <v>0</v>
      </c>
      <c r="F119" s="68">
        <f t="shared" si="128"/>
        <v>0</v>
      </c>
      <c r="G119" s="68">
        <f t="shared" si="128"/>
        <v>0</v>
      </c>
      <c r="H119" s="68">
        <f t="shared" si="128"/>
        <v>0</v>
      </c>
      <c r="I119" s="68">
        <f t="shared" si="128"/>
        <v>0</v>
      </c>
      <c r="J119" s="68">
        <f t="shared" si="128"/>
        <v>0</v>
      </c>
      <c r="K119" s="68">
        <f t="shared" si="128"/>
        <v>0</v>
      </c>
      <c r="L119" s="68">
        <f t="shared" si="128"/>
        <v>0</v>
      </c>
      <c r="M119" s="68">
        <f t="shared" si="128"/>
        <v>0</v>
      </c>
      <c r="N119" s="68">
        <f t="shared" si="128"/>
        <v>0</v>
      </c>
      <c r="O119" s="68">
        <f t="shared" si="128"/>
        <v>0</v>
      </c>
      <c r="P119" s="68">
        <f t="shared" si="128"/>
        <v>0</v>
      </c>
      <c r="Q119" s="68">
        <f t="shared" si="128"/>
        <v>0</v>
      </c>
      <c r="R119" s="68">
        <f t="shared" si="128"/>
        <v>0</v>
      </c>
      <c r="S119" s="68">
        <f t="shared" si="128"/>
        <v>0</v>
      </c>
      <c r="T119" s="68">
        <f t="shared" si="128"/>
        <v>0</v>
      </c>
      <c r="U119" s="68">
        <f t="shared" si="128"/>
        <v>0</v>
      </c>
      <c r="V119" s="68">
        <f t="shared" si="128"/>
        <v>0</v>
      </c>
      <c r="W119" s="68">
        <f t="shared" si="128"/>
        <v>0</v>
      </c>
      <c r="X119" s="68">
        <f t="shared" ref="X119:Y119" si="129">X87*1000000/X$8</f>
        <v>0</v>
      </c>
      <c r="Y119" s="68">
        <f t="shared" si="129"/>
        <v>0</v>
      </c>
      <c r="DA119" s="111"/>
    </row>
    <row r="121" spans="1:105" ht="12.95" customHeight="1" x14ac:dyDescent="0.25">
      <c r="A121" s="79" t="s">
        <v>30</v>
      </c>
      <c r="B121" s="86">
        <f t="shared" ref="B121" si="130">IF(B107=0,"",B107/B100)</f>
        <v>0.62169519065399448</v>
      </c>
      <c r="C121" s="86">
        <f t="shared" ref="C121:W121" si="131">IF(C107=0,"",C107/C100)</f>
        <v>0.63416974548561023</v>
      </c>
      <c r="D121" s="86">
        <f t="shared" si="131"/>
        <v>0.63454587810208962</v>
      </c>
      <c r="E121" s="86">
        <f t="shared" si="131"/>
        <v>0.64781457498308548</v>
      </c>
      <c r="F121" s="86">
        <f t="shared" si="131"/>
        <v>0.6512926043744629</v>
      </c>
      <c r="G121" s="86">
        <f t="shared" si="131"/>
        <v>0.65756449474554701</v>
      </c>
      <c r="H121" s="86">
        <f t="shared" si="131"/>
        <v>0.6621079417663962</v>
      </c>
      <c r="I121" s="86">
        <f t="shared" si="131"/>
        <v>0.6675106375121197</v>
      </c>
      <c r="J121" s="86">
        <f t="shared" si="131"/>
        <v>0.66915149096634863</v>
      </c>
      <c r="K121" s="86">
        <f t="shared" si="131"/>
        <v>0.68005932556472481</v>
      </c>
      <c r="L121" s="86">
        <f t="shared" si="131"/>
        <v>0.68787283120284526</v>
      </c>
      <c r="M121" s="86">
        <f t="shared" si="131"/>
        <v>0.68297834570844185</v>
      </c>
      <c r="N121" s="86">
        <f t="shared" si="131"/>
        <v>0.69882521813212184</v>
      </c>
      <c r="O121" s="86">
        <f t="shared" si="131"/>
        <v>0.69811848784477981</v>
      </c>
      <c r="P121" s="86">
        <f t="shared" si="131"/>
        <v>0.7091534657186066</v>
      </c>
      <c r="Q121" s="86">
        <f t="shared" si="131"/>
        <v>0.71629044690311527</v>
      </c>
      <c r="R121" s="86">
        <f t="shared" si="131"/>
        <v>0.71819725653915301</v>
      </c>
      <c r="S121" s="86">
        <f t="shared" si="131"/>
        <v>0.73154491017108714</v>
      </c>
      <c r="T121" s="86">
        <f t="shared" si="131"/>
        <v>0.74086582181426675</v>
      </c>
      <c r="U121" s="86">
        <f t="shared" si="131"/>
        <v>0.75100508492867024</v>
      </c>
      <c r="V121" s="86">
        <f t="shared" si="131"/>
        <v>0.76040680055823129</v>
      </c>
      <c r="W121" s="86">
        <f t="shared" si="131"/>
        <v>0.77928078236199783</v>
      </c>
      <c r="X121" s="86">
        <f t="shared" ref="X121:Y121" si="132">IF(X107=0,"",X107/X100)</f>
        <v>0.78747843591769839</v>
      </c>
      <c r="Y121" s="86">
        <f t="shared" si="132"/>
        <v>0.79585250602278257</v>
      </c>
      <c r="DA121" s="119" t="s">
        <v>239</v>
      </c>
    </row>
    <row r="122" spans="1:105" ht="12" customHeight="1" x14ac:dyDescent="0.25">
      <c r="A122" s="61" t="s">
        <v>32</v>
      </c>
      <c r="B122" s="75">
        <f t="shared" ref="B122" si="133">IF(B108=0,"",B108/B101)</f>
        <v>0.60827320218349801</v>
      </c>
      <c r="C122" s="75">
        <f t="shared" ref="C122:W122" si="134">IF(C108=0,"",C108/C101)</f>
        <v>0.62134259904190892</v>
      </c>
      <c r="D122" s="75">
        <f t="shared" si="134"/>
        <v>0.62021041898719931</v>
      </c>
      <c r="E122" s="75">
        <f t="shared" si="134"/>
        <v>0.63557651943762039</v>
      </c>
      <c r="F122" s="75">
        <f t="shared" si="134"/>
        <v>0.63760279372264894</v>
      </c>
      <c r="G122" s="75">
        <f t="shared" si="134"/>
        <v>0.64327432508087212</v>
      </c>
      <c r="H122" s="75">
        <f t="shared" si="134"/>
        <v>0.64659961955563694</v>
      </c>
      <c r="I122" s="75">
        <f t="shared" si="134"/>
        <v>0.65372907949231529</v>
      </c>
      <c r="J122" s="75">
        <f t="shared" si="134"/>
        <v>0.65325054060649845</v>
      </c>
      <c r="K122" s="75">
        <f t="shared" si="134"/>
        <v>0.6633364482026356</v>
      </c>
      <c r="L122" s="75">
        <f t="shared" si="134"/>
        <v>0.66737432977908073</v>
      </c>
      <c r="M122" s="75">
        <f t="shared" si="134"/>
        <v>0.66104201816429164</v>
      </c>
      <c r="N122" s="75">
        <f t="shared" si="134"/>
        <v>0.67838328413920068</v>
      </c>
      <c r="O122" s="75">
        <f t="shared" si="134"/>
        <v>0.67233344827764163</v>
      </c>
      <c r="P122" s="75">
        <f t="shared" si="134"/>
        <v>0.68062676020739754</v>
      </c>
      <c r="Q122" s="75">
        <f t="shared" si="134"/>
        <v>0.68746202750676833</v>
      </c>
      <c r="R122" s="75">
        <f t="shared" si="134"/>
        <v>0.69011392932426474</v>
      </c>
      <c r="S122" s="75">
        <f t="shared" si="134"/>
        <v>0.70598490173758499</v>
      </c>
      <c r="T122" s="75">
        <f t="shared" si="134"/>
        <v>0.7145162675366713</v>
      </c>
      <c r="U122" s="75">
        <f t="shared" si="134"/>
        <v>0.71931305244275179</v>
      </c>
      <c r="V122" s="75">
        <f t="shared" si="134"/>
        <v>0.72441288501093903</v>
      </c>
      <c r="W122" s="75">
        <f t="shared" si="134"/>
        <v>0.74675875041372408</v>
      </c>
      <c r="X122" s="75">
        <f t="shared" ref="X122:Y122" si="135">IF(X108=0,"",X108/X101)</f>
        <v>0.75497368504187634</v>
      </c>
      <c r="Y122" s="75">
        <f t="shared" si="135"/>
        <v>0.76083849324256669</v>
      </c>
      <c r="DA122" s="120" t="s">
        <v>240</v>
      </c>
    </row>
    <row r="123" spans="1:105" ht="12" customHeight="1" x14ac:dyDescent="0.25">
      <c r="A123" s="61" t="s">
        <v>31</v>
      </c>
      <c r="B123" s="76">
        <f t="shared" ref="B123" si="136">IF(B109=0,"",B109/B102)</f>
        <v>1.9708012911618447</v>
      </c>
      <c r="C123" s="76">
        <f t="shared" ref="C123:W123" si="137">IF(C109=0,"",C109/C102)</f>
        <v>2.0828042644856679</v>
      </c>
      <c r="D123" s="76">
        <f t="shared" si="137"/>
        <v>2.2100292237482164</v>
      </c>
      <c r="E123" s="76">
        <f t="shared" si="137"/>
        <v>2.3434324413067045</v>
      </c>
      <c r="F123" s="76">
        <f t="shared" si="137"/>
        <v>2.4850539174717796</v>
      </c>
      <c r="G123" s="76">
        <f t="shared" si="137"/>
        <v>2.6338699051517667</v>
      </c>
      <c r="H123" s="76">
        <f t="shared" si="137"/>
        <v>2.7922230328981512</v>
      </c>
      <c r="I123" s="76">
        <f t="shared" si="137"/>
        <v>2.9654969775098468</v>
      </c>
      <c r="J123" s="76">
        <f t="shared" si="137"/>
        <v>3.1458214127504744</v>
      </c>
      <c r="K123" s="76">
        <f t="shared" si="137"/>
        <v>3.2151380328886776</v>
      </c>
      <c r="L123" s="76">
        <f t="shared" si="137"/>
        <v>3.3024488164603083</v>
      </c>
      <c r="M123" s="76">
        <f t="shared" si="137"/>
        <v>3.431284544155675</v>
      </c>
      <c r="N123" s="76">
        <f t="shared" si="137"/>
        <v>3.5640004732611601</v>
      </c>
      <c r="O123" s="76">
        <f t="shared" si="137"/>
        <v>3.7131576157137265</v>
      </c>
      <c r="P123" s="76">
        <f t="shared" si="137"/>
        <v>3.881856404657249</v>
      </c>
      <c r="Q123" s="76">
        <f t="shared" si="137"/>
        <v>4.0547110232800492</v>
      </c>
      <c r="R123" s="76">
        <f t="shared" si="137"/>
        <v>4.2232038183095435</v>
      </c>
      <c r="S123" s="76">
        <f t="shared" si="137"/>
        <v>4.3692024967200238</v>
      </c>
      <c r="T123" s="76">
        <f t="shared" si="137"/>
        <v>4.4919121846650407</v>
      </c>
      <c r="U123" s="76">
        <f t="shared" si="137"/>
        <v>4.5831681360705323</v>
      </c>
      <c r="V123" s="76">
        <f t="shared" si="137"/>
        <v>4.6621870988102279</v>
      </c>
      <c r="W123" s="76">
        <f t="shared" si="137"/>
        <v>4.7322348018539646</v>
      </c>
      <c r="X123" s="76">
        <f t="shared" ref="X123:Y123" si="138">IF(X109=0,"",X109/X102)</f>
        <v>4.7899825931312536</v>
      </c>
      <c r="Y123" s="76">
        <f t="shared" si="138"/>
        <v>4.8428584604247975</v>
      </c>
      <c r="DA123" s="121" t="s">
        <v>241</v>
      </c>
    </row>
    <row r="124" spans="1:105" ht="12" customHeight="1" x14ac:dyDescent="0.25">
      <c r="A124" s="61" t="s">
        <v>35</v>
      </c>
      <c r="B124" s="76">
        <f t="shared" ref="B124" si="139">IF(B110=0,"",B110/B103)</f>
        <v>0.63105152389209151</v>
      </c>
      <c r="C124" s="76">
        <f t="shared" ref="C124:W124" si="140">IF(C110=0,"",C110/C103)</f>
        <v>0.6407930233956296</v>
      </c>
      <c r="D124" s="76">
        <f t="shared" si="140"/>
        <v>0.64274996836065135</v>
      </c>
      <c r="E124" s="76">
        <f t="shared" si="140"/>
        <v>0.64928331571869768</v>
      </c>
      <c r="F124" s="76">
        <f t="shared" si="140"/>
        <v>0.65301052514216718</v>
      </c>
      <c r="G124" s="76">
        <f t="shared" si="140"/>
        <v>0.65916258287562524</v>
      </c>
      <c r="H124" s="76">
        <f t="shared" si="140"/>
        <v>0.66257571960671058</v>
      </c>
      <c r="I124" s="76">
        <f t="shared" si="140"/>
        <v>0.6615495135742302</v>
      </c>
      <c r="J124" s="76">
        <f t="shared" si="140"/>
        <v>0.66544518044425216</v>
      </c>
      <c r="K124" s="76">
        <f t="shared" si="140"/>
        <v>0.67340986304834016</v>
      </c>
      <c r="L124" s="76">
        <f t="shared" si="140"/>
        <v>0.67984524276628677</v>
      </c>
      <c r="M124" s="76">
        <f t="shared" si="140"/>
        <v>0.68433511590898732</v>
      </c>
      <c r="N124" s="76">
        <f t="shared" si="140"/>
        <v>0.69115834991983305</v>
      </c>
      <c r="O124" s="76">
        <f t="shared" si="140"/>
        <v>0.69959566959705022</v>
      </c>
      <c r="P124" s="76">
        <f t="shared" si="140"/>
        <v>0.70410157707092813</v>
      </c>
      <c r="Q124" s="76">
        <f t="shared" si="140"/>
        <v>0.71331839644428785</v>
      </c>
      <c r="R124" s="76">
        <f t="shared" si="140"/>
        <v>0.72197180082604628</v>
      </c>
      <c r="S124" s="76">
        <f t="shared" si="140"/>
        <v>0.73276246082606677</v>
      </c>
      <c r="T124" s="76">
        <f t="shared" si="140"/>
        <v>0.74386070947580962</v>
      </c>
      <c r="U124" s="76">
        <f t="shared" si="140"/>
        <v>0.75532535320400096</v>
      </c>
      <c r="V124" s="76">
        <f t="shared" si="140"/>
        <v>0.7663707117666021</v>
      </c>
      <c r="W124" s="76">
        <f t="shared" si="140"/>
        <v>0.78052253895486745</v>
      </c>
      <c r="X124" s="76">
        <f t="shared" ref="X124:Y124" si="141">IF(X110=0,"",X110/X103)</f>
        <v>0.79352632690687086</v>
      </c>
      <c r="Y124" s="76">
        <f t="shared" si="141"/>
        <v>0.8068428819594381</v>
      </c>
      <c r="DA124" s="121" t="s">
        <v>242</v>
      </c>
    </row>
    <row r="125" spans="1:105" ht="12" customHeight="1" x14ac:dyDescent="0.25">
      <c r="A125" s="74" t="s">
        <v>34</v>
      </c>
      <c r="B125" s="56">
        <f t="shared" ref="B125" si="142">IF(B111=0,"",B111/B104)</f>
        <v>0.68507414412084688</v>
      </c>
      <c r="C125" s="56">
        <f t="shared" ref="C125:W125" si="143">IF(C111=0,"",C111/C104)</f>
        <v>0.68464984485948943</v>
      </c>
      <c r="D125" s="56">
        <f t="shared" si="143"/>
        <v>0.68305155910989868</v>
      </c>
      <c r="E125" s="56">
        <f t="shared" si="143"/>
        <v>0.68588681077984393</v>
      </c>
      <c r="F125" s="56">
        <f t="shared" si="143"/>
        <v>0.69399068683939791</v>
      </c>
      <c r="G125" s="56">
        <f t="shared" si="143"/>
        <v>0.69351147414069525</v>
      </c>
      <c r="H125" s="56">
        <f t="shared" si="143"/>
        <v>0.69727830359701992</v>
      </c>
      <c r="I125" s="56">
        <f t="shared" si="143"/>
        <v>0.69085045321215521</v>
      </c>
      <c r="J125" s="56">
        <f t="shared" si="143"/>
        <v>0.68669959551103654</v>
      </c>
      <c r="K125" s="56">
        <f t="shared" si="143"/>
        <v>0.69346655206535535</v>
      </c>
      <c r="L125" s="56">
        <f t="shared" si="143"/>
        <v>0.69666413902589897</v>
      </c>
      <c r="M125" s="56">
        <f t="shared" si="143"/>
        <v>0.7003457554751843</v>
      </c>
      <c r="N125" s="56">
        <f t="shared" si="143"/>
        <v>0.71133067824495533</v>
      </c>
      <c r="O125" s="56">
        <f t="shared" si="143"/>
        <v>0.7204969395288161</v>
      </c>
      <c r="P125" s="56">
        <f t="shared" si="143"/>
        <v>0.72720450742260079</v>
      </c>
      <c r="Q125" s="56">
        <f t="shared" si="143"/>
        <v>0.72364924788196117</v>
      </c>
      <c r="R125" s="56">
        <f t="shared" si="143"/>
        <v>0.72633162156558695</v>
      </c>
      <c r="S125" s="56">
        <f t="shared" si="143"/>
        <v>0.73612283597454109</v>
      </c>
      <c r="T125" s="56">
        <f t="shared" si="143"/>
        <v>0.74209179436621786</v>
      </c>
      <c r="U125" s="56">
        <f t="shared" si="143"/>
        <v>0.76341344714488191</v>
      </c>
      <c r="V125" s="56">
        <f t="shared" si="143"/>
        <v>0.77610798765377464</v>
      </c>
      <c r="W125" s="56">
        <f t="shared" si="143"/>
        <v>0.78189480010662005</v>
      </c>
      <c r="X125" s="56">
        <f t="shared" ref="X125:Y125" si="144">IF(X111=0,"",X111/X104)</f>
        <v>0.78611253108080448</v>
      </c>
      <c r="Y125" s="56">
        <f t="shared" si="144"/>
        <v>0.79084912993013423</v>
      </c>
      <c r="DA125" s="122" t="s">
        <v>243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145">IF(B99=0,0,B99/B$26)</f>
        <v>205.87348714404493</v>
      </c>
      <c r="C129" s="82">
        <f t="shared" ref="C129:W129" si="146">IF(C99=0,0,C99/C$26)</f>
        <v>200.70300083424198</v>
      </c>
      <c r="D129" s="82">
        <f t="shared" si="146"/>
        <v>198.19985874576068</v>
      </c>
      <c r="E129" s="82">
        <f t="shared" si="146"/>
        <v>194.66026158279365</v>
      </c>
      <c r="F129" s="82">
        <f t="shared" si="146"/>
        <v>193.20179434810865</v>
      </c>
      <c r="G129" s="82">
        <f t="shared" si="146"/>
        <v>187.75294747271624</v>
      </c>
      <c r="H129" s="82">
        <f t="shared" si="146"/>
        <v>194.93097912966664</v>
      </c>
      <c r="I129" s="82">
        <f t="shared" si="146"/>
        <v>182.83625808634145</v>
      </c>
      <c r="J129" s="82">
        <f t="shared" si="146"/>
        <v>168.61229581907492</v>
      </c>
      <c r="K129" s="82">
        <f t="shared" si="146"/>
        <v>164.56240115885959</v>
      </c>
      <c r="L129" s="82">
        <f t="shared" si="146"/>
        <v>165.70580571275755</v>
      </c>
      <c r="M129" s="82">
        <f t="shared" si="146"/>
        <v>157.53578370435397</v>
      </c>
      <c r="N129" s="82">
        <f t="shared" si="146"/>
        <v>163.3463385156733</v>
      </c>
      <c r="O129" s="82">
        <f t="shared" si="146"/>
        <v>155.18476386363187</v>
      </c>
      <c r="P129" s="82">
        <f t="shared" si="146"/>
        <v>150.48778945837483</v>
      </c>
      <c r="Q129" s="82">
        <f t="shared" si="146"/>
        <v>146.72180911420497</v>
      </c>
      <c r="R129" s="82">
        <f t="shared" si="146"/>
        <v>152.46646462586091</v>
      </c>
      <c r="S129" s="82">
        <f t="shared" si="146"/>
        <v>159.02941891056483</v>
      </c>
      <c r="T129" s="82">
        <f t="shared" si="146"/>
        <v>161.78368195230314</v>
      </c>
      <c r="U129" s="82">
        <f t="shared" si="146"/>
        <v>154.18153115935459</v>
      </c>
      <c r="V129" s="82">
        <f t="shared" si="146"/>
        <v>141.14418189768304</v>
      </c>
      <c r="W129" s="82">
        <f t="shared" si="146"/>
        <v>157.11132893685578</v>
      </c>
      <c r="X129" s="82">
        <f t="shared" ref="X129:Y129" si="147">IF(X99=0,0,X99/X$26)</f>
        <v>150.61975888909976</v>
      </c>
      <c r="Y129" s="82">
        <f t="shared" si="147"/>
        <v>148.86747615114646</v>
      </c>
      <c r="DA129" s="107"/>
    </row>
    <row r="130" spans="1:105" ht="12" customHeight="1" x14ac:dyDescent="0.25">
      <c r="A130" s="77" t="s">
        <v>36</v>
      </c>
      <c r="B130" s="64">
        <f t="shared" ref="B130" si="148">IF(B100=0,0,B100/B$26)</f>
        <v>161.68398605415288</v>
      </c>
      <c r="C130" s="64">
        <f t="shared" ref="C130:W130" si="149">IF(C100=0,0,C100/C$26)</f>
        <v>155.59731005032958</v>
      </c>
      <c r="D130" s="64">
        <f t="shared" si="149"/>
        <v>152.33352363775995</v>
      </c>
      <c r="E130" s="64">
        <f t="shared" si="149"/>
        <v>148.32776435886424</v>
      </c>
      <c r="F130" s="64">
        <f t="shared" si="149"/>
        <v>146.36057878214146</v>
      </c>
      <c r="G130" s="64">
        <f t="shared" si="149"/>
        <v>140.94915816048609</v>
      </c>
      <c r="H130" s="64">
        <f t="shared" si="149"/>
        <v>147.78558556859326</v>
      </c>
      <c r="I130" s="64">
        <f t="shared" si="149"/>
        <v>136.63190291143175</v>
      </c>
      <c r="J130" s="64">
        <f t="shared" si="149"/>
        <v>122.81052480448504</v>
      </c>
      <c r="K130" s="64">
        <f t="shared" si="149"/>
        <v>118.297422868328</v>
      </c>
      <c r="L130" s="64">
        <f t="shared" si="149"/>
        <v>119.38380331225953</v>
      </c>
      <c r="M130" s="64">
        <f t="shared" si="149"/>
        <v>111.68179114369704</v>
      </c>
      <c r="N130" s="64">
        <f t="shared" si="149"/>
        <v>117.20584399439396</v>
      </c>
      <c r="O130" s="64">
        <f t="shared" si="149"/>
        <v>108.7672358607137</v>
      </c>
      <c r="P130" s="64">
        <f t="shared" si="149"/>
        <v>103.80942691640421</v>
      </c>
      <c r="Q130" s="64">
        <f t="shared" si="149"/>
        <v>99.012498280020083</v>
      </c>
      <c r="R130" s="64">
        <f t="shared" si="149"/>
        <v>104.47181933170259</v>
      </c>
      <c r="S130" s="64">
        <f t="shared" si="149"/>
        <v>110.34072430738614</v>
      </c>
      <c r="T130" s="64">
        <f t="shared" si="149"/>
        <v>113.99190877045297</v>
      </c>
      <c r="U130" s="64">
        <f t="shared" si="149"/>
        <v>107.47086235997443</v>
      </c>
      <c r="V130" s="64">
        <f t="shared" si="149"/>
        <v>96.578526436940479</v>
      </c>
      <c r="W130" s="64">
        <f t="shared" si="149"/>
        <v>111.72449867261422</v>
      </c>
      <c r="X130" s="64">
        <f t="shared" ref="X130:Y130" si="150">IF(X100=0,0,X100/X$26)</f>
        <v>106.10251272920965</v>
      </c>
      <c r="Y130" s="64">
        <f t="shared" si="150"/>
        <v>104.2466516933184</v>
      </c>
      <c r="DA130" s="108"/>
    </row>
    <row r="131" spans="1:105" ht="12" customHeight="1" x14ac:dyDescent="0.25">
      <c r="A131" s="61" t="s">
        <v>32</v>
      </c>
      <c r="B131" s="65">
        <f t="shared" ref="B131" si="151">IF(B101=0,0,B101/B$26)</f>
        <v>132.02333108824405</v>
      </c>
      <c r="C131" s="65">
        <f t="shared" ref="C131:W131" si="152">IF(C101=0,0,C101/C$26)</f>
        <v>126.20043418024974</v>
      </c>
      <c r="D131" s="65">
        <f t="shared" si="152"/>
        <v>122.74363380405126</v>
      </c>
      <c r="E131" s="65">
        <f t="shared" si="152"/>
        <v>119.14118032213945</v>
      </c>
      <c r="F131" s="65">
        <f t="shared" si="152"/>
        <v>116.72178733431194</v>
      </c>
      <c r="G131" s="65">
        <f t="shared" si="152"/>
        <v>110.70597073298647</v>
      </c>
      <c r="H131" s="65">
        <f t="shared" si="152"/>
        <v>116.1015191712833</v>
      </c>
      <c r="I131" s="65">
        <f t="shared" si="152"/>
        <v>105.85354381580939</v>
      </c>
      <c r="J131" s="65">
        <f t="shared" si="152"/>
        <v>92.50397944970419</v>
      </c>
      <c r="K131" s="65">
        <f t="shared" si="152"/>
        <v>87.294214683714472</v>
      </c>
      <c r="L131" s="65">
        <f t="shared" si="152"/>
        <v>88.096345288713735</v>
      </c>
      <c r="M131" s="65">
        <f t="shared" si="152"/>
        <v>80.602041316178912</v>
      </c>
      <c r="N131" s="65">
        <f t="shared" si="152"/>
        <v>85.644475538159199</v>
      </c>
      <c r="O131" s="65">
        <f t="shared" si="152"/>
        <v>77.205085513823462</v>
      </c>
      <c r="P131" s="65">
        <f t="shared" si="152"/>
        <v>72.393230061897896</v>
      </c>
      <c r="Q131" s="65">
        <f t="shared" si="152"/>
        <v>67.931412667908219</v>
      </c>
      <c r="R131" s="65">
        <f t="shared" si="152"/>
        <v>73.518590148844723</v>
      </c>
      <c r="S131" s="65">
        <f t="shared" si="152"/>
        <v>78.583997747804261</v>
      </c>
      <c r="T131" s="65">
        <f t="shared" si="152"/>
        <v>82.442590710596065</v>
      </c>
      <c r="U131" s="65">
        <f t="shared" si="152"/>
        <v>75.004833031652893</v>
      </c>
      <c r="V131" s="65">
        <f t="shared" si="152"/>
        <v>67.092615969758086</v>
      </c>
      <c r="W131" s="65">
        <f t="shared" si="152"/>
        <v>79.652571993311852</v>
      </c>
      <c r="X131" s="65">
        <f t="shared" ref="X131:Y131" si="153">IF(X101=0,0,X101/X$26)</f>
        <v>74.222305567084177</v>
      </c>
      <c r="Y131" s="65">
        <f t="shared" si="153"/>
        <v>71.894247434027463</v>
      </c>
      <c r="DA131" s="109"/>
    </row>
    <row r="132" spans="1:105" ht="12" customHeight="1" x14ac:dyDescent="0.25">
      <c r="A132" s="61" t="s">
        <v>31</v>
      </c>
      <c r="B132" s="65">
        <f t="shared" ref="B132" si="154">IF(B102=0,0,B102/B$26)</f>
        <v>0.51140329146693031</v>
      </c>
      <c r="C132" s="65">
        <f t="shared" ref="C132:W132" si="155">IF(C102=0,0,C102/C$26)</f>
        <v>0.54043457547322771</v>
      </c>
      <c r="D132" s="65">
        <f t="shared" si="155"/>
        <v>0.58716575125097448</v>
      </c>
      <c r="E132" s="65">
        <f t="shared" si="155"/>
        <v>0.5198387835455055</v>
      </c>
      <c r="F132" s="65">
        <f t="shared" si="155"/>
        <v>0.51869307460496339</v>
      </c>
      <c r="G132" s="65">
        <f t="shared" si="155"/>
        <v>0.51923907929327251</v>
      </c>
      <c r="H132" s="65">
        <f t="shared" si="155"/>
        <v>0.58404864751452712</v>
      </c>
      <c r="I132" s="65">
        <f t="shared" si="155"/>
        <v>0.52054317761040048</v>
      </c>
      <c r="J132" s="65">
        <f t="shared" si="155"/>
        <v>0.51335735881224254</v>
      </c>
      <c r="K132" s="65">
        <f t="shared" si="155"/>
        <v>0.53706615877875841</v>
      </c>
      <c r="L132" s="65">
        <f t="shared" si="155"/>
        <v>0.68861404346317034</v>
      </c>
      <c r="M132" s="65">
        <f t="shared" si="155"/>
        <v>0.5424211082464313</v>
      </c>
      <c r="N132" s="65">
        <f t="shared" si="155"/>
        <v>0.58755731650017073</v>
      </c>
      <c r="O132" s="65">
        <f t="shared" si="155"/>
        <v>0.54107382279595384</v>
      </c>
      <c r="P132" s="65">
        <f t="shared" si="155"/>
        <v>0.59184424300848559</v>
      </c>
      <c r="Q132" s="65">
        <f t="shared" si="155"/>
        <v>0.568900082210823</v>
      </c>
      <c r="R132" s="65">
        <f t="shared" si="155"/>
        <v>0.53821195904585373</v>
      </c>
      <c r="S132" s="65">
        <f t="shared" si="155"/>
        <v>0.52787579652942662</v>
      </c>
      <c r="T132" s="65">
        <f t="shared" si="155"/>
        <v>0.56148076631066801</v>
      </c>
      <c r="U132" s="65">
        <f t="shared" si="155"/>
        <v>0.55060308512595657</v>
      </c>
      <c r="V132" s="65">
        <f t="shared" si="155"/>
        <v>0.53729802167099405</v>
      </c>
      <c r="W132" s="65">
        <f t="shared" si="155"/>
        <v>0.63983185766731232</v>
      </c>
      <c r="X132" s="65">
        <f t="shared" ref="X132:Y132" si="156">IF(X102=0,0,X102/X$26)</f>
        <v>0.58531743968445038</v>
      </c>
      <c r="Y132" s="65">
        <f t="shared" si="156"/>
        <v>0.60046673649459326</v>
      </c>
      <c r="DA132" s="109"/>
    </row>
    <row r="133" spans="1:105" ht="12" customHeight="1" x14ac:dyDescent="0.25">
      <c r="A133" s="61" t="s">
        <v>35</v>
      </c>
      <c r="B133" s="65">
        <f t="shared" ref="B133" si="157">IF(B103=0,0,B103/B$26)</f>
        <v>14.167597477908739</v>
      </c>
      <c r="C133" s="65">
        <f t="shared" ref="C133:W133" si="158">IF(C103=0,0,C103/C$26)</f>
        <v>14.154622569779862</v>
      </c>
      <c r="D133" s="65">
        <f t="shared" si="158"/>
        <v>14.199945716299329</v>
      </c>
      <c r="E133" s="65">
        <f t="shared" si="158"/>
        <v>14.064193334482548</v>
      </c>
      <c r="F133" s="65">
        <f t="shared" si="158"/>
        <v>14.55905645685489</v>
      </c>
      <c r="G133" s="65">
        <f t="shared" si="158"/>
        <v>14.924908402254092</v>
      </c>
      <c r="H133" s="65">
        <f t="shared" si="158"/>
        <v>15.484436170749758</v>
      </c>
      <c r="I133" s="65">
        <f t="shared" si="158"/>
        <v>15.138975347605957</v>
      </c>
      <c r="J133" s="65">
        <f t="shared" si="158"/>
        <v>15.212346283598219</v>
      </c>
      <c r="K133" s="65">
        <f t="shared" si="158"/>
        <v>15.464217620678559</v>
      </c>
      <c r="L133" s="65">
        <f t="shared" si="158"/>
        <v>15.672522989048112</v>
      </c>
      <c r="M133" s="65">
        <f t="shared" si="158"/>
        <v>15.800793898758</v>
      </c>
      <c r="N133" s="65">
        <f t="shared" si="158"/>
        <v>15.866176823460862</v>
      </c>
      <c r="O133" s="65">
        <f t="shared" si="158"/>
        <v>16.019420126697121</v>
      </c>
      <c r="P133" s="65">
        <f t="shared" si="158"/>
        <v>15.972748178588384</v>
      </c>
      <c r="Q133" s="65">
        <f t="shared" si="158"/>
        <v>16.010837782387107</v>
      </c>
      <c r="R133" s="65">
        <f t="shared" si="158"/>
        <v>15.871450013510733</v>
      </c>
      <c r="S133" s="65">
        <f t="shared" si="158"/>
        <v>16.244350745722613</v>
      </c>
      <c r="T133" s="65">
        <f t="shared" si="158"/>
        <v>15.939088492739943</v>
      </c>
      <c r="U133" s="65">
        <f t="shared" si="158"/>
        <v>15.944839869244079</v>
      </c>
      <c r="V133" s="65">
        <f t="shared" si="158"/>
        <v>13.969046776811439</v>
      </c>
      <c r="W133" s="65">
        <f t="shared" si="158"/>
        <v>15.249630891352428</v>
      </c>
      <c r="X133" s="65">
        <f t="shared" ref="X133:Y133" si="159">IF(X103=0,0,X103/X$26)</f>
        <v>15.186270318733337</v>
      </c>
      <c r="Y133" s="65">
        <f t="shared" si="159"/>
        <v>15.386041068477832</v>
      </c>
      <c r="DA133" s="109"/>
    </row>
    <row r="134" spans="1:105" ht="12" customHeight="1" x14ac:dyDescent="0.25">
      <c r="A134" s="66" t="s">
        <v>34</v>
      </c>
      <c r="B134" s="67">
        <f t="shared" ref="B134" si="160">IF(B104=0,0,B104/B$26)</f>
        <v>14.981654196533164</v>
      </c>
      <c r="C134" s="67">
        <f t="shared" ref="C134:W134" si="161">IF(C104=0,0,C104/C$26)</f>
        <v>14.701818724826769</v>
      </c>
      <c r="D134" s="67">
        <f t="shared" si="161"/>
        <v>14.802778366158369</v>
      </c>
      <c r="E134" s="67">
        <f t="shared" si="161"/>
        <v>14.602551918696749</v>
      </c>
      <c r="F134" s="67">
        <f t="shared" si="161"/>
        <v>14.561041916369698</v>
      </c>
      <c r="G134" s="67">
        <f t="shared" si="161"/>
        <v>14.79903994595225</v>
      </c>
      <c r="H134" s="67">
        <f t="shared" si="161"/>
        <v>15.615581579045697</v>
      </c>
      <c r="I134" s="67">
        <f t="shared" si="161"/>
        <v>15.118840570406045</v>
      </c>
      <c r="J134" s="67">
        <f t="shared" si="161"/>
        <v>14.580841712370383</v>
      </c>
      <c r="K134" s="67">
        <f t="shared" si="161"/>
        <v>15.001924405156203</v>
      </c>
      <c r="L134" s="67">
        <f t="shared" si="161"/>
        <v>14.926320991034515</v>
      </c>
      <c r="M134" s="67">
        <f t="shared" si="161"/>
        <v>14.736534820513715</v>
      </c>
      <c r="N134" s="67">
        <f t="shared" si="161"/>
        <v>15.107634316273726</v>
      </c>
      <c r="O134" s="67">
        <f t="shared" si="161"/>
        <v>15.001656397397182</v>
      </c>
      <c r="P134" s="67">
        <f t="shared" si="161"/>
        <v>14.851604432909435</v>
      </c>
      <c r="Q134" s="67">
        <f t="shared" si="161"/>
        <v>14.50134774751394</v>
      </c>
      <c r="R134" s="67">
        <f t="shared" si="161"/>
        <v>14.543567210301251</v>
      </c>
      <c r="S134" s="67">
        <f t="shared" si="161"/>
        <v>14.984500017329847</v>
      </c>
      <c r="T134" s="67">
        <f t="shared" si="161"/>
        <v>15.048748800806292</v>
      </c>
      <c r="U134" s="67">
        <f t="shared" si="161"/>
        <v>15.970586373951532</v>
      </c>
      <c r="V134" s="67">
        <f t="shared" si="161"/>
        <v>14.979565668699973</v>
      </c>
      <c r="W134" s="67">
        <f t="shared" si="161"/>
        <v>16.182463930282648</v>
      </c>
      <c r="X134" s="67">
        <f t="shared" ref="X134:Y134" si="162">IF(X104=0,0,X104/X$26)</f>
        <v>16.108619403707689</v>
      </c>
      <c r="Y134" s="67">
        <f t="shared" si="162"/>
        <v>16.365896454318488</v>
      </c>
      <c r="DA134" s="110"/>
    </row>
    <row r="135" spans="1:105" ht="12" customHeight="1" x14ac:dyDescent="0.25">
      <c r="A135" s="78" t="s">
        <v>33</v>
      </c>
      <c r="B135" s="68">
        <f t="shared" ref="B135" si="163">IF(B105=0,0,B105/B$26)</f>
        <v>44.18950108989204</v>
      </c>
      <c r="C135" s="68">
        <f t="shared" ref="C135:W135" si="164">IF(C105=0,0,C105/C$26)</f>
        <v>45.105690783912344</v>
      </c>
      <c r="D135" s="68">
        <f t="shared" si="164"/>
        <v>45.866335108000726</v>
      </c>
      <c r="E135" s="68">
        <f t="shared" si="164"/>
        <v>46.332497223929415</v>
      </c>
      <c r="F135" s="68">
        <f t="shared" si="164"/>
        <v>46.841215565967147</v>
      </c>
      <c r="G135" s="68">
        <f t="shared" si="164"/>
        <v>46.803789312230144</v>
      </c>
      <c r="H135" s="68">
        <f t="shared" si="164"/>
        <v>47.145393561073369</v>
      </c>
      <c r="I135" s="68">
        <f t="shared" si="164"/>
        <v>46.204355174909686</v>
      </c>
      <c r="J135" s="68">
        <f t="shared" si="164"/>
        <v>45.801771014589875</v>
      </c>
      <c r="K135" s="68">
        <f t="shared" si="164"/>
        <v>46.264978290531616</v>
      </c>
      <c r="L135" s="68">
        <f t="shared" si="164"/>
        <v>46.322002400498008</v>
      </c>
      <c r="M135" s="68">
        <f t="shared" si="164"/>
        <v>45.853992560656913</v>
      </c>
      <c r="N135" s="68">
        <f t="shared" si="164"/>
        <v>46.140494521279344</v>
      </c>
      <c r="O135" s="68">
        <f t="shared" si="164"/>
        <v>46.417528002918182</v>
      </c>
      <c r="P135" s="68">
        <f t="shared" si="164"/>
        <v>46.678362541970628</v>
      </c>
      <c r="Q135" s="68">
        <f t="shared" si="164"/>
        <v>47.70931083418489</v>
      </c>
      <c r="R135" s="68">
        <f t="shared" si="164"/>
        <v>47.994645294158332</v>
      </c>
      <c r="S135" s="68">
        <f t="shared" si="164"/>
        <v>48.688694603178689</v>
      </c>
      <c r="T135" s="68">
        <f t="shared" si="164"/>
        <v>47.791773181850182</v>
      </c>
      <c r="U135" s="68">
        <f t="shared" si="164"/>
        <v>46.71066879938013</v>
      </c>
      <c r="V135" s="68">
        <f t="shared" si="164"/>
        <v>44.565655460742533</v>
      </c>
      <c r="W135" s="68">
        <f t="shared" si="164"/>
        <v>45.386830264241581</v>
      </c>
      <c r="X135" s="68">
        <f t="shared" ref="X135:Y135" si="165">IF(X105=0,0,X105/X$26)</f>
        <v>44.517246159890085</v>
      </c>
      <c r="Y135" s="68">
        <f t="shared" si="165"/>
        <v>44.620824457828093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66">IF(B107=0,0,B107/B$26)</f>
        <v>100.51815653563435</v>
      </c>
      <c r="C137" s="85">
        <f t="shared" ref="C137:W137" si="167">IF(C107=0,0,C107/C$26)</f>
        <v>98.675106512863096</v>
      </c>
      <c r="D137" s="85">
        <f t="shared" si="167"/>
        <v>96.662609521107811</v>
      </c>
      <c r="E137" s="85">
        <f t="shared" si="167"/>
        <v>96.088887626328898</v>
      </c>
      <c r="F137" s="85">
        <f t="shared" si="167"/>
        <v>95.323562532774673</v>
      </c>
      <c r="G137" s="85">
        <f t="shared" si="167"/>
        <v>92.683161970610215</v>
      </c>
      <c r="H137" s="85">
        <f t="shared" si="167"/>
        <v>97.850009883562905</v>
      </c>
      <c r="I137" s="85">
        <f t="shared" si="167"/>
        <v>91.203248616903863</v>
      </c>
      <c r="J137" s="85">
        <f t="shared" si="167"/>
        <v>82.17884577928092</v>
      </c>
      <c r="K137" s="85">
        <f t="shared" si="167"/>
        <v>80.449265611880193</v>
      </c>
      <c r="L137" s="85">
        <f t="shared" si="167"/>
        <v>82.120874784167583</v>
      </c>
      <c r="M137" s="85">
        <f t="shared" si="167"/>
        <v>76.276244961077921</v>
      </c>
      <c r="N137" s="85">
        <f t="shared" si="167"/>
        <v>81.906399495741795</v>
      </c>
      <c r="O137" s="85">
        <f t="shared" si="167"/>
        <v>75.932418226137955</v>
      </c>
      <c r="P137" s="85">
        <f t="shared" si="167"/>
        <v>73.61681487203046</v>
      </c>
      <c r="Q137" s="85">
        <f t="shared" si="167"/>
        <v>70.921706641989516</v>
      </c>
      <c r="R137" s="85">
        <f t="shared" si="167"/>
        <v>75.031374029682851</v>
      </c>
      <c r="S137" s="85">
        <f t="shared" si="167"/>
        <v>80.719195251659485</v>
      </c>
      <c r="T137" s="85">
        <f t="shared" si="167"/>
        <v>84.452709171398553</v>
      </c>
      <c r="U137" s="85">
        <f t="shared" si="167"/>
        <v>80.711164114010032</v>
      </c>
      <c r="V137" s="85">
        <f t="shared" si="167"/>
        <v>73.438968290542462</v>
      </c>
      <c r="W137" s="85">
        <f t="shared" si="167"/>
        <v>87.064754734596789</v>
      </c>
      <c r="X137" s="85">
        <f t="shared" ref="X137:Y137" si="168">IF(X107=0,0,X107/X$26)</f>
        <v>83.553440770935694</v>
      </c>
      <c r="Y137" s="85">
        <f t="shared" si="168"/>
        <v>82.964958994611592</v>
      </c>
      <c r="DA137" s="117"/>
    </row>
    <row r="138" spans="1:105" ht="12" customHeight="1" x14ac:dyDescent="0.25">
      <c r="A138" s="61" t="s">
        <v>32</v>
      </c>
      <c r="B138" s="65">
        <f t="shared" ref="B138" si="169">IF(B108=0,0,B108/B$26)</f>
        <v>80.306254363978383</v>
      </c>
      <c r="C138" s="65">
        <f t="shared" ref="C138:W138" si="170">IF(C108=0,0,C108/C$26)</f>
        <v>78.413705773773728</v>
      </c>
      <c r="D138" s="65">
        <f t="shared" si="170"/>
        <v>76.126880549621987</v>
      </c>
      <c r="E138" s="65">
        <f t="shared" si="170"/>
        <v>75.723336710835284</v>
      </c>
      <c r="F138" s="65">
        <f t="shared" si="170"/>
        <v>74.422137692658197</v>
      </c>
      <c r="G138" s="65">
        <f t="shared" si="170"/>
        <v>71.21430860568465</v>
      </c>
      <c r="H138" s="65">
        <f t="shared" si="170"/>
        <v>75.071198125983273</v>
      </c>
      <c r="I138" s="65">
        <f t="shared" si="170"/>
        <v>69.199539759708543</v>
      </c>
      <c r="J138" s="65">
        <f t="shared" si="170"/>
        <v>60.428274583771682</v>
      </c>
      <c r="K138" s="65">
        <f t="shared" si="170"/>
        <v>57.905434316933516</v>
      </c>
      <c r="L138" s="65">
        <f t="shared" si="170"/>
        <v>58.793239393041802</v>
      </c>
      <c r="M138" s="65">
        <f t="shared" si="170"/>
        <v>53.281336059808524</v>
      </c>
      <c r="N138" s="65">
        <f t="shared" si="170"/>
        <v>58.099780583955869</v>
      </c>
      <c r="O138" s="65">
        <f t="shared" si="170"/>
        <v>51.907561368079122</v>
      </c>
      <c r="P138" s="65">
        <f t="shared" si="170"/>
        <v>49.272769637978342</v>
      </c>
      <c r="Q138" s="65">
        <f t="shared" si="170"/>
        <v>46.700266684079146</v>
      </c>
      <c r="R138" s="65">
        <f t="shared" si="170"/>
        <v>50.73620312599941</v>
      </c>
      <c r="S138" s="65">
        <f t="shared" si="170"/>
        <v>55.479115928130184</v>
      </c>
      <c r="T138" s="65">
        <f t="shared" si="170"/>
        <v>58.906572200588549</v>
      </c>
      <c r="U138" s="65">
        <f t="shared" si="170"/>
        <v>53.951955395957178</v>
      </c>
      <c r="V138" s="65">
        <f t="shared" si="170"/>
        <v>48.602755497583452</v>
      </c>
      <c r="W138" s="65">
        <f t="shared" si="170"/>
        <v>59.481255128964754</v>
      </c>
      <c r="X138" s="65">
        <f t="shared" ref="X138:Y138" si="171">IF(X108=0,0,X108/X$26)</f>
        <v>56.035887546285707</v>
      </c>
      <c r="Y138" s="65">
        <f t="shared" si="171"/>
        <v>54.699910890513728</v>
      </c>
      <c r="DA138" s="109"/>
    </row>
    <row r="139" spans="1:105" ht="12" customHeight="1" x14ac:dyDescent="0.25">
      <c r="A139" s="61" t="s">
        <v>31</v>
      </c>
      <c r="B139" s="65">
        <f t="shared" ref="B139" si="172">IF(B109=0,0,B109/B$26)</f>
        <v>1.0078742671274434</v>
      </c>
      <c r="C139" s="65">
        <f t="shared" ref="C139:W139" si="173">IF(C109=0,0,C109/C$26)</f>
        <v>1.1256194384711402</v>
      </c>
      <c r="D139" s="65">
        <f t="shared" si="173"/>
        <v>1.2976534694487294</v>
      </c>
      <c r="E139" s="65">
        <f t="shared" si="173"/>
        <v>1.2182070696099514</v>
      </c>
      <c r="F139" s="65">
        <f t="shared" si="173"/>
        <v>1.2889802570125464</v>
      </c>
      <c r="G139" s="65">
        <f t="shared" si="173"/>
        <v>1.3676081845292625</v>
      </c>
      <c r="H139" s="65">
        <f t="shared" si="173"/>
        <v>1.6307940859230763</v>
      </c>
      <c r="I139" s="65">
        <f t="shared" si="173"/>
        <v>1.5436692198670141</v>
      </c>
      <c r="J139" s="65">
        <f t="shared" si="173"/>
        <v>1.614930571744581</v>
      </c>
      <c r="K139" s="65">
        <f t="shared" si="173"/>
        <v>1.7267418332670155</v>
      </c>
      <c r="L139" s="65">
        <f t="shared" si="173"/>
        <v>2.2741126328328942</v>
      </c>
      <c r="M139" s="65">
        <f t="shared" si="173"/>
        <v>1.8612011651497722</v>
      </c>
      <c r="N139" s="65">
        <f t="shared" si="173"/>
        <v>2.094054554074666</v>
      </c>
      <c r="O139" s="65">
        <f t="shared" si="173"/>
        <v>2.0090923857781351</v>
      </c>
      <c r="P139" s="65">
        <f t="shared" si="173"/>
        <v>2.297454365282011</v>
      </c>
      <c r="Q139" s="65">
        <f t="shared" si="173"/>
        <v>2.3067254344851502</v>
      </c>
      <c r="R139" s="65">
        <f t="shared" si="173"/>
        <v>2.272978800502309</v>
      </c>
      <c r="S139" s="65">
        <f t="shared" si="173"/>
        <v>2.3063962481544422</v>
      </c>
      <c r="T139" s="65">
        <f t="shared" si="173"/>
        <v>2.5221222956459539</v>
      </c>
      <c r="U139" s="65">
        <f t="shared" si="173"/>
        <v>2.5235065153714147</v>
      </c>
      <c r="V139" s="65">
        <f t="shared" si="173"/>
        <v>2.5049839048507669</v>
      </c>
      <c r="W139" s="65">
        <f t="shared" si="173"/>
        <v>3.0278345841881276</v>
      </c>
      <c r="X139" s="65">
        <f t="shared" ref="X139:Y139" si="174">IF(X109=0,0,X109/X$26)</f>
        <v>2.8036603475446698</v>
      </c>
      <c r="Y139" s="65">
        <f t="shared" si="174"/>
        <v>2.9079754150365082</v>
      </c>
      <c r="DA139" s="109"/>
    </row>
    <row r="140" spans="1:105" ht="12" customHeight="1" x14ac:dyDescent="0.25">
      <c r="A140" s="61" t="s">
        <v>35</v>
      </c>
      <c r="B140" s="65">
        <f t="shared" ref="B140" si="175">IF(B110=0,0,B110/B$26)</f>
        <v>8.9404839783240622</v>
      </c>
      <c r="C140" s="65">
        <f t="shared" ref="C140:W140" si="176">IF(C110=0,0,C110/C$26)</f>
        <v>9.0701833915132539</v>
      </c>
      <c r="D140" s="65">
        <f t="shared" si="176"/>
        <v>9.1270146598743604</v>
      </c>
      <c r="E140" s="65">
        <f t="shared" si="176"/>
        <v>9.1316460811216356</v>
      </c>
      <c r="F140" s="65">
        <f t="shared" si="176"/>
        <v>9.5072171024652707</v>
      </c>
      <c r="G140" s="65">
        <f t="shared" si="176"/>
        <v>9.8379411716119289</v>
      </c>
      <c r="H140" s="65">
        <f t="shared" si="176"/>
        <v>10.259611438538698</v>
      </c>
      <c r="I140" s="65">
        <f t="shared" si="176"/>
        <v>10.015181777220983</v>
      </c>
      <c r="J140" s="65">
        <f t="shared" si="176"/>
        <v>10.122982517669465</v>
      </c>
      <c r="K140" s="65">
        <f t="shared" si="176"/>
        <v>10.413756670090876</v>
      </c>
      <c r="L140" s="65">
        <f t="shared" si="176"/>
        <v>10.654890196249625</v>
      </c>
      <c r="M140" s="65">
        <f t="shared" si="176"/>
        <v>10.813038124160576</v>
      </c>
      <c r="N140" s="65">
        <f t="shared" si="176"/>
        <v>10.966040592839509</v>
      </c>
      <c r="O140" s="65">
        <f t="shared" si="176"/>
        <v>11.207116950093136</v>
      </c>
      <c r="P140" s="65">
        <f t="shared" si="176"/>
        <v>11.246437182700875</v>
      </c>
      <c r="Q140" s="65">
        <f t="shared" si="176"/>
        <v>11.420825132661987</v>
      </c>
      <c r="R140" s="65">
        <f t="shared" si="176"/>
        <v>11.458739347974921</v>
      </c>
      <c r="S140" s="65">
        <f t="shared" si="176"/>
        <v>11.903250426957456</v>
      </c>
      <c r="T140" s="65">
        <f t="shared" si="176"/>
        <v>11.856461674607246</v>
      </c>
      <c r="U140" s="65">
        <f t="shared" si="176"/>
        <v>12.04354180601802</v>
      </c>
      <c r="V140" s="65">
        <f t="shared" si="176"/>
        <v>10.705468321045942</v>
      </c>
      <c r="W140" s="65">
        <f t="shared" si="176"/>
        <v>11.902680621442975</v>
      </c>
      <c r="X140" s="65">
        <f t="shared" ref="X140:Y140" si="177">IF(X110=0,0,X110/X$26)</f>
        <v>12.050705305439299</v>
      </c>
      <c r="Y140" s="65">
        <f t="shared" si="177"/>
        <v>12.414117717636925</v>
      </c>
      <c r="DA140" s="109"/>
    </row>
    <row r="141" spans="1:105" ht="12" customHeight="1" x14ac:dyDescent="0.25">
      <c r="A141" s="74" t="s">
        <v>34</v>
      </c>
      <c r="B141" s="68">
        <f t="shared" ref="B141" si="178">IF(B111=0,0,B111/B$26)</f>
        <v>10.26354392620445</v>
      </c>
      <c r="C141" s="68">
        <f t="shared" ref="C141:W141" si="179">IF(C111=0,0,C111/C$26)</f>
        <v>10.065597909104984</v>
      </c>
      <c r="D141" s="68">
        <f t="shared" si="179"/>
        <v>10.111060842162754</v>
      </c>
      <c r="E141" s="68">
        <f t="shared" si="179"/>
        <v>10.015697764762002</v>
      </c>
      <c r="F141" s="68">
        <f t="shared" si="179"/>
        <v>10.105227480638669</v>
      </c>
      <c r="G141" s="68">
        <f t="shared" si="179"/>
        <v>10.263304008784381</v>
      </c>
      <c r="H141" s="68">
        <f t="shared" si="179"/>
        <v>10.888406233117857</v>
      </c>
      <c r="I141" s="68">
        <f t="shared" si="179"/>
        <v>10.444857860107335</v>
      </c>
      <c r="J141" s="68">
        <f t="shared" si="179"/>
        <v>10.012658106095191</v>
      </c>
      <c r="K141" s="68">
        <f t="shared" si="179"/>
        <v>10.403332791588781</v>
      </c>
      <c r="L141" s="68">
        <f t="shared" si="179"/>
        <v>10.398632562043264</v>
      </c>
      <c r="M141" s="68">
        <f t="shared" si="179"/>
        <v>10.320669611959035</v>
      </c>
      <c r="N141" s="68">
        <f t="shared" si="179"/>
        <v>10.746523764871752</v>
      </c>
      <c r="O141" s="68">
        <f t="shared" si="179"/>
        <v>10.808647522187554</v>
      </c>
      <c r="P141" s="68">
        <f t="shared" si="179"/>
        <v>10.800153686069219</v>
      </c>
      <c r="Q141" s="68">
        <f t="shared" si="179"/>
        <v>10.493889390763234</v>
      </c>
      <c r="R141" s="68">
        <f t="shared" si="179"/>
        <v>10.563452755206209</v>
      </c>
      <c r="S141" s="68">
        <f t="shared" si="179"/>
        <v>11.030432648417406</v>
      </c>
      <c r="T141" s="68">
        <f t="shared" si="179"/>
        <v>11.167553000556811</v>
      </c>
      <c r="U141" s="68">
        <f t="shared" si="179"/>
        <v>12.192160396663418</v>
      </c>
      <c r="V141" s="68">
        <f t="shared" si="179"/>
        <v>11.625760567062306</v>
      </c>
      <c r="W141" s="68">
        <f t="shared" si="179"/>
        <v>12.652984400000939</v>
      </c>
      <c r="X141" s="68">
        <f t="shared" ref="X141:Y141" si="180">IF(X111=0,0,X111/X$26)</f>
        <v>12.663187571666011</v>
      </c>
      <c r="Y141" s="68">
        <f t="shared" si="180"/>
        <v>12.942954971424443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81">IF(B113=0,0,B113/B$26)</f>
        <v>11.911650651458327</v>
      </c>
      <c r="C143" s="82">
        <f t="shared" ref="C143:W143" si="182">IF(C113=0,0,C113/C$26)</f>
        <v>9.8387206507601359</v>
      </c>
      <c r="D143" s="82">
        <f t="shared" si="182"/>
        <v>10.708953163194282</v>
      </c>
      <c r="E143" s="82">
        <f t="shared" si="182"/>
        <v>9.6618800415953228</v>
      </c>
      <c r="F143" s="82">
        <f t="shared" si="182"/>
        <v>9.9170212501066519</v>
      </c>
      <c r="G143" s="82">
        <f t="shared" si="182"/>
        <v>9.8564090498106349</v>
      </c>
      <c r="H143" s="82">
        <f t="shared" si="182"/>
        <v>11.517016774637236</v>
      </c>
      <c r="I143" s="82">
        <f t="shared" si="182"/>
        <v>9.8935196905125142</v>
      </c>
      <c r="J143" s="82">
        <f t="shared" si="182"/>
        <v>8.3260330968575929</v>
      </c>
      <c r="K143" s="82">
        <f t="shared" si="182"/>
        <v>8.4007798733340149</v>
      </c>
      <c r="L143" s="82">
        <f t="shared" si="182"/>
        <v>8.6935028177155953</v>
      </c>
      <c r="M143" s="82">
        <f t="shared" si="182"/>
        <v>9.1083524176676516</v>
      </c>
      <c r="N143" s="82">
        <f t="shared" si="182"/>
        <v>7.4552343812507171</v>
      </c>
      <c r="O143" s="82">
        <f t="shared" si="182"/>
        <v>7.9896654808364875</v>
      </c>
      <c r="P143" s="82">
        <f t="shared" si="182"/>
        <v>6.9029252412048727</v>
      </c>
      <c r="Q143" s="82">
        <f t="shared" si="182"/>
        <v>6.1400237846948604</v>
      </c>
      <c r="R143" s="82">
        <f t="shared" si="182"/>
        <v>6.9131207911979704</v>
      </c>
      <c r="S143" s="82">
        <f t="shared" si="182"/>
        <v>7.1853659816915627</v>
      </c>
      <c r="T143" s="82">
        <f t="shared" si="182"/>
        <v>7.4411870419302648</v>
      </c>
      <c r="U143" s="82">
        <f t="shared" si="182"/>
        <v>6.8331424338805924</v>
      </c>
      <c r="V143" s="82">
        <f t="shared" si="182"/>
        <v>5.6485582430772068</v>
      </c>
      <c r="W143" s="82">
        <f t="shared" si="182"/>
        <v>6.2600191648969608</v>
      </c>
      <c r="X143" s="82">
        <f t="shared" ref="X143:Y143" si="183">IF(X113=0,0,X113/X$26)</f>
        <v>6.1723666765709364</v>
      </c>
      <c r="Y143" s="82">
        <f t="shared" si="183"/>
        <v>6.4080264211261877</v>
      </c>
      <c r="DA143" s="107"/>
    </row>
    <row r="144" spans="1:105" ht="12" customHeight="1" x14ac:dyDescent="0.25">
      <c r="A144" s="77" t="s">
        <v>36</v>
      </c>
      <c r="B144" s="64">
        <f t="shared" ref="B144" si="184">IF(B114=0,0,B114/B$26)</f>
        <v>11.911650651458327</v>
      </c>
      <c r="C144" s="64">
        <f t="shared" ref="C144:W144" si="185">IF(C114=0,0,C114/C$26)</f>
        <v>9.8387206507601359</v>
      </c>
      <c r="D144" s="64">
        <f t="shared" si="185"/>
        <v>10.708953163194282</v>
      </c>
      <c r="E144" s="64">
        <f t="shared" si="185"/>
        <v>9.6618800415953228</v>
      </c>
      <c r="F144" s="64">
        <f t="shared" si="185"/>
        <v>9.9170212501066519</v>
      </c>
      <c r="G144" s="64">
        <f t="shared" si="185"/>
        <v>9.8564090498106349</v>
      </c>
      <c r="H144" s="64">
        <f t="shared" si="185"/>
        <v>11.517016774637236</v>
      </c>
      <c r="I144" s="64">
        <f t="shared" si="185"/>
        <v>9.8935196905125142</v>
      </c>
      <c r="J144" s="64">
        <f t="shared" si="185"/>
        <v>8.3260330968575929</v>
      </c>
      <c r="K144" s="64">
        <f t="shared" si="185"/>
        <v>8.4007798733340149</v>
      </c>
      <c r="L144" s="64">
        <f t="shared" si="185"/>
        <v>8.6935028177155953</v>
      </c>
      <c r="M144" s="64">
        <f t="shared" si="185"/>
        <v>9.1083524176676516</v>
      </c>
      <c r="N144" s="64">
        <f t="shared" si="185"/>
        <v>7.4552343812507171</v>
      </c>
      <c r="O144" s="64">
        <f t="shared" si="185"/>
        <v>7.9896654808364875</v>
      </c>
      <c r="P144" s="64">
        <f t="shared" si="185"/>
        <v>6.9029252412048727</v>
      </c>
      <c r="Q144" s="64">
        <f t="shared" si="185"/>
        <v>6.1400237846948604</v>
      </c>
      <c r="R144" s="64">
        <f t="shared" si="185"/>
        <v>6.9131207911979704</v>
      </c>
      <c r="S144" s="64">
        <f t="shared" si="185"/>
        <v>7.1853659816915627</v>
      </c>
      <c r="T144" s="64">
        <f t="shared" si="185"/>
        <v>7.4411870419302648</v>
      </c>
      <c r="U144" s="64">
        <f t="shared" si="185"/>
        <v>6.8331424338805924</v>
      </c>
      <c r="V144" s="64">
        <f t="shared" si="185"/>
        <v>5.6485582430772068</v>
      </c>
      <c r="W144" s="64">
        <f t="shared" si="185"/>
        <v>6.2600191648969608</v>
      </c>
      <c r="X144" s="64">
        <f t="shared" ref="X144:Y144" si="186">IF(X114=0,0,X114/X$26)</f>
        <v>6.1723666765709364</v>
      </c>
      <c r="Y144" s="64">
        <f t="shared" si="186"/>
        <v>6.4080264211261877</v>
      </c>
      <c r="DA144" s="108"/>
    </row>
    <row r="145" spans="1:105" ht="12" customHeight="1" x14ac:dyDescent="0.25">
      <c r="A145" s="61" t="s">
        <v>32</v>
      </c>
      <c r="B145" s="65">
        <f t="shared" ref="B145" si="187">IF(B115=0,0,B115/B$26)</f>
        <v>10.757811883460086</v>
      </c>
      <c r="C145" s="65">
        <f t="shared" ref="C145:W145" si="188">IF(C115=0,0,C115/C$26)</f>
        <v>8.7777868079990231</v>
      </c>
      <c r="D145" s="65">
        <f t="shared" si="188"/>
        <v>9.615123178009048</v>
      </c>
      <c r="E145" s="65">
        <f t="shared" si="188"/>
        <v>8.6325396401081687</v>
      </c>
      <c r="F145" s="65">
        <f t="shared" si="188"/>
        <v>8.9437968367251539</v>
      </c>
      <c r="G145" s="65">
        <f t="shared" si="188"/>
        <v>8.9078900888729731</v>
      </c>
      <c r="H145" s="65">
        <f t="shared" si="188"/>
        <v>10.541295191085297</v>
      </c>
      <c r="I145" s="65">
        <f t="shared" si="188"/>
        <v>8.737049723035442</v>
      </c>
      <c r="J145" s="65">
        <f t="shared" si="188"/>
        <v>7.1317256950495711</v>
      </c>
      <c r="K145" s="65">
        <f t="shared" si="188"/>
        <v>7.2472427814888061</v>
      </c>
      <c r="L145" s="65">
        <f t="shared" si="188"/>
        <v>7.6218291270020888</v>
      </c>
      <c r="M145" s="65">
        <f t="shared" si="188"/>
        <v>8.1013254522746756</v>
      </c>
      <c r="N145" s="65">
        <f t="shared" si="188"/>
        <v>6.55021330369906</v>
      </c>
      <c r="O145" s="65">
        <f t="shared" si="188"/>
        <v>7.1972553586610877</v>
      </c>
      <c r="P145" s="65">
        <f t="shared" si="188"/>
        <v>6.2227804344723516</v>
      </c>
      <c r="Q145" s="65">
        <f t="shared" si="188"/>
        <v>5.3834297239665894</v>
      </c>
      <c r="R145" s="65">
        <f t="shared" si="188"/>
        <v>6.1198915787412265</v>
      </c>
      <c r="S145" s="65">
        <f t="shared" si="188"/>
        <v>6.4315094264729806</v>
      </c>
      <c r="T145" s="65">
        <f t="shared" si="188"/>
        <v>6.6697906852287829</v>
      </c>
      <c r="U145" s="65">
        <f t="shared" si="188"/>
        <v>6.2186968439868551</v>
      </c>
      <c r="V145" s="65">
        <f t="shared" si="188"/>
        <v>5.1021822664696073</v>
      </c>
      <c r="W145" s="65">
        <f t="shared" si="188"/>
        <v>5.6922902868217946</v>
      </c>
      <c r="X145" s="65">
        <f t="shared" ref="X145:Y145" si="189">IF(X115=0,0,X115/X$26)</f>
        <v>5.5385123464241346</v>
      </c>
      <c r="Y145" s="65">
        <f t="shared" si="189"/>
        <v>5.6959319980756149</v>
      </c>
      <c r="DA145" s="109"/>
    </row>
    <row r="146" spans="1:105" ht="12" customHeight="1" x14ac:dyDescent="0.25">
      <c r="A146" s="61" t="s">
        <v>31</v>
      </c>
      <c r="B146" s="65">
        <f t="shared" ref="B146" si="190">IF(B116=0,0,B116/B$26)</f>
        <v>0</v>
      </c>
      <c r="C146" s="65">
        <f t="shared" ref="C146:W146" si="191">IF(C116=0,0,C116/C$26)</f>
        <v>0</v>
      </c>
      <c r="D146" s="65">
        <f t="shared" si="191"/>
        <v>0</v>
      </c>
      <c r="E146" s="65">
        <f t="shared" si="191"/>
        <v>0</v>
      </c>
      <c r="F146" s="65">
        <f t="shared" si="191"/>
        <v>0</v>
      </c>
      <c r="G146" s="65">
        <f t="shared" si="191"/>
        <v>0</v>
      </c>
      <c r="H146" s="65">
        <f t="shared" si="191"/>
        <v>0</v>
      </c>
      <c r="I146" s="65">
        <f t="shared" si="191"/>
        <v>0</v>
      </c>
      <c r="J146" s="65">
        <f t="shared" si="191"/>
        <v>0</v>
      </c>
      <c r="K146" s="65">
        <f t="shared" si="191"/>
        <v>0</v>
      </c>
      <c r="L146" s="65">
        <f t="shared" si="191"/>
        <v>0</v>
      </c>
      <c r="M146" s="65">
        <f t="shared" si="191"/>
        <v>0</v>
      </c>
      <c r="N146" s="65">
        <f t="shared" si="191"/>
        <v>0</v>
      </c>
      <c r="O146" s="65">
        <f t="shared" si="191"/>
        <v>0</v>
      </c>
      <c r="P146" s="65">
        <f t="shared" si="191"/>
        <v>0</v>
      </c>
      <c r="Q146" s="65">
        <f t="shared" si="191"/>
        <v>0</v>
      </c>
      <c r="R146" s="65">
        <f t="shared" si="191"/>
        <v>0</v>
      </c>
      <c r="S146" s="65">
        <f t="shared" si="191"/>
        <v>0</v>
      </c>
      <c r="T146" s="65">
        <f t="shared" si="191"/>
        <v>0</v>
      </c>
      <c r="U146" s="65">
        <f t="shared" si="191"/>
        <v>0</v>
      </c>
      <c r="V146" s="65">
        <f t="shared" si="191"/>
        <v>0</v>
      </c>
      <c r="W146" s="65">
        <f t="shared" si="191"/>
        <v>0</v>
      </c>
      <c r="X146" s="65">
        <f t="shared" ref="X146:Y146" si="192">IF(X116=0,0,X116/X$26)</f>
        <v>0</v>
      </c>
      <c r="Y146" s="65">
        <f t="shared" si="192"/>
        <v>0</v>
      </c>
      <c r="DA146" s="109"/>
    </row>
    <row r="147" spans="1:105" ht="12" customHeight="1" x14ac:dyDescent="0.25">
      <c r="A147" s="61" t="s">
        <v>35</v>
      </c>
      <c r="B147" s="65">
        <f t="shared" ref="B147" si="193">IF(B117=0,0,B117/B$26)</f>
        <v>0.39226907045179765</v>
      </c>
      <c r="C147" s="65">
        <f t="shared" ref="C147:W147" si="194">IF(C117=0,0,C117/C$26)</f>
        <v>0.27968674895027995</v>
      </c>
      <c r="D147" s="65">
        <f t="shared" si="194"/>
        <v>0.26832537211151619</v>
      </c>
      <c r="E147" s="65">
        <f t="shared" si="194"/>
        <v>0.23226953355614305</v>
      </c>
      <c r="F147" s="65">
        <f t="shared" si="194"/>
        <v>0.27013819239565434</v>
      </c>
      <c r="G147" s="65">
        <f t="shared" si="194"/>
        <v>0.24183045724871391</v>
      </c>
      <c r="H147" s="65">
        <f t="shared" si="194"/>
        <v>0.26327322434178624</v>
      </c>
      <c r="I147" s="65">
        <f t="shared" si="194"/>
        <v>0.31630980678118797</v>
      </c>
      <c r="J147" s="65">
        <f t="shared" si="194"/>
        <v>0.33418698059723217</v>
      </c>
      <c r="K147" s="65">
        <f t="shared" si="194"/>
        <v>0.31616974034451878</v>
      </c>
      <c r="L147" s="65">
        <f t="shared" si="194"/>
        <v>0.31028509398918974</v>
      </c>
      <c r="M147" s="65">
        <f t="shared" si="194"/>
        <v>0.30175740047335231</v>
      </c>
      <c r="N147" s="65">
        <f t="shared" si="194"/>
        <v>0.29184294492920765</v>
      </c>
      <c r="O147" s="65">
        <f t="shared" si="194"/>
        <v>0.2921123474305537</v>
      </c>
      <c r="P147" s="65">
        <f t="shared" si="194"/>
        <v>0.26126259085306724</v>
      </c>
      <c r="Q147" s="65">
        <f t="shared" si="194"/>
        <v>0.28022903193564452</v>
      </c>
      <c r="R147" s="65">
        <f t="shared" si="194"/>
        <v>0.29334448024519533</v>
      </c>
      <c r="S147" s="65">
        <f t="shared" si="194"/>
        <v>0.29571115269999837</v>
      </c>
      <c r="T147" s="65">
        <f t="shared" si="194"/>
        <v>0.29756709233407691</v>
      </c>
      <c r="U147" s="65">
        <f t="shared" si="194"/>
        <v>0.30734612095353164</v>
      </c>
      <c r="V147" s="65">
        <f t="shared" si="194"/>
        <v>0.3119891656228545</v>
      </c>
      <c r="W147" s="65">
        <f t="shared" si="194"/>
        <v>0.32523033686780006</v>
      </c>
      <c r="X147" s="65">
        <f t="shared" ref="X147:Y147" si="195">IF(X117=0,0,X117/X$26)</f>
        <v>0.32034230066418862</v>
      </c>
      <c r="Y147" s="65">
        <f t="shared" si="195"/>
        <v>0.31273347088331099</v>
      </c>
      <c r="DA147" s="109"/>
    </row>
    <row r="148" spans="1:105" ht="12" customHeight="1" x14ac:dyDescent="0.25">
      <c r="A148" s="66" t="s">
        <v>34</v>
      </c>
      <c r="B148" s="67">
        <f t="shared" ref="B148" si="196">IF(B118=0,0,B118/B$26)</f>
        <v>0.76156969754644155</v>
      </c>
      <c r="C148" s="67">
        <f t="shared" ref="C148:W148" si="197">IF(C118=0,0,C118/C$26)</f>
        <v>0.78124709381083302</v>
      </c>
      <c r="D148" s="67">
        <f t="shared" si="197"/>
        <v>0.8255046130737147</v>
      </c>
      <c r="E148" s="67">
        <f t="shared" si="197"/>
        <v>0.79707086793101134</v>
      </c>
      <c r="F148" s="67">
        <f t="shared" si="197"/>
        <v>0.70308622098584339</v>
      </c>
      <c r="G148" s="67">
        <f t="shared" si="197"/>
        <v>0.70668850368894731</v>
      </c>
      <c r="H148" s="67">
        <f t="shared" si="197"/>
        <v>0.71244835921014993</v>
      </c>
      <c r="I148" s="67">
        <f t="shared" si="197"/>
        <v>0.84016016069588417</v>
      </c>
      <c r="J148" s="67">
        <f t="shared" si="197"/>
        <v>0.86012042121078969</v>
      </c>
      <c r="K148" s="67">
        <f t="shared" si="197"/>
        <v>0.83736735150069097</v>
      </c>
      <c r="L148" s="67">
        <f t="shared" si="197"/>
        <v>0.76138859672431691</v>
      </c>
      <c r="M148" s="67">
        <f t="shared" si="197"/>
        <v>0.70526956491962201</v>
      </c>
      <c r="N148" s="67">
        <f t="shared" si="197"/>
        <v>0.61317813262244936</v>
      </c>
      <c r="O148" s="67">
        <f t="shared" si="197"/>
        <v>0.50029777474484716</v>
      </c>
      <c r="P148" s="67">
        <f t="shared" si="197"/>
        <v>0.41888221587945418</v>
      </c>
      <c r="Q148" s="67">
        <f t="shared" si="197"/>
        <v>0.47636502879262693</v>
      </c>
      <c r="R148" s="67">
        <f t="shared" si="197"/>
        <v>0.49988473221154828</v>
      </c>
      <c r="S148" s="67">
        <f t="shared" si="197"/>
        <v>0.45814540251858388</v>
      </c>
      <c r="T148" s="67">
        <f t="shared" si="197"/>
        <v>0.4738292643674048</v>
      </c>
      <c r="U148" s="67">
        <f t="shared" si="197"/>
        <v>0.30709946894020546</v>
      </c>
      <c r="V148" s="67">
        <f t="shared" si="197"/>
        <v>0.23438681098474395</v>
      </c>
      <c r="W148" s="67">
        <f t="shared" si="197"/>
        <v>0.24249854120736544</v>
      </c>
      <c r="X148" s="67">
        <f t="shared" ref="X148:Y148" si="198">IF(X118=0,0,X118/X$26)</f>
        <v>0.31351202948261486</v>
      </c>
      <c r="Y148" s="67">
        <f t="shared" si="198"/>
        <v>0.39936095216726097</v>
      </c>
      <c r="DA148" s="110"/>
    </row>
    <row r="149" spans="1:105" ht="12" customHeight="1" x14ac:dyDescent="0.25">
      <c r="A149" s="78" t="s">
        <v>33</v>
      </c>
      <c r="B149" s="68">
        <f t="shared" ref="B149" si="199">IF(B119=0,0,B119/B$26)</f>
        <v>0</v>
      </c>
      <c r="C149" s="68">
        <f t="shared" ref="C149:W149" si="200">IF(C119=0,0,C119/C$26)</f>
        <v>0</v>
      </c>
      <c r="D149" s="68">
        <f t="shared" si="200"/>
        <v>0</v>
      </c>
      <c r="E149" s="68">
        <f t="shared" si="200"/>
        <v>0</v>
      </c>
      <c r="F149" s="68">
        <f t="shared" si="200"/>
        <v>0</v>
      </c>
      <c r="G149" s="68">
        <f t="shared" si="200"/>
        <v>0</v>
      </c>
      <c r="H149" s="68">
        <f t="shared" si="200"/>
        <v>0</v>
      </c>
      <c r="I149" s="68">
        <f t="shared" si="200"/>
        <v>0</v>
      </c>
      <c r="J149" s="68">
        <f t="shared" si="200"/>
        <v>0</v>
      </c>
      <c r="K149" s="68">
        <f t="shared" si="200"/>
        <v>0</v>
      </c>
      <c r="L149" s="68">
        <f t="shared" si="200"/>
        <v>0</v>
      </c>
      <c r="M149" s="68">
        <f t="shared" si="200"/>
        <v>0</v>
      </c>
      <c r="N149" s="68">
        <f t="shared" si="200"/>
        <v>0</v>
      </c>
      <c r="O149" s="68">
        <f t="shared" si="200"/>
        <v>0</v>
      </c>
      <c r="P149" s="68">
        <f t="shared" si="200"/>
        <v>0</v>
      </c>
      <c r="Q149" s="68">
        <f t="shared" si="200"/>
        <v>0</v>
      </c>
      <c r="R149" s="68">
        <f t="shared" si="200"/>
        <v>0</v>
      </c>
      <c r="S149" s="68">
        <f t="shared" si="200"/>
        <v>0</v>
      </c>
      <c r="T149" s="68">
        <f t="shared" si="200"/>
        <v>0</v>
      </c>
      <c r="U149" s="68">
        <f t="shared" si="200"/>
        <v>0</v>
      </c>
      <c r="V149" s="68">
        <f t="shared" si="200"/>
        <v>0</v>
      </c>
      <c r="W149" s="68">
        <f t="shared" si="200"/>
        <v>0</v>
      </c>
      <c r="X149" s="68">
        <f t="shared" ref="X149:Y149" si="201">IF(X119=0,0,X119/X$26)</f>
        <v>0</v>
      </c>
      <c r="Y149" s="68">
        <f t="shared" si="201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202">IF(B99=0,0,B99/B$23)</f>
        <v>6866.947755276703</v>
      </c>
      <c r="C153" s="82">
        <f t="shared" ref="C153:W153" si="203">IF(C99=0,0,C99/C$23)</f>
        <v>7108.0290663459837</v>
      </c>
      <c r="D153" s="82">
        <f t="shared" si="203"/>
        <v>7299.2684099941762</v>
      </c>
      <c r="E153" s="82">
        <f t="shared" si="203"/>
        <v>7609.5254784644067</v>
      </c>
      <c r="F153" s="82">
        <f t="shared" si="203"/>
        <v>7839.1804460635094</v>
      </c>
      <c r="G153" s="82">
        <f t="shared" si="203"/>
        <v>7899.399247185157</v>
      </c>
      <c r="H153" s="82">
        <f t="shared" si="203"/>
        <v>8751.8588225870899</v>
      </c>
      <c r="I153" s="82">
        <f t="shared" si="203"/>
        <v>8314.0183533844865</v>
      </c>
      <c r="J153" s="82">
        <f t="shared" si="203"/>
        <v>7841.643905194418</v>
      </c>
      <c r="K153" s="82">
        <f t="shared" si="203"/>
        <v>7964.2576289312319</v>
      </c>
      <c r="L153" s="82">
        <f t="shared" si="203"/>
        <v>8238.8484489484454</v>
      </c>
      <c r="M153" s="82">
        <f t="shared" si="203"/>
        <v>7891.426541591577</v>
      </c>
      <c r="N153" s="82">
        <f t="shared" si="203"/>
        <v>8172.742911614283</v>
      </c>
      <c r="O153" s="82">
        <f t="shared" si="203"/>
        <v>7761.0697717776366</v>
      </c>
      <c r="P153" s="82">
        <f t="shared" si="203"/>
        <v>7526.2950846769709</v>
      </c>
      <c r="Q153" s="82">
        <f t="shared" si="203"/>
        <v>7308.0297506635852</v>
      </c>
      <c r="R153" s="82">
        <f t="shared" si="203"/>
        <v>7337.2514986448587</v>
      </c>
      <c r="S153" s="82">
        <f t="shared" si="203"/>
        <v>7764.0951112825633</v>
      </c>
      <c r="T153" s="82">
        <f t="shared" si="203"/>
        <v>7828.0685423942514</v>
      </c>
      <c r="U153" s="82">
        <f t="shared" si="203"/>
        <v>7377.1602388068522</v>
      </c>
      <c r="V153" s="82">
        <f t="shared" si="203"/>
        <v>6791.6661943728277</v>
      </c>
      <c r="W153" s="82">
        <f t="shared" si="203"/>
        <v>7529.5986114457692</v>
      </c>
      <c r="X153" s="82">
        <f t="shared" ref="X153:Y153" si="204">IF(X99=0,0,X99/X$23)</f>
        <v>6871.4798933516986</v>
      </c>
      <c r="Y153" s="82">
        <f t="shared" si="204"/>
        <v>6643.7802221729562</v>
      </c>
      <c r="DA153" s="107"/>
    </row>
    <row r="154" spans="1:105" ht="12" customHeight="1" x14ac:dyDescent="0.25">
      <c r="A154" s="77" t="s">
        <v>36</v>
      </c>
      <c r="B154" s="64">
        <f t="shared" ref="B154" si="205">IF(B100=0,0,B100/B$23)</f>
        <v>5392.9988776161381</v>
      </c>
      <c r="C154" s="64">
        <f t="shared" ref="C154:W154" si="206">IF(C100=0,0,C100/C$23)</f>
        <v>5510.5812961731135</v>
      </c>
      <c r="D154" s="64">
        <f t="shared" si="206"/>
        <v>5610.1113487599059</v>
      </c>
      <c r="E154" s="64">
        <f t="shared" si="206"/>
        <v>5798.3272645114448</v>
      </c>
      <c r="F154" s="64">
        <f t="shared" si="206"/>
        <v>5938.5938476131596</v>
      </c>
      <c r="G154" s="64">
        <f t="shared" si="206"/>
        <v>5930.2060971699193</v>
      </c>
      <c r="H154" s="64">
        <f t="shared" si="206"/>
        <v>6635.1617720512913</v>
      </c>
      <c r="I154" s="64">
        <f t="shared" si="206"/>
        <v>6212.9916699949754</v>
      </c>
      <c r="J154" s="64">
        <f t="shared" si="206"/>
        <v>5711.5431508042539</v>
      </c>
      <c r="K154" s="64">
        <f t="shared" si="206"/>
        <v>5725.1908450976216</v>
      </c>
      <c r="L154" s="64">
        <f t="shared" si="206"/>
        <v>5935.7308485242193</v>
      </c>
      <c r="M154" s="64">
        <f t="shared" si="206"/>
        <v>5594.4664134076347</v>
      </c>
      <c r="N154" s="64">
        <f t="shared" si="206"/>
        <v>5864.1855055296601</v>
      </c>
      <c r="O154" s="64">
        <f t="shared" si="206"/>
        <v>5439.6455256405716</v>
      </c>
      <c r="P154" s="64">
        <f t="shared" si="206"/>
        <v>5191.7858741634</v>
      </c>
      <c r="Q154" s="64">
        <f t="shared" si="206"/>
        <v>4931.68866637059</v>
      </c>
      <c r="R154" s="64">
        <f t="shared" si="206"/>
        <v>5027.5712422315337</v>
      </c>
      <c r="S154" s="64">
        <f t="shared" si="206"/>
        <v>5387.0276583991263</v>
      </c>
      <c r="T154" s="64">
        <f t="shared" si="206"/>
        <v>5515.6148281786282</v>
      </c>
      <c r="U154" s="64">
        <f t="shared" si="206"/>
        <v>5142.1838054835289</v>
      </c>
      <c r="V154" s="64">
        <f t="shared" si="206"/>
        <v>4647.2274257794152</v>
      </c>
      <c r="W154" s="64">
        <f t="shared" si="206"/>
        <v>5354.4237437383754</v>
      </c>
      <c r="X154" s="64">
        <f t="shared" ref="X154:Y154" si="207">IF(X100=0,0,X100/X$23)</f>
        <v>4840.5420924201198</v>
      </c>
      <c r="Y154" s="64">
        <f t="shared" si="207"/>
        <v>4652.4053517547854</v>
      </c>
      <c r="DA154" s="108"/>
    </row>
    <row r="155" spans="1:105" ht="12" customHeight="1" x14ac:dyDescent="0.25">
      <c r="A155" s="61" t="s">
        <v>32</v>
      </c>
      <c r="B155" s="65">
        <f t="shared" ref="B155" si="208">IF(B101=0,0,B101/B$23)</f>
        <v>4403.6623153239998</v>
      </c>
      <c r="C155" s="65">
        <f t="shared" ref="C155:W155" si="209">IF(C101=0,0,C101/C$23)</f>
        <v>4469.471560515176</v>
      </c>
      <c r="D155" s="65">
        <f t="shared" si="209"/>
        <v>4520.3802587118034</v>
      </c>
      <c r="E155" s="65">
        <f t="shared" si="209"/>
        <v>4657.38533290751</v>
      </c>
      <c r="F155" s="65">
        <f t="shared" si="209"/>
        <v>4735.9971784324116</v>
      </c>
      <c r="G155" s="65">
        <f t="shared" si="209"/>
        <v>4657.773279400245</v>
      </c>
      <c r="H155" s="65">
        <f t="shared" si="209"/>
        <v>5212.6353102605362</v>
      </c>
      <c r="I155" s="65">
        <f t="shared" si="209"/>
        <v>4813.4233070982573</v>
      </c>
      <c r="J155" s="65">
        <f t="shared" si="209"/>
        <v>4302.0781084456403</v>
      </c>
      <c r="K155" s="65">
        <f t="shared" si="209"/>
        <v>4224.7415591924491</v>
      </c>
      <c r="L155" s="65">
        <f t="shared" si="209"/>
        <v>4380.1267832347658</v>
      </c>
      <c r="M155" s="65">
        <f t="shared" si="209"/>
        <v>4037.5911630506312</v>
      </c>
      <c r="N155" s="65">
        <f t="shared" si="209"/>
        <v>4285.0686873905788</v>
      </c>
      <c r="O155" s="65">
        <f t="shared" si="209"/>
        <v>3861.1654938972147</v>
      </c>
      <c r="P155" s="65">
        <f t="shared" si="209"/>
        <v>3620.5782112937372</v>
      </c>
      <c r="Q155" s="65">
        <f t="shared" si="209"/>
        <v>3383.5786770817203</v>
      </c>
      <c r="R155" s="65">
        <f t="shared" si="209"/>
        <v>3537.9871047155675</v>
      </c>
      <c r="S155" s="65">
        <f t="shared" si="209"/>
        <v>3836.6085779505661</v>
      </c>
      <c r="T155" s="65">
        <f t="shared" si="209"/>
        <v>3989.0688795509532</v>
      </c>
      <c r="U155" s="65">
        <f t="shared" si="209"/>
        <v>3588.774010731343</v>
      </c>
      <c r="V155" s="65">
        <f t="shared" si="209"/>
        <v>3228.405490381213</v>
      </c>
      <c r="W155" s="65">
        <f t="shared" si="209"/>
        <v>3817.368865360243</v>
      </c>
      <c r="X155" s="65">
        <f t="shared" ref="X155:Y155" si="210">IF(X101=0,0,X101/X$23)</f>
        <v>3386.1233353716007</v>
      </c>
      <c r="Y155" s="65">
        <f t="shared" si="210"/>
        <v>3208.5556331004004</v>
      </c>
      <c r="DA155" s="109"/>
    </row>
    <row r="156" spans="1:105" ht="12" customHeight="1" x14ac:dyDescent="0.25">
      <c r="A156" s="61" t="s">
        <v>31</v>
      </c>
      <c r="B156" s="65">
        <f t="shared" ref="B156" si="211">IF(B102=0,0,B102/B$23)</f>
        <v>17.057950166855839</v>
      </c>
      <c r="C156" s="65">
        <f t="shared" ref="C156:W156" si="212">IF(C102=0,0,C102/C$23)</f>
        <v>19.139846713575736</v>
      </c>
      <c r="D156" s="65">
        <f t="shared" si="212"/>
        <v>21.624033673174388</v>
      </c>
      <c r="E156" s="65">
        <f t="shared" si="212"/>
        <v>20.321181302846465</v>
      </c>
      <c r="F156" s="65">
        <f t="shared" si="212"/>
        <v>21.046018861633804</v>
      </c>
      <c r="G156" s="65">
        <f t="shared" si="212"/>
        <v>21.846137955700726</v>
      </c>
      <c r="H156" s="65">
        <f t="shared" si="212"/>
        <v>26.222159922409933</v>
      </c>
      <c r="I156" s="65">
        <f t="shared" si="212"/>
        <v>23.670389985438305</v>
      </c>
      <c r="J156" s="65">
        <f t="shared" si="212"/>
        <v>23.874685913987289</v>
      </c>
      <c r="K156" s="65">
        <f t="shared" si="212"/>
        <v>25.992166024397118</v>
      </c>
      <c r="L156" s="65">
        <f t="shared" si="212"/>
        <v>34.237706515516905</v>
      </c>
      <c r="M156" s="65">
        <f t="shared" si="212"/>
        <v>27.171454190804923</v>
      </c>
      <c r="N156" s="65">
        <f t="shared" si="212"/>
        <v>29.39738311387449</v>
      </c>
      <c r="O156" s="65">
        <f t="shared" si="212"/>
        <v>27.060077199923953</v>
      </c>
      <c r="P156" s="65">
        <f t="shared" si="212"/>
        <v>29.59970661461022</v>
      </c>
      <c r="Q156" s="65">
        <f t="shared" si="212"/>
        <v>28.336201353102993</v>
      </c>
      <c r="R156" s="65">
        <f t="shared" si="212"/>
        <v>25.900754718673781</v>
      </c>
      <c r="S156" s="65">
        <f t="shared" si="212"/>
        <v>25.771822089744401</v>
      </c>
      <c r="T156" s="65">
        <f t="shared" si="212"/>
        <v>27.167819837428215</v>
      </c>
      <c r="U156" s="65">
        <f t="shared" si="212"/>
        <v>26.344836222682343</v>
      </c>
      <c r="V156" s="65">
        <f t="shared" si="212"/>
        <v>25.85405052495609</v>
      </c>
      <c r="W156" s="65">
        <f t="shared" si="212"/>
        <v>30.664097233795417</v>
      </c>
      <c r="X156" s="65">
        <f t="shared" ref="X156:Y156" si="213">IF(X102=0,0,X102/X$23)</f>
        <v>26.702984041962015</v>
      </c>
      <c r="Y156" s="65">
        <f t="shared" si="213"/>
        <v>26.798123613952296</v>
      </c>
      <c r="DA156" s="109"/>
    </row>
    <row r="157" spans="1:105" ht="12" customHeight="1" x14ac:dyDescent="0.25">
      <c r="A157" s="61" t="s">
        <v>35</v>
      </c>
      <c r="B157" s="65">
        <f t="shared" ref="B157" si="214">IF(B103=0,0,B103/B$23)</f>
        <v>472.56280081620713</v>
      </c>
      <c r="C157" s="65">
        <f t="shared" ref="C157:W157" si="215">IF(C103=0,0,C103/C$23)</f>
        <v>501.29528821667122</v>
      </c>
      <c r="D157" s="65">
        <f t="shared" si="215"/>
        <v>522.95302250225632</v>
      </c>
      <c r="E157" s="65">
        <f t="shared" si="215"/>
        <v>549.78780282423122</v>
      </c>
      <c r="F157" s="65">
        <f t="shared" si="215"/>
        <v>590.73504505900985</v>
      </c>
      <c r="G157" s="65">
        <f t="shared" si="215"/>
        <v>627.94119498020666</v>
      </c>
      <c r="H157" s="65">
        <f t="shared" si="215"/>
        <v>695.20811888816104</v>
      </c>
      <c r="I157" s="65">
        <f t="shared" si="215"/>
        <v>688.40677559695609</v>
      </c>
      <c r="J157" s="65">
        <f t="shared" si="215"/>
        <v>707.47985453258866</v>
      </c>
      <c r="K157" s="65">
        <f t="shared" si="215"/>
        <v>748.41526553838423</v>
      </c>
      <c r="L157" s="65">
        <f t="shared" si="215"/>
        <v>779.23366151248126</v>
      </c>
      <c r="M157" s="65">
        <f t="shared" si="215"/>
        <v>791.5078175818345</v>
      </c>
      <c r="N157" s="65">
        <f t="shared" si="215"/>
        <v>793.8358787020901</v>
      </c>
      <c r="O157" s="65">
        <f t="shared" si="215"/>
        <v>801.16007661659376</v>
      </c>
      <c r="P157" s="65">
        <f t="shared" si="215"/>
        <v>798.8396702348042</v>
      </c>
      <c r="Q157" s="65">
        <f t="shared" si="215"/>
        <v>797.4797990369475</v>
      </c>
      <c r="R157" s="65">
        <f t="shared" si="215"/>
        <v>763.79301299510962</v>
      </c>
      <c r="S157" s="65">
        <f t="shared" si="215"/>
        <v>793.07769012067672</v>
      </c>
      <c r="T157" s="65">
        <f t="shared" si="215"/>
        <v>771.22906166297389</v>
      </c>
      <c r="U157" s="65">
        <f t="shared" si="215"/>
        <v>762.91652971039321</v>
      </c>
      <c r="V157" s="65">
        <f t="shared" si="215"/>
        <v>672.17154462985604</v>
      </c>
      <c r="W157" s="65">
        <f t="shared" si="215"/>
        <v>730.84226555512248</v>
      </c>
      <c r="X157" s="65">
        <f t="shared" ref="X157:Y157" si="216">IF(X103=0,0,X103/X$23)</f>
        <v>692.81847162571523</v>
      </c>
      <c r="Y157" s="65">
        <f t="shared" si="216"/>
        <v>686.66090130061389</v>
      </c>
      <c r="DA157" s="109"/>
    </row>
    <row r="158" spans="1:105" ht="12" customHeight="1" x14ac:dyDescent="0.25">
      <c r="A158" s="66" t="s">
        <v>34</v>
      </c>
      <c r="B158" s="67">
        <f t="shared" ref="B158" si="217">IF(B104=0,0,B104/B$23)</f>
        <v>499.7158113090768</v>
      </c>
      <c r="C158" s="67">
        <f t="shared" ref="C158:W158" si="218">IF(C104=0,0,C104/C$23)</f>
        <v>520.67460072769074</v>
      </c>
      <c r="D158" s="67">
        <f t="shared" si="218"/>
        <v>545.15403387267088</v>
      </c>
      <c r="E158" s="67">
        <f t="shared" si="218"/>
        <v>570.83294747685761</v>
      </c>
      <c r="F158" s="67">
        <f t="shared" si="218"/>
        <v>590.81560526010662</v>
      </c>
      <c r="G158" s="67">
        <f t="shared" si="218"/>
        <v>622.64548483376757</v>
      </c>
      <c r="H158" s="67">
        <f t="shared" si="218"/>
        <v>701.09618298018574</v>
      </c>
      <c r="I158" s="67">
        <f t="shared" si="218"/>
        <v>687.49119731432506</v>
      </c>
      <c r="J158" s="67">
        <f t="shared" si="218"/>
        <v>678.11050191203697</v>
      </c>
      <c r="K158" s="67">
        <f t="shared" si="218"/>
        <v>726.0418543423915</v>
      </c>
      <c r="L158" s="67">
        <f t="shared" si="218"/>
        <v>742.13269726145472</v>
      </c>
      <c r="M158" s="67">
        <f t="shared" si="218"/>
        <v>738.19597858436475</v>
      </c>
      <c r="N158" s="67">
        <f t="shared" si="218"/>
        <v>755.88355632311652</v>
      </c>
      <c r="O158" s="67">
        <f t="shared" si="218"/>
        <v>750.25987792683964</v>
      </c>
      <c r="P158" s="67">
        <f t="shared" si="218"/>
        <v>742.76828602024773</v>
      </c>
      <c r="Q158" s="67">
        <f t="shared" si="218"/>
        <v>722.29398889881918</v>
      </c>
      <c r="R158" s="67">
        <f t="shared" si="218"/>
        <v>699.89036980218202</v>
      </c>
      <c r="S158" s="67">
        <f t="shared" si="218"/>
        <v>731.5695682381396</v>
      </c>
      <c r="T158" s="67">
        <f t="shared" si="218"/>
        <v>728.14906712727293</v>
      </c>
      <c r="U158" s="67">
        <f t="shared" si="218"/>
        <v>764.14842881911181</v>
      </c>
      <c r="V158" s="67">
        <f t="shared" si="218"/>
        <v>720.796340243391</v>
      </c>
      <c r="W158" s="67">
        <f t="shared" si="218"/>
        <v>775.54851558921553</v>
      </c>
      <c r="X158" s="67">
        <f t="shared" ref="X158:Y158" si="219">IF(X104=0,0,X104/X$23)</f>
        <v>734.89730138084155</v>
      </c>
      <c r="Y158" s="67">
        <f t="shared" si="219"/>
        <v>730.39069373981795</v>
      </c>
      <c r="DA158" s="110"/>
    </row>
    <row r="159" spans="1:105" ht="12" customHeight="1" x14ac:dyDescent="0.25">
      <c r="A159" s="78" t="s">
        <v>33</v>
      </c>
      <c r="B159" s="68">
        <f t="shared" ref="B159" si="220">IF(B105=0,0,B105/B$23)</f>
        <v>1473.948877660564</v>
      </c>
      <c r="C159" s="68">
        <f t="shared" ref="C159:W159" si="221">IF(C105=0,0,C105/C$23)</f>
        <v>1597.4477701728679</v>
      </c>
      <c r="D159" s="68">
        <f t="shared" si="221"/>
        <v>1689.15706123427</v>
      </c>
      <c r="E159" s="68">
        <f t="shared" si="221"/>
        <v>1811.1982139529621</v>
      </c>
      <c r="F159" s="68">
        <f t="shared" si="221"/>
        <v>1900.5865984503473</v>
      </c>
      <c r="G159" s="68">
        <f t="shared" si="221"/>
        <v>1969.1931500152377</v>
      </c>
      <c r="H159" s="68">
        <f t="shared" si="221"/>
        <v>2116.6970505357976</v>
      </c>
      <c r="I159" s="68">
        <f t="shared" si="221"/>
        <v>2101.0266833895107</v>
      </c>
      <c r="J159" s="68">
        <f t="shared" si="221"/>
        <v>2130.1007543901642</v>
      </c>
      <c r="K159" s="68">
        <f t="shared" si="221"/>
        <v>2239.0667838336108</v>
      </c>
      <c r="L159" s="68">
        <f t="shared" si="221"/>
        <v>2303.1176004242261</v>
      </c>
      <c r="M159" s="68">
        <f t="shared" si="221"/>
        <v>2296.9601281839427</v>
      </c>
      <c r="N159" s="68">
        <f t="shared" si="221"/>
        <v>2308.5574060846225</v>
      </c>
      <c r="O159" s="68">
        <f t="shared" si="221"/>
        <v>2321.4242461370668</v>
      </c>
      <c r="P159" s="68">
        <f t="shared" si="221"/>
        <v>2334.5092105135714</v>
      </c>
      <c r="Q159" s="68">
        <f t="shared" si="221"/>
        <v>2376.3410842929948</v>
      </c>
      <c r="R159" s="68">
        <f t="shared" si="221"/>
        <v>2309.6802564133254</v>
      </c>
      <c r="S159" s="68">
        <f t="shared" si="221"/>
        <v>2377.0674528834365</v>
      </c>
      <c r="T159" s="68">
        <f t="shared" si="221"/>
        <v>2312.4537142156241</v>
      </c>
      <c r="U159" s="68">
        <f t="shared" si="221"/>
        <v>2234.9764333233215</v>
      </c>
      <c r="V159" s="68">
        <f t="shared" si="221"/>
        <v>2144.4387685934116</v>
      </c>
      <c r="W159" s="68">
        <f t="shared" si="221"/>
        <v>2175.1748677073942</v>
      </c>
      <c r="X159" s="68">
        <f t="shared" ref="X159:Y159" si="222">IF(X105=0,0,X105/X$23)</f>
        <v>2030.9378009315787</v>
      </c>
      <c r="Y159" s="68">
        <f t="shared" si="222"/>
        <v>1991.3748704181719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223">IF(B107=0,0,B107/B$23)</f>
        <v>3352.8014654163435</v>
      </c>
      <c r="C161" s="85">
        <f t="shared" ref="C161:W161" si="224">IF(C107=0,0,C107/C$23)</f>
        <v>3494.643938071868</v>
      </c>
      <c r="D161" s="85">
        <f t="shared" si="224"/>
        <v>3559.8730320493528</v>
      </c>
      <c r="E161" s="85">
        <f t="shared" si="224"/>
        <v>3756.2409124723185</v>
      </c>
      <c r="F161" s="85">
        <f t="shared" si="224"/>
        <v>3867.7622533341378</v>
      </c>
      <c r="G161" s="85">
        <f t="shared" si="224"/>
        <v>3899.4929760225</v>
      </c>
      <c r="H161" s="85">
        <f t="shared" si="224"/>
        <v>4393.1933041799548</v>
      </c>
      <c r="I161" s="85">
        <f t="shared" si="224"/>
        <v>4147.2380304958351</v>
      </c>
      <c r="J161" s="85">
        <f t="shared" si="224"/>
        <v>3821.8876150793035</v>
      </c>
      <c r="K161" s="85">
        <f t="shared" si="224"/>
        <v>3893.4694248464257</v>
      </c>
      <c r="L161" s="85">
        <f t="shared" si="224"/>
        <v>4083.0279840324215</v>
      </c>
      <c r="M161" s="85">
        <f t="shared" si="224"/>
        <v>3820.8994161505861</v>
      </c>
      <c r="N161" s="85">
        <f t="shared" si="224"/>
        <v>4098.0407150689916</v>
      </c>
      <c r="O161" s="85">
        <f t="shared" si="224"/>
        <v>3797.5171087718181</v>
      </c>
      <c r="P161" s="85">
        <f t="shared" si="224"/>
        <v>3681.7729459318807</v>
      </c>
      <c r="Q161" s="85">
        <f t="shared" si="224"/>
        <v>3532.5214788216181</v>
      </c>
      <c r="R161" s="85">
        <f t="shared" si="224"/>
        <v>3610.7878732258291</v>
      </c>
      <c r="S161" s="85">
        <f t="shared" si="224"/>
        <v>3940.852664452751</v>
      </c>
      <c r="T161" s="85">
        <f t="shared" si="224"/>
        <v>4086.3305124895151</v>
      </c>
      <c r="U161" s="85">
        <f t="shared" si="224"/>
        <v>3861.8061855559909</v>
      </c>
      <c r="V161" s="85">
        <f t="shared" si="224"/>
        <v>3533.7833383033903</v>
      </c>
      <c r="W161" s="85">
        <f t="shared" si="224"/>
        <v>4172.5995241180981</v>
      </c>
      <c r="X161" s="85">
        <f t="shared" ref="X161:Y161" si="225">IF(X107=0,0,X107/X$23)</f>
        <v>3811.822515932779</v>
      </c>
      <c r="Y161" s="85">
        <f t="shared" si="225"/>
        <v>3702.6284582278513</v>
      </c>
      <c r="DA161" s="117"/>
    </row>
    <row r="162" spans="1:105" ht="12" customHeight="1" x14ac:dyDescent="0.25">
      <c r="A162" s="61" t="s">
        <v>32</v>
      </c>
      <c r="B162" s="65">
        <f t="shared" ref="B162" si="226">IF(B108=0,0,B108/B$23)</f>
        <v>2678.6297778769263</v>
      </c>
      <c r="C162" s="65">
        <f t="shared" ref="C162:W162" si="227">IF(C108=0,0,C108/C$23)</f>
        <v>2777.0730757543961</v>
      </c>
      <c r="D162" s="65">
        <f t="shared" si="227"/>
        <v>2803.586934237112</v>
      </c>
      <c r="E162" s="65">
        <f t="shared" si="227"/>
        <v>2960.124759569178</v>
      </c>
      <c r="F162" s="65">
        <f t="shared" si="227"/>
        <v>3019.6850320310882</v>
      </c>
      <c r="G162" s="65">
        <f t="shared" si="227"/>
        <v>2996.2259626859127</v>
      </c>
      <c r="H162" s="65">
        <f t="shared" si="227"/>
        <v>3370.4880084967422</v>
      </c>
      <c r="I162" s="65">
        <f t="shared" si="227"/>
        <v>3146.6747877561997</v>
      </c>
      <c r="J162" s="65">
        <f t="shared" si="227"/>
        <v>2810.3348500734969</v>
      </c>
      <c r="K162" s="65">
        <f t="shared" si="227"/>
        <v>2802.4250604487838</v>
      </c>
      <c r="L162" s="65">
        <f t="shared" si="227"/>
        <v>2923.1841763087027</v>
      </c>
      <c r="M162" s="65">
        <f t="shared" si="227"/>
        <v>2669.0174109452987</v>
      </c>
      <c r="N162" s="65">
        <f t="shared" si="227"/>
        <v>2906.9189689140749</v>
      </c>
      <c r="O162" s="65">
        <f t="shared" si="227"/>
        <v>2595.9907108825578</v>
      </c>
      <c r="P162" s="65">
        <f t="shared" si="227"/>
        <v>2464.262418030351</v>
      </c>
      <c r="Q162" s="65">
        <f t="shared" si="227"/>
        <v>2326.0818575752683</v>
      </c>
      <c r="R162" s="65">
        <f t="shared" si="227"/>
        <v>2441.6141827338392</v>
      </c>
      <c r="S162" s="65">
        <f t="shared" si="227"/>
        <v>2708.5877299100061</v>
      </c>
      <c r="T162" s="65">
        <f t="shared" si="227"/>
        <v>2850.254606763438</v>
      </c>
      <c r="U162" s="65">
        <f t="shared" si="227"/>
        <v>2581.4519881863794</v>
      </c>
      <c r="V162" s="65">
        <f t="shared" si="227"/>
        <v>2338.6985352722099</v>
      </c>
      <c r="W162" s="65">
        <f t="shared" si="227"/>
        <v>2850.6536037646706</v>
      </c>
      <c r="X162" s="65">
        <f t="shared" ref="X162:Y162" si="228">IF(X108=0,0,X108/X$23)</f>
        <v>2556.4340125117865</v>
      </c>
      <c r="Y162" s="65">
        <f t="shared" si="228"/>
        <v>2441.1926333730585</v>
      </c>
      <c r="DA162" s="109"/>
    </row>
    <row r="163" spans="1:105" ht="12" customHeight="1" x14ac:dyDescent="0.25">
      <c r="A163" s="61" t="s">
        <v>31</v>
      </c>
      <c r="B163" s="65">
        <f t="shared" ref="B163" si="229">IF(B109=0,0,B109/B$23)</f>
        <v>33.617830213413889</v>
      </c>
      <c r="C163" s="65">
        <f t="shared" ref="C163:W163" si="230">IF(C109=0,0,C109/C$23)</f>
        <v>39.864554356637534</v>
      </c>
      <c r="D163" s="65">
        <f t="shared" si="230"/>
        <v>47.789746353030885</v>
      </c>
      <c r="E163" s="65">
        <f t="shared" si="230"/>
        <v>47.621315510765648</v>
      </c>
      <c r="F163" s="65">
        <f t="shared" si="230"/>
        <v>52.300491619288053</v>
      </c>
      <c r="G163" s="65">
        <f t="shared" si="230"/>
        <v>57.539885305313888</v>
      </c>
      <c r="H163" s="65">
        <f t="shared" si="230"/>
        <v>73.218118907691817</v>
      </c>
      <c r="I163" s="65">
        <f t="shared" si="230"/>
        <v>70.194469958296636</v>
      </c>
      <c r="J163" s="65">
        <f t="shared" si="230"/>
        <v>75.105498170913336</v>
      </c>
      <c r="K163" s="65">
        <f t="shared" si="230"/>
        <v>83.568401542196071</v>
      </c>
      <c r="L163" s="65">
        <f t="shared" si="230"/>
        <v>113.0682733604842</v>
      </c>
      <c r="M163" s="65">
        <f t="shared" si="230"/>
        <v>93.232990807142883</v>
      </c>
      <c r="N163" s="65">
        <f t="shared" si="230"/>
        <v>104.77228733048831</v>
      </c>
      <c r="O163" s="65">
        <f t="shared" si="230"/>
        <v>100.47833173669899</v>
      </c>
      <c r="P163" s="65">
        <f t="shared" si="230"/>
        <v>114.90181069790022</v>
      </c>
      <c r="Q163" s="65">
        <f t="shared" si="230"/>
        <v>114.89510798430975</v>
      </c>
      <c r="R163" s="65">
        <f t="shared" si="230"/>
        <v>109.38416622500203</v>
      </c>
      <c r="S163" s="65">
        <f t="shared" si="230"/>
        <v>112.6023094195355</v>
      </c>
      <c r="T163" s="65">
        <f t="shared" si="230"/>
        <v>122.0354609585284</v>
      </c>
      <c r="U163" s="65">
        <f t="shared" si="230"/>
        <v>120.74281392579447</v>
      </c>
      <c r="V163" s="65">
        <f t="shared" si="230"/>
        <v>120.53642080943807</v>
      </c>
      <c r="W163" s="65">
        <f t="shared" si="230"/>
        <v>145.10970809720055</v>
      </c>
      <c r="X163" s="65">
        <f t="shared" ref="X163:Y163" si="231">IF(X109=0,0,X109/X$23)</f>
        <v>127.90682874565969</v>
      </c>
      <c r="Y163" s="65">
        <f t="shared" si="231"/>
        <v>129.77951966733843</v>
      </c>
      <c r="DA163" s="109"/>
    </row>
    <row r="164" spans="1:105" ht="12" customHeight="1" x14ac:dyDescent="0.25">
      <c r="A164" s="61" t="s">
        <v>35</v>
      </c>
      <c r="B164" s="65">
        <f t="shared" ref="B164" si="232">IF(B110=0,0,B110/B$23)</f>
        <v>298.21147558978242</v>
      </c>
      <c r="C164" s="65">
        <f t="shared" ref="C164:W164" si="233">IF(C110=0,0,C110/C$23)</f>
        <v>321.22652335034428</v>
      </c>
      <c r="D164" s="65">
        <f t="shared" si="233"/>
        <v>336.12803866743229</v>
      </c>
      <c r="E164" s="65">
        <f t="shared" si="233"/>
        <v>356.96804755941446</v>
      </c>
      <c r="F164" s="65">
        <f t="shared" si="233"/>
        <v>385.75620199386583</v>
      </c>
      <c r="G164" s="65">
        <f t="shared" si="233"/>
        <v>413.91533997715965</v>
      </c>
      <c r="H164" s="65">
        <f t="shared" si="233"/>
        <v>460.62801964875086</v>
      </c>
      <c r="I164" s="65">
        <f t="shared" si="233"/>
        <v>455.41516753737051</v>
      </c>
      <c r="J164" s="65">
        <f t="shared" si="233"/>
        <v>470.78905946011173</v>
      </c>
      <c r="K164" s="65">
        <f t="shared" si="233"/>
        <v>503.99022146949039</v>
      </c>
      <c r="L164" s="65">
        <f t="shared" si="233"/>
        <v>529.75829778261539</v>
      </c>
      <c r="M164" s="65">
        <f t="shared" si="233"/>
        <v>541.65659408773433</v>
      </c>
      <c r="N164" s="65">
        <f t="shared" si="233"/>
        <v>548.66629603089734</v>
      </c>
      <c r="O164" s="65">
        <f t="shared" si="233"/>
        <v>560.48812025501002</v>
      </c>
      <c r="P164" s="65">
        <f t="shared" si="233"/>
        <v>562.46427163914575</v>
      </c>
      <c r="Q164" s="65">
        <f t="shared" si="233"/>
        <v>568.8570114457483</v>
      </c>
      <c r="R164" s="65">
        <f t="shared" si="233"/>
        <v>551.437017050431</v>
      </c>
      <c r="S164" s="65">
        <f t="shared" si="233"/>
        <v>581.13755983907993</v>
      </c>
      <c r="T164" s="65">
        <f t="shared" si="233"/>
        <v>573.68699697698264</v>
      </c>
      <c r="U164" s="65">
        <f t="shared" si="233"/>
        <v>576.25019726867345</v>
      </c>
      <c r="V164" s="65">
        <f t="shared" si="233"/>
        <v>515.13258508723914</v>
      </c>
      <c r="W164" s="65">
        <f t="shared" si="233"/>
        <v>570.43886068661163</v>
      </c>
      <c r="X164" s="65">
        <f t="shared" ref="X164:Y164" si="234">IF(X110=0,0,X110/X$23)</f>
        <v>549.7696970023859</v>
      </c>
      <c r="Y164" s="65">
        <f t="shared" si="234"/>
        <v>554.02746053425255</v>
      </c>
      <c r="DA164" s="109"/>
    </row>
    <row r="165" spans="1:105" ht="12" customHeight="1" x14ac:dyDescent="0.25">
      <c r="A165" s="74" t="s">
        <v>34</v>
      </c>
      <c r="B165" s="68">
        <f t="shared" ref="B165" si="235">IF(B111=0,0,B111/B$23)</f>
        <v>342.34238173622037</v>
      </c>
      <c r="C165" s="68">
        <f t="shared" ref="C165:W165" si="236">IF(C111=0,0,C111/C$23)</f>
        <v>356.47978461049001</v>
      </c>
      <c r="D165" s="68">
        <f t="shared" si="236"/>
        <v>372.36831279177835</v>
      </c>
      <c r="E165" s="68">
        <f t="shared" si="236"/>
        <v>391.52678983295999</v>
      </c>
      <c r="F165" s="68">
        <f t="shared" si="236"/>
        <v>410.02052768989603</v>
      </c>
      <c r="G165" s="68">
        <f t="shared" si="236"/>
        <v>431.811788054114</v>
      </c>
      <c r="H165" s="68">
        <f t="shared" si="236"/>
        <v>488.85915712676973</v>
      </c>
      <c r="I165" s="68">
        <f t="shared" si="236"/>
        <v>474.9536052439687</v>
      </c>
      <c r="J165" s="68">
        <f t="shared" si="236"/>
        <v>465.6582073747818</v>
      </c>
      <c r="K165" s="68">
        <f t="shared" si="236"/>
        <v>503.48574138595518</v>
      </c>
      <c r="L165" s="68">
        <f t="shared" si="236"/>
        <v>517.01723658061951</v>
      </c>
      <c r="M165" s="68">
        <f t="shared" si="236"/>
        <v>516.9924203104099</v>
      </c>
      <c r="N165" s="68">
        <f t="shared" si="236"/>
        <v>537.68316279353132</v>
      </c>
      <c r="O165" s="68">
        <f t="shared" si="236"/>
        <v>540.55994589755107</v>
      </c>
      <c r="P165" s="68">
        <f t="shared" si="236"/>
        <v>540.1444455644837</v>
      </c>
      <c r="Q165" s="68">
        <f t="shared" si="236"/>
        <v>522.68750181629207</v>
      </c>
      <c r="R165" s="68">
        <f t="shared" si="236"/>
        <v>508.35250721655717</v>
      </c>
      <c r="S165" s="68">
        <f t="shared" si="236"/>
        <v>538.52506528412994</v>
      </c>
      <c r="T165" s="68">
        <f t="shared" si="236"/>
        <v>540.35344779056561</v>
      </c>
      <c r="U165" s="68">
        <f t="shared" si="236"/>
        <v>583.36118617514353</v>
      </c>
      <c r="V165" s="68">
        <f t="shared" si="236"/>
        <v>559.41579713450369</v>
      </c>
      <c r="W165" s="68">
        <f t="shared" si="236"/>
        <v>606.39735156961547</v>
      </c>
      <c r="X165" s="68">
        <f t="shared" ref="X165:Y165" si="237">IF(X111=0,0,X111/X$23)</f>
        <v>577.71197767294609</v>
      </c>
      <c r="Y165" s="68">
        <f t="shared" si="237"/>
        <v>577.62884465320224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238">IF(B113=0,0,B113/B$23)</f>
        <v>397.31528249405318</v>
      </c>
      <c r="C167" s="82">
        <f t="shared" ref="C167:W167" si="239">IF(C113=0,0,C113/C$23)</f>
        <v>348.44477696185038</v>
      </c>
      <c r="D167" s="82">
        <f t="shared" si="239"/>
        <v>394.38738262916729</v>
      </c>
      <c r="E167" s="82">
        <f t="shared" si="239"/>
        <v>377.69558999136331</v>
      </c>
      <c r="F167" s="82">
        <f t="shared" si="239"/>
        <v>402.38404270179291</v>
      </c>
      <c r="G167" s="82">
        <f t="shared" si="239"/>
        <v>414.69234585165418</v>
      </c>
      <c r="H167" s="82">
        <f t="shared" si="239"/>
        <v>517.08202215484744</v>
      </c>
      <c r="I167" s="82">
        <f t="shared" si="239"/>
        <v>449.88289055690643</v>
      </c>
      <c r="J167" s="82">
        <f t="shared" si="239"/>
        <v>387.2184194590285</v>
      </c>
      <c r="K167" s="82">
        <f t="shared" si="239"/>
        <v>406.56902624181447</v>
      </c>
      <c r="L167" s="82">
        <f t="shared" si="239"/>
        <v>432.23864062929908</v>
      </c>
      <c r="M167" s="82">
        <f t="shared" si="239"/>
        <v>456.26391876683039</v>
      </c>
      <c r="N167" s="82">
        <f t="shared" si="239"/>
        <v>373.00936462645967</v>
      </c>
      <c r="O167" s="82">
        <f t="shared" si="239"/>
        <v>399.57757260516217</v>
      </c>
      <c r="P167" s="82">
        <f t="shared" si="239"/>
        <v>345.23367310902813</v>
      </c>
      <c r="Q167" s="82">
        <f t="shared" si="239"/>
        <v>305.82690302983593</v>
      </c>
      <c r="R167" s="82">
        <f t="shared" si="239"/>
        <v>332.68500066556084</v>
      </c>
      <c r="S167" s="82">
        <f t="shared" si="239"/>
        <v>350.8021677586683</v>
      </c>
      <c r="T167" s="82">
        <f t="shared" si="239"/>
        <v>360.04942833591377</v>
      </c>
      <c r="U167" s="82">
        <f t="shared" si="239"/>
        <v>326.94698444282074</v>
      </c>
      <c r="V167" s="82">
        <f t="shared" si="239"/>
        <v>271.80094532173695</v>
      </c>
      <c r="W167" s="82">
        <f t="shared" si="239"/>
        <v>300.01293942702335</v>
      </c>
      <c r="X167" s="82">
        <f t="shared" ref="X167:Y167" si="240">IF(X113=0,0,X113/X$23)</f>
        <v>281.59182981882111</v>
      </c>
      <c r="Y167" s="82">
        <f t="shared" si="240"/>
        <v>285.98267600516482</v>
      </c>
      <c r="DA167" s="107"/>
    </row>
    <row r="168" spans="1:105" ht="12" customHeight="1" x14ac:dyDescent="0.25">
      <c r="A168" s="77" t="s">
        <v>36</v>
      </c>
      <c r="B168" s="64">
        <f t="shared" ref="B168" si="241">IF(B114=0,0,B114/B$23)</f>
        <v>397.31528249405318</v>
      </c>
      <c r="C168" s="64">
        <f t="shared" ref="C168:W168" si="242">IF(C114=0,0,C114/C$23)</f>
        <v>348.44477696185038</v>
      </c>
      <c r="D168" s="64">
        <f t="shared" si="242"/>
        <v>394.38738262916729</v>
      </c>
      <c r="E168" s="64">
        <f t="shared" si="242"/>
        <v>377.69558999136331</v>
      </c>
      <c r="F168" s="64">
        <f t="shared" si="242"/>
        <v>402.38404270179291</v>
      </c>
      <c r="G168" s="64">
        <f t="shared" si="242"/>
        <v>414.69234585165418</v>
      </c>
      <c r="H168" s="64">
        <f t="shared" si="242"/>
        <v>517.08202215484744</v>
      </c>
      <c r="I168" s="64">
        <f t="shared" si="242"/>
        <v>449.88289055690643</v>
      </c>
      <c r="J168" s="64">
        <f t="shared" si="242"/>
        <v>387.2184194590285</v>
      </c>
      <c r="K168" s="64">
        <f t="shared" si="242"/>
        <v>406.56902624181447</v>
      </c>
      <c r="L168" s="64">
        <f t="shared" si="242"/>
        <v>432.23864062929908</v>
      </c>
      <c r="M168" s="64">
        <f t="shared" si="242"/>
        <v>456.26391876683039</v>
      </c>
      <c r="N168" s="64">
        <f t="shared" si="242"/>
        <v>373.00936462645967</v>
      </c>
      <c r="O168" s="64">
        <f t="shared" si="242"/>
        <v>399.57757260516217</v>
      </c>
      <c r="P168" s="64">
        <f t="shared" si="242"/>
        <v>345.23367310902813</v>
      </c>
      <c r="Q168" s="64">
        <f t="shared" si="242"/>
        <v>305.82690302983593</v>
      </c>
      <c r="R168" s="64">
        <f t="shared" si="242"/>
        <v>332.68500066556084</v>
      </c>
      <c r="S168" s="64">
        <f t="shared" si="242"/>
        <v>350.8021677586683</v>
      </c>
      <c r="T168" s="64">
        <f t="shared" si="242"/>
        <v>360.04942833591377</v>
      </c>
      <c r="U168" s="64">
        <f t="shared" si="242"/>
        <v>326.94698444282074</v>
      </c>
      <c r="V168" s="64">
        <f t="shared" si="242"/>
        <v>271.80094532173695</v>
      </c>
      <c r="W168" s="64">
        <f t="shared" si="242"/>
        <v>300.01293942702335</v>
      </c>
      <c r="X168" s="64">
        <f t="shared" ref="X168:Y168" si="243">IF(X114=0,0,X114/X$23)</f>
        <v>281.59182981882111</v>
      </c>
      <c r="Y168" s="64">
        <f t="shared" si="243"/>
        <v>285.98267600516482</v>
      </c>
      <c r="DA168" s="108"/>
    </row>
    <row r="169" spans="1:105" ht="12" customHeight="1" x14ac:dyDescent="0.25">
      <c r="A169" s="61" t="s">
        <v>32</v>
      </c>
      <c r="B169" s="65">
        <f t="shared" ref="B169" si="244">IF(B115=0,0,B115/B$23)</f>
        <v>358.82877970162235</v>
      </c>
      <c r="C169" s="65">
        <f t="shared" ref="C169:W169" si="245">IF(C115=0,0,C115/C$23)</f>
        <v>310.87110561428409</v>
      </c>
      <c r="D169" s="65">
        <f t="shared" si="245"/>
        <v>354.10401054559492</v>
      </c>
      <c r="E169" s="65">
        <f t="shared" si="245"/>
        <v>337.45732077585723</v>
      </c>
      <c r="F169" s="65">
        <f t="shared" si="245"/>
        <v>362.89537326808403</v>
      </c>
      <c r="G169" s="65">
        <f t="shared" si="245"/>
        <v>374.78495655721639</v>
      </c>
      <c r="H169" s="65">
        <f t="shared" si="245"/>
        <v>473.2748367217032</v>
      </c>
      <c r="I169" s="65">
        <f t="shared" si="245"/>
        <v>397.29533141859889</v>
      </c>
      <c r="J169" s="65">
        <f t="shared" si="245"/>
        <v>331.67482275499168</v>
      </c>
      <c r="K169" s="65">
        <f t="shared" si="245"/>
        <v>350.74177457747675</v>
      </c>
      <c r="L169" s="65">
        <f t="shared" si="245"/>
        <v>378.95531065461455</v>
      </c>
      <c r="M169" s="65">
        <f t="shared" si="245"/>
        <v>405.81900310427596</v>
      </c>
      <c r="N169" s="65">
        <f t="shared" si="245"/>
        <v>327.72824805149509</v>
      </c>
      <c r="O169" s="65">
        <f t="shared" si="245"/>
        <v>359.94771402271539</v>
      </c>
      <c r="P169" s="65">
        <f t="shared" si="245"/>
        <v>311.21782016704935</v>
      </c>
      <c r="Q169" s="65">
        <f t="shared" si="245"/>
        <v>268.1418994277214</v>
      </c>
      <c r="R169" s="65">
        <f t="shared" si="245"/>
        <v>294.51187031752539</v>
      </c>
      <c r="S169" s="65">
        <f t="shared" si="245"/>
        <v>313.99756874122153</v>
      </c>
      <c r="T169" s="65">
        <f t="shared" si="245"/>
        <v>322.72462845039331</v>
      </c>
      <c r="U169" s="65">
        <f t="shared" si="245"/>
        <v>297.54746077361193</v>
      </c>
      <c r="V169" s="65">
        <f t="shared" si="245"/>
        <v>245.51007594369008</v>
      </c>
      <c r="W169" s="65">
        <f t="shared" si="245"/>
        <v>272.80439500849519</v>
      </c>
      <c r="X169" s="65">
        <f t="shared" ref="X169:Y169" si="246">IF(X115=0,0,X115/X$23)</f>
        <v>252.67452629209987</v>
      </c>
      <c r="Y169" s="65">
        <f t="shared" si="246"/>
        <v>254.20274014207786</v>
      </c>
      <c r="DA169" s="109"/>
    </row>
    <row r="170" spans="1:105" ht="12" customHeight="1" x14ac:dyDescent="0.25">
      <c r="A170" s="61" t="s">
        <v>31</v>
      </c>
      <c r="B170" s="65">
        <f t="shared" ref="B170" si="247">IF(B116=0,0,B116/B$23)</f>
        <v>0</v>
      </c>
      <c r="C170" s="65">
        <f t="shared" ref="C170:W170" si="248">IF(C116=0,0,C116/C$23)</f>
        <v>0</v>
      </c>
      <c r="D170" s="65">
        <f t="shared" si="248"/>
        <v>0</v>
      </c>
      <c r="E170" s="65">
        <f t="shared" si="248"/>
        <v>0</v>
      </c>
      <c r="F170" s="65">
        <f t="shared" si="248"/>
        <v>0</v>
      </c>
      <c r="G170" s="65">
        <f t="shared" si="248"/>
        <v>0</v>
      </c>
      <c r="H170" s="65">
        <f t="shared" si="248"/>
        <v>0</v>
      </c>
      <c r="I170" s="65">
        <f t="shared" si="248"/>
        <v>0</v>
      </c>
      <c r="J170" s="65">
        <f t="shared" si="248"/>
        <v>0</v>
      </c>
      <c r="K170" s="65">
        <f t="shared" si="248"/>
        <v>0</v>
      </c>
      <c r="L170" s="65">
        <f t="shared" si="248"/>
        <v>0</v>
      </c>
      <c r="M170" s="65">
        <f t="shared" si="248"/>
        <v>0</v>
      </c>
      <c r="N170" s="65">
        <f t="shared" si="248"/>
        <v>0</v>
      </c>
      <c r="O170" s="65">
        <f t="shared" si="248"/>
        <v>0</v>
      </c>
      <c r="P170" s="65">
        <f t="shared" si="248"/>
        <v>0</v>
      </c>
      <c r="Q170" s="65">
        <f t="shared" si="248"/>
        <v>0</v>
      </c>
      <c r="R170" s="65">
        <f t="shared" si="248"/>
        <v>0</v>
      </c>
      <c r="S170" s="65">
        <f t="shared" si="248"/>
        <v>0</v>
      </c>
      <c r="T170" s="65">
        <f t="shared" si="248"/>
        <v>0</v>
      </c>
      <c r="U170" s="65">
        <f t="shared" si="248"/>
        <v>0</v>
      </c>
      <c r="V170" s="65">
        <f t="shared" si="248"/>
        <v>0</v>
      </c>
      <c r="W170" s="65">
        <f t="shared" si="248"/>
        <v>0</v>
      </c>
      <c r="X170" s="65">
        <f t="shared" ref="X170:Y170" si="249">IF(X116=0,0,X116/X$23)</f>
        <v>0</v>
      </c>
      <c r="Y170" s="65">
        <f t="shared" si="249"/>
        <v>0</v>
      </c>
      <c r="DA170" s="109"/>
    </row>
    <row r="171" spans="1:105" ht="12" customHeight="1" x14ac:dyDescent="0.25">
      <c r="A171" s="61" t="s">
        <v>35</v>
      </c>
      <c r="B171" s="65">
        <f t="shared" ref="B171" si="250">IF(B117=0,0,B117/B$23)</f>
        <v>13.084206471514893</v>
      </c>
      <c r="C171" s="65">
        <f t="shared" ref="C171:W171" si="251">IF(C117=0,0,C117/C$23)</f>
        <v>9.9052905673905851</v>
      </c>
      <c r="D171" s="65">
        <f t="shared" si="251"/>
        <v>9.8818380832746922</v>
      </c>
      <c r="E171" s="65">
        <f t="shared" si="251"/>
        <v>9.0797213519348468</v>
      </c>
      <c r="F171" s="65">
        <f t="shared" si="251"/>
        <v>10.96088182155999</v>
      </c>
      <c r="G171" s="65">
        <f t="shared" si="251"/>
        <v>10.174622330307411</v>
      </c>
      <c r="H171" s="65">
        <f t="shared" si="251"/>
        <v>11.820235559756368</v>
      </c>
      <c r="I171" s="65">
        <f t="shared" si="251"/>
        <v>14.383391819867668</v>
      </c>
      <c r="J171" s="65">
        <f t="shared" si="251"/>
        <v>15.542017780290188</v>
      </c>
      <c r="K171" s="65">
        <f t="shared" si="251"/>
        <v>15.301534547647034</v>
      </c>
      <c r="L171" s="65">
        <f t="shared" si="251"/>
        <v>15.427292087617207</v>
      </c>
      <c r="M171" s="65">
        <f t="shared" si="251"/>
        <v>15.115907657437688</v>
      </c>
      <c r="N171" s="65">
        <f t="shared" si="251"/>
        <v>14.601841590994463</v>
      </c>
      <c r="O171" s="65">
        <f t="shared" si="251"/>
        <v>14.609065047123364</v>
      </c>
      <c r="P171" s="65">
        <f t="shared" si="251"/>
        <v>13.066437884591981</v>
      </c>
      <c r="Q171" s="65">
        <f t="shared" si="251"/>
        <v>13.957857490642644</v>
      </c>
      <c r="R171" s="65">
        <f t="shared" si="251"/>
        <v>14.116823870612548</v>
      </c>
      <c r="S171" s="65">
        <f t="shared" si="251"/>
        <v>14.437137045196504</v>
      </c>
      <c r="T171" s="65">
        <f t="shared" si="251"/>
        <v>14.398087413036233</v>
      </c>
      <c r="U171" s="65">
        <f t="shared" si="251"/>
        <v>14.705662643254595</v>
      </c>
      <c r="V171" s="65">
        <f t="shared" si="251"/>
        <v>15.012494604328495</v>
      </c>
      <c r="W171" s="65">
        <f t="shared" si="251"/>
        <v>15.586742913135435</v>
      </c>
      <c r="X171" s="65">
        <f t="shared" ref="X171:Y171" si="252">IF(X117=0,0,X117/X$23)</f>
        <v>14.614454931007712</v>
      </c>
      <c r="Y171" s="65">
        <f t="shared" si="252"/>
        <v>13.956926673200959</v>
      </c>
      <c r="DA171" s="109"/>
    </row>
    <row r="172" spans="1:105" ht="12" customHeight="1" x14ac:dyDescent="0.25">
      <c r="A172" s="66" t="s">
        <v>34</v>
      </c>
      <c r="B172" s="67">
        <f t="shared" ref="B172" si="253">IF(B118=0,0,B118/B$23)</f>
        <v>25.402296320915873</v>
      </c>
      <c r="C172" s="67">
        <f t="shared" ref="C172:W172" si="254">IF(C118=0,0,C118/C$23)</f>
        <v>27.668380780175699</v>
      </c>
      <c r="D172" s="67">
        <f t="shared" si="254"/>
        <v>30.40153400029763</v>
      </c>
      <c r="E172" s="67">
        <f t="shared" si="254"/>
        <v>31.158547863571219</v>
      </c>
      <c r="F172" s="67">
        <f t="shared" si="254"/>
        <v>28.527787612148888</v>
      </c>
      <c r="G172" s="67">
        <f t="shared" si="254"/>
        <v>29.732766964130338</v>
      </c>
      <c r="H172" s="67">
        <f t="shared" si="254"/>
        <v>31.986949873387783</v>
      </c>
      <c r="I172" s="67">
        <f t="shared" si="254"/>
        <v>38.20416731843985</v>
      </c>
      <c r="J172" s="67">
        <f t="shared" si="254"/>
        <v>40.001578923746663</v>
      </c>
      <c r="K172" s="67">
        <f t="shared" si="254"/>
        <v>40.525717116690707</v>
      </c>
      <c r="L172" s="67">
        <f t="shared" si="254"/>
        <v>37.856037887067352</v>
      </c>
      <c r="M172" s="67">
        <f t="shared" si="254"/>
        <v>35.32900800511667</v>
      </c>
      <c r="N172" s="67">
        <f t="shared" si="254"/>
        <v>30.679274983970089</v>
      </c>
      <c r="O172" s="67">
        <f t="shared" si="254"/>
        <v>25.020793535323413</v>
      </c>
      <c r="P172" s="67">
        <f t="shared" si="254"/>
        <v>20.949415057386812</v>
      </c>
      <c r="Q172" s="67">
        <f t="shared" si="254"/>
        <v>23.727146111471914</v>
      </c>
      <c r="R172" s="67">
        <f t="shared" si="254"/>
        <v>24.056306477422897</v>
      </c>
      <c r="S172" s="67">
        <f t="shared" si="254"/>
        <v>22.367461972250286</v>
      </c>
      <c r="T172" s="67">
        <f t="shared" si="254"/>
        <v>22.926712472484233</v>
      </c>
      <c r="U172" s="67">
        <f t="shared" si="254"/>
        <v>14.693861025954199</v>
      </c>
      <c r="V172" s="67">
        <f t="shared" si="254"/>
        <v>11.278374773718328</v>
      </c>
      <c r="W172" s="67">
        <f t="shared" si="254"/>
        <v>11.621801505392733</v>
      </c>
      <c r="X172" s="67">
        <f t="shared" ref="X172:Y172" si="255">IF(X118=0,0,X118/X$23)</f>
        <v>14.302848595713547</v>
      </c>
      <c r="Y172" s="67">
        <f t="shared" si="255"/>
        <v>17.823009189885934</v>
      </c>
      <c r="DA172" s="110"/>
    </row>
    <row r="173" spans="1:105" ht="12" customHeight="1" x14ac:dyDescent="0.25">
      <c r="A173" s="78" t="s">
        <v>33</v>
      </c>
      <c r="B173" s="68">
        <f t="shared" ref="B173" si="256">IF(B119=0,0,B119/B$23)</f>
        <v>0</v>
      </c>
      <c r="C173" s="68">
        <f t="shared" ref="C173:W173" si="257">IF(C119=0,0,C119/C$23)</f>
        <v>0</v>
      </c>
      <c r="D173" s="68">
        <f t="shared" si="257"/>
        <v>0</v>
      </c>
      <c r="E173" s="68">
        <f t="shared" si="257"/>
        <v>0</v>
      </c>
      <c r="F173" s="68">
        <f t="shared" si="257"/>
        <v>0</v>
      </c>
      <c r="G173" s="68">
        <f t="shared" si="257"/>
        <v>0</v>
      </c>
      <c r="H173" s="68">
        <f t="shared" si="257"/>
        <v>0</v>
      </c>
      <c r="I173" s="68">
        <f t="shared" si="257"/>
        <v>0</v>
      </c>
      <c r="J173" s="68">
        <f t="shared" si="257"/>
        <v>0</v>
      </c>
      <c r="K173" s="68">
        <f t="shared" si="257"/>
        <v>0</v>
      </c>
      <c r="L173" s="68">
        <f t="shared" si="257"/>
        <v>0</v>
      </c>
      <c r="M173" s="68">
        <f t="shared" si="257"/>
        <v>0</v>
      </c>
      <c r="N173" s="68">
        <f t="shared" si="257"/>
        <v>0</v>
      </c>
      <c r="O173" s="68">
        <f t="shared" si="257"/>
        <v>0</v>
      </c>
      <c r="P173" s="68">
        <f t="shared" si="257"/>
        <v>0</v>
      </c>
      <c r="Q173" s="68">
        <f t="shared" si="257"/>
        <v>0</v>
      </c>
      <c r="R173" s="68">
        <f t="shared" si="257"/>
        <v>0</v>
      </c>
      <c r="S173" s="68">
        <f t="shared" si="257"/>
        <v>0</v>
      </c>
      <c r="T173" s="68">
        <f t="shared" si="257"/>
        <v>0</v>
      </c>
      <c r="U173" s="68">
        <f t="shared" si="257"/>
        <v>0</v>
      </c>
      <c r="V173" s="68">
        <f t="shared" si="257"/>
        <v>0</v>
      </c>
      <c r="W173" s="68">
        <f t="shared" si="257"/>
        <v>0</v>
      </c>
      <c r="X173" s="68">
        <f t="shared" ref="X173:Y173" si="258">IF(X119=0,0,X119/X$23)</f>
        <v>0</v>
      </c>
      <c r="Y173" s="68">
        <f t="shared" si="25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Y31 B33:Y33 B37:Y37 B48:Y48 B67:Y67 B82:Y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>
        <f t="shared" ref="B3:Y3" si="0">B4</f>
        <v>29446.325808510657</v>
      </c>
      <c r="C3" s="124">
        <f t="shared" si="0"/>
        <v>30758.893472254338</v>
      </c>
      <c r="D3" s="124">
        <f t="shared" si="0"/>
        <v>32329.095806478595</v>
      </c>
      <c r="E3" s="124">
        <f t="shared" si="0"/>
        <v>34700.491059361309</v>
      </c>
      <c r="F3" s="124">
        <f t="shared" si="0"/>
        <v>36690.251730184289</v>
      </c>
      <c r="G3" s="124">
        <f t="shared" si="0"/>
        <v>38912.25756375934</v>
      </c>
      <c r="H3" s="124">
        <f t="shared" si="0"/>
        <v>40476.339330041796</v>
      </c>
      <c r="I3" s="124">
        <f t="shared" si="0"/>
        <v>44681.765518081265</v>
      </c>
      <c r="J3" s="124">
        <f t="shared" si="0"/>
        <v>46652.67352667643</v>
      </c>
      <c r="K3" s="124">
        <f t="shared" si="0"/>
        <v>46561.275402728068</v>
      </c>
      <c r="L3" s="124">
        <f t="shared" si="0"/>
        <v>46983.490545106826</v>
      </c>
      <c r="M3" s="124">
        <f t="shared" si="0"/>
        <v>47951.164097780762</v>
      </c>
      <c r="N3" s="124">
        <f t="shared" si="0"/>
        <v>48420.480293396206</v>
      </c>
      <c r="O3" s="124">
        <f t="shared" si="0"/>
        <v>49023.235936405305</v>
      </c>
      <c r="P3" s="124">
        <f t="shared" si="0"/>
        <v>49862.069214575837</v>
      </c>
      <c r="Q3" s="124">
        <f t="shared" si="0"/>
        <v>50249.833059129327</v>
      </c>
      <c r="R3" s="124">
        <f t="shared" si="0"/>
        <v>50613.841674154552</v>
      </c>
      <c r="S3" s="124">
        <f t="shared" si="0"/>
        <v>51033.921541971722</v>
      </c>
      <c r="T3" s="124">
        <f t="shared" si="0"/>
        <v>51394.555670353751</v>
      </c>
      <c r="U3" s="124">
        <f t="shared" si="0"/>
        <v>51662.788167510436</v>
      </c>
      <c r="V3" s="124">
        <f t="shared" si="0"/>
        <v>51822.172222222216</v>
      </c>
      <c r="W3" s="124">
        <f t="shared" si="0"/>
        <v>51895.58309049478</v>
      </c>
      <c r="X3" s="124">
        <f t="shared" si="0"/>
        <v>51899.378501921106</v>
      </c>
      <c r="Y3" s="124">
        <f t="shared" si="0"/>
        <v>51844.778257970574</v>
      </c>
      <c r="DA3" s="168" t="s">
        <v>245</v>
      </c>
    </row>
    <row r="4" spans="1:105" ht="12.95" customHeight="1" x14ac:dyDescent="0.25">
      <c r="A4" s="129" t="s">
        <v>32</v>
      </c>
      <c r="B4" s="139">
        <f t="shared" ref="B4:Q4" si="1">SUM(B5:B14)</f>
        <v>29446.325808510657</v>
      </c>
      <c r="C4" s="139">
        <f t="shared" si="1"/>
        <v>30758.893472254338</v>
      </c>
      <c r="D4" s="139">
        <f t="shared" si="1"/>
        <v>32329.095806478595</v>
      </c>
      <c r="E4" s="139">
        <f t="shared" si="1"/>
        <v>34700.491059361309</v>
      </c>
      <c r="F4" s="139">
        <f t="shared" si="1"/>
        <v>36690.251730184289</v>
      </c>
      <c r="G4" s="139">
        <f t="shared" si="1"/>
        <v>38912.25756375934</v>
      </c>
      <c r="H4" s="139">
        <f t="shared" si="1"/>
        <v>40476.339330041796</v>
      </c>
      <c r="I4" s="139">
        <f t="shared" si="1"/>
        <v>44681.765518081265</v>
      </c>
      <c r="J4" s="139">
        <f t="shared" si="1"/>
        <v>46652.67352667643</v>
      </c>
      <c r="K4" s="139">
        <f t="shared" si="1"/>
        <v>46561.275402728068</v>
      </c>
      <c r="L4" s="139">
        <f t="shared" si="1"/>
        <v>46983.490545106826</v>
      </c>
      <c r="M4" s="139">
        <f t="shared" si="1"/>
        <v>47951.164097780762</v>
      </c>
      <c r="N4" s="139">
        <f t="shared" si="1"/>
        <v>48420.480293396206</v>
      </c>
      <c r="O4" s="139">
        <f t="shared" si="1"/>
        <v>49023.235936405305</v>
      </c>
      <c r="P4" s="139">
        <f t="shared" si="1"/>
        <v>49862.069214575837</v>
      </c>
      <c r="Q4" s="139">
        <f t="shared" si="1"/>
        <v>50249.833059129327</v>
      </c>
      <c r="R4" s="139">
        <f t="shared" ref="R4:W4" si="2">SUM(R5:R14)</f>
        <v>50613.841674154552</v>
      </c>
      <c r="S4" s="139">
        <f t="shared" si="2"/>
        <v>51033.921541971722</v>
      </c>
      <c r="T4" s="139">
        <f t="shared" si="2"/>
        <v>51394.555670353751</v>
      </c>
      <c r="U4" s="139">
        <f t="shared" si="2"/>
        <v>51662.788167510436</v>
      </c>
      <c r="V4" s="139">
        <f t="shared" si="2"/>
        <v>51822.172222222216</v>
      </c>
      <c r="W4" s="139">
        <f t="shared" si="2"/>
        <v>51895.58309049478</v>
      </c>
      <c r="X4" s="139">
        <f t="shared" ref="X4:Y4" si="3">SUM(X5:X14)</f>
        <v>51899.378501921106</v>
      </c>
      <c r="Y4" s="139">
        <f t="shared" si="3"/>
        <v>51844.778257970574</v>
      </c>
      <c r="DA4" s="169" t="s">
        <v>246</v>
      </c>
    </row>
    <row r="5" spans="1:105" ht="12" customHeight="1" x14ac:dyDescent="0.25">
      <c r="A5" s="131" t="s">
        <v>29</v>
      </c>
      <c r="B5" s="140">
        <v>3413.8731824911301</v>
      </c>
      <c r="C5" s="140">
        <v>3371.7443868607047</v>
      </c>
      <c r="D5" s="140">
        <v>3664.1085163257335</v>
      </c>
      <c r="E5" s="140">
        <v>3931.5175008922215</v>
      </c>
      <c r="F5" s="140">
        <v>4423.0747344840838</v>
      </c>
      <c r="G5" s="140">
        <v>5057.2149688277814</v>
      </c>
      <c r="H5" s="140">
        <v>5391.1400299579918</v>
      </c>
      <c r="I5" s="140">
        <v>5591.3156135105228</v>
      </c>
      <c r="J5" s="140">
        <v>5778.9870374530083</v>
      </c>
      <c r="K5" s="140">
        <v>6171.333966477373</v>
      </c>
      <c r="L5" s="140">
        <v>6566.4562330254639</v>
      </c>
      <c r="M5" s="140">
        <v>6674.5779128600107</v>
      </c>
      <c r="N5" s="140">
        <v>6725.4263451187189</v>
      </c>
      <c r="O5" s="140">
        <v>6713.9246204376295</v>
      </c>
      <c r="P5" s="140">
        <v>6438.3447532660421</v>
      </c>
      <c r="Q5" s="140">
        <v>6054.4860325531663</v>
      </c>
      <c r="R5" s="140">
        <v>5944.0522741400955</v>
      </c>
      <c r="S5" s="140">
        <v>5795.1218369913986</v>
      </c>
      <c r="T5" s="140">
        <v>5567.6047419476427</v>
      </c>
      <c r="U5" s="140">
        <v>5085.9749071598517</v>
      </c>
      <c r="V5" s="140">
        <v>4463.5315998632514</v>
      </c>
      <c r="W5" s="140">
        <v>4059.7443729617594</v>
      </c>
      <c r="X5" s="140">
        <v>3815.5122697751735</v>
      </c>
      <c r="Y5" s="140">
        <v>3287.2164599769835</v>
      </c>
      <c r="DA5" s="170" t="s">
        <v>247</v>
      </c>
    </row>
    <row r="6" spans="1:105" ht="12" customHeight="1" x14ac:dyDescent="0.25">
      <c r="A6" s="131" t="s">
        <v>52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248</v>
      </c>
    </row>
    <row r="7" spans="1:105" ht="12" customHeight="1" x14ac:dyDescent="0.25">
      <c r="A7" s="131" t="s">
        <v>161</v>
      </c>
      <c r="B7" s="140">
        <v>1126.2559479106603</v>
      </c>
      <c r="C7" s="140">
        <v>1019.8781481158934</v>
      </c>
      <c r="D7" s="140">
        <v>914.96340241283986</v>
      </c>
      <c r="E7" s="140">
        <v>744.54466744125</v>
      </c>
      <c r="F7" s="140">
        <v>641.19645918183539</v>
      </c>
      <c r="G7" s="140">
        <v>514.93981491902935</v>
      </c>
      <c r="H7" s="140">
        <v>479.69503632813127</v>
      </c>
      <c r="I7" s="140">
        <v>471.68894154588986</v>
      </c>
      <c r="J7" s="140">
        <v>445.30955241187485</v>
      </c>
      <c r="K7" s="140">
        <v>419.11190889934079</v>
      </c>
      <c r="L7" s="140">
        <v>409.75792433348983</v>
      </c>
      <c r="M7" s="140">
        <v>416.01030721509483</v>
      </c>
      <c r="N7" s="140">
        <v>402.23685096404085</v>
      </c>
      <c r="O7" s="140">
        <v>404.44381670513638</v>
      </c>
      <c r="P7" s="140">
        <v>391.58440925123858</v>
      </c>
      <c r="Q7" s="140">
        <v>324.04729332231432</v>
      </c>
      <c r="R7" s="140">
        <v>271.07171155944667</v>
      </c>
      <c r="S7" s="140">
        <v>237.60269775587525</v>
      </c>
      <c r="T7" s="140">
        <v>232.18262255753311</v>
      </c>
      <c r="U7" s="140">
        <v>264.45877630807195</v>
      </c>
      <c r="V7" s="140">
        <v>299.54914225437466</v>
      </c>
      <c r="W7" s="140">
        <v>336.88998489304731</v>
      </c>
      <c r="X7" s="140">
        <v>368.13856486399681</v>
      </c>
      <c r="Y7" s="140">
        <v>452.5094625531429</v>
      </c>
      <c r="DA7" s="170" t="s">
        <v>249</v>
      </c>
    </row>
    <row r="8" spans="1:105" ht="12" customHeight="1" x14ac:dyDescent="0.25">
      <c r="A8" s="131" t="s">
        <v>73</v>
      </c>
      <c r="B8" s="140">
        <v>0</v>
      </c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DA8" s="170" t="s">
        <v>250</v>
      </c>
    </row>
    <row r="9" spans="1:105" ht="12" customHeight="1" x14ac:dyDescent="0.25">
      <c r="A9" s="131" t="s">
        <v>78</v>
      </c>
      <c r="B9" s="140">
        <v>1646.8461450987893</v>
      </c>
      <c r="C9" s="140">
        <v>1847.0442759159471</v>
      </c>
      <c r="D9" s="140">
        <v>2222.0386255774456</v>
      </c>
      <c r="E9" s="140">
        <v>2607.8176321641058</v>
      </c>
      <c r="F9" s="140">
        <v>3127.5363673040138</v>
      </c>
      <c r="G9" s="140">
        <v>3547.7652099792067</v>
      </c>
      <c r="H9" s="140">
        <v>4042.7319240239335</v>
      </c>
      <c r="I9" s="140">
        <v>4728.5709048166982</v>
      </c>
      <c r="J9" s="140">
        <v>5153.3460365518104</v>
      </c>
      <c r="K9" s="140">
        <v>5333.9720665827381</v>
      </c>
      <c r="L9" s="140">
        <v>5542.1029328897121</v>
      </c>
      <c r="M9" s="140">
        <v>5753.6435676288302</v>
      </c>
      <c r="N9" s="140">
        <v>6064.8204896890329</v>
      </c>
      <c r="O9" s="140">
        <v>6626.0323123002745</v>
      </c>
      <c r="P9" s="140">
        <v>7046.834680000281</v>
      </c>
      <c r="Q9" s="140">
        <v>7720.594439857573</v>
      </c>
      <c r="R9" s="140">
        <v>8052.3394047938</v>
      </c>
      <c r="S9" s="140">
        <v>8426.6643438820665</v>
      </c>
      <c r="T9" s="140">
        <v>8930.5922369208838</v>
      </c>
      <c r="U9" s="140">
        <v>9643.5900312578324</v>
      </c>
      <c r="V9" s="140">
        <v>9663.3472057899799</v>
      </c>
      <c r="W9" s="140">
        <v>10466.134471455091</v>
      </c>
      <c r="X9" s="140">
        <v>11446.936122006664</v>
      </c>
      <c r="Y9" s="140">
        <v>12514.619023553892</v>
      </c>
      <c r="DA9" s="170" t="s">
        <v>251</v>
      </c>
    </row>
    <row r="10" spans="1:105" ht="12" customHeight="1" x14ac:dyDescent="0.25">
      <c r="A10" s="131" t="s">
        <v>128</v>
      </c>
      <c r="B10" s="140">
        <v>2636.3401052567742</v>
      </c>
      <c r="C10" s="140">
        <v>2670.5643224932401</v>
      </c>
      <c r="D10" s="140">
        <v>2571.634953122325</v>
      </c>
      <c r="E10" s="140">
        <v>2416.078837959355</v>
      </c>
      <c r="F10" s="140">
        <v>2295.1952146935664</v>
      </c>
      <c r="G10" s="140">
        <v>2250.8400424149036</v>
      </c>
      <c r="H10" s="140">
        <v>2271.8840232034668</v>
      </c>
      <c r="I10" s="140">
        <v>2403.9896197677226</v>
      </c>
      <c r="J10" s="140">
        <v>2624.6925507580463</v>
      </c>
      <c r="K10" s="140">
        <v>2842.7510489716437</v>
      </c>
      <c r="L10" s="140">
        <v>3037.7675931846929</v>
      </c>
      <c r="M10" s="140">
        <v>3367.1497574828381</v>
      </c>
      <c r="N10" s="140">
        <v>3614.4286304674215</v>
      </c>
      <c r="O10" s="140">
        <v>3956.6863493014866</v>
      </c>
      <c r="P10" s="140">
        <v>4097.9950551278043</v>
      </c>
      <c r="Q10" s="140">
        <v>4093.4380963536137</v>
      </c>
      <c r="R10" s="140">
        <v>3866.1316123002739</v>
      </c>
      <c r="S10" s="140">
        <v>3511.4887212327199</v>
      </c>
      <c r="T10" s="140">
        <v>3390.4016923743516</v>
      </c>
      <c r="U10" s="140">
        <v>3405.7682493163693</v>
      </c>
      <c r="V10" s="140">
        <v>3326.6344602480144</v>
      </c>
      <c r="W10" s="140">
        <v>3373.5685569822422</v>
      </c>
      <c r="X10" s="140">
        <v>3337.113512906702</v>
      </c>
      <c r="Y10" s="140">
        <v>3374.5282540172047</v>
      </c>
      <c r="DA10" s="170" t="s">
        <v>252</v>
      </c>
    </row>
    <row r="11" spans="1:105" ht="12" customHeight="1" x14ac:dyDescent="0.25">
      <c r="A11" s="131" t="s">
        <v>25</v>
      </c>
      <c r="B11" s="140">
        <v>0</v>
      </c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DA11" s="170" t="s">
        <v>253</v>
      </c>
    </row>
    <row r="12" spans="1:105" ht="12" customHeight="1" x14ac:dyDescent="0.25">
      <c r="A12" s="131" t="s">
        <v>162</v>
      </c>
      <c r="B12" s="140">
        <v>17998.717925958808</v>
      </c>
      <c r="C12" s="140">
        <v>19097.729921749149</v>
      </c>
      <c r="D12" s="140">
        <v>19712.33148310853</v>
      </c>
      <c r="E12" s="140">
        <v>21088.623406586805</v>
      </c>
      <c r="F12" s="140">
        <v>21860.688041871937</v>
      </c>
      <c r="G12" s="140">
        <v>22885.644256803076</v>
      </c>
      <c r="H12" s="140">
        <v>23249.980120685253</v>
      </c>
      <c r="I12" s="140">
        <v>26303.913768500086</v>
      </c>
      <c r="J12" s="140">
        <v>27513.863436391403</v>
      </c>
      <c r="K12" s="140">
        <v>27345.761746259766</v>
      </c>
      <c r="L12" s="140">
        <v>27912.275055147697</v>
      </c>
      <c r="M12" s="140">
        <v>28406.535093145161</v>
      </c>
      <c r="N12" s="140">
        <v>28125.886519872427</v>
      </c>
      <c r="O12" s="140">
        <v>27883.996072540071</v>
      </c>
      <c r="P12" s="140">
        <v>28474.984211407264</v>
      </c>
      <c r="Q12" s="140">
        <v>28698.531999309605</v>
      </c>
      <c r="R12" s="140">
        <v>28898.919105394569</v>
      </c>
      <c r="S12" s="140">
        <v>29312.756348322186</v>
      </c>
      <c r="T12" s="140">
        <v>28742.185704854866</v>
      </c>
      <c r="U12" s="140">
        <v>28236.498299194311</v>
      </c>
      <c r="V12" s="140">
        <v>28835.883704623597</v>
      </c>
      <c r="W12" s="140">
        <v>28395.528898371747</v>
      </c>
      <c r="X12" s="140">
        <v>27716.101771376685</v>
      </c>
      <c r="Y12" s="140">
        <v>27744.062437573481</v>
      </c>
      <c r="DA12" s="170" t="s">
        <v>254</v>
      </c>
    </row>
    <row r="13" spans="1:105" ht="12" customHeight="1" x14ac:dyDescent="0.25">
      <c r="A13" s="131" t="s">
        <v>77</v>
      </c>
      <c r="B13" s="140">
        <v>1.7828508248789836</v>
      </c>
      <c r="C13" s="140">
        <v>2.5006798329512669</v>
      </c>
      <c r="D13" s="140">
        <v>4.6063262481741338</v>
      </c>
      <c r="E13" s="140">
        <v>7.5029795431948303</v>
      </c>
      <c r="F13" s="140">
        <v>10.770178853342488</v>
      </c>
      <c r="G13" s="140">
        <v>14.808032582255031</v>
      </c>
      <c r="H13" s="140">
        <v>20.660488189474194</v>
      </c>
      <c r="I13" s="140">
        <v>29.329323461762616</v>
      </c>
      <c r="J13" s="140">
        <v>41.775591365101363</v>
      </c>
      <c r="K13" s="140">
        <v>56.383766241384564</v>
      </c>
      <c r="L13" s="140">
        <v>78.1921033635995</v>
      </c>
      <c r="M13" s="140">
        <v>121.63978618290521</v>
      </c>
      <c r="N13" s="140">
        <v>189.04052502784853</v>
      </c>
      <c r="O13" s="140">
        <v>284.25076164395392</v>
      </c>
      <c r="P13" s="140">
        <v>393.25431295731528</v>
      </c>
      <c r="Q13" s="140">
        <v>463.70749926534819</v>
      </c>
      <c r="R13" s="140">
        <v>488.08886315035937</v>
      </c>
      <c r="S13" s="140">
        <v>488.26509605283718</v>
      </c>
      <c r="T13" s="140">
        <v>495.80492330734046</v>
      </c>
      <c r="U13" s="140">
        <v>557.94267061631888</v>
      </c>
      <c r="V13" s="140">
        <v>674.15701454427426</v>
      </c>
      <c r="W13" s="140">
        <v>918.88944918073651</v>
      </c>
      <c r="X13" s="140">
        <v>1184.9190649995119</v>
      </c>
      <c r="Y13" s="140">
        <v>1443.9585633213587</v>
      </c>
      <c r="DA13" s="170" t="s">
        <v>255</v>
      </c>
    </row>
    <row r="14" spans="1:105" ht="12" customHeight="1" x14ac:dyDescent="0.25">
      <c r="A14" s="60" t="s">
        <v>76</v>
      </c>
      <c r="B14" s="141">
        <v>2622.509650969615</v>
      </c>
      <c r="C14" s="141">
        <v>2749.4317372864534</v>
      </c>
      <c r="D14" s="141">
        <v>3239.4124996835471</v>
      </c>
      <c r="E14" s="141">
        <v>3904.4060347743775</v>
      </c>
      <c r="F14" s="141">
        <v>4331.790733795513</v>
      </c>
      <c r="G14" s="141">
        <v>4641.0452382330905</v>
      </c>
      <c r="H14" s="141">
        <v>5020.2477076535415</v>
      </c>
      <c r="I14" s="141">
        <v>5152.9573464785854</v>
      </c>
      <c r="J14" s="141">
        <v>5094.6993217451854</v>
      </c>
      <c r="K14" s="141">
        <v>4391.9608992958138</v>
      </c>
      <c r="L14" s="141">
        <v>3436.9387031621641</v>
      </c>
      <c r="M14" s="141">
        <v>3211.6076732659203</v>
      </c>
      <c r="N14" s="141">
        <v>3298.6409322567115</v>
      </c>
      <c r="O14" s="141">
        <v>3153.9020034767509</v>
      </c>
      <c r="P14" s="141">
        <v>3019.0717925658873</v>
      </c>
      <c r="Q14" s="141">
        <v>2895.027698467703</v>
      </c>
      <c r="R14" s="141">
        <v>3093.2387028159983</v>
      </c>
      <c r="S14" s="141">
        <v>3262.0224977346361</v>
      </c>
      <c r="T14" s="141">
        <v>4035.783748391138</v>
      </c>
      <c r="U14" s="141">
        <v>4468.555233657682</v>
      </c>
      <c r="V14" s="141">
        <v>4559.0690948987276</v>
      </c>
      <c r="W14" s="141">
        <v>4344.8273566501503</v>
      </c>
      <c r="X14" s="141">
        <v>4030.6571959923785</v>
      </c>
      <c r="Y14" s="141">
        <v>3027.8840569745144</v>
      </c>
      <c r="DA14" s="171" t="s">
        <v>256</v>
      </c>
    </row>
    <row r="15" spans="1:105" ht="12" hidden="1" customHeight="1" x14ac:dyDescent="0.25">
      <c r="A15" s="142" t="s">
        <v>75</v>
      </c>
      <c r="B15" s="143">
        <f t="shared" ref="B15:Q15" si="4">SUM(B5:B12)</f>
        <v>26822.033306716163</v>
      </c>
      <c r="C15" s="143">
        <f t="shared" si="4"/>
        <v>28006.961055134932</v>
      </c>
      <c r="D15" s="143">
        <f t="shared" si="4"/>
        <v>29085.076980546874</v>
      </c>
      <c r="E15" s="143">
        <f t="shared" si="4"/>
        <v>30788.582045043739</v>
      </c>
      <c r="F15" s="143">
        <f t="shared" si="4"/>
        <v>32347.690817535437</v>
      </c>
      <c r="G15" s="143">
        <f t="shared" si="4"/>
        <v>34256.404292943997</v>
      </c>
      <c r="H15" s="143">
        <f t="shared" si="4"/>
        <v>35435.431134198778</v>
      </c>
      <c r="I15" s="143">
        <f t="shared" si="4"/>
        <v>39499.47884814092</v>
      </c>
      <c r="J15" s="143">
        <f t="shared" si="4"/>
        <v>41516.198613566143</v>
      </c>
      <c r="K15" s="143">
        <f t="shared" si="4"/>
        <v>42112.930737190865</v>
      </c>
      <c r="L15" s="143">
        <f t="shared" si="4"/>
        <v>43468.359738581057</v>
      </c>
      <c r="M15" s="143">
        <f t="shared" si="4"/>
        <v>44617.916638331939</v>
      </c>
      <c r="N15" s="143">
        <f t="shared" si="4"/>
        <v>44932.798836111644</v>
      </c>
      <c r="O15" s="143">
        <f t="shared" si="4"/>
        <v>45585.083171284597</v>
      </c>
      <c r="P15" s="143">
        <f t="shared" si="4"/>
        <v>46449.74310905263</v>
      </c>
      <c r="Q15" s="143">
        <f t="shared" si="4"/>
        <v>46891.097861396272</v>
      </c>
      <c r="R15" s="143">
        <f t="shared" ref="R15:W15" si="5">SUM(R5:R12)</f>
        <v>47032.514108188188</v>
      </c>
      <c r="S15" s="143">
        <f t="shared" si="5"/>
        <v>47283.633948184244</v>
      </c>
      <c r="T15" s="143">
        <f t="shared" si="5"/>
        <v>46862.966998655276</v>
      </c>
      <c r="U15" s="143">
        <f t="shared" si="5"/>
        <v>46636.290263236435</v>
      </c>
      <c r="V15" s="143">
        <f t="shared" si="5"/>
        <v>46588.946112779216</v>
      </c>
      <c r="W15" s="143">
        <f t="shared" si="5"/>
        <v>46631.866284663891</v>
      </c>
      <c r="X15" s="143">
        <f t="shared" ref="X15:Y15" si="6">SUM(X5:X12)</f>
        <v>46683.802240929217</v>
      </c>
      <c r="Y15" s="143">
        <f t="shared" si="6"/>
        <v>47372.935637674702</v>
      </c>
      <c r="DA15" s="172"/>
    </row>
    <row r="16" spans="1:105" ht="12.95" customHeight="1" x14ac:dyDescent="0.25">
      <c r="A16" s="129" t="s">
        <v>74</v>
      </c>
      <c r="B16" s="139">
        <f t="shared" ref="B16:Q16" si="7">SUM(B17:B18)</f>
        <v>1427.3960223217762</v>
      </c>
      <c r="C16" s="139">
        <f t="shared" si="7"/>
        <v>1586.996599404056</v>
      </c>
      <c r="D16" s="139">
        <f t="shared" si="7"/>
        <v>1789.1881512510276</v>
      </c>
      <c r="E16" s="139">
        <f t="shared" si="7"/>
        <v>2010.2485965277408</v>
      </c>
      <c r="F16" s="139">
        <f t="shared" si="7"/>
        <v>2261.5782871078645</v>
      </c>
      <c r="G16" s="139">
        <f t="shared" si="7"/>
        <v>2539.469737900758</v>
      </c>
      <c r="H16" s="139">
        <f t="shared" si="7"/>
        <v>2852.0664690036251</v>
      </c>
      <c r="I16" s="139">
        <f t="shared" si="7"/>
        <v>3230.2237645733098</v>
      </c>
      <c r="J16" s="139">
        <f t="shared" si="7"/>
        <v>3580.6988974839192</v>
      </c>
      <c r="K16" s="139">
        <f t="shared" si="7"/>
        <v>3812.6739443620154</v>
      </c>
      <c r="L16" s="139">
        <f t="shared" si="7"/>
        <v>3984.2809341874786</v>
      </c>
      <c r="M16" s="139">
        <f t="shared" si="7"/>
        <v>4190.8954284871215</v>
      </c>
      <c r="N16" s="139">
        <f t="shared" si="7"/>
        <v>4345.4889945584637</v>
      </c>
      <c r="O16" s="139">
        <f t="shared" si="7"/>
        <v>4536.0226046683365</v>
      </c>
      <c r="P16" s="139">
        <f t="shared" si="7"/>
        <v>4775.4322117070242</v>
      </c>
      <c r="Q16" s="139">
        <f t="shared" si="7"/>
        <v>4984.365484609245</v>
      </c>
      <c r="R16" s="139">
        <f t="shared" ref="R16:W16" si="8">SUM(R17:R18)</f>
        <v>5206.8530663032561</v>
      </c>
      <c r="S16" s="139">
        <f t="shared" si="8"/>
        <v>5352.464209214625</v>
      </c>
      <c r="T16" s="139">
        <f t="shared" si="8"/>
        <v>5533.1899060868391</v>
      </c>
      <c r="U16" s="139">
        <f t="shared" si="8"/>
        <v>5708.4416885356086</v>
      </c>
      <c r="V16" s="139">
        <f t="shared" si="8"/>
        <v>5870.2908807623853</v>
      </c>
      <c r="W16" s="139">
        <f t="shared" si="8"/>
        <v>6018.106946971875</v>
      </c>
      <c r="X16" s="139">
        <f t="shared" ref="X16:Y16" si="9">SUM(X17:X18)</f>
        <v>6219.7165145074932</v>
      </c>
      <c r="Y16" s="139">
        <f t="shared" si="9"/>
        <v>6571.1383252884807</v>
      </c>
      <c r="DA16" s="169" t="s">
        <v>257</v>
      </c>
    </row>
    <row r="17" spans="1:105" ht="12.95" customHeight="1" x14ac:dyDescent="0.25">
      <c r="A17" s="131" t="s">
        <v>73</v>
      </c>
      <c r="B17" s="140">
        <v>0</v>
      </c>
      <c r="C17" s="140">
        <v>0</v>
      </c>
      <c r="D17" s="140">
        <v>0</v>
      </c>
      <c r="E17" s="140">
        <v>0</v>
      </c>
      <c r="F17" s="140">
        <v>0</v>
      </c>
      <c r="G17" s="140">
        <v>0</v>
      </c>
      <c r="H17" s="140">
        <v>0</v>
      </c>
      <c r="I17" s="140">
        <v>0</v>
      </c>
      <c r="J17" s="140">
        <v>0</v>
      </c>
      <c r="K17" s="140">
        <v>0</v>
      </c>
      <c r="L17" s="140">
        <v>0</v>
      </c>
      <c r="M17" s="140">
        <v>0</v>
      </c>
      <c r="N17" s="140">
        <v>0</v>
      </c>
      <c r="O17" s="140">
        <v>0</v>
      </c>
      <c r="P17" s="140">
        <v>0</v>
      </c>
      <c r="Q17" s="140">
        <v>0</v>
      </c>
      <c r="R17" s="140">
        <v>0</v>
      </c>
      <c r="S17" s="140">
        <v>0</v>
      </c>
      <c r="T17" s="140">
        <v>0</v>
      </c>
      <c r="U17" s="140">
        <v>0</v>
      </c>
      <c r="V17" s="140">
        <v>0</v>
      </c>
      <c r="W17" s="140">
        <v>0</v>
      </c>
      <c r="X17" s="140">
        <v>0</v>
      </c>
      <c r="Y17" s="140">
        <v>0</v>
      </c>
      <c r="DA17" s="170" t="s">
        <v>258</v>
      </c>
    </row>
    <row r="18" spans="1:105" ht="12" customHeight="1" x14ac:dyDescent="0.25">
      <c r="A18" s="131" t="s">
        <v>72</v>
      </c>
      <c r="B18" s="140">
        <v>1427.3960223217762</v>
      </c>
      <c r="C18" s="140">
        <v>1586.996599404056</v>
      </c>
      <c r="D18" s="140">
        <v>1789.1881512510276</v>
      </c>
      <c r="E18" s="140">
        <v>2010.2485965277408</v>
      </c>
      <c r="F18" s="140">
        <v>2261.5782871078645</v>
      </c>
      <c r="G18" s="140">
        <v>2539.469737900758</v>
      </c>
      <c r="H18" s="140">
        <v>2852.0664690036251</v>
      </c>
      <c r="I18" s="140">
        <v>3230.2237645733098</v>
      </c>
      <c r="J18" s="140">
        <v>3580.6988974839192</v>
      </c>
      <c r="K18" s="140">
        <v>3812.6739443620154</v>
      </c>
      <c r="L18" s="140">
        <v>3984.2809341874786</v>
      </c>
      <c r="M18" s="140">
        <v>4190.8954284871215</v>
      </c>
      <c r="N18" s="140">
        <v>4345.4889945584637</v>
      </c>
      <c r="O18" s="140">
        <v>4536.0226046683365</v>
      </c>
      <c r="P18" s="140">
        <v>4775.4322117070242</v>
      </c>
      <c r="Q18" s="140">
        <v>4984.365484609245</v>
      </c>
      <c r="R18" s="140">
        <v>5206.8530663032561</v>
      </c>
      <c r="S18" s="140">
        <v>5352.464209214625</v>
      </c>
      <c r="T18" s="140">
        <v>5533.1899060868391</v>
      </c>
      <c r="U18" s="140">
        <v>5708.4416885356086</v>
      </c>
      <c r="V18" s="140">
        <v>5870.2908807623853</v>
      </c>
      <c r="W18" s="140">
        <v>6018.106946971875</v>
      </c>
      <c r="X18" s="140">
        <v>6219.7165145074932</v>
      </c>
      <c r="Y18" s="140">
        <v>6571.1383252884807</v>
      </c>
      <c r="DA18" s="170" t="s">
        <v>259</v>
      </c>
    </row>
    <row r="19" spans="1:105" ht="12.95" customHeight="1" x14ac:dyDescent="0.25">
      <c r="A19" s="129" t="s">
        <v>35</v>
      </c>
      <c r="B19" s="139">
        <f t="shared" ref="B19:Q19" si="10">SUM(B20:B26)</f>
        <v>29446.325808510654</v>
      </c>
      <c r="C19" s="139">
        <f t="shared" si="10"/>
        <v>30758.893472254338</v>
      </c>
      <c r="D19" s="139">
        <f t="shared" si="10"/>
        <v>32329.095806478595</v>
      </c>
      <c r="E19" s="139">
        <f t="shared" si="10"/>
        <v>34700.491059361309</v>
      </c>
      <c r="F19" s="139">
        <f t="shared" si="10"/>
        <v>36690.251730184304</v>
      </c>
      <c r="G19" s="139">
        <f t="shared" si="10"/>
        <v>38912.257563759347</v>
      </c>
      <c r="H19" s="139">
        <f t="shared" si="10"/>
        <v>40476.339330041774</v>
      </c>
      <c r="I19" s="139">
        <f t="shared" si="10"/>
        <v>44681.765518081265</v>
      </c>
      <c r="J19" s="139">
        <f t="shared" si="10"/>
        <v>46652.67352667643</v>
      </c>
      <c r="K19" s="139">
        <f t="shared" si="10"/>
        <v>46561.275402728046</v>
      </c>
      <c r="L19" s="139">
        <f t="shared" si="10"/>
        <v>46983.49054510679</v>
      </c>
      <c r="M19" s="139">
        <f t="shared" si="10"/>
        <v>47951.164097780769</v>
      </c>
      <c r="N19" s="139">
        <f t="shared" si="10"/>
        <v>48420.480293396206</v>
      </c>
      <c r="O19" s="139">
        <f t="shared" si="10"/>
        <v>49023.235936405283</v>
      </c>
      <c r="P19" s="139">
        <f t="shared" si="10"/>
        <v>49862.069214575808</v>
      </c>
      <c r="Q19" s="139">
        <f t="shared" si="10"/>
        <v>50249.833059129305</v>
      </c>
      <c r="R19" s="139">
        <f t="shared" ref="R19:W19" si="11">SUM(R20:R26)</f>
        <v>50613.841674154515</v>
      </c>
      <c r="S19" s="139">
        <f t="shared" si="11"/>
        <v>51033.921541971744</v>
      </c>
      <c r="T19" s="139">
        <f t="shared" si="11"/>
        <v>51394.555670353773</v>
      </c>
      <c r="U19" s="139">
        <f t="shared" si="11"/>
        <v>51662.788167510465</v>
      </c>
      <c r="V19" s="139">
        <f t="shared" si="11"/>
        <v>51822.172222222245</v>
      </c>
      <c r="W19" s="139">
        <f t="shared" si="11"/>
        <v>51895.583090494802</v>
      </c>
      <c r="X19" s="139">
        <f t="shared" ref="X19:Y19" si="12">SUM(X20:X26)</f>
        <v>51899.378501921114</v>
      </c>
      <c r="Y19" s="139">
        <f t="shared" si="12"/>
        <v>51844.778257970582</v>
      </c>
      <c r="DA19" s="169" t="s">
        <v>260</v>
      </c>
    </row>
    <row r="20" spans="1:105" ht="12" customHeight="1" x14ac:dyDescent="0.25">
      <c r="A20" s="131" t="s">
        <v>29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261</v>
      </c>
    </row>
    <row r="21" spans="1:105" s="2" customFormat="1" ht="12" customHeight="1" x14ac:dyDescent="0.25">
      <c r="A21" s="131" t="s">
        <v>52</v>
      </c>
      <c r="B21" s="140">
        <v>0</v>
      </c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DA21" s="170" t="s">
        <v>262</v>
      </c>
    </row>
    <row r="22" spans="1:105" ht="12" customHeight="1" x14ac:dyDescent="0.25">
      <c r="A22" s="131" t="s">
        <v>161</v>
      </c>
      <c r="B22" s="140">
        <v>1245.5541921024023</v>
      </c>
      <c r="C22" s="140">
        <v>975.11152085998685</v>
      </c>
      <c r="D22" s="140">
        <v>816.43999743146969</v>
      </c>
      <c r="E22" s="140">
        <v>679.61401292205437</v>
      </c>
      <c r="F22" s="140">
        <v>645.91478244963082</v>
      </c>
      <c r="G22" s="140">
        <v>580.56604338401519</v>
      </c>
      <c r="H22" s="140">
        <v>547.85687675547661</v>
      </c>
      <c r="I22" s="140">
        <v>499.21195867129353</v>
      </c>
      <c r="J22" s="140">
        <v>456.05921824519737</v>
      </c>
      <c r="K22" s="140">
        <v>379.65387595901967</v>
      </c>
      <c r="L22" s="140">
        <v>319.29195991711561</v>
      </c>
      <c r="M22" s="140">
        <v>268.25979353397906</v>
      </c>
      <c r="N22" s="140">
        <v>237.43881475339214</v>
      </c>
      <c r="O22" s="140">
        <v>228.30444444246905</v>
      </c>
      <c r="P22" s="140">
        <v>226.4245207595485</v>
      </c>
      <c r="Q22" s="140">
        <v>228.6187131841055</v>
      </c>
      <c r="R22" s="140">
        <v>224.25146033705033</v>
      </c>
      <c r="S22" s="140">
        <v>222.66865748796295</v>
      </c>
      <c r="T22" s="140">
        <v>217.41585168535727</v>
      </c>
      <c r="U22" s="140">
        <v>243.65654076015613</v>
      </c>
      <c r="V22" s="140">
        <v>277.71972306456735</v>
      </c>
      <c r="W22" s="140">
        <v>289.16731451501693</v>
      </c>
      <c r="X22" s="140">
        <v>271.97276445748741</v>
      </c>
      <c r="Y22" s="140">
        <v>224.75387734837281</v>
      </c>
      <c r="DA22" s="170" t="s">
        <v>263</v>
      </c>
    </row>
    <row r="23" spans="1:105" ht="12" customHeight="1" x14ac:dyDescent="0.25">
      <c r="A23" s="131" t="s">
        <v>149</v>
      </c>
      <c r="B23" s="140">
        <v>1126.9370934112942</v>
      </c>
      <c r="C23" s="140">
        <v>1177.5572203430943</v>
      </c>
      <c r="D23" s="140">
        <v>1295.408831570549</v>
      </c>
      <c r="E23" s="140">
        <v>1418.6554142778716</v>
      </c>
      <c r="F23" s="140">
        <v>1599.0372361997695</v>
      </c>
      <c r="G23" s="140">
        <v>1845.4642857206688</v>
      </c>
      <c r="H23" s="140">
        <v>2253.4806893719847</v>
      </c>
      <c r="I23" s="140">
        <v>2831.7674264690331</v>
      </c>
      <c r="J23" s="140">
        <v>3232.5911381576443</v>
      </c>
      <c r="K23" s="140">
        <v>3402.8741868599377</v>
      </c>
      <c r="L23" s="140">
        <v>3435.4290500246652</v>
      </c>
      <c r="M23" s="140">
        <v>3448.1908585910041</v>
      </c>
      <c r="N23" s="140">
        <v>3439.27636912048</v>
      </c>
      <c r="O23" s="140">
        <v>3445.3026327490093</v>
      </c>
      <c r="P23" s="140">
        <v>3467.9389368738393</v>
      </c>
      <c r="Q23" s="140">
        <v>3610.2466281363409</v>
      </c>
      <c r="R23" s="140">
        <v>3803.2084275297871</v>
      </c>
      <c r="S23" s="140">
        <v>3957.9342081207537</v>
      </c>
      <c r="T23" s="140">
        <v>4214.9690765730957</v>
      </c>
      <c r="U23" s="140">
        <v>4473.1906612374905</v>
      </c>
      <c r="V23" s="140">
        <v>4812.7672144870403</v>
      </c>
      <c r="W23" s="140">
        <v>4911.6889891029105</v>
      </c>
      <c r="X23" s="140">
        <v>4941.4063678382972</v>
      </c>
      <c r="Y23" s="140">
        <v>4913.2708174184736</v>
      </c>
      <c r="DA23" s="170" t="s">
        <v>264</v>
      </c>
    </row>
    <row r="24" spans="1:105" ht="12" customHeight="1" x14ac:dyDescent="0.25">
      <c r="A24" s="131" t="s">
        <v>128</v>
      </c>
      <c r="B24" s="140">
        <v>1061.9050921285075</v>
      </c>
      <c r="C24" s="140">
        <v>1107.1153628283287</v>
      </c>
      <c r="D24" s="140">
        <v>1125.9125350266233</v>
      </c>
      <c r="E24" s="140">
        <v>1156.3083550338747</v>
      </c>
      <c r="F24" s="140">
        <v>1199.5509924666901</v>
      </c>
      <c r="G24" s="140">
        <v>1243.4156074652844</v>
      </c>
      <c r="H24" s="140">
        <v>1289.4422293478942</v>
      </c>
      <c r="I24" s="140">
        <v>1324.0783132086551</v>
      </c>
      <c r="J24" s="140">
        <v>1356.5109647499455</v>
      </c>
      <c r="K24" s="140">
        <v>1378.1570569803246</v>
      </c>
      <c r="L24" s="140">
        <v>1407.4515934173062</v>
      </c>
      <c r="M24" s="140">
        <v>1446.0877079213419</v>
      </c>
      <c r="N24" s="140">
        <v>1483.8096742182934</v>
      </c>
      <c r="O24" s="140">
        <v>1517.270296250349</v>
      </c>
      <c r="P24" s="140">
        <v>1530.8333216336514</v>
      </c>
      <c r="Q24" s="140">
        <v>1495.5637206796885</v>
      </c>
      <c r="R24" s="140">
        <v>1414.7330487843203</v>
      </c>
      <c r="S24" s="140">
        <v>1289.9359825951476</v>
      </c>
      <c r="T24" s="140">
        <v>1243.9956294381775</v>
      </c>
      <c r="U24" s="140">
        <v>1215.398152882558</v>
      </c>
      <c r="V24" s="140">
        <v>1204.1623254351096</v>
      </c>
      <c r="W24" s="140">
        <v>1189.63610266557</v>
      </c>
      <c r="X24" s="140">
        <v>1178.5446371903483</v>
      </c>
      <c r="Y24" s="140">
        <v>1159.990823280946</v>
      </c>
      <c r="DA24" s="170" t="s">
        <v>265</v>
      </c>
    </row>
    <row r="25" spans="1:105" ht="12" customHeight="1" x14ac:dyDescent="0.25">
      <c r="A25" s="131" t="s">
        <v>162</v>
      </c>
      <c r="B25" s="140">
        <v>15523.865555532091</v>
      </c>
      <c r="C25" s="140">
        <v>16269.330010334428</v>
      </c>
      <c r="D25" s="140">
        <v>16834.470192150919</v>
      </c>
      <c r="E25" s="140">
        <v>18308.03670354623</v>
      </c>
      <c r="F25" s="140">
        <v>19441.713444097535</v>
      </c>
      <c r="G25" s="140">
        <v>20538.889688461961</v>
      </c>
      <c r="H25" s="140">
        <v>20982.441231953675</v>
      </c>
      <c r="I25" s="140">
        <v>23064.200375787437</v>
      </c>
      <c r="J25" s="140">
        <v>24180.090321304684</v>
      </c>
      <c r="K25" s="140">
        <v>24170.775437503824</v>
      </c>
      <c r="L25" s="140">
        <v>24920.899118670801</v>
      </c>
      <c r="M25" s="140">
        <v>25944.331876829405</v>
      </c>
      <c r="N25" s="140">
        <v>26429.331246494374</v>
      </c>
      <c r="O25" s="140">
        <v>27285.649404041505</v>
      </c>
      <c r="P25" s="140">
        <v>28503.557869816632</v>
      </c>
      <c r="Q25" s="140">
        <v>29577.557989625122</v>
      </c>
      <c r="R25" s="140">
        <v>30180.402683697095</v>
      </c>
      <c r="S25" s="140">
        <v>30268.775163171969</v>
      </c>
      <c r="T25" s="140">
        <v>29728.613902433248</v>
      </c>
      <c r="U25" s="140">
        <v>28931.689582673378</v>
      </c>
      <c r="V25" s="140">
        <v>28233.778323839386</v>
      </c>
      <c r="W25" s="140">
        <v>27840.970342000997</v>
      </c>
      <c r="X25" s="140">
        <v>27490.763983208566</v>
      </c>
      <c r="Y25" s="140">
        <v>27059.949191630149</v>
      </c>
      <c r="DA25" s="170" t="s">
        <v>266</v>
      </c>
    </row>
    <row r="26" spans="1:105" ht="12" customHeight="1" x14ac:dyDescent="0.25">
      <c r="A26" s="131" t="s">
        <v>24</v>
      </c>
      <c r="B26" s="141">
        <v>10488.06387533636</v>
      </c>
      <c r="C26" s="141">
        <v>11229.779357888499</v>
      </c>
      <c r="D26" s="141">
        <v>12256.864250299035</v>
      </c>
      <c r="E26" s="141">
        <v>13137.876573581279</v>
      </c>
      <c r="F26" s="141">
        <v>13804.03527497068</v>
      </c>
      <c r="G26" s="141">
        <v>14703.921938727419</v>
      </c>
      <c r="H26" s="141">
        <v>15403.118302612744</v>
      </c>
      <c r="I26" s="141">
        <v>16962.507443944847</v>
      </c>
      <c r="J26" s="141">
        <v>17427.421884218962</v>
      </c>
      <c r="K26" s="141">
        <v>17229.814845424942</v>
      </c>
      <c r="L26" s="141">
        <v>16900.418823076903</v>
      </c>
      <c r="M26" s="141">
        <v>16844.293860905043</v>
      </c>
      <c r="N26" s="141">
        <v>16830.624188809667</v>
      </c>
      <c r="O26" s="141">
        <v>16546.709158921949</v>
      </c>
      <c r="P26" s="141">
        <v>16133.314565492143</v>
      </c>
      <c r="Q26" s="141">
        <v>15337.846007504048</v>
      </c>
      <c r="R26" s="141">
        <v>14991.246053806264</v>
      </c>
      <c r="S26" s="141">
        <v>15294.607530595911</v>
      </c>
      <c r="T26" s="141">
        <v>15989.561210223899</v>
      </c>
      <c r="U26" s="141">
        <v>16798.853229956883</v>
      </c>
      <c r="V26" s="141">
        <v>17293.744635396142</v>
      </c>
      <c r="W26" s="141">
        <v>17664.120342210306</v>
      </c>
      <c r="X26" s="141">
        <v>18016.690749226414</v>
      </c>
      <c r="Y26" s="141">
        <v>18486.813548292648</v>
      </c>
      <c r="DA26" s="171" t="s">
        <v>267</v>
      </c>
    </row>
    <row r="27" spans="1:105" ht="12" customHeight="1" x14ac:dyDescent="0.25">
      <c r="A27" s="144" t="s">
        <v>26</v>
      </c>
      <c r="B27" s="150">
        <v>0</v>
      </c>
      <c r="C27" s="150">
        <v>0</v>
      </c>
      <c r="D27" s="150">
        <v>0</v>
      </c>
      <c r="E27" s="150">
        <v>0</v>
      </c>
      <c r="F27" s="150">
        <v>0</v>
      </c>
      <c r="G27" s="150">
        <v>0</v>
      </c>
      <c r="H27" s="150">
        <v>0</v>
      </c>
      <c r="I27" s="150">
        <v>0</v>
      </c>
      <c r="J27" s="150">
        <v>0</v>
      </c>
      <c r="K27" s="150">
        <v>0</v>
      </c>
      <c r="L27" s="150">
        <v>0</v>
      </c>
      <c r="M27" s="150">
        <v>0</v>
      </c>
      <c r="N27" s="150">
        <v>0</v>
      </c>
      <c r="O27" s="150">
        <v>0</v>
      </c>
      <c r="P27" s="150">
        <v>0</v>
      </c>
      <c r="Q27" s="150">
        <v>0</v>
      </c>
      <c r="R27" s="150">
        <v>0</v>
      </c>
      <c r="S27" s="150">
        <v>0</v>
      </c>
      <c r="T27" s="150">
        <v>0</v>
      </c>
      <c r="U27" s="150">
        <v>0</v>
      </c>
      <c r="V27" s="150">
        <v>0</v>
      </c>
      <c r="W27" s="150">
        <v>0</v>
      </c>
      <c r="X27" s="150">
        <v>0</v>
      </c>
      <c r="Y27" s="150">
        <v>0</v>
      </c>
      <c r="DA27" s="173" t="s">
        <v>268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DA28" s="175"/>
    </row>
    <row r="29" spans="1:105" ht="12.95" customHeight="1" x14ac:dyDescent="0.25">
      <c r="A29" s="129" t="s">
        <v>34</v>
      </c>
      <c r="B29" s="139">
        <f t="shared" ref="B29:Q29" si="13">SUM(B30:B33)</f>
        <v>29446.32580851065</v>
      </c>
      <c r="C29" s="139">
        <f t="shared" si="13"/>
        <v>30758.893472254338</v>
      </c>
      <c r="D29" s="139">
        <f t="shared" si="13"/>
        <v>32329.095806478599</v>
      </c>
      <c r="E29" s="139">
        <f t="shared" si="13"/>
        <v>34700.491059361309</v>
      </c>
      <c r="F29" s="139">
        <f t="shared" si="13"/>
        <v>36690.251730184304</v>
      </c>
      <c r="G29" s="139">
        <f t="shared" si="13"/>
        <v>38912.25756375934</v>
      </c>
      <c r="H29" s="139">
        <f t="shared" si="13"/>
        <v>40476.339330041796</v>
      </c>
      <c r="I29" s="139">
        <f t="shared" si="13"/>
        <v>44681.765518081287</v>
      </c>
      <c r="J29" s="139">
        <f t="shared" si="13"/>
        <v>46652.673526676452</v>
      </c>
      <c r="K29" s="139">
        <f t="shared" si="13"/>
        <v>46561.275402728039</v>
      </c>
      <c r="L29" s="139">
        <f t="shared" si="13"/>
        <v>46983.490545106833</v>
      </c>
      <c r="M29" s="139">
        <f t="shared" si="13"/>
        <v>47951.164097780784</v>
      </c>
      <c r="N29" s="139">
        <f t="shared" si="13"/>
        <v>48420.480293396198</v>
      </c>
      <c r="O29" s="139">
        <f t="shared" si="13"/>
        <v>49023.235936405283</v>
      </c>
      <c r="P29" s="139">
        <f t="shared" si="13"/>
        <v>49862.069214575808</v>
      </c>
      <c r="Q29" s="139">
        <f t="shared" si="13"/>
        <v>50249.833059129334</v>
      </c>
      <c r="R29" s="139">
        <f t="shared" ref="R29:W29" si="14">SUM(R30:R33)</f>
        <v>50613.841674154559</v>
      </c>
      <c r="S29" s="139">
        <f t="shared" si="14"/>
        <v>51033.921541971715</v>
      </c>
      <c r="T29" s="139">
        <f t="shared" si="14"/>
        <v>51394.555670353817</v>
      </c>
      <c r="U29" s="139">
        <f t="shared" si="14"/>
        <v>51662.788167510436</v>
      </c>
      <c r="V29" s="139">
        <f t="shared" si="14"/>
        <v>51822.172222222216</v>
      </c>
      <c r="W29" s="139">
        <f t="shared" si="14"/>
        <v>51895.58309049478</v>
      </c>
      <c r="X29" s="139">
        <f t="shared" ref="X29:Y29" si="15">SUM(X30:X33)</f>
        <v>51899.378501921143</v>
      </c>
      <c r="Y29" s="139">
        <f t="shared" si="15"/>
        <v>51844.778257970625</v>
      </c>
      <c r="DA29" s="169" t="s">
        <v>269</v>
      </c>
    </row>
    <row r="30" spans="1:105" ht="12" customHeight="1" x14ac:dyDescent="0.25">
      <c r="A30" s="131" t="s">
        <v>52</v>
      </c>
      <c r="B30" s="140">
        <v>0</v>
      </c>
      <c r="C30" s="140">
        <v>0</v>
      </c>
      <c r="D30" s="140">
        <v>0</v>
      </c>
      <c r="E30" s="140">
        <v>0</v>
      </c>
      <c r="F30" s="140">
        <v>0</v>
      </c>
      <c r="G30" s="140">
        <v>0</v>
      </c>
      <c r="H30" s="140">
        <v>0</v>
      </c>
      <c r="I30" s="140">
        <v>0</v>
      </c>
      <c r="J30" s="140">
        <v>0</v>
      </c>
      <c r="K30" s="140">
        <v>0</v>
      </c>
      <c r="L30" s="140">
        <v>0</v>
      </c>
      <c r="M30" s="140">
        <v>0</v>
      </c>
      <c r="N30" s="140">
        <v>0</v>
      </c>
      <c r="O30" s="140">
        <v>0</v>
      </c>
      <c r="P30" s="140">
        <v>0</v>
      </c>
      <c r="Q30" s="140">
        <v>0</v>
      </c>
      <c r="R30" s="140">
        <v>0</v>
      </c>
      <c r="S30" s="140">
        <v>0</v>
      </c>
      <c r="T30" s="140">
        <v>0</v>
      </c>
      <c r="U30" s="140">
        <v>0</v>
      </c>
      <c r="V30" s="140">
        <v>0</v>
      </c>
      <c r="W30" s="140">
        <v>0</v>
      </c>
      <c r="X30" s="140">
        <v>0</v>
      </c>
      <c r="Y30" s="140">
        <v>0</v>
      </c>
      <c r="DA30" s="170" t="s">
        <v>270</v>
      </c>
    </row>
    <row r="31" spans="1:105" ht="12" customHeight="1" x14ac:dyDescent="0.25">
      <c r="A31" s="131" t="s">
        <v>149</v>
      </c>
      <c r="B31" s="140">
        <v>6217.2020321934997</v>
      </c>
      <c r="C31" s="140">
        <v>6671.2732360157725</v>
      </c>
      <c r="D31" s="140">
        <v>7187.9539493642687</v>
      </c>
      <c r="E31" s="140">
        <v>7467.1027222194834</v>
      </c>
      <c r="F31" s="140">
        <v>7420.4952061879976</v>
      </c>
      <c r="G31" s="140">
        <v>7733.0962228544422</v>
      </c>
      <c r="H31" s="140">
        <v>8374.3668801998228</v>
      </c>
      <c r="I31" s="140">
        <v>9652.3723464972973</v>
      </c>
      <c r="J31" s="140">
        <v>10458.438609961247</v>
      </c>
      <c r="K31" s="140">
        <v>10510.258081847696</v>
      </c>
      <c r="L31" s="140">
        <v>9945.0103961128862</v>
      </c>
      <c r="M31" s="140">
        <v>9114.1962463530144</v>
      </c>
      <c r="N31" s="140">
        <v>7998.3612320254288</v>
      </c>
      <c r="O31" s="140">
        <v>7057.1949459437437</v>
      </c>
      <c r="P31" s="140">
        <v>6591.0509198567252</v>
      </c>
      <c r="Q31" s="140">
        <v>6712.7388098841902</v>
      </c>
      <c r="R31" s="140">
        <v>6856.5032184070678</v>
      </c>
      <c r="S31" s="140">
        <v>6462.5585809113136</v>
      </c>
      <c r="T31" s="140">
        <v>5797.2515002757691</v>
      </c>
      <c r="U31" s="140">
        <v>4515.2155225751312</v>
      </c>
      <c r="V31" s="140">
        <v>3766.0254655876888</v>
      </c>
      <c r="W31" s="140">
        <v>3587.8821100132254</v>
      </c>
      <c r="X31" s="140">
        <v>4049.9704798607422</v>
      </c>
      <c r="Y31" s="140">
        <v>4693.1279832306345</v>
      </c>
      <c r="DA31" s="170" t="s">
        <v>271</v>
      </c>
    </row>
    <row r="32" spans="1:105" ht="12" customHeight="1" x14ac:dyDescent="0.25">
      <c r="A32" s="131" t="s">
        <v>128</v>
      </c>
      <c r="B32" s="140">
        <v>0</v>
      </c>
      <c r="C32" s="140">
        <v>0</v>
      </c>
      <c r="D32" s="140">
        <v>0</v>
      </c>
      <c r="E32" s="140">
        <v>0</v>
      </c>
      <c r="F32" s="140">
        <v>0</v>
      </c>
      <c r="G32" s="140">
        <v>317.88724744200812</v>
      </c>
      <c r="H32" s="140">
        <v>465.39492946122692</v>
      </c>
      <c r="I32" s="140">
        <v>581.79615713775229</v>
      </c>
      <c r="J32" s="140">
        <v>770.5353775045736</v>
      </c>
      <c r="K32" s="140">
        <v>777.58163577417406</v>
      </c>
      <c r="L32" s="140">
        <v>882.36735530763281</v>
      </c>
      <c r="M32" s="140">
        <v>824.72368584954802</v>
      </c>
      <c r="N32" s="140">
        <v>860.99025389911742</v>
      </c>
      <c r="O32" s="140">
        <v>805.25314665975156</v>
      </c>
      <c r="P32" s="140">
        <v>855.82134494224738</v>
      </c>
      <c r="Q32" s="140">
        <v>876.40087828324079</v>
      </c>
      <c r="R32" s="140">
        <v>1014.9341012280956</v>
      </c>
      <c r="S32" s="140">
        <v>1166.4979437959803</v>
      </c>
      <c r="T32" s="140">
        <v>1309.5443769926496</v>
      </c>
      <c r="U32" s="140">
        <v>1544.1041843556172</v>
      </c>
      <c r="V32" s="140">
        <v>1764.5217666272858</v>
      </c>
      <c r="W32" s="140">
        <v>2024.8697614191613</v>
      </c>
      <c r="X32" s="140">
        <v>2062.0882590610504</v>
      </c>
      <c r="Y32" s="140">
        <v>2083.8918285691107</v>
      </c>
      <c r="DA32" s="170" t="s">
        <v>272</v>
      </c>
    </row>
    <row r="33" spans="1:105" ht="12" customHeight="1" x14ac:dyDescent="0.25">
      <c r="A33" s="62" t="s">
        <v>24</v>
      </c>
      <c r="B33" s="152">
        <v>23229.123776317152</v>
      </c>
      <c r="C33" s="152">
        <v>24087.620236238567</v>
      </c>
      <c r="D33" s="152">
        <v>25141.141857114329</v>
      </c>
      <c r="E33" s="152">
        <v>27233.388337141827</v>
      </c>
      <c r="F33" s="152">
        <v>29269.756523996308</v>
      </c>
      <c r="G33" s="152">
        <v>30861.274093462893</v>
      </c>
      <c r="H33" s="152">
        <v>31636.577520380742</v>
      </c>
      <c r="I33" s="152">
        <v>34447.597014446234</v>
      </c>
      <c r="J33" s="152">
        <v>35423.699539210633</v>
      </c>
      <c r="K33" s="152">
        <v>35273.435685106168</v>
      </c>
      <c r="L33" s="152">
        <v>36156.112793686312</v>
      </c>
      <c r="M33" s="152">
        <v>38012.244165578217</v>
      </c>
      <c r="N33" s="152">
        <v>39561.12880747165</v>
      </c>
      <c r="O33" s="152">
        <v>41160.787843801787</v>
      </c>
      <c r="P33" s="152">
        <v>42415.196949776837</v>
      </c>
      <c r="Q33" s="152">
        <v>42660.693370961904</v>
      </c>
      <c r="R33" s="152">
        <v>42742.404354519393</v>
      </c>
      <c r="S33" s="152">
        <v>43404.865017264419</v>
      </c>
      <c r="T33" s="152">
        <v>44287.759793085395</v>
      </c>
      <c r="U33" s="152">
        <v>45603.468460579687</v>
      </c>
      <c r="V33" s="152">
        <v>46291.624990007243</v>
      </c>
      <c r="W33" s="152">
        <v>46282.831219062391</v>
      </c>
      <c r="X33" s="152">
        <v>45787.319762999352</v>
      </c>
      <c r="Y33" s="152">
        <v>45067.758446170883</v>
      </c>
      <c r="DA33" s="175" t="s">
        <v>273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Y15 B19:Y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>
        <f t="shared" ref="B3:Q3" si="0">SUM(B4,B16,B19,B29)</f>
        <v>368.43502994259251</v>
      </c>
      <c r="C3" s="125">
        <f t="shared" si="0"/>
        <v>370.36981736600831</v>
      </c>
      <c r="D3" s="125">
        <f t="shared" si="0"/>
        <v>381.11131317293649</v>
      </c>
      <c r="E3" s="125">
        <f t="shared" si="0"/>
        <v>398.3096848573378</v>
      </c>
      <c r="F3" s="125">
        <f t="shared" si="0"/>
        <v>415.56370000025947</v>
      </c>
      <c r="G3" s="125">
        <f t="shared" si="0"/>
        <v>424.43550740862418</v>
      </c>
      <c r="H3" s="125">
        <f t="shared" si="0"/>
        <v>462.90950632906083</v>
      </c>
      <c r="I3" s="125">
        <f t="shared" si="0"/>
        <v>472.43845084781225</v>
      </c>
      <c r="J3" s="125">
        <f t="shared" si="0"/>
        <v>443.37879513405812</v>
      </c>
      <c r="K3" s="125">
        <f t="shared" si="0"/>
        <v>426.2485810012621</v>
      </c>
      <c r="L3" s="125">
        <f t="shared" si="0"/>
        <v>434.06371579917396</v>
      </c>
      <c r="M3" s="125">
        <f t="shared" si="0"/>
        <v>414.42344836448382</v>
      </c>
      <c r="N3" s="125">
        <f t="shared" si="0"/>
        <v>439.17858413252611</v>
      </c>
      <c r="O3" s="125">
        <f t="shared" si="0"/>
        <v>412.63195865652358</v>
      </c>
      <c r="P3" s="125">
        <f t="shared" si="0"/>
        <v>400.56212786139957</v>
      </c>
      <c r="Q3" s="125">
        <f t="shared" si="0"/>
        <v>385.02367656100648</v>
      </c>
      <c r="R3" s="125">
        <f t="shared" ref="R3:W3" si="1">SUM(R4,R16,R19,R29)</f>
        <v>409.19588226647477</v>
      </c>
      <c r="S3" s="125">
        <f t="shared" si="1"/>
        <v>435.77023907727687</v>
      </c>
      <c r="T3" s="125">
        <f t="shared" si="1"/>
        <v>453.37120818105257</v>
      </c>
      <c r="U3" s="125">
        <f t="shared" si="1"/>
        <v>429.66637632456838</v>
      </c>
      <c r="V3" s="125">
        <f t="shared" si="1"/>
        <v>387.31024307697464</v>
      </c>
      <c r="W3" s="125">
        <f t="shared" si="1"/>
        <v>448.68505620788238</v>
      </c>
      <c r="X3" s="125">
        <f t="shared" ref="X3:Y3" si="2">SUM(X4,X16,X19,X29)</f>
        <v>426.13835093072578</v>
      </c>
      <c r="Y3" s="125">
        <f t="shared" si="2"/>
        <v>418.24420353038596</v>
      </c>
      <c r="DA3" s="154" t="s">
        <v>213</v>
      </c>
    </row>
    <row r="4" spans="1:105" ht="12.95" customHeight="1" x14ac:dyDescent="0.25">
      <c r="A4" s="129" t="s">
        <v>32</v>
      </c>
      <c r="B4" s="130">
        <f t="shared" ref="B4:Q4" si="3">SUM(B5:B15)</f>
        <v>300.84624414397052</v>
      </c>
      <c r="C4" s="130">
        <f t="shared" si="3"/>
        <v>300.39614273364515</v>
      </c>
      <c r="D4" s="130">
        <f t="shared" si="3"/>
        <v>307.08268505570487</v>
      </c>
      <c r="E4" s="130">
        <f t="shared" si="3"/>
        <v>319.93393949382101</v>
      </c>
      <c r="F4" s="130">
        <f t="shared" si="3"/>
        <v>331.40985242679693</v>
      </c>
      <c r="G4" s="130">
        <f t="shared" si="3"/>
        <v>333.36520398170052</v>
      </c>
      <c r="H4" s="130">
        <f t="shared" si="3"/>
        <v>363.66535150809921</v>
      </c>
      <c r="I4" s="130">
        <f t="shared" si="3"/>
        <v>366.01469489530035</v>
      </c>
      <c r="J4" s="130">
        <f t="shared" si="3"/>
        <v>333.96407204358496</v>
      </c>
      <c r="K4" s="130">
        <f t="shared" si="3"/>
        <v>314.53800291126106</v>
      </c>
      <c r="L4" s="130">
        <f t="shared" si="3"/>
        <v>320.30665738071127</v>
      </c>
      <c r="M4" s="130">
        <f t="shared" si="3"/>
        <v>299.09419938017027</v>
      </c>
      <c r="N4" s="130">
        <f t="shared" si="3"/>
        <v>320.91590507569396</v>
      </c>
      <c r="O4" s="130">
        <f t="shared" si="3"/>
        <v>292.89413674729684</v>
      </c>
      <c r="P4" s="130">
        <f t="shared" si="3"/>
        <v>279.33866063729647</v>
      </c>
      <c r="Q4" s="130">
        <f t="shared" si="3"/>
        <v>264.16061319259586</v>
      </c>
      <c r="R4" s="130">
        <f t="shared" ref="R4:W4" si="4">SUM(R5:R15)</f>
        <v>287.95807856497112</v>
      </c>
      <c r="S4" s="130">
        <f t="shared" si="4"/>
        <v>310.35293361688161</v>
      </c>
      <c r="T4" s="130">
        <f t="shared" si="4"/>
        <v>327.89254394630518</v>
      </c>
      <c r="U4" s="130">
        <f t="shared" si="4"/>
        <v>299.86783494483211</v>
      </c>
      <c r="V4" s="130">
        <f t="shared" si="4"/>
        <v>269.06247546533092</v>
      </c>
      <c r="W4" s="130">
        <f t="shared" si="4"/>
        <v>319.88435093942206</v>
      </c>
      <c r="X4" s="130">
        <f t="shared" ref="X4:Y4" si="5">SUM(X5:X15)</f>
        <v>298.09822673432626</v>
      </c>
      <c r="Y4" s="130">
        <f t="shared" si="5"/>
        <v>288.44429790341735</v>
      </c>
      <c r="DA4" s="155" t="s">
        <v>214</v>
      </c>
    </row>
    <row r="5" spans="1:105" ht="12" customHeight="1" x14ac:dyDescent="0.25">
      <c r="A5" s="131" t="s">
        <v>29</v>
      </c>
      <c r="B5" s="132">
        <v>44.818400687876178</v>
      </c>
      <c r="C5" s="132">
        <v>37.033877901977633</v>
      </c>
      <c r="D5" s="132">
        <v>43.384006878761824</v>
      </c>
      <c r="E5" s="132">
        <v>43.926311263972487</v>
      </c>
      <c r="F5" s="132">
        <v>43.252364574376621</v>
      </c>
      <c r="G5" s="132">
        <v>50.701977644024069</v>
      </c>
      <c r="H5" s="132">
        <v>68.093293207222715</v>
      </c>
      <c r="I5" s="132">
        <v>51.945915735167688</v>
      </c>
      <c r="J5" s="132">
        <v>39.482717110920049</v>
      </c>
      <c r="K5" s="132">
        <v>48.633190025795358</v>
      </c>
      <c r="L5" s="132">
        <v>49.10696474634566</v>
      </c>
      <c r="M5" s="132">
        <v>58.618142734307767</v>
      </c>
      <c r="N5" s="132">
        <v>40.98693035253654</v>
      </c>
      <c r="O5" s="132">
        <v>47.94213241616508</v>
      </c>
      <c r="P5" s="132">
        <v>41.944625967325862</v>
      </c>
      <c r="Q5" s="132">
        <v>31.328460877042136</v>
      </c>
      <c r="R5" s="132">
        <v>38.243508168529651</v>
      </c>
      <c r="S5" s="132">
        <v>39.788822012037798</v>
      </c>
      <c r="T5" s="132">
        <v>41.187016337059347</v>
      </c>
      <c r="U5" s="132">
        <v>34.636113499570051</v>
      </c>
      <c r="V5" s="132">
        <v>22.883748925193441</v>
      </c>
      <c r="W5" s="132">
        <v>27.925365434221806</v>
      </c>
      <c r="X5" s="132">
        <v>27.235683576956138</v>
      </c>
      <c r="Y5" s="132">
        <v>17.67059329320719</v>
      </c>
      <c r="DA5" s="156" t="s">
        <v>275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276</v>
      </c>
    </row>
    <row r="7" spans="1:105" ht="12" customHeight="1" x14ac:dyDescent="0.25">
      <c r="A7" s="131" t="s">
        <v>161</v>
      </c>
      <c r="B7" s="132">
        <v>17.770030755932222</v>
      </c>
      <c r="C7" s="132">
        <v>12.821287144516551</v>
      </c>
      <c r="D7" s="132">
        <v>13.981719203534015</v>
      </c>
      <c r="E7" s="132">
        <v>8.9980399789862169</v>
      </c>
      <c r="F7" s="132">
        <v>9.0489469590706619</v>
      </c>
      <c r="G7" s="132">
        <v>6.2286777998208338</v>
      </c>
      <c r="H7" s="132">
        <v>5.1797117806264295</v>
      </c>
      <c r="I7" s="132">
        <v>5.2098493467269975</v>
      </c>
      <c r="J7" s="132">
        <v>8.3304365683411099</v>
      </c>
      <c r="K7" s="132">
        <v>2.4159735160835143</v>
      </c>
      <c r="L7" s="132">
        <v>3.4993713344914763</v>
      </c>
      <c r="M7" s="132">
        <v>4.6169812955462675</v>
      </c>
      <c r="N7" s="132">
        <v>2.7370072176400111</v>
      </c>
      <c r="O7" s="132">
        <v>2.7328707903451881</v>
      </c>
      <c r="P7" s="132">
        <v>3.7556308822081674</v>
      </c>
      <c r="Q7" s="132">
        <v>1.6873405714638459</v>
      </c>
      <c r="R7" s="132">
        <v>1.6912515183371557</v>
      </c>
      <c r="S7" s="132">
        <v>1.9715200596666382</v>
      </c>
      <c r="T7" s="132">
        <v>1.4777364409597353</v>
      </c>
      <c r="U7" s="132">
        <v>1.908673737935126</v>
      </c>
      <c r="V7" s="132">
        <v>2.1666842109559492</v>
      </c>
      <c r="W7" s="132">
        <v>2.5117831472138104</v>
      </c>
      <c r="X7" s="132">
        <v>2.2575729211000355</v>
      </c>
      <c r="Y7" s="132">
        <v>3.526184283896078</v>
      </c>
      <c r="DA7" s="156" t="s">
        <v>277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278</v>
      </c>
    </row>
    <row r="9" spans="1:105" ht="12" customHeight="1" x14ac:dyDescent="0.25">
      <c r="A9" s="131" t="s">
        <v>78</v>
      </c>
      <c r="B9" s="132">
        <v>20.919893118607316</v>
      </c>
      <c r="C9" s="132">
        <v>23.056154137429033</v>
      </c>
      <c r="D9" s="132">
        <v>27.018289108835191</v>
      </c>
      <c r="E9" s="132">
        <v>28.184288856755614</v>
      </c>
      <c r="F9" s="132">
        <v>39.9083192117251</v>
      </c>
      <c r="G9" s="132">
        <v>38.012473997241351</v>
      </c>
      <c r="H9" s="132">
        <v>40.355173845806668</v>
      </c>
      <c r="I9" s="132">
        <v>53.815055150223671</v>
      </c>
      <c r="J9" s="132">
        <v>48.947551133457303</v>
      </c>
      <c r="K9" s="132">
        <v>43.213033195156896</v>
      </c>
      <c r="L9" s="132">
        <v>49.028722611233164</v>
      </c>
      <c r="M9" s="132">
        <v>43.598412829444854</v>
      </c>
      <c r="N9" s="132">
        <v>48.332745367052581</v>
      </c>
      <c r="O9" s="132">
        <v>50.402535196714332</v>
      </c>
      <c r="P9" s="132">
        <v>44.799244553392121</v>
      </c>
      <c r="Q9" s="132">
        <v>50.924806941298861</v>
      </c>
      <c r="R9" s="132">
        <v>54.621522683675387</v>
      </c>
      <c r="S9" s="132">
        <v>58.421961234141385</v>
      </c>
      <c r="T9" s="132">
        <v>62.156116905985016</v>
      </c>
      <c r="U9" s="132">
        <v>64.834333618479917</v>
      </c>
      <c r="V9" s="132">
        <v>63.005599151696856</v>
      </c>
      <c r="W9" s="132">
        <v>66.71361294491723</v>
      </c>
      <c r="X9" s="132">
        <v>64.607418306048189</v>
      </c>
      <c r="Y9" s="132">
        <v>82.729586361483072</v>
      </c>
      <c r="DA9" s="156" t="s">
        <v>279</v>
      </c>
    </row>
    <row r="10" spans="1:105" ht="12" customHeight="1" x14ac:dyDescent="0.25">
      <c r="A10" s="131" t="s">
        <v>128</v>
      </c>
      <c r="B10" s="132">
        <v>38.641719690455702</v>
      </c>
      <c r="C10" s="132">
        <v>37.917503821049273</v>
      </c>
      <c r="D10" s="132">
        <v>37.137213467673433</v>
      </c>
      <c r="E10" s="132">
        <v>31.618265910096955</v>
      </c>
      <c r="F10" s="132">
        <v>29.021639528737506</v>
      </c>
      <c r="G10" s="132">
        <v>28.511517902936315</v>
      </c>
      <c r="H10" s="132">
        <v>27.84990115929218</v>
      </c>
      <c r="I10" s="132">
        <v>26.329297301759258</v>
      </c>
      <c r="J10" s="132">
        <v>27.100286510398703</v>
      </c>
      <c r="K10" s="132">
        <v>26.557056272674487</v>
      </c>
      <c r="L10" s="132">
        <v>26.44235776278456</v>
      </c>
      <c r="M10" s="132">
        <v>28.901724982010439</v>
      </c>
      <c r="N10" s="132">
        <v>30.599250322782385</v>
      </c>
      <c r="O10" s="132">
        <v>32.377820892426989</v>
      </c>
      <c r="P10" s="132">
        <v>30.886973666430322</v>
      </c>
      <c r="Q10" s="132">
        <v>30.043670653453191</v>
      </c>
      <c r="R10" s="132">
        <v>31.10556252922002</v>
      </c>
      <c r="S10" s="132">
        <v>27.271510651519439</v>
      </c>
      <c r="T10" s="132">
        <v>28.078125895903153</v>
      </c>
      <c r="U10" s="132">
        <v>27.069868990643837</v>
      </c>
      <c r="V10" s="132">
        <v>29.225865987481964</v>
      </c>
      <c r="W10" s="132">
        <v>28.251940718423654</v>
      </c>
      <c r="X10" s="132">
        <v>26.552821097848952</v>
      </c>
      <c r="Y10" s="132">
        <v>28.560011919406268</v>
      </c>
      <c r="DA10" s="156" t="s">
        <v>280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281</v>
      </c>
    </row>
    <row r="12" spans="1:105" ht="12" customHeight="1" x14ac:dyDescent="0.25">
      <c r="A12" s="131" t="s">
        <v>162</v>
      </c>
      <c r="B12" s="132">
        <v>152.9152638563271</v>
      </c>
      <c r="C12" s="132">
        <v>161.79131171538077</v>
      </c>
      <c r="D12" s="132">
        <v>158.70175546784225</v>
      </c>
      <c r="E12" s="132">
        <v>168.67847573983437</v>
      </c>
      <c r="F12" s="132">
        <v>170.08784106172126</v>
      </c>
      <c r="G12" s="132">
        <v>169.39746811609416</v>
      </c>
      <c r="H12" s="132">
        <v>181.17214026469509</v>
      </c>
      <c r="I12" s="132">
        <v>188.08692159547959</v>
      </c>
      <c r="J12" s="132">
        <v>154.85961641894804</v>
      </c>
      <c r="K12" s="132">
        <v>166.12242304354038</v>
      </c>
      <c r="L12" s="132">
        <v>177.55217885419435</v>
      </c>
      <c r="M12" s="132">
        <v>142.29499375095159</v>
      </c>
      <c r="N12" s="132">
        <v>170.45011179605029</v>
      </c>
      <c r="O12" s="132">
        <v>140.34199024816306</v>
      </c>
      <c r="P12" s="132">
        <v>138.13289318840694</v>
      </c>
      <c r="Q12" s="132">
        <v>140.23715707403653</v>
      </c>
      <c r="R12" s="132">
        <v>138.94426404751809</v>
      </c>
      <c r="S12" s="132">
        <v>166.40738289973166</v>
      </c>
      <c r="T12" s="132">
        <v>167.04545137093859</v>
      </c>
      <c r="U12" s="132">
        <v>141.66972064922851</v>
      </c>
      <c r="V12" s="132">
        <v>129.26766987240651</v>
      </c>
      <c r="W12" s="132">
        <v>165.78637444440028</v>
      </c>
      <c r="X12" s="132">
        <v>149.32416629914502</v>
      </c>
      <c r="Y12" s="132">
        <v>141.04304818108932</v>
      </c>
      <c r="DA12" s="156" t="s">
        <v>282</v>
      </c>
    </row>
    <row r="13" spans="1:105" ht="12" customHeight="1" x14ac:dyDescent="0.25">
      <c r="A13" s="131" t="s">
        <v>77</v>
      </c>
      <c r="B13" s="132">
        <v>6.3745307501611509E-3</v>
      </c>
      <c r="C13" s="132">
        <v>1.0367416757082535E-2</v>
      </c>
      <c r="D13" s="132">
        <v>1.4543603706904109E-2</v>
      </c>
      <c r="E13" s="132">
        <v>2.8168749998585856E-2</v>
      </c>
      <c r="F13" s="132">
        <v>3.7100409800787638E-2</v>
      </c>
      <c r="G13" s="132">
        <v>5.0509832405655222E-2</v>
      </c>
      <c r="H13" s="132">
        <v>6.0776656741880611E-2</v>
      </c>
      <c r="I13" s="132">
        <v>7.1238020153784942E-2</v>
      </c>
      <c r="J13" s="132">
        <v>0.11691283753471418</v>
      </c>
      <c r="K13" s="132">
        <v>0.12348973475866935</v>
      </c>
      <c r="L13" s="132">
        <v>0.12990712407944877</v>
      </c>
      <c r="M13" s="132">
        <v>0.22237752308482578</v>
      </c>
      <c r="N13" s="132">
        <v>0.3227536455019539</v>
      </c>
      <c r="O13" s="132">
        <v>0.42387237719932624</v>
      </c>
      <c r="P13" s="132">
        <v>0.65348398167850974</v>
      </c>
      <c r="Q13" s="132">
        <v>0.70254228170724997</v>
      </c>
      <c r="R13" s="132">
        <v>0.74124331722304171</v>
      </c>
      <c r="S13" s="132">
        <v>0.76304370146163147</v>
      </c>
      <c r="T13" s="132">
        <v>0.7957726244647455</v>
      </c>
      <c r="U13" s="132">
        <v>0.77699475769405224</v>
      </c>
      <c r="V13" s="132">
        <v>0.71924523793041972</v>
      </c>
      <c r="W13" s="132">
        <v>1.3292361787170059</v>
      </c>
      <c r="X13" s="132">
        <v>1.3856592177675831</v>
      </c>
      <c r="Y13" s="132">
        <v>1.9159292303378705</v>
      </c>
      <c r="DA13" s="156" t="s">
        <v>283</v>
      </c>
    </row>
    <row r="14" spans="1:105" ht="12" customHeight="1" x14ac:dyDescent="0.25">
      <c r="A14" s="60" t="s">
        <v>76</v>
      </c>
      <c r="B14" s="65">
        <v>24.497230749718462</v>
      </c>
      <c r="C14" s="65">
        <v>26.535838157769835</v>
      </c>
      <c r="D14" s="65">
        <v>25.56614143138928</v>
      </c>
      <c r="E14" s="65">
        <v>37.248454821144193</v>
      </c>
      <c r="F14" s="65">
        <v>38.713987427345955</v>
      </c>
      <c r="G14" s="65">
        <v>39.13868129912268</v>
      </c>
      <c r="H14" s="65">
        <v>39.504121033878405</v>
      </c>
      <c r="I14" s="65">
        <v>39.054705019201265</v>
      </c>
      <c r="J14" s="65">
        <v>53.819134592443994</v>
      </c>
      <c r="K14" s="65">
        <v>26.185870610820356</v>
      </c>
      <c r="L14" s="65">
        <v>13.165093215370444</v>
      </c>
      <c r="M14" s="65">
        <v>19.554286544782748</v>
      </c>
      <c r="N14" s="65">
        <v>26.163078387018608</v>
      </c>
      <c r="O14" s="65">
        <v>17.377484587777772</v>
      </c>
      <c r="P14" s="65">
        <v>17.955501423839578</v>
      </c>
      <c r="Q14" s="65">
        <v>8.0332881473454396</v>
      </c>
      <c r="R14" s="65">
        <v>21.331169197226426</v>
      </c>
      <c r="S14" s="65">
        <v>14.319570354476083</v>
      </c>
      <c r="T14" s="65">
        <v>25.682527616060518</v>
      </c>
      <c r="U14" s="65">
        <v>27.569835045462739</v>
      </c>
      <c r="V14" s="65">
        <v>20.483088627698031</v>
      </c>
      <c r="W14" s="65">
        <v>25.854394819985782</v>
      </c>
      <c r="X14" s="65">
        <v>25.288445838171636</v>
      </c>
      <c r="Y14" s="65">
        <v>11.390477989250286</v>
      </c>
      <c r="DA14" s="109" t="s">
        <v>284</v>
      </c>
    </row>
    <row r="15" spans="1:105" ht="12" customHeight="1" x14ac:dyDescent="0.25">
      <c r="A15" s="133" t="s">
        <v>80</v>
      </c>
      <c r="B15" s="134">
        <v>1.2773307543033234</v>
      </c>
      <c r="C15" s="134">
        <v>1.2298024387649695</v>
      </c>
      <c r="D15" s="134">
        <v>1.2790158939620346</v>
      </c>
      <c r="E15" s="134">
        <v>1.2519341730325853</v>
      </c>
      <c r="F15" s="134">
        <v>1.3396532540190298</v>
      </c>
      <c r="G15" s="134">
        <v>1.323897390055393</v>
      </c>
      <c r="H15" s="134">
        <v>1.4502335598357883</v>
      </c>
      <c r="I15" s="134">
        <v>1.5017127265880745</v>
      </c>
      <c r="J15" s="134">
        <v>1.3074168715410099</v>
      </c>
      <c r="K15" s="134">
        <v>1.2869665124314467</v>
      </c>
      <c r="L15" s="134">
        <v>1.3820617322120796</v>
      </c>
      <c r="M15" s="134">
        <v>1.2872797200417503</v>
      </c>
      <c r="N15" s="134">
        <v>1.3240279871115703</v>
      </c>
      <c r="O15" s="134">
        <v>1.2954302385051037</v>
      </c>
      <c r="P15" s="134">
        <v>1.2103069740150079</v>
      </c>
      <c r="Q15" s="134">
        <v>1.2033466462486166</v>
      </c>
      <c r="R15" s="134">
        <v>1.2795571032413806</v>
      </c>
      <c r="S15" s="134">
        <v>1.4091227038470016</v>
      </c>
      <c r="T15" s="134">
        <v>1.4697967549340762</v>
      </c>
      <c r="U15" s="134">
        <v>1.4022946458178196</v>
      </c>
      <c r="V15" s="134">
        <v>1.3105734519677679</v>
      </c>
      <c r="W15" s="134">
        <v>1.5116432515425227</v>
      </c>
      <c r="X15" s="134">
        <v>1.4464594772887378</v>
      </c>
      <c r="Y15" s="134">
        <v>1.6084666447471596</v>
      </c>
      <c r="DA15" s="157" t="s">
        <v>285</v>
      </c>
    </row>
    <row r="16" spans="1:105" ht="12.95" customHeight="1" x14ac:dyDescent="0.25">
      <c r="A16" s="129" t="s">
        <v>74</v>
      </c>
      <c r="B16" s="130">
        <f t="shared" ref="B16:Q16" si="6">SUM(B17:B18)</f>
        <v>1.165352807056919</v>
      </c>
      <c r="C16" s="130">
        <f t="shared" si="6"/>
        <v>1.2864017697449364</v>
      </c>
      <c r="D16" s="130">
        <f t="shared" si="6"/>
        <v>1.4689840106473051</v>
      </c>
      <c r="E16" s="130">
        <f t="shared" si="6"/>
        <v>1.3959410967031014</v>
      </c>
      <c r="F16" s="130">
        <f t="shared" si="6"/>
        <v>1.472732719704509</v>
      </c>
      <c r="G16" s="130">
        <f t="shared" si="6"/>
        <v>1.5635673526712102</v>
      </c>
      <c r="H16" s="130">
        <f t="shared" si="6"/>
        <v>1.8294184108207201</v>
      </c>
      <c r="I16" s="130">
        <f t="shared" si="6"/>
        <v>1.7999062238712265</v>
      </c>
      <c r="J16" s="130">
        <f t="shared" si="6"/>
        <v>1.8533571742791057</v>
      </c>
      <c r="K16" s="130">
        <f t="shared" si="6"/>
        <v>1.93515363676223</v>
      </c>
      <c r="L16" s="130">
        <f t="shared" si="6"/>
        <v>2.5037095666596447</v>
      </c>
      <c r="M16" s="130">
        <f t="shared" si="6"/>
        <v>2.0127903021893605</v>
      </c>
      <c r="N16" s="130">
        <f t="shared" si="6"/>
        <v>2.2016188063932538</v>
      </c>
      <c r="O16" s="130">
        <f t="shared" si="6"/>
        <v>2.0526801983271632</v>
      </c>
      <c r="P16" s="130">
        <f t="shared" si="6"/>
        <v>2.2837077169581774</v>
      </c>
      <c r="Q16" s="130">
        <f t="shared" si="6"/>
        <v>2.21224597958529</v>
      </c>
      <c r="R16" s="130">
        <f t="shared" ref="R16:W16" si="7">SUM(R17:R18)</f>
        <v>2.1080720029282061</v>
      </c>
      <c r="S16" s="130">
        <f t="shared" si="7"/>
        <v>2.084747616989659</v>
      </c>
      <c r="T16" s="130">
        <f t="shared" si="7"/>
        <v>2.2331340543239788</v>
      </c>
      <c r="U16" s="130">
        <f t="shared" si="7"/>
        <v>2.2013002146273446</v>
      </c>
      <c r="V16" s="130">
        <f t="shared" si="7"/>
        <v>2.1547339253933093</v>
      </c>
      <c r="W16" s="130">
        <f t="shared" si="7"/>
        <v>2.569561702507968</v>
      </c>
      <c r="X16" s="130">
        <f t="shared" ref="X16:Y16" si="8">SUM(X17:X18)</f>
        <v>2.350803973461979</v>
      </c>
      <c r="Y16" s="130">
        <f t="shared" si="8"/>
        <v>2.4091107759556749</v>
      </c>
      <c r="DA16" s="155" t="s">
        <v>215</v>
      </c>
    </row>
    <row r="17" spans="1:105" ht="12.95" customHeight="1" x14ac:dyDescent="0.25">
      <c r="A17" s="131" t="s">
        <v>73</v>
      </c>
      <c r="B17" s="132">
        <v>0</v>
      </c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286</v>
      </c>
    </row>
    <row r="18" spans="1:105" ht="12" customHeight="1" x14ac:dyDescent="0.25">
      <c r="A18" s="131" t="s">
        <v>72</v>
      </c>
      <c r="B18" s="132">
        <v>1.165352807056919</v>
      </c>
      <c r="C18" s="132">
        <v>1.2864017697449364</v>
      </c>
      <c r="D18" s="132">
        <v>1.4689840106473051</v>
      </c>
      <c r="E18" s="132">
        <v>1.3959410967031014</v>
      </c>
      <c r="F18" s="132">
        <v>1.472732719704509</v>
      </c>
      <c r="G18" s="132">
        <v>1.5635673526712102</v>
      </c>
      <c r="H18" s="132">
        <v>1.8294184108207201</v>
      </c>
      <c r="I18" s="132">
        <v>1.7999062238712265</v>
      </c>
      <c r="J18" s="132">
        <v>1.8533571742791057</v>
      </c>
      <c r="K18" s="132">
        <v>1.93515363676223</v>
      </c>
      <c r="L18" s="132">
        <v>2.5037095666596447</v>
      </c>
      <c r="M18" s="132">
        <v>2.0127903021893605</v>
      </c>
      <c r="N18" s="132">
        <v>2.2016188063932538</v>
      </c>
      <c r="O18" s="132">
        <v>2.0526801983271632</v>
      </c>
      <c r="P18" s="132">
        <v>2.2837077169581774</v>
      </c>
      <c r="Q18" s="132">
        <v>2.21224597958529</v>
      </c>
      <c r="R18" s="132">
        <v>2.1080720029282061</v>
      </c>
      <c r="S18" s="132">
        <v>2.084747616989659</v>
      </c>
      <c r="T18" s="132">
        <v>2.2331340543239788</v>
      </c>
      <c r="U18" s="132">
        <v>2.2013002146273446</v>
      </c>
      <c r="V18" s="132">
        <v>2.1547339253933093</v>
      </c>
      <c r="W18" s="132">
        <v>2.569561702507968</v>
      </c>
      <c r="X18" s="132">
        <v>2.350803973461979</v>
      </c>
      <c r="Y18" s="132">
        <v>2.4091107759556749</v>
      </c>
      <c r="DA18" s="156" t="s">
        <v>287</v>
      </c>
    </row>
    <row r="19" spans="1:105" ht="12.95" customHeight="1" x14ac:dyDescent="0.25">
      <c r="A19" s="129" t="s">
        <v>35</v>
      </c>
      <c r="B19" s="130">
        <f t="shared" ref="B19:Q19" si="9">SUM(B20:B27)</f>
        <v>32.284206546216772</v>
      </c>
      <c r="C19" s="130">
        <f t="shared" si="9"/>
        <v>33.692388219040687</v>
      </c>
      <c r="D19" s="130">
        <f t="shared" si="9"/>
        <v>35.525732154611589</v>
      </c>
      <c r="E19" s="130">
        <f t="shared" si="9"/>
        <v>37.767065653852669</v>
      </c>
      <c r="F19" s="130">
        <f t="shared" si="9"/>
        <v>41.337738754976264</v>
      </c>
      <c r="G19" s="130">
        <f t="shared" si="9"/>
        <v>44.942879783114741</v>
      </c>
      <c r="H19" s="130">
        <f t="shared" si="9"/>
        <v>48.501974505887873</v>
      </c>
      <c r="I19" s="130">
        <f t="shared" si="9"/>
        <v>52.346735339567324</v>
      </c>
      <c r="J19" s="130">
        <f t="shared" si="9"/>
        <v>54.920633041196183</v>
      </c>
      <c r="K19" s="130">
        <f t="shared" si="9"/>
        <v>55.720578329468694</v>
      </c>
      <c r="L19" s="130">
        <f t="shared" si="9"/>
        <v>56.983220301506449</v>
      </c>
      <c r="M19" s="130">
        <f t="shared" si="9"/>
        <v>58.632830180834233</v>
      </c>
      <c r="N19" s="130">
        <f t="shared" si="9"/>
        <v>59.451686327664106</v>
      </c>
      <c r="O19" s="130">
        <f t="shared" si="9"/>
        <v>60.773123920199936</v>
      </c>
      <c r="P19" s="130">
        <f t="shared" si="9"/>
        <v>61.632918977213023</v>
      </c>
      <c r="Q19" s="130">
        <f t="shared" si="9"/>
        <v>62.260338188441722</v>
      </c>
      <c r="R19" s="130">
        <f t="shared" ref="R19:W19" si="10">SUM(R20:R27)</f>
        <v>62.165395727496204</v>
      </c>
      <c r="S19" s="130">
        <f t="shared" si="10"/>
        <v>64.154052391378343</v>
      </c>
      <c r="T19" s="130">
        <f t="shared" si="10"/>
        <v>63.393304710862985</v>
      </c>
      <c r="U19" s="130">
        <f t="shared" si="10"/>
        <v>63.747153574950019</v>
      </c>
      <c r="V19" s="130">
        <f t="shared" si="10"/>
        <v>56.020267675269181</v>
      </c>
      <c r="W19" s="130">
        <f t="shared" si="10"/>
        <v>61.242445255322458</v>
      </c>
      <c r="X19" s="130">
        <f t="shared" ref="X19:Y19" si="11">SUM(X20:X27)</f>
        <v>60.992449885983554</v>
      </c>
      <c r="Y19" s="130">
        <f t="shared" si="11"/>
        <v>61.729776329917101</v>
      </c>
      <c r="DA19" s="155" t="s">
        <v>216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288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289</v>
      </c>
    </row>
    <row r="22" spans="1:105" ht="12" customHeight="1" x14ac:dyDescent="0.25">
      <c r="A22" s="131" t="s">
        <v>161</v>
      </c>
      <c r="B22" s="132">
        <v>2.1217147298803298</v>
      </c>
      <c r="C22" s="132">
        <v>1.2393319440475066</v>
      </c>
      <c r="D22" s="132">
        <v>1.1634226709285795</v>
      </c>
      <c r="E22" s="132">
        <v>0.91330997802152103</v>
      </c>
      <c r="F22" s="132">
        <v>1.0941312868450719</v>
      </c>
      <c r="G22" s="132">
        <v>0.8849077547793367</v>
      </c>
      <c r="H22" s="132">
        <v>0.91203370518612414</v>
      </c>
      <c r="I22" s="132">
        <v>0.82084712790756975</v>
      </c>
      <c r="J22" s="132">
        <v>0.82743101549379638</v>
      </c>
      <c r="K22" s="132">
        <v>0.59829991469894472</v>
      </c>
      <c r="L22" s="132">
        <v>0.53665618055581532</v>
      </c>
      <c r="M22" s="132">
        <v>0.4477650501115148</v>
      </c>
      <c r="N22" s="132">
        <v>0.34914927419145986</v>
      </c>
      <c r="O22" s="132">
        <v>0.35328570148628125</v>
      </c>
      <c r="P22" s="132">
        <v>0.35924444023379265</v>
      </c>
      <c r="Q22" s="132">
        <v>0.36003690059118382</v>
      </c>
      <c r="R22" s="132">
        <v>0.35612595371787459</v>
      </c>
      <c r="S22" s="132">
        <v>0.40001906329122988</v>
      </c>
      <c r="T22" s="132">
        <v>0.28933148681326543</v>
      </c>
      <c r="U22" s="132">
        <v>0.36647673497975003</v>
      </c>
      <c r="V22" s="132">
        <v>0.41766660589701626</v>
      </c>
      <c r="W22" s="132">
        <v>0.48348770403296171</v>
      </c>
      <c r="X22" s="132">
        <v>0.4291854623909348</v>
      </c>
      <c r="Y22" s="132">
        <v>0.29875122771183116</v>
      </c>
      <c r="DA22" s="156" t="s">
        <v>290</v>
      </c>
    </row>
    <row r="23" spans="1:105" ht="12" customHeight="1" x14ac:dyDescent="0.25">
      <c r="A23" s="131" t="s">
        <v>149</v>
      </c>
      <c r="B23" s="132">
        <v>1.5921387984178323</v>
      </c>
      <c r="C23" s="132">
        <v>1.6569257277715601</v>
      </c>
      <c r="D23" s="132">
        <v>1.8299009075685171</v>
      </c>
      <c r="E23" s="132">
        <v>1.9065624712417755</v>
      </c>
      <c r="F23" s="132">
        <v>2.3716618983443682</v>
      </c>
      <c r="G23" s="132">
        <v>2.4659589033190388</v>
      </c>
      <c r="H23" s="132">
        <v>2.9148998511563997</v>
      </c>
      <c r="I23" s="132">
        <v>4.3644940876234406</v>
      </c>
      <c r="J23" s="132">
        <v>4.9410778628660568</v>
      </c>
      <c r="K23" s="132">
        <v>4.9360991019832028</v>
      </c>
      <c r="L23" s="132">
        <v>4.9923724753602912</v>
      </c>
      <c r="M23" s="132">
        <v>5.1071841548843171</v>
      </c>
      <c r="N23" s="132">
        <v>5.1012818192927085</v>
      </c>
      <c r="O23" s="132">
        <v>5.1875109398691919</v>
      </c>
      <c r="P23" s="132">
        <v>4.8915233955202018</v>
      </c>
      <c r="Q23" s="132">
        <v>5.2850760340191556</v>
      </c>
      <c r="R23" s="132">
        <v>5.6375301131576521</v>
      </c>
      <c r="S23" s="132">
        <v>5.6273903525288027</v>
      </c>
      <c r="T23" s="132">
        <v>5.8502592878611486</v>
      </c>
      <c r="U23" s="132">
        <v>5.9695574152737647</v>
      </c>
      <c r="V23" s="132">
        <v>6.030861073628496</v>
      </c>
      <c r="W23" s="132">
        <v>6.3007517461688494</v>
      </c>
      <c r="X23" s="132">
        <v>6.2768252571002963</v>
      </c>
      <c r="Y23" s="132">
        <v>6.2140150739370679</v>
      </c>
      <c r="DA23" s="156" t="s">
        <v>291</v>
      </c>
    </row>
    <row r="24" spans="1:105" ht="12" customHeight="1" x14ac:dyDescent="0.25">
      <c r="A24" s="131" t="s">
        <v>128</v>
      </c>
      <c r="B24" s="132">
        <v>2.0337747205503023</v>
      </c>
      <c r="C24" s="132">
        <v>1.7548091626136708</v>
      </c>
      <c r="D24" s="132">
        <v>1.7946867902801178</v>
      </c>
      <c r="E24" s="132">
        <v>1.8678905817345157</v>
      </c>
      <c r="F24" s="132">
        <v>1.9327886741859654</v>
      </c>
      <c r="G24" s="132">
        <v>2.0129876860576768</v>
      </c>
      <c r="H24" s="132">
        <v>2.149153010957165</v>
      </c>
      <c r="I24" s="132">
        <v>2.069498914921732</v>
      </c>
      <c r="J24" s="132">
        <v>2.1105475394723205</v>
      </c>
      <c r="K24" s="132">
        <v>2.1044226611174373</v>
      </c>
      <c r="L24" s="132">
        <v>2.1235923661922231</v>
      </c>
      <c r="M24" s="132">
        <v>2.1721357230626244</v>
      </c>
      <c r="N24" s="132">
        <v>2.170397140674214</v>
      </c>
      <c r="O24" s="132">
        <v>2.2070458315626755</v>
      </c>
      <c r="P24" s="132">
        <v>2.2409713034750798</v>
      </c>
      <c r="Q24" s="132">
        <v>2.2483327859277074</v>
      </c>
      <c r="R24" s="132">
        <v>2.1179112455005433</v>
      </c>
      <c r="S24" s="132">
        <v>1.7960731833902408</v>
      </c>
      <c r="T24" s="132">
        <v>1.8014957721965799</v>
      </c>
      <c r="U24" s="132">
        <v>1.6633210351514978</v>
      </c>
      <c r="V24" s="132">
        <v>1.7285622154415066</v>
      </c>
      <c r="W24" s="132">
        <v>1.6754883443450757</v>
      </c>
      <c r="X24" s="132">
        <v>1.6225873286342887</v>
      </c>
      <c r="Y24" s="132">
        <v>1.6061961631388766</v>
      </c>
      <c r="DA24" s="156" t="s">
        <v>292</v>
      </c>
    </row>
    <row r="25" spans="1:105" ht="12" customHeight="1" x14ac:dyDescent="0.25">
      <c r="A25" s="131" t="s">
        <v>162</v>
      </c>
      <c r="B25" s="132">
        <v>15.065045687954891</v>
      </c>
      <c r="C25" s="132">
        <v>15.933881749795551</v>
      </c>
      <c r="D25" s="132">
        <v>16.228941006792301</v>
      </c>
      <c r="E25" s="132">
        <v>17.621352291119976</v>
      </c>
      <c r="F25" s="132">
        <v>19.484127983850463</v>
      </c>
      <c r="G25" s="132">
        <v>21.464268771266106</v>
      </c>
      <c r="H25" s="132">
        <v>23.160533853963532</v>
      </c>
      <c r="I25" s="132">
        <v>22.814024234270931</v>
      </c>
      <c r="J25" s="132">
        <v>24.059816083201518</v>
      </c>
      <c r="K25" s="132">
        <v>26.148514187757915</v>
      </c>
      <c r="L25" s="132">
        <v>27.783676691807283</v>
      </c>
      <c r="M25" s="132">
        <v>28.336476584388006</v>
      </c>
      <c r="N25" s="132">
        <v>29.129509872049532</v>
      </c>
      <c r="O25" s="132">
        <v>30.791113793109606</v>
      </c>
      <c r="P25" s="132">
        <v>31.44767430944362</v>
      </c>
      <c r="Q25" s="132">
        <v>34.072559177038343</v>
      </c>
      <c r="R25" s="132">
        <v>34.768375677331406</v>
      </c>
      <c r="S25" s="132">
        <v>35.75177445194516</v>
      </c>
      <c r="T25" s="132">
        <v>34.564350864658998</v>
      </c>
      <c r="U25" s="132">
        <v>33.452119419559189</v>
      </c>
      <c r="V25" s="132">
        <v>28.561736834386412</v>
      </c>
      <c r="W25" s="132">
        <v>31.715259261532758</v>
      </c>
      <c r="X25" s="132">
        <v>31.386667750725792</v>
      </c>
      <c r="Y25" s="132">
        <v>31.212583805153312</v>
      </c>
      <c r="DA25" s="156" t="s">
        <v>293</v>
      </c>
    </row>
    <row r="26" spans="1:105" ht="12" customHeight="1" x14ac:dyDescent="0.25">
      <c r="A26" s="131" t="s">
        <v>24</v>
      </c>
      <c r="B26" s="65">
        <v>11.471532609413414</v>
      </c>
      <c r="C26" s="65">
        <v>13.107439634812399</v>
      </c>
      <c r="D26" s="65">
        <v>14.508780779042073</v>
      </c>
      <c r="E26" s="65">
        <v>15.457950331734875</v>
      </c>
      <c r="F26" s="65">
        <v>16.455028911750397</v>
      </c>
      <c r="G26" s="65">
        <v>18.114756667692582</v>
      </c>
      <c r="H26" s="65">
        <v>19.365354084624656</v>
      </c>
      <c r="I26" s="65">
        <v>22.277870974843651</v>
      </c>
      <c r="J26" s="65">
        <v>22.981760540162494</v>
      </c>
      <c r="K26" s="65">
        <v>21.933242463911196</v>
      </c>
      <c r="L26" s="65">
        <v>21.546922587590831</v>
      </c>
      <c r="M26" s="65">
        <v>22.569268668387775</v>
      </c>
      <c r="N26" s="65">
        <v>22.70134822145619</v>
      </c>
      <c r="O26" s="65">
        <v>22.234167654172186</v>
      </c>
      <c r="P26" s="65">
        <v>22.693505528540332</v>
      </c>
      <c r="Q26" s="65">
        <v>20.294333290865328</v>
      </c>
      <c r="R26" s="65">
        <v>19.285452737788727</v>
      </c>
      <c r="S26" s="65">
        <v>20.578795340222911</v>
      </c>
      <c r="T26" s="65">
        <v>20.887867299332996</v>
      </c>
      <c r="U26" s="65">
        <v>22.295678969985818</v>
      </c>
      <c r="V26" s="65">
        <v>19.281440945915751</v>
      </c>
      <c r="W26" s="65">
        <v>21.067458199242814</v>
      </c>
      <c r="X26" s="65">
        <v>21.277184087132241</v>
      </c>
      <c r="Y26" s="65">
        <v>22.398230059976019</v>
      </c>
      <c r="DA26" s="109" t="s">
        <v>294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295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34.139226445348307</v>
      </c>
      <c r="C29" s="130">
        <f t="shared" si="12"/>
        <v>34.994884643577528</v>
      </c>
      <c r="D29" s="130">
        <f t="shared" si="12"/>
        <v>37.033911951972698</v>
      </c>
      <c r="E29" s="130">
        <f t="shared" si="12"/>
        <v>39.21273861296099</v>
      </c>
      <c r="F29" s="130">
        <f t="shared" si="12"/>
        <v>41.343376098781818</v>
      </c>
      <c r="G29" s="130">
        <f t="shared" si="12"/>
        <v>44.563856291137704</v>
      </c>
      <c r="H29" s="130">
        <f t="shared" si="12"/>
        <v>48.91276190425306</v>
      </c>
      <c r="I29" s="130">
        <f t="shared" si="12"/>
        <v>52.277114389073368</v>
      </c>
      <c r="J29" s="130">
        <f t="shared" si="12"/>
        <v>52.640732874997866</v>
      </c>
      <c r="K29" s="130">
        <f t="shared" si="12"/>
        <v>54.054846123770133</v>
      </c>
      <c r="L29" s="130">
        <f t="shared" si="12"/>
        <v>54.270128550296597</v>
      </c>
      <c r="M29" s="130">
        <f t="shared" si="12"/>
        <v>54.683628501289945</v>
      </c>
      <c r="N29" s="130">
        <f t="shared" si="12"/>
        <v>56.609373922774836</v>
      </c>
      <c r="O29" s="130">
        <f t="shared" si="12"/>
        <v>56.912017790699686</v>
      </c>
      <c r="P29" s="130">
        <f t="shared" si="12"/>
        <v>57.306840529931911</v>
      </c>
      <c r="Q29" s="130">
        <f t="shared" si="12"/>
        <v>56.390479200383567</v>
      </c>
      <c r="R29" s="130">
        <f t="shared" ref="R29:W29" si="13">SUM(R30:R33)</f>
        <v>56.964335971079237</v>
      </c>
      <c r="S29" s="130">
        <f t="shared" si="13"/>
        <v>59.178505452027252</v>
      </c>
      <c r="T29" s="130">
        <f t="shared" si="13"/>
        <v>59.852225469560437</v>
      </c>
      <c r="U29" s="130">
        <f t="shared" si="13"/>
        <v>63.850087590158921</v>
      </c>
      <c r="V29" s="130">
        <f t="shared" si="13"/>
        <v>60.072766010981233</v>
      </c>
      <c r="W29" s="130">
        <f t="shared" si="13"/>
        <v>64.988698310629914</v>
      </c>
      <c r="X29" s="130">
        <f t="shared" ref="X29:Y29" si="14">SUM(X30:X33)</f>
        <v>64.696870336953978</v>
      </c>
      <c r="Y29" s="130">
        <f t="shared" si="14"/>
        <v>65.661018521095798</v>
      </c>
      <c r="DA29" s="155" t="s">
        <v>217</v>
      </c>
    </row>
    <row r="30" spans="1:105" ht="12" customHeight="1" x14ac:dyDescent="0.25">
      <c r="A30" s="131" t="s">
        <v>52</v>
      </c>
      <c r="B30" s="132">
        <v>0</v>
      </c>
      <c r="C30" s="132">
        <v>0</v>
      </c>
      <c r="D30" s="132">
        <v>0</v>
      </c>
      <c r="E30" s="132">
        <v>0</v>
      </c>
      <c r="F30" s="132">
        <v>0</v>
      </c>
      <c r="G30" s="132">
        <v>0</v>
      </c>
      <c r="H30" s="132">
        <v>0</v>
      </c>
      <c r="I30" s="132">
        <v>0</v>
      </c>
      <c r="J30" s="132">
        <v>0</v>
      </c>
      <c r="K30" s="132">
        <v>0</v>
      </c>
      <c r="L30" s="132">
        <v>0</v>
      </c>
      <c r="M30" s="132">
        <v>0</v>
      </c>
      <c r="N30" s="132">
        <v>0</v>
      </c>
      <c r="O30" s="132">
        <v>0</v>
      </c>
      <c r="P30" s="132">
        <v>0</v>
      </c>
      <c r="Q30" s="132">
        <v>0</v>
      </c>
      <c r="R30" s="132">
        <v>0</v>
      </c>
      <c r="S30" s="132">
        <v>0</v>
      </c>
      <c r="T30" s="132">
        <v>0</v>
      </c>
      <c r="U30" s="132">
        <v>0</v>
      </c>
      <c r="V30" s="132">
        <v>0</v>
      </c>
      <c r="W30" s="132">
        <v>0</v>
      </c>
      <c r="X30" s="132">
        <v>0</v>
      </c>
      <c r="Y30" s="132">
        <v>0</v>
      </c>
      <c r="DA30" s="156" t="s">
        <v>296</v>
      </c>
    </row>
    <row r="31" spans="1:105" ht="12" customHeight="1" x14ac:dyDescent="0.25">
      <c r="A31" s="131" t="s">
        <v>149</v>
      </c>
      <c r="B31" s="132">
        <v>8.5928692007736416</v>
      </c>
      <c r="C31" s="132">
        <v>9.207814373836376</v>
      </c>
      <c r="D31" s="132">
        <v>10.441921763475902</v>
      </c>
      <c r="E31" s="132">
        <v>10.84491823348155</v>
      </c>
      <c r="F31" s="132">
        <v>9.9436646336966472</v>
      </c>
      <c r="G31" s="132">
        <v>10.651317744323539</v>
      </c>
      <c r="H31" s="132">
        <v>11.177217790569193</v>
      </c>
      <c r="I31" s="132">
        <v>14.527501493021346</v>
      </c>
      <c r="J31" s="132">
        <v>15.562961717348154</v>
      </c>
      <c r="K31" s="132">
        <v>15.238141993487552</v>
      </c>
      <c r="L31" s="132">
        <v>14.052335695865681</v>
      </c>
      <c r="M31" s="132">
        <v>13.375228467089551</v>
      </c>
      <c r="N31" s="132">
        <v>11.715929821393306</v>
      </c>
      <c r="O31" s="132">
        <v>9.7103837860304605</v>
      </c>
      <c r="P31" s="132">
        <v>8.6664117587402547</v>
      </c>
      <c r="Q31" s="132">
        <v>9.8525417882245883</v>
      </c>
      <c r="R31" s="132">
        <v>10.472761476597732</v>
      </c>
      <c r="S31" s="132">
        <v>9.5805710272593139</v>
      </c>
      <c r="T31" s="132">
        <v>9.950029653101355</v>
      </c>
      <c r="U31" s="132">
        <v>6.4713454236839425</v>
      </c>
      <c r="V31" s="132">
        <v>4.9668071865405103</v>
      </c>
      <c r="W31" s="132">
        <v>5.2051537955863401</v>
      </c>
      <c r="X31" s="132">
        <v>6.7340711402049669</v>
      </c>
      <c r="Y31" s="132">
        <v>8.4634492954481786</v>
      </c>
      <c r="DA31" s="156" t="s">
        <v>297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0.65081685296646596</v>
      </c>
      <c r="H32" s="132">
        <v>0.65081685296646596</v>
      </c>
      <c r="I32" s="132">
        <v>0.65081685296646608</v>
      </c>
      <c r="J32" s="132">
        <v>1.4712811693895105</v>
      </c>
      <c r="K32" s="132">
        <v>0.73568357695614783</v>
      </c>
      <c r="L32" s="132">
        <v>1.4712811693895105</v>
      </c>
      <c r="M32" s="132">
        <v>1.47128116938951</v>
      </c>
      <c r="N32" s="132">
        <v>0.73568357695614783</v>
      </c>
      <c r="O32" s="132">
        <v>0.73568357695614772</v>
      </c>
      <c r="P32" s="132">
        <v>0.7356835769561475</v>
      </c>
      <c r="Q32" s="132">
        <v>1.47128116938951</v>
      </c>
      <c r="R32" s="132">
        <v>1.4712811693895094</v>
      </c>
      <c r="S32" s="132">
        <v>1.6920034393809111</v>
      </c>
      <c r="T32" s="132">
        <v>1.9126397248495262</v>
      </c>
      <c r="U32" s="132">
        <v>2.5747205503009467</v>
      </c>
      <c r="V32" s="132">
        <v>2.5747205503009489</v>
      </c>
      <c r="W32" s="132">
        <v>3.8253654342218422</v>
      </c>
      <c r="X32" s="132">
        <v>3.7076526225279429</v>
      </c>
      <c r="Y32" s="132">
        <v>3.531126397248499</v>
      </c>
      <c r="DA32" s="156" t="s">
        <v>298</v>
      </c>
    </row>
    <row r="33" spans="1:105" ht="12" customHeight="1" x14ac:dyDescent="0.25">
      <c r="A33" s="62" t="s">
        <v>24</v>
      </c>
      <c r="B33" s="68">
        <v>25.546357244574665</v>
      </c>
      <c r="C33" s="68">
        <v>25.787070269741154</v>
      </c>
      <c r="D33" s="68">
        <v>26.591990188496794</v>
      </c>
      <c r="E33" s="68">
        <v>28.36782037947944</v>
      </c>
      <c r="F33" s="68">
        <v>31.399711465085172</v>
      </c>
      <c r="G33" s="68">
        <v>33.261721693847697</v>
      </c>
      <c r="H33" s="68">
        <v>37.084727260717401</v>
      </c>
      <c r="I33" s="68">
        <v>37.098796043085557</v>
      </c>
      <c r="J33" s="68">
        <v>35.606489988260201</v>
      </c>
      <c r="K33" s="68">
        <v>38.081020553326432</v>
      </c>
      <c r="L33" s="68">
        <v>38.746511685041405</v>
      </c>
      <c r="M33" s="68">
        <v>39.837118864810883</v>
      </c>
      <c r="N33" s="68">
        <v>44.157760524425385</v>
      </c>
      <c r="O33" s="68">
        <v>46.465950427713075</v>
      </c>
      <c r="P33" s="68">
        <v>47.90474519423551</v>
      </c>
      <c r="Q33" s="68">
        <v>45.066656242769469</v>
      </c>
      <c r="R33" s="68">
        <v>45.020293325091991</v>
      </c>
      <c r="S33" s="68">
        <v>47.90593098538703</v>
      </c>
      <c r="T33" s="68">
        <v>47.989556091609558</v>
      </c>
      <c r="U33" s="68">
        <v>54.804021616174033</v>
      </c>
      <c r="V33" s="68">
        <v>52.531238274139774</v>
      </c>
      <c r="W33" s="68">
        <v>55.958179080821729</v>
      </c>
      <c r="X33" s="68">
        <v>54.255146574221072</v>
      </c>
      <c r="Y33" s="68">
        <v>53.666442828399127</v>
      </c>
      <c r="DA33" s="111" t="s">
        <v>299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300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>
        <f t="shared" ref="B3:Q3" si="0">SUM(B4,B16,B19,B29)</f>
        <v>229.05428618377022</v>
      </c>
      <c r="C3" s="125">
        <f t="shared" si="0"/>
        <v>234.87733281455345</v>
      </c>
      <c r="D3" s="125">
        <f t="shared" si="0"/>
        <v>241.83261287196152</v>
      </c>
      <c r="E3" s="125">
        <f t="shared" si="0"/>
        <v>258.03081920750299</v>
      </c>
      <c r="F3" s="125">
        <f t="shared" si="0"/>
        <v>270.65356445665691</v>
      </c>
      <c r="G3" s="125">
        <f t="shared" si="0"/>
        <v>279.09371998122174</v>
      </c>
      <c r="H3" s="125">
        <f t="shared" si="0"/>
        <v>306.49606045963304</v>
      </c>
      <c r="I3" s="125">
        <f t="shared" si="0"/>
        <v>315.35769151066137</v>
      </c>
      <c r="J3" s="125">
        <f t="shared" si="0"/>
        <v>296.68758182681825</v>
      </c>
      <c r="K3" s="125">
        <f t="shared" si="0"/>
        <v>289.87432251863936</v>
      </c>
      <c r="L3" s="125">
        <f t="shared" si="0"/>
        <v>298.58063710920504</v>
      </c>
      <c r="M3" s="125">
        <f t="shared" si="0"/>
        <v>283.04224118676291</v>
      </c>
      <c r="N3" s="125">
        <f t="shared" si="0"/>
        <v>306.90906985536901</v>
      </c>
      <c r="O3" s="125">
        <f t="shared" si="0"/>
        <v>288.06599901372209</v>
      </c>
      <c r="P3" s="125">
        <f t="shared" si="0"/>
        <v>284.06002120853117</v>
      </c>
      <c r="Q3" s="125">
        <f t="shared" si="0"/>
        <v>275.78878135216377</v>
      </c>
      <c r="R3" s="125">
        <f t="shared" ref="R3:W3" si="1">SUM(R4,R16,R19,R29)</f>
        <v>293.88336003090063</v>
      </c>
      <c r="S3" s="125">
        <f t="shared" si="1"/>
        <v>318.78550040101965</v>
      </c>
      <c r="T3" s="125">
        <f t="shared" si="1"/>
        <v>335.88723273598242</v>
      </c>
      <c r="U3" s="125">
        <f t="shared" si="1"/>
        <v>322.68163344262632</v>
      </c>
      <c r="V3" s="125">
        <f t="shared" si="1"/>
        <v>294.51334276159315</v>
      </c>
      <c r="W3" s="125">
        <f t="shared" si="1"/>
        <v>349.65164163581557</v>
      </c>
      <c r="X3" s="125">
        <f t="shared" ref="X3:Y3" si="2">SUM(X4,X16,X19,X29)</f>
        <v>335.57476207547501</v>
      </c>
      <c r="Y3" s="125">
        <f t="shared" si="2"/>
        <v>332.86069750916033</v>
      </c>
      <c r="DA3" s="154" t="s">
        <v>301</v>
      </c>
    </row>
    <row r="4" spans="1:105" ht="12.95" customHeight="1" x14ac:dyDescent="0.25">
      <c r="A4" s="129" t="s">
        <v>32</v>
      </c>
      <c r="B4" s="130">
        <f t="shared" ref="B4:Q4" si="3">SUM(B5:B15)</f>
        <v>182.99670829033144</v>
      </c>
      <c r="C4" s="130">
        <f t="shared" si="3"/>
        <v>186.64892006828734</v>
      </c>
      <c r="D4" s="130">
        <f t="shared" si="3"/>
        <v>190.45588076211288</v>
      </c>
      <c r="E4" s="130">
        <f t="shared" si="3"/>
        <v>203.34249971344903</v>
      </c>
      <c r="F4" s="130">
        <f t="shared" si="3"/>
        <v>211.30784777453644</v>
      </c>
      <c r="G4" s="130">
        <f t="shared" si="3"/>
        <v>214.44527659677556</v>
      </c>
      <c r="H4" s="130">
        <f t="shared" si="3"/>
        <v>235.14587793070399</v>
      </c>
      <c r="I4" s="130">
        <f t="shared" si="3"/>
        <v>239.2744495745653</v>
      </c>
      <c r="J4" s="130">
        <f t="shared" si="3"/>
        <v>218.16221060561944</v>
      </c>
      <c r="K4" s="130">
        <f t="shared" si="3"/>
        <v>208.64452167590622</v>
      </c>
      <c r="L4" s="130">
        <f t="shared" si="3"/>
        <v>213.76444079322982</v>
      </c>
      <c r="M4" s="130">
        <f t="shared" si="3"/>
        <v>197.71383317950074</v>
      </c>
      <c r="N4" s="130">
        <f t="shared" si="3"/>
        <v>217.70398561775326</v>
      </c>
      <c r="O4" s="130">
        <f t="shared" si="3"/>
        <v>196.92252493961334</v>
      </c>
      <c r="P4" s="130">
        <f t="shared" si="3"/>
        <v>190.12536759023681</v>
      </c>
      <c r="Q4" s="130">
        <f t="shared" si="3"/>
        <v>181.60039073281308</v>
      </c>
      <c r="R4" s="130">
        <f t="shared" ref="R4:W4" si="4">SUM(R5:R15)</f>
        <v>198.72388107913767</v>
      </c>
      <c r="S4" s="130">
        <f t="shared" si="4"/>
        <v>219.10448534348535</v>
      </c>
      <c r="T4" s="130">
        <f t="shared" si="4"/>
        <v>234.28455665361784</v>
      </c>
      <c r="U4" s="130">
        <f t="shared" si="4"/>
        <v>215.69884768356641</v>
      </c>
      <c r="V4" s="130">
        <f t="shared" si="4"/>
        <v>194.91232410002539</v>
      </c>
      <c r="W4" s="130">
        <f t="shared" si="4"/>
        <v>238.87643818442803</v>
      </c>
      <c r="X4" s="130">
        <f t="shared" ref="X4:Y4" si="5">SUM(X5:X15)</f>
        <v>225.05631674206296</v>
      </c>
      <c r="Y4" s="130">
        <f t="shared" si="5"/>
        <v>219.45952500124599</v>
      </c>
      <c r="DA4" s="155" t="s">
        <v>302</v>
      </c>
    </row>
    <row r="5" spans="1:105" ht="12" customHeight="1" x14ac:dyDescent="0.25">
      <c r="A5" s="131" t="s">
        <v>29</v>
      </c>
      <c r="B5" s="132">
        <v>22.086231304140245</v>
      </c>
      <c r="C5" s="132">
        <v>18.404465271604675</v>
      </c>
      <c r="D5" s="132">
        <v>22.011138441869608</v>
      </c>
      <c r="E5" s="132">
        <v>22.712872777969352</v>
      </c>
      <c r="F5" s="132">
        <v>22.898287587170731</v>
      </c>
      <c r="G5" s="132">
        <v>27.486520778186637</v>
      </c>
      <c r="H5" s="132">
        <v>37.524500029653566</v>
      </c>
      <c r="I5" s="132">
        <v>29.028658297256904</v>
      </c>
      <c r="J5" s="132">
        <v>22.381303996247929</v>
      </c>
      <c r="K5" s="132">
        <v>28.064190629972202</v>
      </c>
      <c r="L5" s="132">
        <v>28.836660636345552</v>
      </c>
      <c r="M5" s="132">
        <v>34.917754701568903</v>
      </c>
      <c r="N5" s="132">
        <v>24.781545266783617</v>
      </c>
      <c r="O5" s="132">
        <v>29.372738118358821</v>
      </c>
      <c r="P5" s="132">
        <v>25.750634059272898</v>
      </c>
      <c r="Q5" s="132">
        <v>19.279870873134886</v>
      </c>
      <c r="R5" s="132">
        <v>23.724242666006997</v>
      </c>
      <c r="S5" s="132">
        <v>24.962887838570971</v>
      </c>
      <c r="T5" s="132">
        <v>26.182665012968123</v>
      </c>
      <c r="U5" s="132">
        <v>22.235085505822134</v>
      </c>
      <c r="V5" s="132">
        <v>14.81034100998561</v>
      </c>
      <c r="W5" s="132">
        <v>18.311628762718154</v>
      </c>
      <c r="X5" s="132">
        <v>18.130489283524643</v>
      </c>
      <c r="Y5" s="132">
        <v>11.858055536091046</v>
      </c>
      <c r="DA5" s="156" t="s">
        <v>303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304</v>
      </c>
    </row>
    <row r="7" spans="1:105" ht="12" customHeight="1" x14ac:dyDescent="0.25">
      <c r="A7" s="131" t="s">
        <v>161</v>
      </c>
      <c r="B7" s="132">
        <v>7.5168839432442915</v>
      </c>
      <c r="C7" s="132">
        <v>5.4235205775413409</v>
      </c>
      <c r="D7" s="132">
        <v>5.9143938479065206</v>
      </c>
      <c r="E7" s="132">
        <v>3.8062524014558705</v>
      </c>
      <c r="F7" s="132">
        <v>3.8277865150683681</v>
      </c>
      <c r="G7" s="132">
        <v>2.634787119064792</v>
      </c>
      <c r="H7" s="132">
        <v>2.1910649930319464</v>
      </c>
      <c r="I7" s="132">
        <v>2.2038134564319996</v>
      </c>
      <c r="J7" s="132">
        <v>3.5540879472680933</v>
      </c>
      <c r="K7" s="132">
        <v>1.0601687885088886</v>
      </c>
      <c r="L7" s="132">
        <v>1.5988435745451552</v>
      </c>
      <c r="M7" s="132">
        <v>2.2243859704211677</v>
      </c>
      <c r="N7" s="132">
        <v>1.3998703587948387</v>
      </c>
      <c r="O7" s="132">
        <v>1.4921532874107841</v>
      </c>
      <c r="P7" s="132">
        <v>2.0511372198294584</v>
      </c>
      <c r="Q7" s="132">
        <v>0.92156663227621605</v>
      </c>
      <c r="R7" s="132">
        <v>0.92370265519891515</v>
      </c>
      <c r="S7" s="132">
        <v>1.0767755677656434</v>
      </c>
      <c r="T7" s="132">
        <v>0.80708815891604613</v>
      </c>
      <c r="U7" s="132">
        <v>1.0674465493729217</v>
      </c>
      <c r="V7" s="132">
        <v>1.2371569011121233</v>
      </c>
      <c r="W7" s="132">
        <v>1.4625951921832874</v>
      </c>
      <c r="X7" s="132">
        <v>1.3405325013663574</v>
      </c>
      <c r="Y7" s="132">
        <v>2.1742456277380504</v>
      </c>
      <c r="DA7" s="156" t="s">
        <v>305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306</v>
      </c>
    </row>
    <row r="9" spans="1:105" ht="12" customHeight="1" x14ac:dyDescent="0.25">
      <c r="A9" s="131" t="s">
        <v>78</v>
      </c>
      <c r="B9" s="132">
        <v>9.5651634437367683</v>
      </c>
      <c r="C9" s="132">
        <v>10.716862445130003</v>
      </c>
      <c r="D9" s="132">
        <v>12.814081357575562</v>
      </c>
      <c r="E9" s="132">
        <v>13.587018181226894</v>
      </c>
      <c r="F9" s="132">
        <v>19.547683252965768</v>
      </c>
      <c r="G9" s="132">
        <v>18.839205273416191</v>
      </c>
      <c r="H9" s="132">
        <v>20.231584343647199</v>
      </c>
      <c r="I9" s="132">
        <v>27.307134517027723</v>
      </c>
      <c r="J9" s="132">
        <v>25.056279233928496</v>
      </c>
      <c r="K9" s="132">
        <v>22.273948757467831</v>
      </c>
      <c r="L9" s="132">
        <v>25.47042915935188</v>
      </c>
      <c r="M9" s="132">
        <v>22.862733273723062</v>
      </c>
      <c r="N9" s="132">
        <v>25.694497632699381</v>
      </c>
      <c r="O9" s="132">
        <v>27.360752425305613</v>
      </c>
      <c r="P9" s="132">
        <v>24.737962646854424</v>
      </c>
      <c r="Q9" s="132">
        <v>28.884008754736207</v>
      </c>
      <c r="R9" s="132">
        <v>31.658866804226641</v>
      </c>
      <c r="S9" s="132">
        <v>34.73826164211583</v>
      </c>
      <c r="T9" s="132">
        <v>38.008143280153142</v>
      </c>
      <c r="U9" s="132">
        <v>40.819593160262642</v>
      </c>
      <c r="V9" s="132">
        <v>40.437684227287306</v>
      </c>
      <c r="W9" s="132">
        <v>43.946829257599759</v>
      </c>
      <c r="X9" s="132">
        <v>43.587860104538692</v>
      </c>
      <c r="Y9" s="132">
        <v>56.943646436826256</v>
      </c>
      <c r="DA9" s="156" t="s">
        <v>307</v>
      </c>
    </row>
    <row r="10" spans="1:105" ht="12" customHeight="1" x14ac:dyDescent="0.25">
      <c r="A10" s="131" t="s">
        <v>128</v>
      </c>
      <c r="B10" s="132">
        <v>16.108671273018153</v>
      </c>
      <c r="C10" s="132">
        <v>16.062992090066622</v>
      </c>
      <c r="D10" s="132">
        <v>15.861134686617472</v>
      </c>
      <c r="E10" s="132">
        <v>13.576678364992944</v>
      </c>
      <c r="F10" s="132">
        <v>12.566239143567174</v>
      </c>
      <c r="G10" s="132">
        <v>12.519504220952356</v>
      </c>
      <c r="H10" s="132">
        <v>12.455330299825471</v>
      </c>
      <c r="I10" s="132">
        <v>12.047781164488136</v>
      </c>
      <c r="J10" s="132">
        <v>12.703024475080412</v>
      </c>
      <c r="K10" s="132">
        <v>12.718194633681584</v>
      </c>
      <c r="L10" s="132">
        <v>12.898911317678623</v>
      </c>
      <c r="M10" s="132">
        <v>14.349372673964345</v>
      </c>
      <c r="N10" s="132">
        <v>15.417166766578891</v>
      </c>
      <c r="O10" s="132">
        <v>16.488670032002471</v>
      </c>
      <c r="P10" s="132">
        <v>15.732092740373744</v>
      </c>
      <c r="Q10" s="132">
        <v>15.304677596734608</v>
      </c>
      <c r="R10" s="132">
        <v>15.847104378020054</v>
      </c>
      <c r="S10" s="132">
        <v>13.895423688680067</v>
      </c>
      <c r="T10" s="132">
        <v>14.307409528733455</v>
      </c>
      <c r="U10" s="132">
        <v>13.797991461567744</v>
      </c>
      <c r="V10" s="132">
        <v>14.902094348127982</v>
      </c>
      <c r="W10" s="132">
        <v>14.414061073328948</v>
      </c>
      <c r="X10" s="132">
        <v>13.567147540195526</v>
      </c>
      <c r="Y10" s="132">
        <v>14.635351604101103</v>
      </c>
      <c r="DA10" s="156" t="s">
        <v>308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309</v>
      </c>
    </row>
    <row r="12" spans="1:105" ht="12" customHeight="1" x14ac:dyDescent="0.25">
      <c r="A12" s="131" t="s">
        <v>162</v>
      </c>
      <c r="B12" s="132">
        <v>110.74815615842367</v>
      </c>
      <c r="C12" s="132">
        <v>117.68646458769366</v>
      </c>
      <c r="D12" s="132">
        <v>115.85609631173737</v>
      </c>
      <c r="E12" s="132">
        <v>123.72568333899966</v>
      </c>
      <c r="F12" s="132">
        <v>125.24626412150596</v>
      </c>
      <c r="G12" s="132">
        <v>125.27291304396209</v>
      </c>
      <c r="H12" s="132">
        <v>134.46445767472829</v>
      </c>
      <c r="I12" s="132">
        <v>140.49799887204566</v>
      </c>
      <c r="J12" s="132">
        <v>116.18840498264343</v>
      </c>
      <c r="K12" s="132">
        <v>125.06856433860676</v>
      </c>
      <c r="L12" s="132">
        <v>134.27749772427762</v>
      </c>
      <c r="M12" s="132">
        <v>108.14457142614873</v>
      </c>
      <c r="N12" s="132">
        <v>130.19254266957023</v>
      </c>
      <c r="O12" s="132">
        <v>107.76640136861535</v>
      </c>
      <c r="P12" s="132">
        <v>106.45101564050266</v>
      </c>
      <c r="Q12" s="132">
        <v>108.54826577763976</v>
      </c>
      <c r="R12" s="132">
        <v>108.17362213593657</v>
      </c>
      <c r="S12" s="132">
        <v>130.58844970695083</v>
      </c>
      <c r="T12" s="132">
        <v>131.93255735218591</v>
      </c>
      <c r="U12" s="132">
        <v>112.70665185988499</v>
      </c>
      <c r="V12" s="132">
        <v>103.8123006662975</v>
      </c>
      <c r="W12" s="132">
        <v>134.18487346950602</v>
      </c>
      <c r="X12" s="132">
        <v>121.78621442880008</v>
      </c>
      <c r="Y12" s="132">
        <v>116.13302077056781</v>
      </c>
      <c r="DA12" s="156" t="s">
        <v>310</v>
      </c>
    </row>
    <row r="13" spans="1:105" ht="12" customHeight="1" x14ac:dyDescent="0.25">
      <c r="A13" s="131" t="s">
        <v>77</v>
      </c>
      <c r="B13" s="132">
        <v>9.0257130218531888E-3</v>
      </c>
      <c r="C13" s="132">
        <v>1.482968953613412E-2</v>
      </c>
      <c r="D13" s="132">
        <v>2.1577228456035262E-2</v>
      </c>
      <c r="E13" s="132">
        <v>4.3388717156020835E-2</v>
      </c>
      <c r="F13" s="132">
        <v>5.9112803395388859E-2</v>
      </c>
      <c r="G13" s="132">
        <v>8.3301032889764592E-2</v>
      </c>
      <c r="H13" s="132">
        <v>0.10424324017585807</v>
      </c>
      <c r="I13" s="132">
        <v>0.1274452813129722</v>
      </c>
      <c r="J13" s="132">
        <v>0.21855832201465758</v>
      </c>
      <c r="K13" s="132">
        <v>0.24027465007390375</v>
      </c>
      <c r="L13" s="132">
        <v>0.26400107633395842</v>
      </c>
      <c r="M13" s="132">
        <v>0.4784366142443166</v>
      </c>
      <c r="N13" s="132">
        <v>0.73635113141929343</v>
      </c>
      <c r="O13" s="132">
        <v>1.0244778065530289</v>
      </c>
      <c r="P13" s="132">
        <v>1.6591636558370477</v>
      </c>
      <c r="Q13" s="132">
        <v>1.8376948660920362</v>
      </c>
      <c r="R13" s="132">
        <v>1.9677099417625514</v>
      </c>
      <c r="S13" s="132">
        <v>2.0412236347761272</v>
      </c>
      <c r="T13" s="132">
        <v>2.1571655737338755</v>
      </c>
      <c r="U13" s="132">
        <v>2.1861951016321415</v>
      </c>
      <c r="V13" s="132">
        <v>2.1284455818685104</v>
      </c>
      <c r="W13" s="132">
        <v>4.2908870815544917</v>
      </c>
      <c r="X13" s="132">
        <v>4.7534150217228683</v>
      </c>
      <c r="Y13" s="132">
        <v>6.8600392905270393</v>
      </c>
      <c r="DA13" s="156" t="s">
        <v>311</v>
      </c>
    </row>
    <row r="14" spans="1:105" ht="12" customHeight="1" x14ac:dyDescent="0.25">
      <c r="A14" s="60" t="s">
        <v>76</v>
      </c>
      <c r="B14" s="65">
        <v>15.685245700443112</v>
      </c>
      <c r="C14" s="65">
        <v>17.109982967949932</v>
      </c>
      <c r="D14" s="65">
        <v>16.698442993988266</v>
      </c>
      <c r="E14" s="65">
        <v>24.638671758615693</v>
      </c>
      <c r="F14" s="65">
        <v>25.822821096844041</v>
      </c>
      <c r="G14" s="65">
        <v>26.285147738248316</v>
      </c>
      <c r="H14" s="65">
        <v>26.724463789805881</v>
      </c>
      <c r="I14" s="65">
        <v>26.559905259413856</v>
      </c>
      <c r="J14" s="65">
        <v>36.753134776895394</v>
      </c>
      <c r="K14" s="65">
        <v>17.932213365163626</v>
      </c>
      <c r="L14" s="65">
        <v>9.0360355724849573</v>
      </c>
      <c r="M14" s="65">
        <v>13.449298799388476</v>
      </c>
      <c r="N14" s="65">
        <v>18.157983804795446</v>
      </c>
      <c r="O14" s="65">
        <v>12.121901662862165</v>
      </c>
      <c r="P14" s="65">
        <v>12.533054653551604</v>
      </c>
      <c r="Q14" s="65">
        <v>5.6209595859507715</v>
      </c>
      <c r="R14" s="65">
        <v>15.149075394744544</v>
      </c>
      <c r="S14" s="65">
        <v>10.392340560778868</v>
      </c>
      <c r="T14" s="65">
        <v>19.419730991993223</v>
      </c>
      <c r="U14" s="65">
        <v>21.483589399206014</v>
      </c>
      <c r="V14" s="65">
        <v>16.273727913378558</v>
      </c>
      <c r="W14" s="65">
        <v>20.753920095994836</v>
      </c>
      <c r="X14" s="65">
        <v>20.444198384626041</v>
      </c>
      <c r="Y14" s="65">
        <v>9.2466990906475299</v>
      </c>
      <c r="DA14" s="109" t="s">
        <v>312</v>
      </c>
    </row>
    <row r="15" spans="1:105" ht="12" customHeight="1" x14ac:dyDescent="0.25">
      <c r="A15" s="133" t="s">
        <v>80</v>
      </c>
      <c r="B15" s="134">
        <v>1.2773307543033234</v>
      </c>
      <c r="C15" s="134">
        <v>1.2298024387649695</v>
      </c>
      <c r="D15" s="134">
        <v>1.2790158939620346</v>
      </c>
      <c r="E15" s="134">
        <v>1.2519341730325853</v>
      </c>
      <c r="F15" s="134">
        <v>1.3396532540190298</v>
      </c>
      <c r="G15" s="134">
        <v>1.323897390055393</v>
      </c>
      <c r="H15" s="134">
        <v>1.4502335598357883</v>
      </c>
      <c r="I15" s="134">
        <v>1.5017127265880745</v>
      </c>
      <c r="J15" s="134">
        <v>1.3074168715410099</v>
      </c>
      <c r="K15" s="134">
        <v>1.2869665124314467</v>
      </c>
      <c r="L15" s="134">
        <v>1.3820617322120796</v>
      </c>
      <c r="M15" s="134">
        <v>1.2872797200417503</v>
      </c>
      <c r="N15" s="134">
        <v>1.3240279871115703</v>
      </c>
      <c r="O15" s="134">
        <v>1.2954302385051037</v>
      </c>
      <c r="P15" s="134">
        <v>1.2103069740150079</v>
      </c>
      <c r="Q15" s="134">
        <v>1.2033466462486166</v>
      </c>
      <c r="R15" s="134">
        <v>1.2795571032413806</v>
      </c>
      <c r="S15" s="134">
        <v>1.4091227038470016</v>
      </c>
      <c r="T15" s="134">
        <v>1.4697967549340762</v>
      </c>
      <c r="U15" s="134">
        <v>1.4022946458178196</v>
      </c>
      <c r="V15" s="134">
        <v>1.3105734519677679</v>
      </c>
      <c r="W15" s="134">
        <v>1.5116432515425227</v>
      </c>
      <c r="X15" s="134">
        <v>1.4464594772887378</v>
      </c>
      <c r="Y15" s="134">
        <v>1.6084666447471596</v>
      </c>
      <c r="DA15" s="157" t="s">
        <v>313</v>
      </c>
    </row>
    <row r="16" spans="1:105" ht="12.95" customHeight="1" x14ac:dyDescent="0.25">
      <c r="A16" s="129" t="s">
        <v>74</v>
      </c>
      <c r="B16" s="130">
        <f t="shared" ref="B16:Q16" si="6">SUM(B17:B18)</f>
        <v>2.2966788168068564</v>
      </c>
      <c r="C16" s="130">
        <f t="shared" si="6"/>
        <v>2.6793230918666637</v>
      </c>
      <c r="D16" s="130">
        <f t="shared" si="6"/>
        <v>3.2464975927494057</v>
      </c>
      <c r="E16" s="130">
        <f t="shared" si="6"/>
        <v>3.2712936521673068</v>
      </c>
      <c r="F16" s="130">
        <f t="shared" si="6"/>
        <v>3.6598202144905572</v>
      </c>
      <c r="G16" s="130">
        <f t="shared" si="6"/>
        <v>4.118232994878519</v>
      </c>
      <c r="H16" s="130">
        <f t="shared" si="6"/>
        <v>5.1081442235015473</v>
      </c>
      <c r="I16" s="130">
        <f t="shared" si="6"/>
        <v>5.3376164666912826</v>
      </c>
      <c r="J16" s="130">
        <f t="shared" si="6"/>
        <v>5.8303306843219218</v>
      </c>
      <c r="K16" s="130">
        <f t="shared" si="6"/>
        <v>6.2217860570370878</v>
      </c>
      <c r="L16" s="130">
        <f t="shared" si="6"/>
        <v>8.268372695175497</v>
      </c>
      <c r="M16" s="130">
        <f t="shared" si="6"/>
        <v>6.9064562545287824</v>
      </c>
      <c r="N16" s="130">
        <f t="shared" si="6"/>
        <v>7.8465704679262274</v>
      </c>
      <c r="O16" s="130">
        <f t="shared" si="6"/>
        <v>7.6219251110432733</v>
      </c>
      <c r="P16" s="130">
        <f t="shared" si="6"/>
        <v>8.8650254274392886</v>
      </c>
      <c r="Q16" s="130">
        <f t="shared" si="6"/>
        <v>8.9700181596314472</v>
      </c>
      <c r="R16" s="130">
        <f t="shared" ref="R16:W16" si="7">SUM(R17:R18)</f>
        <v>8.9028177320378514</v>
      </c>
      <c r="S16" s="130">
        <f t="shared" si="7"/>
        <v>9.1086844931823361</v>
      </c>
      <c r="T16" s="130">
        <f t="shared" si="7"/>
        <v>10.031042068608322</v>
      </c>
      <c r="U16" s="130">
        <f t="shared" si="7"/>
        <v>10.088929001605266</v>
      </c>
      <c r="V16" s="130">
        <f t="shared" si="7"/>
        <v>10.045772708337406</v>
      </c>
      <c r="W16" s="130">
        <f t="shared" si="7"/>
        <v>12.159769314119329</v>
      </c>
      <c r="X16" s="130">
        <f t="shared" ref="X16:Y16" si="8">SUM(X17:X18)</f>
        <v>11.26031011274666</v>
      </c>
      <c r="Y16" s="130">
        <f t="shared" si="8"/>
        <v>11.666982503437486</v>
      </c>
      <c r="DA16" s="155" t="s">
        <v>314</v>
      </c>
    </row>
    <row r="17" spans="1:105" ht="12.95" customHeight="1" x14ac:dyDescent="0.25">
      <c r="A17" s="131" t="s">
        <v>73</v>
      </c>
      <c r="B17" s="132">
        <v>0</v>
      </c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315</v>
      </c>
    </row>
    <row r="18" spans="1:105" ht="12" customHeight="1" x14ac:dyDescent="0.25">
      <c r="A18" s="131" t="s">
        <v>72</v>
      </c>
      <c r="B18" s="132">
        <v>2.2966788168068564</v>
      </c>
      <c r="C18" s="132">
        <v>2.6793230918666637</v>
      </c>
      <c r="D18" s="132">
        <v>3.2464975927494057</v>
      </c>
      <c r="E18" s="132">
        <v>3.2712936521673068</v>
      </c>
      <c r="F18" s="132">
        <v>3.6598202144905572</v>
      </c>
      <c r="G18" s="132">
        <v>4.118232994878519</v>
      </c>
      <c r="H18" s="132">
        <v>5.1081442235015473</v>
      </c>
      <c r="I18" s="132">
        <v>5.3376164666912826</v>
      </c>
      <c r="J18" s="132">
        <v>5.8303306843219218</v>
      </c>
      <c r="K18" s="132">
        <v>6.2217860570370878</v>
      </c>
      <c r="L18" s="132">
        <v>8.268372695175497</v>
      </c>
      <c r="M18" s="132">
        <v>6.9064562545287824</v>
      </c>
      <c r="N18" s="132">
        <v>7.8465704679262274</v>
      </c>
      <c r="O18" s="132">
        <v>7.6219251110432733</v>
      </c>
      <c r="P18" s="132">
        <v>8.8650254274392886</v>
      </c>
      <c r="Q18" s="132">
        <v>8.9700181596314472</v>
      </c>
      <c r="R18" s="132">
        <v>8.9028177320378514</v>
      </c>
      <c r="S18" s="132">
        <v>9.1086844931823361</v>
      </c>
      <c r="T18" s="132">
        <v>10.031042068608322</v>
      </c>
      <c r="U18" s="132">
        <v>10.088929001605266</v>
      </c>
      <c r="V18" s="132">
        <v>10.045772708337406</v>
      </c>
      <c r="W18" s="132">
        <v>12.159769314119329</v>
      </c>
      <c r="X18" s="132">
        <v>11.26031011274666</v>
      </c>
      <c r="Y18" s="132">
        <v>11.666982503437486</v>
      </c>
      <c r="DA18" s="156" t="s">
        <v>316</v>
      </c>
    </row>
    <row r="19" spans="1:105" ht="12.95" customHeight="1" x14ac:dyDescent="0.25">
      <c r="A19" s="129" t="s">
        <v>35</v>
      </c>
      <c r="B19" s="130">
        <f t="shared" ref="B19:Q19" si="9">SUM(B20:B27)</f>
        <v>20.372997738637135</v>
      </c>
      <c r="C19" s="130">
        <f t="shared" si="9"/>
        <v>21.589847312298378</v>
      </c>
      <c r="D19" s="130">
        <f t="shared" si="9"/>
        <v>22.834163218365564</v>
      </c>
      <c r="E19" s="130">
        <f t="shared" si="9"/>
        <v>24.521525612699211</v>
      </c>
      <c r="F19" s="130">
        <f t="shared" si="9"/>
        <v>26.993978492576765</v>
      </c>
      <c r="G19" s="130">
        <f t="shared" si="9"/>
        <v>29.624664719706637</v>
      </c>
      <c r="H19" s="130">
        <f t="shared" si="9"/>
        <v>32.136230660584985</v>
      </c>
      <c r="I19" s="130">
        <f t="shared" si="9"/>
        <v>34.629957301089725</v>
      </c>
      <c r="J19" s="130">
        <f t="shared" si="9"/>
        <v>36.54667056421134</v>
      </c>
      <c r="K19" s="130">
        <f t="shared" si="9"/>
        <v>37.52278702182182</v>
      </c>
      <c r="L19" s="130">
        <f t="shared" si="9"/>
        <v>38.739771239482437</v>
      </c>
      <c r="M19" s="130">
        <f t="shared" si="9"/>
        <v>40.124504637873173</v>
      </c>
      <c r="N19" s="130">
        <f t="shared" si="9"/>
        <v>41.090529422179827</v>
      </c>
      <c r="O19" s="130">
        <f t="shared" si="9"/>
        <v>42.516614322456789</v>
      </c>
      <c r="P19" s="130">
        <f t="shared" si="9"/>
        <v>43.39583545134041</v>
      </c>
      <c r="Q19" s="130">
        <f t="shared" si="9"/>
        <v>44.411444598658285</v>
      </c>
      <c r="R19" s="130">
        <f t="shared" ref="R19:W19" si="10">SUM(R20:R27)</f>
        <v>44.881662702444238</v>
      </c>
      <c r="S19" s="130">
        <f t="shared" si="10"/>
        <v>47.00968130227082</v>
      </c>
      <c r="T19" s="130">
        <f t="shared" si="10"/>
        <v>47.155788618238716</v>
      </c>
      <c r="U19" s="130">
        <f t="shared" si="10"/>
        <v>48.149841289748835</v>
      </c>
      <c r="V19" s="130">
        <f t="shared" si="10"/>
        <v>42.932292411651638</v>
      </c>
      <c r="W19" s="130">
        <f t="shared" si="10"/>
        <v>47.801108862488789</v>
      </c>
      <c r="X19" s="130">
        <f t="shared" ref="X19:Y19" si="11">SUM(X20:X27)</f>
        <v>48.399114727075897</v>
      </c>
      <c r="Y19" s="130">
        <f t="shared" si="11"/>
        <v>49.806230636741816</v>
      </c>
      <c r="DA19" s="155" t="s">
        <v>317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318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319</v>
      </c>
    </row>
    <row r="22" spans="1:105" ht="12" customHeight="1" x14ac:dyDescent="0.25">
      <c r="A22" s="131" t="s">
        <v>161</v>
      </c>
      <c r="B22" s="132">
        <v>1.0036941463413953</v>
      </c>
      <c r="C22" s="132">
        <v>0.58627590226728732</v>
      </c>
      <c r="D22" s="132">
        <v>0.55036641264103836</v>
      </c>
      <c r="E22" s="132">
        <v>0.43204860004299089</v>
      </c>
      <c r="F22" s="132">
        <v>0.51758756842740894</v>
      </c>
      <c r="G22" s="132">
        <v>0.41861270085739688</v>
      </c>
      <c r="H22" s="132">
        <v>0.4314448489562015</v>
      </c>
      <c r="I22" s="132">
        <v>0.38830830823729223</v>
      </c>
      <c r="J22" s="132">
        <v>0.3914228689920447</v>
      </c>
      <c r="K22" s="132">
        <v>0.283699823980892</v>
      </c>
      <c r="L22" s="132">
        <v>0.25760339264840587</v>
      </c>
      <c r="M22" s="132">
        <v>0.22024567614657206</v>
      </c>
      <c r="N22" s="132">
        <v>0.18083052779828312</v>
      </c>
      <c r="O22" s="132">
        <v>0.19662531111973719</v>
      </c>
      <c r="P22" s="132">
        <v>0.19997229744021247</v>
      </c>
      <c r="Q22" s="132">
        <v>0.2008532823442111</v>
      </c>
      <c r="R22" s="132">
        <v>0.19874776863063301</v>
      </c>
      <c r="S22" s="132">
        <v>0.22350374559111055</v>
      </c>
      <c r="T22" s="132">
        <v>0.16187610959238477</v>
      </c>
      <c r="U22" s="132">
        <v>0.21226997319186758</v>
      </c>
      <c r="V22" s="132">
        <v>0.2514522190078769</v>
      </c>
      <c r="W22" s="132">
        <v>0.29750802288254979</v>
      </c>
      <c r="X22" s="132">
        <v>0.26594322725233949</v>
      </c>
      <c r="Y22" s="132">
        <v>0.1868914819926987</v>
      </c>
      <c r="DA22" s="156" t="s">
        <v>320</v>
      </c>
    </row>
    <row r="23" spans="1:105" ht="12" customHeight="1" x14ac:dyDescent="0.25">
      <c r="A23" s="131" t="s">
        <v>149</v>
      </c>
      <c r="B23" s="132">
        <v>0.77009584481256077</v>
      </c>
      <c r="C23" s="132">
        <v>0.81047601667838731</v>
      </c>
      <c r="D23" s="132">
        <v>0.90958134083739028</v>
      </c>
      <c r="E23" s="132">
        <v>0.96254157537667007</v>
      </c>
      <c r="F23" s="132">
        <v>1.2185496858624936</v>
      </c>
      <c r="G23" s="132">
        <v>1.2907220369220869</v>
      </c>
      <c r="H23" s="132">
        <v>1.5582161912264634</v>
      </c>
      <c r="I23" s="132">
        <v>2.381932206061367</v>
      </c>
      <c r="J23" s="132">
        <v>2.7345552295284863</v>
      </c>
      <c r="K23" s="132">
        <v>2.758004644264914</v>
      </c>
      <c r="L23" s="132">
        <v>2.810908005413967</v>
      </c>
      <c r="M23" s="132">
        <v>2.9006418413225048</v>
      </c>
      <c r="N23" s="132">
        <v>2.9275094430978492</v>
      </c>
      <c r="O23" s="132">
        <v>3.0148240885335453</v>
      </c>
      <c r="P23" s="132">
        <v>2.8715896282526181</v>
      </c>
      <c r="Q23" s="132">
        <v>3.1670084590569942</v>
      </c>
      <c r="R23" s="132">
        <v>3.4695274336342385</v>
      </c>
      <c r="S23" s="132">
        <v>3.5635615673981924</v>
      </c>
      <c r="T23" s="132">
        <v>3.833495451586904</v>
      </c>
      <c r="U23" s="132">
        <v>4.0449509897442972</v>
      </c>
      <c r="V23" s="132">
        <v>4.2312176134846347</v>
      </c>
      <c r="W23" s="132">
        <v>4.5430270799623784</v>
      </c>
      <c r="X23" s="132">
        <v>4.6401344926422796</v>
      </c>
      <c r="Y23" s="132">
        <v>4.6901015766673897</v>
      </c>
      <c r="DA23" s="156" t="s">
        <v>321</v>
      </c>
    </row>
    <row r="24" spans="1:105" ht="12" customHeight="1" x14ac:dyDescent="0.25">
      <c r="A24" s="131" t="s">
        <v>128</v>
      </c>
      <c r="B24" s="132">
        <v>0.83975525560938136</v>
      </c>
      <c r="C24" s="132">
        <v>0.74276849297673575</v>
      </c>
      <c r="D24" s="132">
        <v>0.77571714581811535</v>
      </c>
      <c r="E24" s="132">
        <v>0.82705304851412276</v>
      </c>
      <c r="F24" s="132">
        <v>0.8792618777123774</v>
      </c>
      <c r="G24" s="132">
        <v>0.94148586189209904</v>
      </c>
      <c r="H24" s="132">
        <v>1.0343704738718262</v>
      </c>
      <c r="I24" s="132">
        <v>1.0241066972151098</v>
      </c>
      <c r="J24" s="132">
        <v>1.0748242147235445</v>
      </c>
      <c r="K24" s="132">
        <v>1.1032241064423225</v>
      </c>
      <c r="L24" s="132">
        <v>1.1489867764327764</v>
      </c>
      <c r="M24" s="132">
        <v>1.2160881757047708</v>
      </c>
      <c r="N24" s="132">
        <v>1.2593630107355351</v>
      </c>
      <c r="O24" s="132">
        <v>1.321492857779351</v>
      </c>
      <c r="P24" s="132">
        <v>1.3529127301152566</v>
      </c>
      <c r="Q24" s="132">
        <v>1.3676552116451397</v>
      </c>
      <c r="R24" s="132">
        <v>1.2981424698229795</v>
      </c>
      <c r="S24" s="132">
        <v>1.110179982335084</v>
      </c>
      <c r="T24" s="132">
        <v>1.1301397224695624</v>
      </c>
      <c r="U24" s="132">
        <v>1.0621949067753123</v>
      </c>
      <c r="V24" s="132">
        <v>1.1260811324503732</v>
      </c>
      <c r="W24" s="132">
        <v>1.1126733630729901</v>
      </c>
      <c r="X24" s="132">
        <v>1.0980593146502147</v>
      </c>
      <c r="Y24" s="132">
        <v>1.1059911617010463</v>
      </c>
      <c r="DA24" s="156" t="s">
        <v>322</v>
      </c>
    </row>
    <row r="25" spans="1:105" ht="12" customHeight="1" x14ac:dyDescent="0.25">
      <c r="A25" s="131" t="s">
        <v>162</v>
      </c>
      <c r="B25" s="132">
        <v>10.873649673652737</v>
      </c>
      <c r="C25" s="132">
        <v>11.54738835073011</v>
      </c>
      <c r="D25" s="132">
        <v>11.806332233554059</v>
      </c>
      <c r="E25" s="132">
        <v>12.889543772208139</v>
      </c>
      <c r="F25" s="132">
        <v>14.319792147280511</v>
      </c>
      <c r="G25" s="132">
        <v>15.848678493539675</v>
      </c>
      <c r="H25" s="132">
        <v>17.166932033695819</v>
      </c>
      <c r="I25" s="132">
        <v>17.01200971255351</v>
      </c>
      <c r="J25" s="132">
        <v>18.025949692098941</v>
      </c>
      <c r="K25" s="132">
        <v>19.663704351816186</v>
      </c>
      <c r="L25" s="132">
        <v>20.997652332665375</v>
      </c>
      <c r="M25" s="132">
        <v>21.539773474484516</v>
      </c>
      <c r="N25" s="132">
        <v>22.275166396819717</v>
      </c>
      <c r="O25" s="132">
        <v>23.706083807027071</v>
      </c>
      <c r="P25" s="132">
        <v>24.3282981628047</v>
      </c>
      <c r="Q25" s="132">
        <v>26.515889882552887</v>
      </c>
      <c r="R25" s="132">
        <v>27.232048391505547</v>
      </c>
      <c r="S25" s="132">
        <v>28.203559004262026</v>
      </c>
      <c r="T25" s="132">
        <v>27.445268844558594</v>
      </c>
      <c r="U25" s="132">
        <v>26.744379698837307</v>
      </c>
      <c r="V25" s="132">
        <v>22.99955541626905</v>
      </c>
      <c r="W25" s="132">
        <v>25.748665016155293</v>
      </c>
      <c r="X25" s="132">
        <v>25.697079922206481</v>
      </c>
      <c r="Y25" s="132">
        <v>25.784188027157263</v>
      </c>
      <c r="DA25" s="156" t="s">
        <v>323</v>
      </c>
    </row>
    <row r="26" spans="1:105" ht="12" customHeight="1" x14ac:dyDescent="0.25">
      <c r="A26" s="131" t="s">
        <v>24</v>
      </c>
      <c r="B26" s="65">
        <v>6.8858028182210607</v>
      </c>
      <c r="C26" s="65">
        <v>7.9029385496458584</v>
      </c>
      <c r="D26" s="65">
        <v>8.7921660855149604</v>
      </c>
      <c r="E26" s="65">
        <v>9.4103386165572882</v>
      </c>
      <c r="F26" s="65">
        <v>10.058787213293975</v>
      </c>
      <c r="G26" s="65">
        <v>11.125165626495383</v>
      </c>
      <c r="H26" s="65">
        <v>11.945267112834678</v>
      </c>
      <c r="I26" s="65">
        <v>13.823600377022444</v>
      </c>
      <c r="J26" s="65">
        <v>14.319918558868327</v>
      </c>
      <c r="K26" s="65">
        <v>13.714154095317502</v>
      </c>
      <c r="L26" s="65">
        <v>13.524620732321916</v>
      </c>
      <c r="M26" s="65">
        <v>14.247755470214805</v>
      </c>
      <c r="N26" s="65">
        <v>14.447660043728437</v>
      </c>
      <c r="O26" s="65">
        <v>14.277588257997088</v>
      </c>
      <c r="P26" s="65">
        <v>14.643062632727622</v>
      </c>
      <c r="Q26" s="65">
        <v>13.160037763059053</v>
      </c>
      <c r="R26" s="65">
        <v>12.683196638850838</v>
      </c>
      <c r="S26" s="65">
        <v>13.908877002684406</v>
      </c>
      <c r="T26" s="65">
        <v>14.585008490031267</v>
      </c>
      <c r="U26" s="65">
        <v>16.086045721200048</v>
      </c>
      <c r="V26" s="65">
        <v>14.323986030439702</v>
      </c>
      <c r="W26" s="65">
        <v>16.099235380415582</v>
      </c>
      <c r="X26" s="65">
        <v>16.69789777032458</v>
      </c>
      <c r="Y26" s="65">
        <v>18.03905838922342</v>
      </c>
      <c r="DA26" s="109" t="s">
        <v>324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325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23.387901337994769</v>
      </c>
      <c r="C29" s="130">
        <f t="shared" si="12"/>
        <v>23.959242342101088</v>
      </c>
      <c r="D29" s="130">
        <f t="shared" si="12"/>
        <v>25.296071298733658</v>
      </c>
      <c r="E29" s="130">
        <f t="shared" si="12"/>
        <v>26.895500229187455</v>
      </c>
      <c r="F29" s="130">
        <f t="shared" si="12"/>
        <v>28.691917975053141</v>
      </c>
      <c r="G29" s="130">
        <f t="shared" si="12"/>
        <v>30.905545669860999</v>
      </c>
      <c r="H29" s="130">
        <f t="shared" si="12"/>
        <v>34.105807644842521</v>
      </c>
      <c r="I29" s="130">
        <f t="shared" si="12"/>
        <v>36.115668168315025</v>
      </c>
      <c r="J29" s="130">
        <f t="shared" si="12"/>
        <v>36.148369972665563</v>
      </c>
      <c r="K29" s="130">
        <f t="shared" si="12"/>
        <v>37.485227763874207</v>
      </c>
      <c r="L29" s="130">
        <f t="shared" si="12"/>
        <v>37.808052381317268</v>
      </c>
      <c r="M29" s="130">
        <f t="shared" si="12"/>
        <v>38.297447114860226</v>
      </c>
      <c r="N29" s="130">
        <f t="shared" si="12"/>
        <v>40.267984347509703</v>
      </c>
      <c r="O29" s="130">
        <f t="shared" si="12"/>
        <v>41.004934640608646</v>
      </c>
      <c r="P29" s="130">
        <f t="shared" si="12"/>
        <v>41.67379273951466</v>
      </c>
      <c r="Q29" s="130">
        <f t="shared" si="12"/>
        <v>40.806927861060949</v>
      </c>
      <c r="R29" s="130">
        <f t="shared" ref="R29:W29" si="13">SUM(R30:R33)</f>
        <v>41.374998517280893</v>
      </c>
      <c r="S29" s="130">
        <f t="shared" si="13"/>
        <v>43.562649262081131</v>
      </c>
      <c r="T29" s="130">
        <f t="shared" si="13"/>
        <v>44.415845395517579</v>
      </c>
      <c r="U29" s="130">
        <f t="shared" si="13"/>
        <v>48.744015467705843</v>
      </c>
      <c r="V29" s="130">
        <f t="shared" si="13"/>
        <v>46.62295354157871</v>
      </c>
      <c r="W29" s="130">
        <f t="shared" si="13"/>
        <v>50.814325274779414</v>
      </c>
      <c r="X29" s="130">
        <f t="shared" ref="X29:Y29" si="14">SUM(X30:X33)</f>
        <v>50.859020493589526</v>
      </c>
      <c r="Y29" s="130">
        <f t="shared" si="14"/>
        <v>51.927959367735092</v>
      </c>
      <c r="DA29" s="155" t="s">
        <v>326</v>
      </c>
    </row>
    <row r="30" spans="1:105" ht="12" customHeight="1" x14ac:dyDescent="0.25">
      <c r="A30" s="131" t="s">
        <v>52</v>
      </c>
      <c r="B30" s="132">
        <v>0</v>
      </c>
      <c r="C30" s="132">
        <v>0</v>
      </c>
      <c r="D30" s="132">
        <v>0</v>
      </c>
      <c r="E30" s="132">
        <v>0</v>
      </c>
      <c r="F30" s="132">
        <v>0</v>
      </c>
      <c r="G30" s="132">
        <v>0</v>
      </c>
      <c r="H30" s="132">
        <v>0</v>
      </c>
      <c r="I30" s="132">
        <v>0</v>
      </c>
      <c r="J30" s="132">
        <v>0</v>
      </c>
      <c r="K30" s="132">
        <v>0</v>
      </c>
      <c r="L30" s="132">
        <v>0</v>
      </c>
      <c r="M30" s="132">
        <v>0</v>
      </c>
      <c r="N30" s="132">
        <v>0</v>
      </c>
      <c r="O30" s="132">
        <v>0</v>
      </c>
      <c r="P30" s="132">
        <v>0</v>
      </c>
      <c r="Q30" s="132">
        <v>0</v>
      </c>
      <c r="R30" s="132">
        <v>0</v>
      </c>
      <c r="S30" s="132">
        <v>0</v>
      </c>
      <c r="T30" s="132">
        <v>0</v>
      </c>
      <c r="U30" s="132">
        <v>0</v>
      </c>
      <c r="V30" s="132">
        <v>0</v>
      </c>
      <c r="W30" s="132">
        <v>0</v>
      </c>
      <c r="X30" s="132">
        <v>0</v>
      </c>
      <c r="Y30" s="132">
        <v>0</v>
      </c>
      <c r="DA30" s="156" t="s">
        <v>327</v>
      </c>
    </row>
    <row r="31" spans="1:105" ht="12" customHeight="1" x14ac:dyDescent="0.25">
      <c r="A31" s="131" t="s">
        <v>149</v>
      </c>
      <c r="B31" s="132">
        <v>4.7869457395566091</v>
      </c>
      <c r="C31" s="132">
        <v>5.1391810727043783</v>
      </c>
      <c r="D31" s="132">
        <v>5.8392782668645182</v>
      </c>
      <c r="E31" s="132">
        <v>6.0744784927762225</v>
      </c>
      <c r="F31" s="132">
        <v>5.5769469984742734</v>
      </c>
      <c r="G31" s="132">
        <v>5.9849726088970474</v>
      </c>
      <c r="H31" s="132">
        <v>6.2944690271897432</v>
      </c>
      <c r="I31" s="132">
        <v>8.2025467783398991</v>
      </c>
      <c r="J31" s="132">
        <v>8.805388637780899</v>
      </c>
      <c r="K31" s="132">
        <v>8.6362504878144968</v>
      </c>
      <c r="L31" s="132">
        <v>7.9722077194964074</v>
      </c>
      <c r="M31" s="132">
        <v>7.5899862781658278</v>
      </c>
      <c r="N31" s="132">
        <v>6.6507295641705699</v>
      </c>
      <c r="O31" s="132">
        <v>5.5150866905495013</v>
      </c>
      <c r="P31" s="132">
        <v>4.9263850316707574</v>
      </c>
      <c r="Q31" s="132">
        <v>5.6126931891460901</v>
      </c>
      <c r="R31" s="132">
        <v>5.9886262437036937</v>
      </c>
      <c r="S31" s="132">
        <v>5.5035675453353097</v>
      </c>
      <c r="T31" s="132">
        <v>5.746440115315572</v>
      </c>
      <c r="U31" s="132">
        <v>3.7493409977639871</v>
      </c>
      <c r="V31" s="132">
        <v>2.8849747298360944</v>
      </c>
      <c r="W31" s="132">
        <v>3.0327020169594801</v>
      </c>
      <c r="X31" s="132">
        <v>3.9609512849327109</v>
      </c>
      <c r="Y31" s="132">
        <v>5.0267677813035094</v>
      </c>
      <c r="DA31" s="156" t="s">
        <v>328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0.36759222658645363</v>
      </c>
      <c r="H32" s="132">
        <v>0.3676503815255307</v>
      </c>
      <c r="I32" s="132">
        <v>0.36771289929583284</v>
      </c>
      <c r="J32" s="132">
        <v>0.83152082587829867</v>
      </c>
      <c r="K32" s="132">
        <v>0.41579870819946924</v>
      </c>
      <c r="L32" s="132">
        <v>0.83176483028185555</v>
      </c>
      <c r="M32" s="132">
        <v>0.83178026455579146</v>
      </c>
      <c r="N32" s="132">
        <v>0.41597540193401911</v>
      </c>
      <c r="O32" s="132">
        <v>0.4159952939320451</v>
      </c>
      <c r="P32" s="132">
        <v>0.41616304514221591</v>
      </c>
      <c r="Q32" s="132">
        <v>0.83276345778938055</v>
      </c>
      <c r="R32" s="132">
        <v>0.83436158786838865</v>
      </c>
      <c r="S32" s="132">
        <v>0.96250972295788761</v>
      </c>
      <c r="T32" s="132">
        <v>1.0911690861922911</v>
      </c>
      <c r="U32" s="132">
        <v>1.4743115480650408</v>
      </c>
      <c r="V32" s="132">
        <v>1.4790171764740629</v>
      </c>
      <c r="W32" s="132">
        <v>2.2030713895104586</v>
      </c>
      <c r="X32" s="132">
        <v>2.1379770848524466</v>
      </c>
      <c r="Y32" s="132">
        <v>2.0382486418997177</v>
      </c>
      <c r="DA32" s="156" t="s">
        <v>329</v>
      </c>
    </row>
    <row r="33" spans="1:105" ht="12" customHeight="1" x14ac:dyDescent="0.25">
      <c r="A33" s="62" t="s">
        <v>24</v>
      </c>
      <c r="B33" s="68">
        <v>18.600955598438158</v>
      </c>
      <c r="C33" s="68">
        <v>18.82006126939671</v>
      </c>
      <c r="D33" s="68">
        <v>19.45679303186914</v>
      </c>
      <c r="E33" s="68">
        <v>20.821021736411232</v>
      </c>
      <c r="F33" s="68">
        <v>23.114970976578867</v>
      </c>
      <c r="G33" s="68">
        <v>24.552980834377497</v>
      </c>
      <c r="H33" s="68">
        <v>27.443688236127247</v>
      </c>
      <c r="I33" s="68">
        <v>27.545408490679289</v>
      </c>
      <c r="J33" s="68">
        <v>26.511460509006366</v>
      </c>
      <c r="K33" s="68">
        <v>28.433178567860239</v>
      </c>
      <c r="L33" s="68">
        <v>29.004079831539002</v>
      </c>
      <c r="M33" s="68">
        <v>29.875680572138606</v>
      </c>
      <c r="N33" s="68">
        <v>33.201279381405115</v>
      </c>
      <c r="O33" s="68">
        <v>35.073852656127102</v>
      </c>
      <c r="P33" s="68">
        <v>36.331244662701685</v>
      </c>
      <c r="Q33" s="68">
        <v>34.36147121412548</v>
      </c>
      <c r="R33" s="68">
        <v>34.552010685708808</v>
      </c>
      <c r="S33" s="68">
        <v>37.096571993787933</v>
      </c>
      <c r="T33" s="68">
        <v>37.578236194009712</v>
      </c>
      <c r="U33" s="68">
        <v>43.520362921876817</v>
      </c>
      <c r="V33" s="68">
        <v>42.258961635268555</v>
      </c>
      <c r="W33" s="68">
        <v>45.578551868309475</v>
      </c>
      <c r="X33" s="68">
        <v>44.76009212380437</v>
      </c>
      <c r="Y33" s="68">
        <v>44.862942944531866</v>
      </c>
      <c r="DA33" s="111" t="s">
        <v>330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>
        <f>IF(SER_hh_tes!B3=0,"",SER_hh_tes!B3/SER_hh_fec!B3)</f>
        <v>0.62169519065399448</v>
      </c>
      <c r="C3" s="126">
        <f>IF(SER_hh_tes!C3=0,"",SER_hh_tes!C3/SER_hh_fec!C3)</f>
        <v>0.63416974548561034</v>
      </c>
      <c r="D3" s="126">
        <f>IF(SER_hh_tes!D3=0,"",SER_hh_tes!D3/SER_hh_fec!D3)</f>
        <v>0.63454587810208973</v>
      </c>
      <c r="E3" s="126">
        <f>IF(SER_hh_tes!E3=0,"",SER_hh_tes!E3/SER_hh_fec!E3)</f>
        <v>0.64781457498308548</v>
      </c>
      <c r="F3" s="126">
        <f>IF(SER_hh_tes!F3=0,"",SER_hh_tes!F3/SER_hh_fec!F3)</f>
        <v>0.65129260437446268</v>
      </c>
      <c r="G3" s="126">
        <f>IF(SER_hh_tes!G3=0,"",SER_hh_tes!G3/SER_hh_fec!G3)</f>
        <v>0.65756449474554679</v>
      </c>
      <c r="H3" s="126">
        <f>IF(SER_hh_tes!H3=0,"",SER_hh_tes!H3/SER_hh_fec!H3)</f>
        <v>0.6621079417663962</v>
      </c>
      <c r="I3" s="126">
        <f>IF(SER_hh_tes!I3=0,"",SER_hh_tes!I3/SER_hh_fec!I3)</f>
        <v>0.6675106375121197</v>
      </c>
      <c r="J3" s="126">
        <f>IF(SER_hh_tes!J3=0,"",SER_hh_tes!J3/SER_hh_fec!J3)</f>
        <v>0.66915149096634863</v>
      </c>
      <c r="K3" s="126">
        <f>IF(SER_hh_tes!K3=0,"",SER_hh_tes!K3/SER_hh_fec!K3)</f>
        <v>0.68005932556472504</v>
      </c>
      <c r="L3" s="126">
        <f>IF(SER_hh_tes!L3=0,"",SER_hh_tes!L3/SER_hh_fec!L3)</f>
        <v>0.68787283120284537</v>
      </c>
      <c r="M3" s="126">
        <f>IF(SER_hh_tes!M3=0,"",SER_hh_tes!M3/SER_hh_fec!M3)</f>
        <v>0.68297834570844151</v>
      </c>
      <c r="N3" s="126">
        <f>IF(SER_hh_tes!N3=0,"",SER_hh_tes!N3/SER_hh_fec!N3)</f>
        <v>0.69882521813212195</v>
      </c>
      <c r="O3" s="126">
        <f>IF(SER_hh_tes!O3=0,"",SER_hh_tes!O3/SER_hh_fec!O3)</f>
        <v>0.69811848784478014</v>
      </c>
      <c r="P3" s="126">
        <f>IF(SER_hh_tes!P3=0,"",SER_hh_tes!P3/SER_hh_fec!P3)</f>
        <v>0.70915346571860671</v>
      </c>
      <c r="Q3" s="126">
        <f>IF(SER_hh_tes!Q3=0,"",SER_hh_tes!Q3/SER_hh_fec!Q3)</f>
        <v>0.71629044690311505</v>
      </c>
      <c r="R3" s="126">
        <f>IF(SER_hh_tes!R3=0,"",SER_hh_tes!R3/SER_hh_fec!R3)</f>
        <v>0.71819725653915345</v>
      </c>
      <c r="S3" s="126">
        <f>IF(SER_hh_tes!S3=0,"",SER_hh_tes!S3/SER_hh_fec!S3)</f>
        <v>0.73154491017108703</v>
      </c>
      <c r="T3" s="126">
        <f>IF(SER_hh_tes!T3=0,"",SER_hh_tes!T3/SER_hh_fec!T3)</f>
        <v>0.74086582181426652</v>
      </c>
      <c r="U3" s="126">
        <f>IF(SER_hh_tes!U3=0,"",SER_hh_tes!U3/SER_hh_fec!U3)</f>
        <v>0.75100508492866991</v>
      </c>
      <c r="V3" s="126">
        <f>IF(SER_hh_tes!V3=0,"",SER_hh_tes!V3/SER_hh_fec!V3)</f>
        <v>0.76040680055823129</v>
      </c>
      <c r="W3" s="126">
        <f>IF(SER_hh_tes!W3=0,"",SER_hh_tes!W3/SER_hh_fec!W3)</f>
        <v>0.77928078236199783</v>
      </c>
      <c r="X3" s="126">
        <f>IF(SER_hh_tes!X3=0,"",SER_hh_tes!X3/SER_hh_fec!X3)</f>
        <v>0.78747843591769795</v>
      </c>
      <c r="Y3" s="126">
        <f>IF(SER_hh_tes!Y3=0,"",SER_hh_tes!Y3/SER_hh_fec!Y3)</f>
        <v>0.79585250602278246</v>
      </c>
      <c r="DA3" s="161" t="s">
        <v>239</v>
      </c>
    </row>
    <row r="4" spans="1:105" ht="12.95" customHeight="1" x14ac:dyDescent="0.25">
      <c r="A4" s="129" t="s">
        <v>32</v>
      </c>
      <c r="B4" s="135">
        <f>IF(SER_hh_tes!B4=0,"",SER_hh_tes!B4/SER_hh_fec!B4)</f>
        <v>0.60827320218349823</v>
      </c>
      <c r="C4" s="135">
        <f>IF(SER_hh_tes!C4=0,"",SER_hh_tes!C4/SER_hh_fec!C4)</f>
        <v>0.62134259904190903</v>
      </c>
      <c r="D4" s="135">
        <f>IF(SER_hh_tes!D4=0,"",SER_hh_tes!D4/SER_hh_fec!D4)</f>
        <v>0.62021041898719931</v>
      </c>
      <c r="E4" s="135">
        <f>IF(SER_hh_tes!E4=0,"",SER_hh_tes!E4/SER_hh_fec!E4)</f>
        <v>0.6355765194376205</v>
      </c>
      <c r="F4" s="135">
        <f>IF(SER_hh_tes!F4=0,"",SER_hh_tes!F4/SER_hh_fec!F4)</f>
        <v>0.63760279372264872</v>
      </c>
      <c r="G4" s="135">
        <f>IF(SER_hh_tes!G4=0,"",SER_hh_tes!G4/SER_hh_fec!G4)</f>
        <v>0.64327432508087179</v>
      </c>
      <c r="H4" s="135">
        <f>IF(SER_hh_tes!H4=0,"",SER_hh_tes!H4/SER_hh_fec!H4)</f>
        <v>0.64659961955563716</v>
      </c>
      <c r="I4" s="135">
        <f>IF(SER_hh_tes!I4=0,"",SER_hh_tes!I4/SER_hh_fec!I4)</f>
        <v>0.65372907949231518</v>
      </c>
      <c r="J4" s="135">
        <f>IF(SER_hh_tes!J4=0,"",SER_hh_tes!J4/SER_hh_fec!J4)</f>
        <v>0.65325054060649834</v>
      </c>
      <c r="K4" s="135">
        <f>IF(SER_hh_tes!K4=0,"",SER_hh_tes!K4/SER_hh_fec!K4)</f>
        <v>0.66333644820263571</v>
      </c>
      <c r="L4" s="135">
        <f>IF(SER_hh_tes!L4=0,"",SER_hh_tes!L4/SER_hh_fec!L4)</f>
        <v>0.66737432977908073</v>
      </c>
      <c r="M4" s="135">
        <f>IF(SER_hh_tes!M4=0,"",SER_hh_tes!M4/SER_hh_fec!M4)</f>
        <v>0.66104201816429153</v>
      </c>
      <c r="N4" s="135">
        <f>IF(SER_hh_tes!N4=0,"",SER_hh_tes!N4/SER_hh_fec!N4)</f>
        <v>0.67838328413920068</v>
      </c>
      <c r="O4" s="135">
        <f>IF(SER_hh_tes!O4=0,"",SER_hh_tes!O4/SER_hh_fec!O4)</f>
        <v>0.67233344827764208</v>
      </c>
      <c r="P4" s="135">
        <f>IF(SER_hh_tes!P4=0,"",SER_hh_tes!P4/SER_hh_fec!P4)</f>
        <v>0.68062676020739765</v>
      </c>
      <c r="Q4" s="135">
        <f>IF(SER_hh_tes!Q4=0,"",SER_hh_tes!Q4/SER_hh_fec!Q4)</f>
        <v>0.68746202750676821</v>
      </c>
      <c r="R4" s="135">
        <f>IF(SER_hh_tes!R4=0,"",SER_hh_tes!R4/SER_hh_fec!R4)</f>
        <v>0.69011392932426519</v>
      </c>
      <c r="S4" s="135">
        <f>IF(SER_hh_tes!S4=0,"",SER_hh_tes!S4/SER_hh_fec!S4)</f>
        <v>0.70598490173758477</v>
      </c>
      <c r="T4" s="135">
        <f>IF(SER_hh_tes!T4=0,"",SER_hh_tes!T4/SER_hh_fec!T4)</f>
        <v>0.71451626753667097</v>
      </c>
      <c r="U4" s="135">
        <f>IF(SER_hh_tes!U4=0,"",SER_hh_tes!U4/SER_hh_fec!U4)</f>
        <v>0.71931305244275168</v>
      </c>
      <c r="V4" s="135">
        <f>IF(SER_hh_tes!V4=0,"",SER_hh_tes!V4/SER_hh_fec!V4)</f>
        <v>0.72441288501093903</v>
      </c>
      <c r="W4" s="135">
        <f>IF(SER_hh_tes!W4=0,"",SER_hh_tes!W4/SER_hh_fec!W4)</f>
        <v>0.74675875041372419</v>
      </c>
      <c r="X4" s="135">
        <f>IF(SER_hh_tes!X4=0,"",SER_hh_tes!X4/SER_hh_fec!X4)</f>
        <v>0.75497368504187601</v>
      </c>
      <c r="Y4" s="135">
        <f>IF(SER_hh_tes!Y4=0,"",SER_hh_tes!Y4/SER_hh_fec!Y4)</f>
        <v>0.76083849324256636</v>
      </c>
      <c r="DA4" s="162" t="s">
        <v>240</v>
      </c>
    </row>
    <row r="5" spans="1:105" ht="12" customHeight="1" x14ac:dyDescent="0.25">
      <c r="A5" s="131" t="s">
        <v>29</v>
      </c>
      <c r="B5" s="136">
        <f>IF(SER_hh_tes!B5=0,"",SER_hh_tes!B5/SER_hh_fec!B5)</f>
        <v>0.49279382943521211</v>
      </c>
      <c r="C5" s="136">
        <f>IF(SER_hh_tes!C5=0,"",SER_hh_tes!C5/SER_hh_fec!C5)</f>
        <v>0.49696295160658466</v>
      </c>
      <c r="D5" s="136">
        <f>IF(SER_hh_tes!D5=0,"",SER_hh_tes!D5/SER_hh_fec!D5)</f>
        <v>0.50735605181376009</v>
      </c>
      <c r="E5" s="136">
        <f>IF(SER_hh_tes!E5=0,"",SER_hh_tes!E5/SER_hh_fec!E5)</f>
        <v>0.5170676099223932</v>
      </c>
      <c r="F5" s="136">
        <f>IF(SER_hh_tes!F5=0,"",SER_hh_tes!F5/SER_hh_fec!F5)</f>
        <v>0.52941123132805634</v>
      </c>
      <c r="G5" s="136">
        <f>IF(SER_hh_tes!G5=0,"",SER_hh_tes!G5/SER_hh_fec!G5)</f>
        <v>0.54211930294254118</v>
      </c>
      <c r="H5" s="136">
        <f>IF(SER_hh_tes!H5=0,"",SER_hh_tes!H5/SER_hh_fec!H5)</f>
        <v>0.55107483075401187</v>
      </c>
      <c r="I5" s="136">
        <f>IF(SER_hh_tes!I5=0,"",SER_hh_tes!I5/SER_hh_fec!I5)</f>
        <v>0.55882465226432287</v>
      </c>
      <c r="J5" s="136">
        <f>IF(SER_hh_tes!J5=0,"",SER_hh_tes!J5/SER_hh_fec!J5)</f>
        <v>0.56686331726794337</v>
      </c>
      <c r="K5" s="136">
        <f>IF(SER_hh_tes!K5=0,"",SER_hh_tes!K5/SER_hh_fec!K5)</f>
        <v>0.57705839602721465</v>
      </c>
      <c r="L5" s="136">
        <f>IF(SER_hh_tes!L5=0,"",SER_hh_tes!L5/SER_hh_fec!L5)</f>
        <v>0.58722140098246367</v>
      </c>
      <c r="M5" s="136">
        <f>IF(SER_hh_tes!M5=0,"",SER_hh_tes!M5/SER_hh_fec!M5)</f>
        <v>0.59568169636211277</v>
      </c>
      <c r="N5" s="136">
        <f>IF(SER_hh_tes!N5=0,"",SER_hh_tes!N5/SER_hh_fec!N5)</f>
        <v>0.60462066940931503</v>
      </c>
      <c r="O5" s="136">
        <f>IF(SER_hh_tes!O5=0,"",SER_hh_tes!O5/SER_hh_fec!O5)</f>
        <v>0.61267066436233342</v>
      </c>
      <c r="P5" s="136">
        <f>IF(SER_hh_tes!P5=0,"",SER_hh_tes!P5/SER_hh_fec!P5)</f>
        <v>0.61391974455397924</v>
      </c>
      <c r="Q5" s="136">
        <f>IF(SER_hh_tes!Q5=0,"",SER_hh_tes!Q5/SER_hh_fec!Q5)</f>
        <v>0.61541072664898777</v>
      </c>
      <c r="R5" s="136">
        <f>IF(SER_hh_tes!R5=0,"",SER_hh_tes!R5/SER_hh_fec!R5)</f>
        <v>0.6203469242795443</v>
      </c>
      <c r="S5" s="136">
        <f>IF(SER_hh_tes!S5=0,"",SER_hh_tes!S5/SER_hh_fec!S5)</f>
        <v>0.6273844405601815</v>
      </c>
      <c r="T5" s="136">
        <f>IF(SER_hh_tes!T5=0,"",SER_hh_tes!T5/SER_hh_fec!T5)</f>
        <v>0.63570191146401211</v>
      </c>
      <c r="U5" s="136">
        <f>IF(SER_hh_tes!U5=0,"",SER_hh_tes!U5/SER_hh_fec!U5)</f>
        <v>0.64196248537233103</v>
      </c>
      <c r="V5" s="136">
        <f>IF(SER_hh_tes!V5=0,"",SER_hh_tes!V5/SER_hh_fec!V5)</f>
        <v>0.64719906945318906</v>
      </c>
      <c r="W5" s="136">
        <f>IF(SER_hh_tes!W5=0,"",SER_hh_tes!W5/SER_hh_fec!W5)</f>
        <v>0.65573461539299072</v>
      </c>
      <c r="X5" s="136">
        <f>IF(SER_hh_tes!X5=0,"",SER_hh_tes!X5/SER_hh_fec!X5)</f>
        <v>0.66568879140836701</v>
      </c>
      <c r="Y5" s="136">
        <f>IF(SER_hh_tes!Y5=0,"",SER_hh_tes!Y5/SER_hh_fec!Y5)</f>
        <v>0.67106153932304236</v>
      </c>
      <c r="DA5" s="163" t="s">
        <v>332</v>
      </c>
    </row>
    <row r="6" spans="1:105" ht="12" customHeight="1" x14ac:dyDescent="0.25">
      <c r="A6" s="131" t="s">
        <v>52</v>
      </c>
      <c r="B6" s="136" t="str">
        <f>IF(SER_hh_tes!B6=0,"",SER_hh_tes!B6/SER_hh_fec!B6)</f>
        <v/>
      </c>
      <c r="C6" s="136" t="str">
        <f>IF(SER_hh_tes!C6=0,"",SER_hh_tes!C6/SER_hh_fec!C6)</f>
        <v/>
      </c>
      <c r="D6" s="136" t="str">
        <f>IF(SER_hh_tes!D6=0,"",SER_hh_tes!D6/SER_hh_fec!D6)</f>
        <v/>
      </c>
      <c r="E6" s="136" t="str">
        <f>IF(SER_hh_tes!E6=0,"",SER_hh_tes!E6/SER_hh_fec!E6)</f>
        <v/>
      </c>
      <c r="F6" s="136" t="str">
        <f>IF(SER_hh_tes!F6=0,"",SER_hh_tes!F6/SER_hh_fec!F6)</f>
        <v/>
      </c>
      <c r="G6" s="136" t="str">
        <f>IF(SER_hh_tes!G6=0,"",SER_hh_tes!G6/SER_hh_fec!G6)</f>
        <v/>
      </c>
      <c r="H6" s="136" t="str">
        <f>IF(SER_hh_tes!H6=0,"",SER_hh_tes!H6/SER_hh_fec!H6)</f>
        <v/>
      </c>
      <c r="I6" s="136" t="str">
        <f>IF(SER_hh_tes!I6=0,"",SER_hh_tes!I6/SER_hh_fec!I6)</f>
        <v/>
      </c>
      <c r="J6" s="136" t="str">
        <f>IF(SER_hh_tes!J6=0,"",SER_hh_tes!J6/SER_hh_fec!J6)</f>
        <v/>
      </c>
      <c r="K6" s="136" t="str">
        <f>IF(SER_hh_tes!K6=0,"",SER_hh_tes!K6/SER_hh_fec!K6)</f>
        <v/>
      </c>
      <c r="L6" s="136" t="str">
        <f>IF(SER_hh_tes!L6=0,"",SER_hh_tes!L6/SER_hh_fec!L6)</f>
        <v/>
      </c>
      <c r="M6" s="136" t="str">
        <f>IF(SER_hh_tes!M6=0,"",SER_hh_tes!M6/SER_hh_fec!M6)</f>
        <v/>
      </c>
      <c r="N6" s="136" t="str">
        <f>IF(SER_hh_tes!N6=0,"",SER_hh_tes!N6/SER_hh_fec!N6)</f>
        <v/>
      </c>
      <c r="O6" s="136" t="str">
        <f>IF(SER_hh_tes!O6=0,"",SER_hh_tes!O6/SER_hh_fec!O6)</f>
        <v/>
      </c>
      <c r="P6" s="136" t="str">
        <f>IF(SER_hh_tes!P6=0,"",SER_hh_tes!P6/SER_hh_fec!P6)</f>
        <v/>
      </c>
      <c r="Q6" s="136" t="str">
        <f>IF(SER_hh_tes!Q6=0,"",SER_hh_tes!Q6/SER_hh_fec!Q6)</f>
        <v/>
      </c>
      <c r="R6" s="136" t="str">
        <f>IF(SER_hh_tes!R6=0,"",SER_hh_tes!R6/SER_hh_fec!R6)</f>
        <v/>
      </c>
      <c r="S6" s="136" t="str">
        <f>IF(SER_hh_tes!S6=0,"",SER_hh_tes!S6/SER_hh_fec!S6)</f>
        <v/>
      </c>
      <c r="T6" s="136" t="str">
        <f>IF(SER_hh_tes!T6=0,"",SER_hh_tes!T6/SER_hh_fec!T6)</f>
        <v/>
      </c>
      <c r="U6" s="136" t="str">
        <f>IF(SER_hh_tes!U6=0,"",SER_hh_tes!U6/SER_hh_fec!U6)</f>
        <v/>
      </c>
      <c r="V6" s="136" t="str">
        <f>IF(SER_hh_tes!V6=0,"",SER_hh_tes!V6/SER_hh_fec!V6)</f>
        <v/>
      </c>
      <c r="W6" s="136" t="str">
        <f>IF(SER_hh_tes!W6=0,"",SER_hh_tes!W6/SER_hh_fec!W6)</f>
        <v/>
      </c>
      <c r="X6" s="136" t="str">
        <f>IF(SER_hh_tes!X6=0,"",SER_hh_tes!X6/SER_hh_fec!X6)</f>
        <v/>
      </c>
      <c r="Y6" s="136" t="str">
        <f>IF(SER_hh_tes!Y6=0,"",SER_hh_tes!Y6/SER_hh_fec!Y6)</f>
        <v/>
      </c>
      <c r="DA6" s="163" t="s">
        <v>333</v>
      </c>
    </row>
    <row r="7" spans="1:105" ht="12" customHeight="1" x14ac:dyDescent="0.25">
      <c r="A7" s="131" t="s">
        <v>161</v>
      </c>
      <c r="B7" s="136">
        <f>IF(SER_hh_tes!B7=0,"",SER_hh_tes!B7/SER_hh_fec!B7)</f>
        <v>0.42300905645506032</v>
      </c>
      <c r="C7" s="136">
        <f>IF(SER_hh_tes!C7=0,"",SER_hh_tes!C7/SER_hh_fec!C7)</f>
        <v>0.42300905645506032</v>
      </c>
      <c r="D7" s="136">
        <f>IF(SER_hh_tes!D7=0,"",SER_hh_tes!D7/SER_hh_fec!D7)</f>
        <v>0.42300905645506032</v>
      </c>
      <c r="E7" s="136">
        <f>IF(SER_hh_tes!E7=0,"",SER_hh_tes!E7/SER_hh_fec!E7)</f>
        <v>0.42300905645506032</v>
      </c>
      <c r="F7" s="136">
        <f>IF(SER_hh_tes!F7=0,"",SER_hh_tes!F7/SER_hh_fec!F7)</f>
        <v>0.42300905645506032</v>
      </c>
      <c r="G7" s="136">
        <f>IF(SER_hh_tes!G7=0,"",SER_hh_tes!G7/SER_hh_fec!G7)</f>
        <v>0.42300905645506032</v>
      </c>
      <c r="H7" s="136">
        <f>IF(SER_hh_tes!H7=0,"",SER_hh_tes!H7/SER_hh_fec!H7)</f>
        <v>0.42300905645506032</v>
      </c>
      <c r="I7" s="136">
        <f>IF(SER_hh_tes!I7=0,"",SER_hh_tes!I7/SER_hh_fec!I7)</f>
        <v>0.42300905645506032</v>
      </c>
      <c r="J7" s="136">
        <f>IF(SER_hh_tes!J7=0,"",SER_hh_tes!J7/SER_hh_fec!J7)</f>
        <v>0.42663885837328214</v>
      </c>
      <c r="K7" s="136">
        <f>IF(SER_hh_tes!K7=0,"",SER_hh_tes!K7/SER_hh_fec!K7)</f>
        <v>0.43881639490299829</v>
      </c>
      <c r="L7" s="136">
        <f>IF(SER_hh_tes!L7=0,"",SER_hh_tes!L7/SER_hh_fec!L7)</f>
        <v>0.45689451667680675</v>
      </c>
      <c r="M7" s="136">
        <f>IF(SER_hh_tes!M7=0,"",SER_hh_tes!M7/SER_hh_fec!M7)</f>
        <v>0.48178362181516809</v>
      </c>
      <c r="N7" s="136">
        <f>IF(SER_hh_tes!N7=0,"",SER_hh_tes!N7/SER_hh_fec!N7)</f>
        <v>0.51146023648482708</v>
      </c>
      <c r="O7" s="136">
        <f>IF(SER_hh_tes!O7=0,"",SER_hh_tes!O7/SER_hh_fec!O7)</f>
        <v>0.54600213544026011</v>
      </c>
      <c r="P7" s="136">
        <f>IF(SER_hh_tes!P7=0,"",SER_hh_tes!P7/SER_hh_fec!P7)</f>
        <v>0.54614984383754672</v>
      </c>
      <c r="Q7" s="136">
        <f>IF(SER_hh_tes!Q7=0,"",SER_hh_tes!Q7/SER_hh_fec!Q7)</f>
        <v>0.5461651594596072</v>
      </c>
      <c r="R7" s="136">
        <f>IF(SER_hh_tes!R7=0,"",SER_hh_tes!R7/SER_hh_fec!R7)</f>
        <v>0.54616515945960697</v>
      </c>
      <c r="S7" s="136">
        <f>IF(SER_hh_tes!S7=0,"",SER_hh_tes!S7/SER_hh_fec!S7)</f>
        <v>0.54616515945960697</v>
      </c>
      <c r="T7" s="136">
        <f>IF(SER_hh_tes!T7=0,"",SER_hh_tes!T7/SER_hh_fec!T7)</f>
        <v>0.54616515945960709</v>
      </c>
      <c r="U7" s="136">
        <f>IF(SER_hh_tes!U7=0,"",SER_hh_tes!U7/SER_hh_fec!U7)</f>
        <v>0.5592608774130905</v>
      </c>
      <c r="V7" s="136">
        <f>IF(SER_hh_tes!V7=0,"",SER_hh_tes!V7/SER_hh_fec!V7)</f>
        <v>0.57099086929990828</v>
      </c>
      <c r="W7" s="136">
        <f>IF(SER_hh_tes!W7=0,"",SER_hh_tes!W7/SER_hh_fec!W7)</f>
        <v>0.58229357649989322</v>
      </c>
      <c r="X7" s="136">
        <f>IF(SER_hh_tes!X7=0,"",SER_hh_tes!X7/SER_hh_fec!X7)</f>
        <v>0.59379366612581586</v>
      </c>
      <c r="Y7" s="136">
        <f>IF(SER_hh_tes!Y7=0,"",SER_hh_tes!Y7/SER_hh_fec!Y7)</f>
        <v>0.61660011295147865</v>
      </c>
      <c r="DA7" s="163" t="s">
        <v>334</v>
      </c>
    </row>
    <row r="8" spans="1:105" ht="12" customHeight="1" x14ac:dyDescent="0.25">
      <c r="A8" s="131" t="s">
        <v>73</v>
      </c>
      <c r="B8" s="136" t="str">
        <f>IF(SER_hh_tes!B8=0,"",SER_hh_tes!B8/SER_hh_fec!B8)</f>
        <v/>
      </c>
      <c r="C8" s="136" t="str">
        <f>IF(SER_hh_tes!C8=0,"",SER_hh_tes!C8/SER_hh_fec!C8)</f>
        <v/>
      </c>
      <c r="D8" s="136" t="str">
        <f>IF(SER_hh_tes!D8=0,"",SER_hh_tes!D8/SER_hh_fec!D8)</f>
        <v/>
      </c>
      <c r="E8" s="136" t="str">
        <f>IF(SER_hh_tes!E8=0,"",SER_hh_tes!E8/SER_hh_fec!E8)</f>
        <v/>
      </c>
      <c r="F8" s="136" t="str">
        <f>IF(SER_hh_tes!F8=0,"",SER_hh_tes!F8/SER_hh_fec!F8)</f>
        <v/>
      </c>
      <c r="G8" s="136" t="str">
        <f>IF(SER_hh_tes!G8=0,"",SER_hh_tes!G8/SER_hh_fec!G8)</f>
        <v/>
      </c>
      <c r="H8" s="136" t="str">
        <f>IF(SER_hh_tes!H8=0,"",SER_hh_tes!H8/SER_hh_fec!H8)</f>
        <v/>
      </c>
      <c r="I8" s="136" t="str">
        <f>IF(SER_hh_tes!I8=0,"",SER_hh_tes!I8/SER_hh_fec!I8)</f>
        <v/>
      </c>
      <c r="J8" s="136" t="str">
        <f>IF(SER_hh_tes!J8=0,"",SER_hh_tes!J8/SER_hh_fec!J8)</f>
        <v/>
      </c>
      <c r="K8" s="136" t="str">
        <f>IF(SER_hh_tes!K8=0,"",SER_hh_tes!K8/SER_hh_fec!K8)</f>
        <v/>
      </c>
      <c r="L8" s="136" t="str">
        <f>IF(SER_hh_tes!L8=0,"",SER_hh_tes!L8/SER_hh_fec!L8)</f>
        <v/>
      </c>
      <c r="M8" s="136" t="str">
        <f>IF(SER_hh_tes!M8=0,"",SER_hh_tes!M8/SER_hh_fec!M8)</f>
        <v/>
      </c>
      <c r="N8" s="136" t="str">
        <f>IF(SER_hh_tes!N8=0,"",SER_hh_tes!N8/SER_hh_fec!N8)</f>
        <v/>
      </c>
      <c r="O8" s="136" t="str">
        <f>IF(SER_hh_tes!O8=0,"",SER_hh_tes!O8/SER_hh_fec!O8)</f>
        <v/>
      </c>
      <c r="P8" s="136" t="str">
        <f>IF(SER_hh_tes!P8=0,"",SER_hh_tes!P8/SER_hh_fec!P8)</f>
        <v/>
      </c>
      <c r="Q8" s="136" t="str">
        <f>IF(SER_hh_tes!Q8=0,"",SER_hh_tes!Q8/SER_hh_fec!Q8)</f>
        <v/>
      </c>
      <c r="R8" s="136" t="str">
        <f>IF(SER_hh_tes!R8=0,"",SER_hh_tes!R8/SER_hh_fec!R8)</f>
        <v/>
      </c>
      <c r="S8" s="136" t="str">
        <f>IF(SER_hh_tes!S8=0,"",SER_hh_tes!S8/SER_hh_fec!S8)</f>
        <v/>
      </c>
      <c r="T8" s="136" t="str">
        <f>IF(SER_hh_tes!T8=0,"",SER_hh_tes!T8/SER_hh_fec!T8)</f>
        <v/>
      </c>
      <c r="U8" s="136" t="str">
        <f>IF(SER_hh_tes!U8=0,"",SER_hh_tes!U8/SER_hh_fec!U8)</f>
        <v/>
      </c>
      <c r="V8" s="136" t="str">
        <f>IF(SER_hh_tes!V8=0,"",SER_hh_tes!V8/SER_hh_fec!V8)</f>
        <v/>
      </c>
      <c r="W8" s="136" t="str">
        <f>IF(SER_hh_tes!W8=0,"",SER_hh_tes!W8/SER_hh_fec!W8)</f>
        <v/>
      </c>
      <c r="X8" s="136" t="str">
        <f>IF(SER_hh_tes!X8=0,"",SER_hh_tes!X8/SER_hh_fec!X8)</f>
        <v/>
      </c>
      <c r="Y8" s="136" t="str">
        <f>IF(SER_hh_tes!Y8=0,"",SER_hh_tes!Y8/SER_hh_fec!Y8)</f>
        <v/>
      </c>
      <c r="DA8" s="163" t="s">
        <v>335</v>
      </c>
    </row>
    <row r="9" spans="1:105" ht="12" customHeight="1" x14ac:dyDescent="0.25">
      <c r="A9" s="131" t="s">
        <v>78</v>
      </c>
      <c r="B9" s="136">
        <f>IF(SER_hh_tes!B9=0,"",SER_hh_tes!B9/SER_hh_fec!B9)</f>
        <v>0.45722812203227653</v>
      </c>
      <c r="C9" s="136">
        <f>IF(SER_hh_tes!C9=0,"",SER_hh_tes!C9/SER_hh_fec!C9)</f>
        <v>0.46481570088622892</v>
      </c>
      <c r="D9" s="136">
        <f>IF(SER_hh_tes!D9=0,"",SER_hh_tes!D9/SER_hh_fec!D9)</f>
        <v>0.47427434453594836</v>
      </c>
      <c r="E9" s="136">
        <f>IF(SER_hh_tes!E9=0,"",SER_hh_tes!E9/SER_hh_fec!E9)</f>
        <v>0.48207773665256637</v>
      </c>
      <c r="F9" s="136">
        <f>IF(SER_hh_tes!F9=0,"",SER_hh_tes!F9/SER_hh_fec!F9)</f>
        <v>0.48981474637555372</v>
      </c>
      <c r="G9" s="136">
        <f>IF(SER_hh_tes!G9=0,"",SER_hh_tes!G9/SER_hh_fec!G9)</f>
        <v>0.49560587071452894</v>
      </c>
      <c r="H9" s="136">
        <f>IF(SER_hh_tes!H9=0,"",SER_hh_tes!H9/SER_hh_fec!H9)</f>
        <v>0.50133805446979818</v>
      </c>
      <c r="I9" s="136">
        <f>IF(SER_hh_tes!I9=0,"",SER_hh_tes!I9/SER_hh_fec!I9)</f>
        <v>0.50742556039012487</v>
      </c>
      <c r="J9" s="136">
        <f>IF(SER_hh_tes!J9=0,"",SER_hh_tes!J9/SER_hh_fec!J9)</f>
        <v>0.51190056813284956</v>
      </c>
      <c r="K9" s="136">
        <f>IF(SER_hh_tes!K9=0,"",SER_hh_tes!K9/SER_hh_fec!K9)</f>
        <v>0.51544515879908626</v>
      </c>
      <c r="L9" s="136">
        <f>IF(SER_hh_tes!L9=0,"",SER_hh_tes!L9/SER_hh_fec!L9)</f>
        <v>0.51950015833201113</v>
      </c>
      <c r="M9" s="136">
        <f>IF(SER_hh_tes!M9=0,"",SER_hh_tes!M9/SER_hh_fec!M9)</f>
        <v>0.52439370587092493</v>
      </c>
      <c r="N9" s="136">
        <f>IF(SER_hh_tes!N9=0,"",SER_hh_tes!N9/SER_hh_fec!N9)</f>
        <v>0.53161676287097026</v>
      </c>
      <c r="O9" s="136">
        <f>IF(SER_hh_tes!O9=0,"",SER_hh_tes!O9/SER_hh_fec!O9)</f>
        <v>0.54284476601266718</v>
      </c>
      <c r="P9" s="136">
        <f>IF(SER_hh_tes!P9=0,"",SER_hh_tes!P9/SER_hh_fec!P9)</f>
        <v>0.55219597771055062</v>
      </c>
      <c r="Q9" s="136">
        <f>IF(SER_hh_tes!Q9=0,"",SER_hh_tes!Q9/SER_hh_fec!Q9)</f>
        <v>0.56718936191610636</v>
      </c>
      <c r="R9" s="136">
        <f>IF(SER_hh_tes!R9=0,"",SER_hh_tes!R9/SER_hh_fec!R9)</f>
        <v>0.57960425211083422</v>
      </c>
      <c r="S9" s="136">
        <f>IF(SER_hh_tes!S9=0,"",SER_hh_tes!S9/SER_hh_fec!S9)</f>
        <v>0.5946096452136056</v>
      </c>
      <c r="T9" s="136">
        <f>IF(SER_hh_tes!T9=0,"",SER_hh_tes!T9/SER_hh_fec!T9)</f>
        <v>0.61149481615209034</v>
      </c>
      <c r="U9" s="136">
        <f>IF(SER_hh_tes!U9=0,"",SER_hh_tes!U9/SER_hh_fec!U9)</f>
        <v>0.62959840692536573</v>
      </c>
      <c r="V9" s="136">
        <f>IF(SER_hh_tes!V9=0,"",SER_hh_tes!V9/SER_hh_fec!V9)</f>
        <v>0.64181096238647939</v>
      </c>
      <c r="W9" s="136">
        <f>IF(SER_hh_tes!W9=0,"",SER_hh_tes!W9/SER_hh_fec!W9)</f>
        <v>0.65873855900871237</v>
      </c>
      <c r="X9" s="136">
        <f>IF(SER_hh_tes!X9=0,"",SER_hh_tes!X9/SER_hh_fec!X9)</f>
        <v>0.67465720264600382</v>
      </c>
      <c r="Y9" s="136">
        <f>IF(SER_hh_tes!Y9=0,"",SER_hh_tes!Y9/SER_hh_fec!Y9)</f>
        <v>0.68831054210779741</v>
      </c>
      <c r="DA9" s="163" t="s">
        <v>336</v>
      </c>
    </row>
    <row r="10" spans="1:105" ht="12" customHeight="1" x14ac:dyDescent="0.25">
      <c r="A10" s="131" t="s">
        <v>128</v>
      </c>
      <c r="B10" s="136">
        <f>IF(SER_hh_tes!B10=0,"",SER_hh_tes!B10/SER_hh_fec!B10)</f>
        <v>0.41687252539635056</v>
      </c>
      <c r="C10" s="136">
        <f>IF(SER_hh_tes!C10=0,"",SER_hh_tes!C10/SER_hh_fec!C10)</f>
        <v>0.4236299985852317</v>
      </c>
      <c r="D10" s="136">
        <f>IF(SER_hh_tes!D10=0,"",SER_hh_tes!D10/SER_hh_fec!D10)</f>
        <v>0.42709544431555163</v>
      </c>
      <c r="E10" s="136">
        <f>IF(SER_hh_tes!E10=0,"",SER_hh_tes!E10/SER_hh_fec!E10)</f>
        <v>0.42939351587454949</v>
      </c>
      <c r="F10" s="136">
        <f>IF(SER_hh_tes!F10=0,"",SER_hh_tes!F10/SER_hh_fec!F10)</f>
        <v>0.43299549397007581</v>
      </c>
      <c r="G10" s="136">
        <f>IF(SER_hh_tes!G10=0,"",SER_hh_tes!G10/SER_hh_fec!G10)</f>
        <v>0.439103391954555</v>
      </c>
      <c r="H10" s="136">
        <f>IF(SER_hh_tes!H10=0,"",SER_hh_tes!H10/SER_hh_fec!H10)</f>
        <v>0.44723068238501534</v>
      </c>
      <c r="I10" s="136">
        <f>IF(SER_hh_tes!I10=0,"",SER_hh_tes!I10/SER_hh_fec!I10)</f>
        <v>0.45758080918031691</v>
      </c>
      <c r="J10" s="136">
        <f>IF(SER_hh_tes!J10=0,"",SER_hh_tes!J10/SER_hh_fec!J10)</f>
        <v>0.46874133490087305</v>
      </c>
      <c r="K10" s="136">
        <f>IF(SER_hh_tes!K10=0,"",SER_hh_tes!K10/SER_hh_fec!K10)</f>
        <v>0.47890076758122446</v>
      </c>
      <c r="L10" s="136">
        <f>IF(SER_hh_tes!L10=0,"",SER_hh_tes!L10/SER_hh_fec!L10)</f>
        <v>0.48781244975940752</v>
      </c>
      <c r="M10" s="136">
        <f>IF(SER_hh_tes!M10=0,"",SER_hh_tes!M10/SER_hh_fec!M10)</f>
        <v>0.49648845122206214</v>
      </c>
      <c r="N10" s="136">
        <f>IF(SER_hh_tes!N10=0,"",SER_hh_tes!N10/SER_hh_fec!N10)</f>
        <v>0.50384132303725704</v>
      </c>
      <c r="O10" s="136">
        <f>IF(SER_hh_tes!O10=0,"",SER_hh_tes!O10/SER_hh_fec!O10)</f>
        <v>0.5092581766631209</v>
      </c>
      <c r="P10" s="136">
        <f>IF(SER_hh_tes!P10=0,"",SER_hh_tes!P10/SER_hh_fec!P10)</f>
        <v>0.50934393606429162</v>
      </c>
      <c r="Q10" s="136">
        <f>IF(SER_hh_tes!Q10=0,"",SER_hh_tes!Q10/SER_hh_fec!Q10)</f>
        <v>0.50941437127541878</v>
      </c>
      <c r="R10" s="136">
        <f>IF(SER_hh_tes!R10=0,"",SER_hh_tes!R10/SER_hh_fec!R10)</f>
        <v>0.50946207332317373</v>
      </c>
      <c r="S10" s="136">
        <f>IF(SER_hh_tes!S10=0,"",SER_hh_tes!S10/SER_hh_fec!S10)</f>
        <v>0.50952159806027764</v>
      </c>
      <c r="T10" s="136">
        <f>IF(SER_hh_tes!T10=0,"",SER_hh_tes!T10/SER_hh_fec!T10)</f>
        <v>0.5095571400234028</v>
      </c>
      <c r="U10" s="136">
        <f>IF(SER_hh_tes!U10=0,"",SER_hh_tes!U10/SER_hh_fec!U10)</f>
        <v>0.50971770370727487</v>
      </c>
      <c r="V10" s="136">
        <f>IF(SER_hh_tes!V10=0,"",SER_hh_tes!V10/SER_hh_fec!V10)</f>
        <v>0.50989402177204446</v>
      </c>
      <c r="W10" s="136">
        <f>IF(SER_hh_tes!W10=0,"",SER_hh_tes!W10/SER_hh_fec!W10)</f>
        <v>0.51019720085739995</v>
      </c>
      <c r="X10" s="136">
        <f>IF(SER_hh_tes!X10=0,"",SER_hh_tes!X10/SER_hh_fec!X10)</f>
        <v>0.5109493823725797</v>
      </c>
      <c r="Y10" s="136">
        <f>IF(SER_hh_tes!Y10=0,"",SER_hh_tes!Y10/SER_hh_fec!Y10)</f>
        <v>0.51244206919103263</v>
      </c>
      <c r="DA10" s="163" t="s">
        <v>337</v>
      </c>
    </row>
    <row r="11" spans="1:105" ht="12" customHeight="1" x14ac:dyDescent="0.25">
      <c r="A11" s="131" t="s">
        <v>25</v>
      </c>
      <c r="B11" s="136" t="str">
        <f>IF(SER_hh_tes!B11=0,"",SER_hh_tes!B11/SER_hh_fec!B11)</f>
        <v/>
      </c>
      <c r="C11" s="136" t="str">
        <f>IF(SER_hh_tes!C11=0,"",SER_hh_tes!C11/SER_hh_fec!C11)</f>
        <v/>
      </c>
      <c r="D11" s="136" t="str">
        <f>IF(SER_hh_tes!D11=0,"",SER_hh_tes!D11/SER_hh_fec!D11)</f>
        <v/>
      </c>
      <c r="E11" s="136" t="str">
        <f>IF(SER_hh_tes!E11=0,"",SER_hh_tes!E11/SER_hh_fec!E11)</f>
        <v/>
      </c>
      <c r="F11" s="136" t="str">
        <f>IF(SER_hh_tes!F11=0,"",SER_hh_tes!F11/SER_hh_fec!F11)</f>
        <v/>
      </c>
      <c r="G11" s="136" t="str">
        <f>IF(SER_hh_tes!G11=0,"",SER_hh_tes!G11/SER_hh_fec!G11)</f>
        <v/>
      </c>
      <c r="H11" s="136" t="str">
        <f>IF(SER_hh_tes!H11=0,"",SER_hh_tes!H11/SER_hh_fec!H11)</f>
        <v/>
      </c>
      <c r="I11" s="136" t="str">
        <f>IF(SER_hh_tes!I11=0,"",SER_hh_tes!I11/SER_hh_fec!I11)</f>
        <v/>
      </c>
      <c r="J11" s="136" t="str">
        <f>IF(SER_hh_tes!J11=0,"",SER_hh_tes!J11/SER_hh_fec!J11)</f>
        <v/>
      </c>
      <c r="K11" s="136" t="str">
        <f>IF(SER_hh_tes!K11=0,"",SER_hh_tes!K11/SER_hh_fec!K11)</f>
        <v/>
      </c>
      <c r="L11" s="136" t="str">
        <f>IF(SER_hh_tes!L11=0,"",SER_hh_tes!L11/SER_hh_fec!L11)</f>
        <v/>
      </c>
      <c r="M11" s="136" t="str">
        <f>IF(SER_hh_tes!M11=0,"",SER_hh_tes!M11/SER_hh_fec!M11)</f>
        <v/>
      </c>
      <c r="N11" s="136" t="str">
        <f>IF(SER_hh_tes!N11=0,"",SER_hh_tes!N11/SER_hh_fec!N11)</f>
        <v/>
      </c>
      <c r="O11" s="136" t="str">
        <f>IF(SER_hh_tes!O11=0,"",SER_hh_tes!O11/SER_hh_fec!O11)</f>
        <v/>
      </c>
      <c r="P11" s="136" t="str">
        <f>IF(SER_hh_tes!P11=0,"",SER_hh_tes!P11/SER_hh_fec!P11)</f>
        <v/>
      </c>
      <c r="Q11" s="136" t="str">
        <f>IF(SER_hh_tes!Q11=0,"",SER_hh_tes!Q11/SER_hh_fec!Q11)</f>
        <v/>
      </c>
      <c r="R11" s="136" t="str">
        <f>IF(SER_hh_tes!R11=0,"",SER_hh_tes!R11/SER_hh_fec!R11)</f>
        <v/>
      </c>
      <c r="S11" s="136" t="str">
        <f>IF(SER_hh_tes!S11=0,"",SER_hh_tes!S11/SER_hh_fec!S11)</f>
        <v/>
      </c>
      <c r="T11" s="136" t="str">
        <f>IF(SER_hh_tes!T11=0,"",SER_hh_tes!T11/SER_hh_fec!T11)</f>
        <v/>
      </c>
      <c r="U11" s="136" t="str">
        <f>IF(SER_hh_tes!U11=0,"",SER_hh_tes!U11/SER_hh_fec!U11)</f>
        <v/>
      </c>
      <c r="V11" s="136" t="str">
        <f>IF(SER_hh_tes!V11=0,"",SER_hh_tes!V11/SER_hh_fec!V11)</f>
        <v/>
      </c>
      <c r="W11" s="136" t="str">
        <f>IF(SER_hh_tes!W11=0,"",SER_hh_tes!W11/SER_hh_fec!W11)</f>
        <v/>
      </c>
      <c r="X11" s="136" t="str">
        <f>IF(SER_hh_tes!X11=0,"",SER_hh_tes!X11/SER_hh_fec!X11)</f>
        <v/>
      </c>
      <c r="Y11" s="136" t="str">
        <f>IF(SER_hh_tes!Y11=0,"",SER_hh_tes!Y11/SER_hh_fec!Y11)</f>
        <v/>
      </c>
      <c r="DA11" s="163" t="s">
        <v>338</v>
      </c>
    </row>
    <row r="12" spans="1:105" ht="12" customHeight="1" x14ac:dyDescent="0.25">
      <c r="A12" s="131" t="s">
        <v>162</v>
      </c>
      <c r="B12" s="136">
        <f>IF(SER_hh_tes!B12=0,"",SER_hh_tes!B12/SER_hh_fec!B12)</f>
        <v>0.72424526738205863</v>
      </c>
      <c r="C12" s="136">
        <f>IF(SER_hh_tes!C12=0,"",SER_hh_tes!C12/SER_hh_fec!C12)</f>
        <v>0.72739668984651507</v>
      </c>
      <c r="D12" s="136">
        <f>IF(SER_hh_tes!D12=0,"",SER_hh_tes!D12/SER_hh_fec!D12)</f>
        <v>0.73002403766865265</v>
      </c>
      <c r="E12" s="136">
        <f>IF(SER_hh_tes!E12=0,"",SER_hh_tes!E12/SER_hh_fec!E12)</f>
        <v>0.73350012677273169</v>
      </c>
      <c r="F12" s="136">
        <f>IF(SER_hh_tes!F12=0,"",SER_hh_tes!F12/SER_hh_fec!F12)</f>
        <v>0.73636224282520435</v>
      </c>
      <c r="G12" s="136">
        <f>IF(SER_hh_tes!G12=0,"",SER_hh_tes!G12/SER_hh_fec!G12)</f>
        <v>0.73952057511336633</v>
      </c>
      <c r="H12" s="136">
        <f>IF(SER_hh_tes!H12=0,"",SER_hh_tes!H12/SER_hh_fec!H12)</f>
        <v>0.74219169392310425</v>
      </c>
      <c r="I12" s="136">
        <f>IF(SER_hh_tes!I12=0,"",SER_hh_tes!I12/SER_hh_fec!I12)</f>
        <v>0.74698441380318881</v>
      </c>
      <c r="J12" s="136">
        <f>IF(SER_hh_tes!J12=0,"",SER_hh_tes!J12/SER_hh_fec!J12)</f>
        <v>0.75028214372115065</v>
      </c>
      <c r="K12" s="136">
        <f>IF(SER_hh_tes!K12=0,"",SER_hh_tes!K12/SER_hh_fec!K12)</f>
        <v>0.75286985373327064</v>
      </c>
      <c r="L12" s="136">
        <f>IF(SER_hh_tes!L12=0,"",SER_hh_tes!L12/SER_hh_fec!L12)</f>
        <v>0.7562706275463178</v>
      </c>
      <c r="M12" s="136">
        <f>IF(SER_hh_tes!M12=0,"",SER_hh_tes!M12/SER_hh_fec!M12)</f>
        <v>0.7600026436307814</v>
      </c>
      <c r="N12" s="136">
        <f>IF(SER_hh_tes!N12=0,"",SER_hh_tes!N12/SER_hh_fec!N12)</f>
        <v>0.76381611779375247</v>
      </c>
      <c r="O12" s="136">
        <f>IF(SER_hh_tes!O12=0,"",SER_hh_tes!O12/SER_hh_fec!O12)</f>
        <v>0.76788423178305265</v>
      </c>
      <c r="P12" s="136">
        <f>IF(SER_hh_tes!P12=0,"",SER_hh_tes!P12/SER_hh_fec!P12)</f>
        <v>0.77064204754843113</v>
      </c>
      <c r="Q12" s="136">
        <f>IF(SER_hh_tes!Q12=0,"",SER_hh_tes!Q12/SER_hh_fec!Q12)</f>
        <v>0.77403355888292147</v>
      </c>
      <c r="R12" s="136">
        <f>IF(SER_hh_tes!R12=0,"",SER_hh_tes!R12/SER_hh_fec!R12)</f>
        <v>0.7785396747212382</v>
      </c>
      <c r="S12" s="136">
        <f>IF(SER_hh_tes!S12=0,"",SER_hh_tes!S12/SER_hh_fec!S12)</f>
        <v>0.78475153825138011</v>
      </c>
      <c r="T12" s="136">
        <f>IF(SER_hh_tes!T12=0,"",SER_hh_tes!T12/SER_hh_fec!T12)</f>
        <v>0.7898003583421046</v>
      </c>
      <c r="U12" s="136">
        <f>IF(SER_hh_tes!U12=0,"",SER_hh_tes!U12/SER_hh_fec!U12)</f>
        <v>0.79555921578291577</v>
      </c>
      <c r="V12" s="136">
        <f>IF(SER_hh_tes!V12=0,"",SER_hh_tes!V12/SER_hh_fec!V12)</f>
        <v>0.80308015738788596</v>
      </c>
      <c r="W12" s="136">
        <f>IF(SER_hh_tes!W12=0,"",SER_hh_tes!W12/SER_hh_fec!W12)</f>
        <v>0.80938420855875315</v>
      </c>
      <c r="X12" s="136">
        <f>IF(SER_hh_tes!X12=0,"",SER_hh_tes!X12/SER_hh_fec!X12)</f>
        <v>0.81558275158772731</v>
      </c>
      <c r="Y12" s="136">
        <f>IF(SER_hh_tes!Y12=0,"",SER_hh_tes!Y12/SER_hh_fec!Y12)</f>
        <v>0.82338705996669337</v>
      </c>
      <c r="DA12" s="163" t="s">
        <v>339</v>
      </c>
    </row>
    <row r="13" spans="1:105" ht="12" customHeight="1" x14ac:dyDescent="0.25">
      <c r="A13" s="131" t="s">
        <v>77</v>
      </c>
      <c r="B13" s="136">
        <f>IF(SER_hh_tes!B13=0,"",SER_hh_tes!B13/SER_hh_fec!B13)</f>
        <v>1.4159023425567465</v>
      </c>
      <c r="C13" s="136">
        <f>IF(SER_hh_tes!C13=0,"",SER_hh_tes!C13/SER_hh_fec!C13)</f>
        <v>1.4304131765517354</v>
      </c>
      <c r="D13" s="136">
        <f>IF(SER_hh_tes!D13=0,"",SER_hh_tes!D13/SER_hh_fec!D13)</f>
        <v>1.483623240214677</v>
      </c>
      <c r="E13" s="136">
        <f>IF(SER_hh_tes!E13=0,"",SER_hh_tes!E13/SER_hh_fec!E13)</f>
        <v>1.540313899558875</v>
      </c>
      <c r="F13" s="136">
        <f>IF(SER_hh_tes!F13=0,"",SER_hh_tes!F13/SER_hh_fec!F13)</f>
        <v>1.593319419186952</v>
      </c>
      <c r="G13" s="136">
        <f>IF(SER_hh_tes!G13=0,"",SER_hh_tes!G13/SER_hh_fec!G13)</f>
        <v>1.649204301862581</v>
      </c>
      <c r="H13" s="136">
        <f>IF(SER_hh_tes!H13=0,"",SER_hh_tes!H13/SER_hh_fec!H13)</f>
        <v>1.7151854966057232</v>
      </c>
      <c r="I13" s="136">
        <f>IF(SER_hh_tes!I13=0,"",SER_hh_tes!I13/SER_hh_fec!I13)</f>
        <v>1.78900650295797</v>
      </c>
      <c r="J13" s="136">
        <f>IF(SER_hh_tes!J13=0,"",SER_hh_tes!J13/SER_hh_fec!J13)</f>
        <v>1.8694125181057424</v>
      </c>
      <c r="K13" s="136">
        <f>IF(SER_hh_tes!K13=0,"",SER_hh_tes!K13/SER_hh_fec!K13)</f>
        <v>1.9457054510924499</v>
      </c>
      <c r="L13" s="136">
        <f>IF(SER_hh_tes!L13=0,"",SER_hh_tes!L13/SER_hh_fec!L13)</f>
        <v>2.0322293962300351</v>
      </c>
      <c r="M13" s="136">
        <f>IF(SER_hh_tes!M13=0,"",SER_hh_tes!M13/SER_hh_fec!M13)</f>
        <v>2.1514612070834929</v>
      </c>
      <c r="N13" s="136">
        <f>IF(SER_hh_tes!N13=0,"",SER_hh_tes!N13/SER_hh_fec!N13)</f>
        <v>2.2814649553349065</v>
      </c>
      <c r="O13" s="136">
        <f>IF(SER_hh_tes!O13=0,"",SER_hh_tes!O13/SER_hh_fec!O13)</f>
        <v>2.4169487366034885</v>
      </c>
      <c r="P13" s="136">
        <f>IF(SER_hh_tes!P13=0,"",SER_hh_tes!P13/SER_hh_fec!P13)</f>
        <v>2.5389507659780644</v>
      </c>
      <c r="Q13" s="136">
        <f>IF(SER_hh_tes!Q13=0,"",SER_hh_tes!Q13/SER_hh_fec!Q13)</f>
        <v>2.6157783153296466</v>
      </c>
      <c r="R13" s="136">
        <f>IF(SER_hh_tes!R13=0,"",SER_hh_tes!R13/SER_hh_fec!R13)</f>
        <v>2.6546073280421405</v>
      </c>
      <c r="S13" s="136">
        <f>IF(SER_hh_tes!S13=0,"",SER_hh_tes!S13/SER_hh_fec!S13)</f>
        <v>2.6751071149216048</v>
      </c>
      <c r="T13" s="136">
        <f>IF(SER_hh_tes!T13=0,"",SER_hh_tes!T13/SER_hh_fec!T13)</f>
        <v>2.7107813305148984</v>
      </c>
      <c r="U13" s="136">
        <f>IF(SER_hh_tes!U13=0,"",SER_hh_tes!U13/SER_hh_fec!U13)</f>
        <v>2.8136548927566549</v>
      </c>
      <c r="V13" s="136">
        <f>IF(SER_hh_tes!V13=0,"",SER_hh_tes!V13/SER_hh_fec!V13)</f>
        <v>2.95927657163636</v>
      </c>
      <c r="W13" s="136">
        <f>IF(SER_hh_tes!W13=0,"",SER_hh_tes!W13/SER_hh_fec!W13)</f>
        <v>3.2280847830188502</v>
      </c>
      <c r="X13" s="136">
        <f>IF(SER_hh_tes!X13=0,"",SER_hh_tes!X13/SER_hh_fec!X13)</f>
        <v>3.4304358248928128</v>
      </c>
      <c r="Y13" s="136">
        <f>IF(SER_hh_tes!Y13=0,"",SER_hh_tes!Y13/SER_hh_fec!Y13)</f>
        <v>3.5805285403559943</v>
      </c>
      <c r="DA13" s="163" t="s">
        <v>340</v>
      </c>
    </row>
    <row r="14" spans="1:105" ht="12" customHeight="1" x14ac:dyDescent="0.25">
      <c r="A14" s="60" t="s">
        <v>76</v>
      </c>
      <c r="B14" s="137">
        <f>IF(SER_hh_tes!B14=0,"",SER_hh_tes!B14/SER_hh_fec!B14)</f>
        <v>0.64028648220262108</v>
      </c>
      <c r="C14" s="137">
        <f>IF(SER_hh_tes!C14=0,"",SER_hh_tes!C14/SER_hh_fec!C14)</f>
        <v>0.64478773446769899</v>
      </c>
      <c r="D14" s="137">
        <f>IF(SER_hh_tes!D14=0,"",SER_hh_tes!D14/SER_hh_fec!D14)</f>
        <v>0.65314678160570838</v>
      </c>
      <c r="E14" s="137">
        <f>IF(SER_hh_tes!E14=0,"",SER_hh_tes!E14/SER_hh_fec!E14)</f>
        <v>0.66146829115256289</v>
      </c>
      <c r="F14" s="137">
        <f>IF(SER_hh_tes!F14=0,"",SER_hh_tes!F14/SER_hh_fec!F14)</f>
        <v>0.66701527827133278</v>
      </c>
      <c r="G14" s="137">
        <f>IF(SER_hh_tes!G14=0,"",SER_hh_tes!G14/SER_hh_fec!G14)</f>
        <v>0.67159001953490738</v>
      </c>
      <c r="H14" s="137">
        <f>IF(SER_hh_tes!H14=0,"",SER_hh_tes!H14/SER_hh_fec!H14)</f>
        <v>0.67649812450926838</v>
      </c>
      <c r="I14" s="137">
        <f>IF(SER_hh_tes!I14=0,"",SER_hh_tes!I14/SER_hh_fec!I14)</f>
        <v>0.68006928349236451</v>
      </c>
      <c r="J14" s="137">
        <f>IF(SER_hh_tes!J14=0,"",SER_hh_tes!J14/SER_hh_fec!J14)</f>
        <v>0.68290088748575672</v>
      </c>
      <c r="K14" s="137">
        <f>IF(SER_hh_tes!K14=0,"",SER_hh_tes!K14/SER_hh_fec!K14)</f>
        <v>0.68480493284625765</v>
      </c>
      <c r="L14" s="137">
        <f>IF(SER_hh_tes!L14=0,"",SER_hh_tes!L14/SER_hh_fec!L14)</f>
        <v>0.6863632049285644</v>
      </c>
      <c r="M14" s="137">
        <f>IF(SER_hh_tes!M14=0,"",SER_hh_tes!M14/SER_hh_fec!M14)</f>
        <v>0.68779286672450157</v>
      </c>
      <c r="N14" s="137">
        <f>IF(SER_hh_tes!N14=0,"",SER_hh_tes!N14/SER_hh_fec!N14)</f>
        <v>0.69403086044358342</v>
      </c>
      <c r="O14" s="137">
        <f>IF(SER_hh_tes!O14=0,"",SER_hh_tes!O14/SER_hh_fec!O14)</f>
        <v>0.69756365494853878</v>
      </c>
      <c r="P14" s="137">
        <f>IF(SER_hh_tes!P14=0,"",SER_hh_tes!P14/SER_hh_fec!P14)</f>
        <v>0.69800638577051521</v>
      </c>
      <c r="Q14" s="137">
        <f>IF(SER_hh_tes!Q14=0,"",SER_hh_tes!Q14/SER_hh_fec!Q14)</f>
        <v>0.69970844850227232</v>
      </c>
      <c r="R14" s="137">
        <f>IF(SER_hh_tes!R14=0,"",SER_hh_tes!R14/SER_hh_fec!R14)</f>
        <v>0.71018495304581308</v>
      </c>
      <c r="S14" s="137">
        <f>IF(SER_hh_tes!S14=0,"",SER_hh_tes!S14/SER_hh_fec!S14)</f>
        <v>0.72574388082323837</v>
      </c>
      <c r="T14" s="137">
        <f>IF(SER_hh_tes!T14=0,"",SER_hh_tes!T14/SER_hh_fec!T14)</f>
        <v>0.75614562874446722</v>
      </c>
      <c r="U14" s="137">
        <f>IF(SER_hh_tes!U14=0,"",SER_hh_tes!U14/SER_hh_fec!U14)</f>
        <v>0.77924258029761562</v>
      </c>
      <c r="V14" s="137">
        <f>IF(SER_hh_tes!V14=0,"",SER_hh_tes!V14/SER_hh_fec!V14)</f>
        <v>0.79449580134963571</v>
      </c>
      <c r="W14" s="137">
        <f>IF(SER_hh_tes!W14=0,"",SER_hh_tes!W14/SER_hh_fec!W14)</f>
        <v>0.80272310531715818</v>
      </c>
      <c r="X14" s="137">
        <f>IF(SER_hh_tes!X14=0,"",SER_hh_tes!X14/SER_hh_fec!X14)</f>
        <v>0.80844028594934658</v>
      </c>
      <c r="Y14" s="137">
        <f>IF(SER_hh_tes!Y14=0,"",SER_hh_tes!Y14/SER_hh_fec!Y14)</f>
        <v>0.8117920160483223</v>
      </c>
      <c r="DA14" s="164" t="s">
        <v>341</v>
      </c>
    </row>
    <row r="15" spans="1:105" ht="12" customHeight="1" x14ac:dyDescent="0.25">
      <c r="A15" s="133" t="s">
        <v>80</v>
      </c>
      <c r="B15" s="138">
        <f>IF(SER_hh_tes!B15=0,"",SER_hh_tes!B15/SER_hh_fec!B15)</f>
        <v>1</v>
      </c>
      <c r="C15" s="138">
        <f>IF(SER_hh_tes!C15=0,"",SER_hh_tes!C15/SER_hh_fec!C15)</f>
        <v>1</v>
      </c>
      <c r="D15" s="138">
        <f>IF(SER_hh_tes!D15=0,"",SER_hh_tes!D15/SER_hh_fec!D15)</f>
        <v>1</v>
      </c>
      <c r="E15" s="138">
        <f>IF(SER_hh_tes!E15=0,"",SER_hh_tes!E15/SER_hh_fec!E15)</f>
        <v>1</v>
      </c>
      <c r="F15" s="138">
        <f>IF(SER_hh_tes!F15=0,"",SER_hh_tes!F15/SER_hh_fec!F15)</f>
        <v>1</v>
      </c>
      <c r="G15" s="138">
        <f>IF(SER_hh_tes!G15=0,"",SER_hh_tes!G15/SER_hh_fec!G15)</f>
        <v>1</v>
      </c>
      <c r="H15" s="138">
        <f>IF(SER_hh_tes!H15=0,"",SER_hh_tes!H15/SER_hh_fec!H15)</f>
        <v>1</v>
      </c>
      <c r="I15" s="138">
        <f>IF(SER_hh_tes!I15=0,"",SER_hh_tes!I15/SER_hh_fec!I15)</f>
        <v>1</v>
      </c>
      <c r="J15" s="138">
        <f>IF(SER_hh_tes!J15=0,"",SER_hh_tes!J15/SER_hh_fec!J15)</f>
        <v>1</v>
      </c>
      <c r="K15" s="138">
        <f>IF(SER_hh_tes!K15=0,"",SER_hh_tes!K15/SER_hh_fec!K15)</f>
        <v>1</v>
      </c>
      <c r="L15" s="138">
        <f>IF(SER_hh_tes!L15=0,"",SER_hh_tes!L15/SER_hh_fec!L15)</f>
        <v>1</v>
      </c>
      <c r="M15" s="138">
        <f>IF(SER_hh_tes!M15=0,"",SER_hh_tes!M15/SER_hh_fec!M15)</f>
        <v>1</v>
      </c>
      <c r="N15" s="138">
        <f>IF(SER_hh_tes!N15=0,"",SER_hh_tes!N15/SER_hh_fec!N15)</f>
        <v>1</v>
      </c>
      <c r="O15" s="138">
        <f>IF(SER_hh_tes!O15=0,"",SER_hh_tes!O15/SER_hh_fec!O15)</f>
        <v>1</v>
      </c>
      <c r="P15" s="138">
        <f>IF(SER_hh_tes!P15=0,"",SER_hh_tes!P15/SER_hh_fec!P15)</f>
        <v>1</v>
      </c>
      <c r="Q15" s="138">
        <f>IF(SER_hh_tes!Q15=0,"",SER_hh_tes!Q15/SER_hh_fec!Q15)</f>
        <v>1</v>
      </c>
      <c r="R15" s="138">
        <f>IF(SER_hh_tes!R15=0,"",SER_hh_tes!R15/SER_hh_fec!R15)</f>
        <v>1</v>
      </c>
      <c r="S15" s="138">
        <f>IF(SER_hh_tes!S15=0,"",SER_hh_tes!S15/SER_hh_fec!S15)</f>
        <v>1</v>
      </c>
      <c r="T15" s="138">
        <f>IF(SER_hh_tes!T15=0,"",SER_hh_tes!T15/SER_hh_fec!T15)</f>
        <v>1</v>
      </c>
      <c r="U15" s="138">
        <f>IF(SER_hh_tes!U15=0,"",SER_hh_tes!U15/SER_hh_fec!U15)</f>
        <v>1</v>
      </c>
      <c r="V15" s="138">
        <f>IF(SER_hh_tes!V15=0,"",SER_hh_tes!V15/SER_hh_fec!V15)</f>
        <v>1</v>
      </c>
      <c r="W15" s="138">
        <f>IF(SER_hh_tes!W15=0,"",SER_hh_tes!W15/SER_hh_fec!W15)</f>
        <v>1</v>
      </c>
      <c r="X15" s="138">
        <f>IF(SER_hh_tes!X15=0,"",SER_hh_tes!X15/SER_hh_fec!X15)</f>
        <v>1</v>
      </c>
      <c r="Y15" s="138">
        <f>IF(SER_hh_tes!Y15=0,"",SER_hh_tes!Y15/SER_hh_fec!Y15)</f>
        <v>1</v>
      </c>
      <c r="DA15" s="165" t="s">
        <v>342</v>
      </c>
    </row>
    <row r="16" spans="1:105" ht="12.95" customHeight="1" x14ac:dyDescent="0.25">
      <c r="A16" s="129" t="s">
        <v>74</v>
      </c>
      <c r="B16" s="135">
        <f>IF(SER_hh_tes!B16=0,"",SER_hh_tes!B16/SER_hh_fec!B16)</f>
        <v>1.9708012911618449</v>
      </c>
      <c r="C16" s="135">
        <f>IF(SER_hh_tes!C16=0,"",SER_hh_tes!C16/SER_hh_fec!C16)</f>
        <v>2.0828042644856679</v>
      </c>
      <c r="D16" s="135">
        <f>IF(SER_hh_tes!D16=0,"",SER_hh_tes!D16/SER_hh_fec!D16)</f>
        <v>2.2100292237482169</v>
      </c>
      <c r="E16" s="135">
        <f>IF(SER_hh_tes!E16=0,"",SER_hh_tes!E16/SER_hh_fec!E16)</f>
        <v>2.343432441306704</v>
      </c>
      <c r="F16" s="135">
        <f>IF(SER_hh_tes!F16=0,"",SER_hh_tes!F16/SER_hh_fec!F16)</f>
        <v>2.4850539174717787</v>
      </c>
      <c r="G16" s="135">
        <f>IF(SER_hh_tes!G16=0,"",SER_hh_tes!G16/SER_hh_fec!G16)</f>
        <v>2.6338699051517667</v>
      </c>
      <c r="H16" s="135">
        <f>IF(SER_hh_tes!H16=0,"",SER_hh_tes!H16/SER_hh_fec!H16)</f>
        <v>2.7922230328981512</v>
      </c>
      <c r="I16" s="135">
        <f>IF(SER_hh_tes!I16=0,"",SER_hh_tes!I16/SER_hh_fec!I16)</f>
        <v>2.9654969775098463</v>
      </c>
      <c r="J16" s="135">
        <f>IF(SER_hh_tes!J16=0,"",SER_hh_tes!J16/SER_hh_fec!J16)</f>
        <v>3.1458214127504736</v>
      </c>
      <c r="K16" s="135">
        <f>IF(SER_hh_tes!K16=0,"",SER_hh_tes!K16/SER_hh_fec!K16)</f>
        <v>3.2151380328886781</v>
      </c>
      <c r="L16" s="135">
        <f>IF(SER_hh_tes!L16=0,"",SER_hh_tes!L16/SER_hh_fec!L16)</f>
        <v>3.3024488164603092</v>
      </c>
      <c r="M16" s="135">
        <f>IF(SER_hh_tes!M16=0,"",SER_hh_tes!M16/SER_hh_fec!M16)</f>
        <v>3.4312845441556745</v>
      </c>
      <c r="N16" s="135">
        <f>IF(SER_hh_tes!N16=0,"",SER_hh_tes!N16/SER_hh_fec!N16)</f>
        <v>3.5640004732611601</v>
      </c>
      <c r="O16" s="135">
        <f>IF(SER_hh_tes!O16=0,"",SER_hh_tes!O16/SER_hh_fec!O16)</f>
        <v>3.7131576157137287</v>
      </c>
      <c r="P16" s="135">
        <f>IF(SER_hh_tes!P16=0,"",SER_hh_tes!P16/SER_hh_fec!P16)</f>
        <v>3.8818564046572503</v>
      </c>
      <c r="Q16" s="135">
        <f>IF(SER_hh_tes!Q16=0,"",SER_hh_tes!Q16/SER_hh_fec!Q16)</f>
        <v>4.0547110232800501</v>
      </c>
      <c r="R16" s="135">
        <f>IF(SER_hh_tes!R16=0,"",SER_hh_tes!R16/SER_hh_fec!R16)</f>
        <v>4.2232038183095453</v>
      </c>
      <c r="S16" s="135">
        <f>IF(SER_hh_tes!S16=0,"",SER_hh_tes!S16/SER_hh_fec!S16)</f>
        <v>4.3692024967200229</v>
      </c>
      <c r="T16" s="135">
        <f>IF(SER_hh_tes!T16=0,"",SER_hh_tes!T16/SER_hh_fec!T16)</f>
        <v>4.4919121846650398</v>
      </c>
      <c r="U16" s="135">
        <f>IF(SER_hh_tes!U16=0,"",SER_hh_tes!U16/SER_hh_fec!U16)</f>
        <v>4.5831681360705305</v>
      </c>
      <c r="V16" s="135">
        <f>IF(SER_hh_tes!V16=0,"",SER_hh_tes!V16/SER_hh_fec!V16)</f>
        <v>4.6621870988102279</v>
      </c>
      <c r="W16" s="135">
        <f>IF(SER_hh_tes!W16=0,"",SER_hh_tes!W16/SER_hh_fec!W16)</f>
        <v>4.7322348018539637</v>
      </c>
      <c r="X16" s="135">
        <f>IF(SER_hh_tes!X16=0,"",SER_hh_tes!X16/SER_hh_fec!X16)</f>
        <v>4.7899825931312519</v>
      </c>
      <c r="Y16" s="135">
        <f>IF(SER_hh_tes!Y16=0,"",SER_hh_tes!Y16/SER_hh_fec!Y16)</f>
        <v>4.8428584604247966</v>
      </c>
      <c r="DA16" s="162" t="s">
        <v>241</v>
      </c>
    </row>
    <row r="17" spans="1:105" ht="12.95" customHeight="1" x14ac:dyDescent="0.25">
      <c r="A17" s="131" t="s">
        <v>73</v>
      </c>
      <c r="B17" s="136" t="str">
        <f>IF(SER_hh_tes!B17=0,"",SER_hh_tes!B17/SER_hh_fec!B17)</f>
        <v/>
      </c>
      <c r="C17" s="136" t="str">
        <f>IF(SER_hh_tes!C17=0,"",SER_hh_tes!C17/SER_hh_fec!C17)</f>
        <v/>
      </c>
      <c r="D17" s="136" t="str">
        <f>IF(SER_hh_tes!D17=0,"",SER_hh_tes!D17/SER_hh_fec!D17)</f>
        <v/>
      </c>
      <c r="E17" s="136" t="str">
        <f>IF(SER_hh_tes!E17=0,"",SER_hh_tes!E17/SER_hh_fec!E17)</f>
        <v/>
      </c>
      <c r="F17" s="136" t="str">
        <f>IF(SER_hh_tes!F17=0,"",SER_hh_tes!F17/SER_hh_fec!F17)</f>
        <v/>
      </c>
      <c r="G17" s="136" t="str">
        <f>IF(SER_hh_tes!G17=0,"",SER_hh_tes!G17/SER_hh_fec!G17)</f>
        <v/>
      </c>
      <c r="H17" s="136" t="str">
        <f>IF(SER_hh_tes!H17=0,"",SER_hh_tes!H17/SER_hh_fec!H17)</f>
        <v/>
      </c>
      <c r="I17" s="136" t="str">
        <f>IF(SER_hh_tes!I17=0,"",SER_hh_tes!I17/SER_hh_fec!I17)</f>
        <v/>
      </c>
      <c r="J17" s="136" t="str">
        <f>IF(SER_hh_tes!J17=0,"",SER_hh_tes!J17/SER_hh_fec!J17)</f>
        <v/>
      </c>
      <c r="K17" s="136" t="str">
        <f>IF(SER_hh_tes!K17=0,"",SER_hh_tes!K17/SER_hh_fec!K17)</f>
        <v/>
      </c>
      <c r="L17" s="136" t="str">
        <f>IF(SER_hh_tes!L17=0,"",SER_hh_tes!L17/SER_hh_fec!L17)</f>
        <v/>
      </c>
      <c r="M17" s="136" t="str">
        <f>IF(SER_hh_tes!M17=0,"",SER_hh_tes!M17/SER_hh_fec!M17)</f>
        <v/>
      </c>
      <c r="N17" s="136" t="str">
        <f>IF(SER_hh_tes!N17=0,"",SER_hh_tes!N17/SER_hh_fec!N17)</f>
        <v/>
      </c>
      <c r="O17" s="136" t="str">
        <f>IF(SER_hh_tes!O17=0,"",SER_hh_tes!O17/SER_hh_fec!O17)</f>
        <v/>
      </c>
      <c r="P17" s="136" t="str">
        <f>IF(SER_hh_tes!P17=0,"",SER_hh_tes!P17/SER_hh_fec!P17)</f>
        <v/>
      </c>
      <c r="Q17" s="136" t="str">
        <f>IF(SER_hh_tes!Q17=0,"",SER_hh_tes!Q17/SER_hh_fec!Q17)</f>
        <v/>
      </c>
      <c r="R17" s="136" t="str">
        <f>IF(SER_hh_tes!R17=0,"",SER_hh_tes!R17/SER_hh_fec!R17)</f>
        <v/>
      </c>
      <c r="S17" s="136" t="str">
        <f>IF(SER_hh_tes!S17=0,"",SER_hh_tes!S17/SER_hh_fec!S17)</f>
        <v/>
      </c>
      <c r="T17" s="136" t="str">
        <f>IF(SER_hh_tes!T17=0,"",SER_hh_tes!T17/SER_hh_fec!T17)</f>
        <v/>
      </c>
      <c r="U17" s="136" t="str">
        <f>IF(SER_hh_tes!U17=0,"",SER_hh_tes!U17/SER_hh_fec!U17)</f>
        <v/>
      </c>
      <c r="V17" s="136" t="str">
        <f>IF(SER_hh_tes!V17=0,"",SER_hh_tes!V17/SER_hh_fec!V17)</f>
        <v/>
      </c>
      <c r="W17" s="136" t="str">
        <f>IF(SER_hh_tes!W17=0,"",SER_hh_tes!W17/SER_hh_fec!W17)</f>
        <v/>
      </c>
      <c r="X17" s="136" t="str">
        <f>IF(SER_hh_tes!X17=0,"",SER_hh_tes!X17/SER_hh_fec!X17)</f>
        <v/>
      </c>
      <c r="Y17" s="136" t="str">
        <f>IF(SER_hh_tes!Y17=0,"",SER_hh_tes!Y17/SER_hh_fec!Y17)</f>
        <v/>
      </c>
      <c r="DA17" s="163" t="s">
        <v>343</v>
      </c>
    </row>
    <row r="18" spans="1:105" ht="12" customHeight="1" x14ac:dyDescent="0.25">
      <c r="A18" s="131" t="s">
        <v>72</v>
      </c>
      <c r="B18" s="136">
        <f>IF(SER_hh_tes!B18=0,"",SER_hh_tes!B18/SER_hh_fec!B18)</f>
        <v>1.9708012911618449</v>
      </c>
      <c r="C18" s="136">
        <f>IF(SER_hh_tes!C18=0,"",SER_hh_tes!C18/SER_hh_fec!C18)</f>
        <v>2.0828042644856679</v>
      </c>
      <c r="D18" s="136">
        <f>IF(SER_hh_tes!D18=0,"",SER_hh_tes!D18/SER_hh_fec!D18)</f>
        <v>2.2100292237482169</v>
      </c>
      <c r="E18" s="136">
        <f>IF(SER_hh_tes!E18=0,"",SER_hh_tes!E18/SER_hh_fec!E18)</f>
        <v>2.343432441306704</v>
      </c>
      <c r="F18" s="136">
        <f>IF(SER_hh_tes!F18=0,"",SER_hh_tes!F18/SER_hh_fec!F18)</f>
        <v>2.4850539174717787</v>
      </c>
      <c r="G18" s="136">
        <f>IF(SER_hh_tes!G18=0,"",SER_hh_tes!G18/SER_hh_fec!G18)</f>
        <v>2.6338699051517667</v>
      </c>
      <c r="H18" s="136">
        <f>IF(SER_hh_tes!H18=0,"",SER_hh_tes!H18/SER_hh_fec!H18)</f>
        <v>2.7922230328981512</v>
      </c>
      <c r="I18" s="136">
        <f>IF(SER_hh_tes!I18=0,"",SER_hh_tes!I18/SER_hh_fec!I18)</f>
        <v>2.9654969775098463</v>
      </c>
      <c r="J18" s="136">
        <f>IF(SER_hh_tes!J18=0,"",SER_hh_tes!J18/SER_hh_fec!J18)</f>
        <v>3.1458214127504736</v>
      </c>
      <c r="K18" s="136">
        <f>IF(SER_hh_tes!K18=0,"",SER_hh_tes!K18/SER_hh_fec!K18)</f>
        <v>3.2151380328886781</v>
      </c>
      <c r="L18" s="136">
        <f>IF(SER_hh_tes!L18=0,"",SER_hh_tes!L18/SER_hh_fec!L18)</f>
        <v>3.3024488164603092</v>
      </c>
      <c r="M18" s="136">
        <f>IF(SER_hh_tes!M18=0,"",SER_hh_tes!M18/SER_hh_fec!M18)</f>
        <v>3.4312845441556745</v>
      </c>
      <c r="N18" s="136">
        <f>IF(SER_hh_tes!N18=0,"",SER_hh_tes!N18/SER_hh_fec!N18)</f>
        <v>3.5640004732611601</v>
      </c>
      <c r="O18" s="136">
        <f>IF(SER_hh_tes!O18=0,"",SER_hh_tes!O18/SER_hh_fec!O18)</f>
        <v>3.7131576157137287</v>
      </c>
      <c r="P18" s="136">
        <f>IF(SER_hh_tes!P18=0,"",SER_hh_tes!P18/SER_hh_fec!P18)</f>
        <v>3.8818564046572503</v>
      </c>
      <c r="Q18" s="136">
        <f>IF(SER_hh_tes!Q18=0,"",SER_hh_tes!Q18/SER_hh_fec!Q18)</f>
        <v>4.0547110232800501</v>
      </c>
      <c r="R18" s="136">
        <f>IF(SER_hh_tes!R18=0,"",SER_hh_tes!R18/SER_hh_fec!R18)</f>
        <v>4.2232038183095453</v>
      </c>
      <c r="S18" s="136">
        <f>IF(SER_hh_tes!S18=0,"",SER_hh_tes!S18/SER_hh_fec!S18)</f>
        <v>4.3692024967200229</v>
      </c>
      <c r="T18" s="136">
        <f>IF(SER_hh_tes!T18=0,"",SER_hh_tes!T18/SER_hh_fec!T18)</f>
        <v>4.4919121846650398</v>
      </c>
      <c r="U18" s="136">
        <f>IF(SER_hh_tes!U18=0,"",SER_hh_tes!U18/SER_hh_fec!U18)</f>
        <v>4.5831681360705305</v>
      </c>
      <c r="V18" s="136">
        <f>IF(SER_hh_tes!V18=0,"",SER_hh_tes!V18/SER_hh_fec!V18)</f>
        <v>4.6621870988102279</v>
      </c>
      <c r="W18" s="136">
        <f>IF(SER_hh_tes!W18=0,"",SER_hh_tes!W18/SER_hh_fec!W18)</f>
        <v>4.7322348018539637</v>
      </c>
      <c r="X18" s="136">
        <f>IF(SER_hh_tes!X18=0,"",SER_hh_tes!X18/SER_hh_fec!X18)</f>
        <v>4.7899825931312519</v>
      </c>
      <c r="Y18" s="136">
        <f>IF(SER_hh_tes!Y18=0,"",SER_hh_tes!Y18/SER_hh_fec!Y18)</f>
        <v>4.8428584604247966</v>
      </c>
      <c r="DA18" s="163" t="s">
        <v>344</v>
      </c>
    </row>
    <row r="19" spans="1:105" ht="12.95" customHeight="1" x14ac:dyDescent="0.25">
      <c r="A19" s="129" t="s">
        <v>35</v>
      </c>
      <c r="B19" s="135">
        <f>IF(SER_hh_tes!B19=0,"",SER_hh_tes!B19/SER_hh_fec!B19)</f>
        <v>0.63105152389209163</v>
      </c>
      <c r="C19" s="135">
        <f>IF(SER_hh_tes!C19=0,"",SER_hh_tes!C19/SER_hh_fec!C19)</f>
        <v>0.64079302339562971</v>
      </c>
      <c r="D19" s="135">
        <f>IF(SER_hh_tes!D19=0,"",SER_hh_tes!D19/SER_hh_fec!D19)</f>
        <v>0.64274996836065112</v>
      </c>
      <c r="E19" s="135">
        <f>IF(SER_hh_tes!E19=0,"",SER_hh_tes!E19/SER_hh_fec!E19)</f>
        <v>0.6492833157186978</v>
      </c>
      <c r="F19" s="135">
        <f>IF(SER_hh_tes!F19=0,"",SER_hh_tes!F19/SER_hh_fec!F19)</f>
        <v>0.65301052514216718</v>
      </c>
      <c r="G19" s="135">
        <f>IF(SER_hh_tes!G19=0,"",SER_hh_tes!G19/SER_hh_fec!G19)</f>
        <v>0.65916258287562535</v>
      </c>
      <c r="H19" s="135">
        <f>IF(SER_hh_tes!H19=0,"",SER_hh_tes!H19/SER_hh_fec!H19)</f>
        <v>0.66257571960671047</v>
      </c>
      <c r="I19" s="135">
        <f>IF(SER_hh_tes!I19=0,"",SER_hh_tes!I19/SER_hh_fec!I19)</f>
        <v>0.66154951357423009</v>
      </c>
      <c r="J19" s="135">
        <f>IF(SER_hh_tes!J19=0,"",SER_hh_tes!J19/SER_hh_fec!J19)</f>
        <v>0.66544518044425194</v>
      </c>
      <c r="K19" s="135">
        <f>IF(SER_hh_tes!K19=0,"",SER_hh_tes!K19/SER_hh_fec!K19)</f>
        <v>0.67340986304834005</v>
      </c>
      <c r="L19" s="135">
        <f>IF(SER_hh_tes!L19=0,"",SER_hh_tes!L19/SER_hh_fec!L19)</f>
        <v>0.67984524276628644</v>
      </c>
      <c r="M19" s="135">
        <f>IF(SER_hh_tes!M19=0,"",SER_hh_tes!M19/SER_hh_fec!M19)</f>
        <v>0.68433511590898743</v>
      </c>
      <c r="N19" s="135">
        <f>IF(SER_hh_tes!N19=0,"",SER_hh_tes!N19/SER_hh_fec!N19)</f>
        <v>0.69115834991983316</v>
      </c>
      <c r="O19" s="135">
        <f>IF(SER_hh_tes!O19=0,"",SER_hh_tes!O19/SER_hh_fec!O19)</f>
        <v>0.69959566959705033</v>
      </c>
      <c r="P19" s="135">
        <f>IF(SER_hh_tes!P19=0,"",SER_hh_tes!P19/SER_hh_fec!P19)</f>
        <v>0.70410157707092791</v>
      </c>
      <c r="Q19" s="135">
        <f>IF(SER_hh_tes!Q19=0,"",SER_hh_tes!Q19/SER_hh_fec!Q19)</f>
        <v>0.71331839644428752</v>
      </c>
      <c r="R19" s="135">
        <f>IF(SER_hh_tes!R19=0,"",SER_hh_tes!R19/SER_hh_fec!R19)</f>
        <v>0.72197180082604628</v>
      </c>
      <c r="S19" s="135">
        <f>IF(SER_hh_tes!S19=0,"",SER_hh_tes!S19/SER_hh_fec!S19)</f>
        <v>0.732762460826067</v>
      </c>
      <c r="T19" s="135">
        <f>IF(SER_hh_tes!T19=0,"",SER_hh_tes!T19/SER_hh_fec!T19)</f>
        <v>0.74386070947580951</v>
      </c>
      <c r="U19" s="135">
        <f>IF(SER_hh_tes!U19=0,"",SER_hh_tes!U19/SER_hh_fec!U19)</f>
        <v>0.75532535320400129</v>
      </c>
      <c r="V19" s="135">
        <f>IF(SER_hh_tes!V19=0,"",SER_hh_tes!V19/SER_hh_fec!V19)</f>
        <v>0.76637071176660254</v>
      </c>
      <c r="W19" s="135">
        <f>IF(SER_hh_tes!W19=0,"",SER_hh_tes!W19/SER_hh_fec!W19)</f>
        <v>0.78052253895486789</v>
      </c>
      <c r="X19" s="135">
        <f>IF(SER_hh_tes!X19=0,"",SER_hh_tes!X19/SER_hh_fec!X19)</f>
        <v>0.79352632690687042</v>
      </c>
      <c r="Y19" s="135">
        <f>IF(SER_hh_tes!Y19=0,"",SER_hh_tes!Y19/SER_hh_fec!Y19)</f>
        <v>0.8068428819594381</v>
      </c>
      <c r="DA19" s="162" t="s">
        <v>242</v>
      </c>
    </row>
    <row r="20" spans="1:105" ht="12" customHeight="1" x14ac:dyDescent="0.25">
      <c r="A20" s="131" t="s">
        <v>29</v>
      </c>
      <c r="B20" s="136" t="str">
        <f>IF(SER_hh_tes!B20=0,"",SER_hh_tes!B20/SER_hh_fec!B20)</f>
        <v/>
      </c>
      <c r="C20" s="136" t="str">
        <f>IF(SER_hh_tes!C20=0,"",SER_hh_tes!C20/SER_hh_fec!C20)</f>
        <v/>
      </c>
      <c r="D20" s="136" t="str">
        <f>IF(SER_hh_tes!D20=0,"",SER_hh_tes!D20/SER_hh_fec!D20)</f>
        <v/>
      </c>
      <c r="E20" s="136" t="str">
        <f>IF(SER_hh_tes!E20=0,"",SER_hh_tes!E20/SER_hh_fec!E20)</f>
        <v/>
      </c>
      <c r="F20" s="136" t="str">
        <f>IF(SER_hh_tes!F20=0,"",SER_hh_tes!F20/SER_hh_fec!F20)</f>
        <v/>
      </c>
      <c r="G20" s="136" t="str">
        <f>IF(SER_hh_tes!G20=0,"",SER_hh_tes!G20/SER_hh_fec!G20)</f>
        <v/>
      </c>
      <c r="H20" s="136" t="str">
        <f>IF(SER_hh_tes!H20=0,"",SER_hh_tes!H20/SER_hh_fec!H20)</f>
        <v/>
      </c>
      <c r="I20" s="136" t="str">
        <f>IF(SER_hh_tes!I20=0,"",SER_hh_tes!I20/SER_hh_fec!I20)</f>
        <v/>
      </c>
      <c r="J20" s="136" t="str">
        <f>IF(SER_hh_tes!J20=0,"",SER_hh_tes!J20/SER_hh_fec!J20)</f>
        <v/>
      </c>
      <c r="K20" s="136" t="str">
        <f>IF(SER_hh_tes!K20=0,"",SER_hh_tes!K20/SER_hh_fec!K20)</f>
        <v/>
      </c>
      <c r="L20" s="136" t="str">
        <f>IF(SER_hh_tes!L20=0,"",SER_hh_tes!L20/SER_hh_fec!L20)</f>
        <v/>
      </c>
      <c r="M20" s="136" t="str">
        <f>IF(SER_hh_tes!M20=0,"",SER_hh_tes!M20/SER_hh_fec!M20)</f>
        <v/>
      </c>
      <c r="N20" s="136" t="str">
        <f>IF(SER_hh_tes!N20=0,"",SER_hh_tes!N20/SER_hh_fec!N20)</f>
        <v/>
      </c>
      <c r="O20" s="136" t="str">
        <f>IF(SER_hh_tes!O20=0,"",SER_hh_tes!O20/SER_hh_fec!O20)</f>
        <v/>
      </c>
      <c r="P20" s="136" t="str">
        <f>IF(SER_hh_tes!P20=0,"",SER_hh_tes!P20/SER_hh_fec!P20)</f>
        <v/>
      </c>
      <c r="Q20" s="136" t="str">
        <f>IF(SER_hh_tes!Q20=0,"",SER_hh_tes!Q20/SER_hh_fec!Q20)</f>
        <v/>
      </c>
      <c r="R20" s="136" t="str">
        <f>IF(SER_hh_tes!R20=0,"",SER_hh_tes!R20/SER_hh_fec!R20)</f>
        <v/>
      </c>
      <c r="S20" s="136" t="str">
        <f>IF(SER_hh_tes!S20=0,"",SER_hh_tes!S20/SER_hh_fec!S20)</f>
        <v/>
      </c>
      <c r="T20" s="136" t="str">
        <f>IF(SER_hh_tes!T20=0,"",SER_hh_tes!T20/SER_hh_fec!T20)</f>
        <v/>
      </c>
      <c r="U20" s="136" t="str">
        <f>IF(SER_hh_tes!U20=0,"",SER_hh_tes!U20/SER_hh_fec!U20)</f>
        <v/>
      </c>
      <c r="V20" s="136" t="str">
        <f>IF(SER_hh_tes!V20=0,"",SER_hh_tes!V20/SER_hh_fec!V20)</f>
        <v/>
      </c>
      <c r="W20" s="136" t="str">
        <f>IF(SER_hh_tes!W20=0,"",SER_hh_tes!W20/SER_hh_fec!W20)</f>
        <v/>
      </c>
      <c r="X20" s="136" t="str">
        <f>IF(SER_hh_tes!X20=0,"",SER_hh_tes!X20/SER_hh_fec!X20)</f>
        <v/>
      </c>
      <c r="Y20" s="136" t="str">
        <f>IF(SER_hh_tes!Y20=0,"",SER_hh_tes!Y20/SER_hh_fec!Y20)</f>
        <v/>
      </c>
      <c r="DA20" s="163" t="s">
        <v>345</v>
      </c>
    </row>
    <row r="21" spans="1:105" s="2" customFormat="1" ht="12" customHeight="1" x14ac:dyDescent="0.25">
      <c r="A21" s="131" t="s">
        <v>52</v>
      </c>
      <c r="B21" s="136" t="str">
        <f>IF(SER_hh_tes!B21=0,"",SER_hh_tes!B21/SER_hh_fec!B21)</f>
        <v/>
      </c>
      <c r="C21" s="136" t="str">
        <f>IF(SER_hh_tes!C21=0,"",SER_hh_tes!C21/SER_hh_fec!C21)</f>
        <v/>
      </c>
      <c r="D21" s="136" t="str">
        <f>IF(SER_hh_tes!D21=0,"",SER_hh_tes!D21/SER_hh_fec!D21)</f>
        <v/>
      </c>
      <c r="E21" s="136" t="str">
        <f>IF(SER_hh_tes!E21=0,"",SER_hh_tes!E21/SER_hh_fec!E21)</f>
        <v/>
      </c>
      <c r="F21" s="136" t="str">
        <f>IF(SER_hh_tes!F21=0,"",SER_hh_tes!F21/SER_hh_fec!F21)</f>
        <v/>
      </c>
      <c r="G21" s="136" t="str">
        <f>IF(SER_hh_tes!G21=0,"",SER_hh_tes!G21/SER_hh_fec!G21)</f>
        <v/>
      </c>
      <c r="H21" s="136" t="str">
        <f>IF(SER_hh_tes!H21=0,"",SER_hh_tes!H21/SER_hh_fec!H21)</f>
        <v/>
      </c>
      <c r="I21" s="136" t="str">
        <f>IF(SER_hh_tes!I21=0,"",SER_hh_tes!I21/SER_hh_fec!I21)</f>
        <v/>
      </c>
      <c r="J21" s="136" t="str">
        <f>IF(SER_hh_tes!J21=0,"",SER_hh_tes!J21/SER_hh_fec!J21)</f>
        <v/>
      </c>
      <c r="K21" s="136" t="str">
        <f>IF(SER_hh_tes!K21=0,"",SER_hh_tes!K21/SER_hh_fec!K21)</f>
        <v/>
      </c>
      <c r="L21" s="136" t="str">
        <f>IF(SER_hh_tes!L21=0,"",SER_hh_tes!L21/SER_hh_fec!L21)</f>
        <v/>
      </c>
      <c r="M21" s="136" t="str">
        <f>IF(SER_hh_tes!M21=0,"",SER_hh_tes!M21/SER_hh_fec!M21)</f>
        <v/>
      </c>
      <c r="N21" s="136" t="str">
        <f>IF(SER_hh_tes!N21=0,"",SER_hh_tes!N21/SER_hh_fec!N21)</f>
        <v/>
      </c>
      <c r="O21" s="136" t="str">
        <f>IF(SER_hh_tes!O21=0,"",SER_hh_tes!O21/SER_hh_fec!O21)</f>
        <v/>
      </c>
      <c r="P21" s="136" t="str">
        <f>IF(SER_hh_tes!P21=0,"",SER_hh_tes!P21/SER_hh_fec!P21)</f>
        <v/>
      </c>
      <c r="Q21" s="136" t="str">
        <f>IF(SER_hh_tes!Q21=0,"",SER_hh_tes!Q21/SER_hh_fec!Q21)</f>
        <v/>
      </c>
      <c r="R21" s="136" t="str">
        <f>IF(SER_hh_tes!R21=0,"",SER_hh_tes!R21/SER_hh_fec!R21)</f>
        <v/>
      </c>
      <c r="S21" s="136" t="str">
        <f>IF(SER_hh_tes!S21=0,"",SER_hh_tes!S21/SER_hh_fec!S21)</f>
        <v/>
      </c>
      <c r="T21" s="136" t="str">
        <f>IF(SER_hh_tes!T21=0,"",SER_hh_tes!T21/SER_hh_fec!T21)</f>
        <v/>
      </c>
      <c r="U21" s="136" t="str">
        <f>IF(SER_hh_tes!U21=0,"",SER_hh_tes!U21/SER_hh_fec!U21)</f>
        <v/>
      </c>
      <c r="V21" s="136" t="str">
        <f>IF(SER_hh_tes!V21=0,"",SER_hh_tes!V21/SER_hh_fec!V21)</f>
        <v/>
      </c>
      <c r="W21" s="136" t="str">
        <f>IF(SER_hh_tes!W21=0,"",SER_hh_tes!W21/SER_hh_fec!W21)</f>
        <v/>
      </c>
      <c r="X21" s="136" t="str">
        <f>IF(SER_hh_tes!X21=0,"",SER_hh_tes!X21/SER_hh_fec!X21)</f>
        <v/>
      </c>
      <c r="Y21" s="136" t="str">
        <f>IF(SER_hh_tes!Y21=0,"",SER_hh_tes!Y21/SER_hh_fec!Y21)</f>
        <v/>
      </c>
      <c r="DA21" s="163" t="s">
        <v>346</v>
      </c>
    </row>
    <row r="22" spans="1:105" ht="12" customHeight="1" x14ac:dyDescent="0.25">
      <c r="A22" s="131" t="s">
        <v>161</v>
      </c>
      <c r="B22" s="136">
        <f>IF(SER_hh_tes!B22=0,"",SER_hh_tes!B22/SER_hh_fec!B22)</f>
        <v>0.47305800926310498</v>
      </c>
      <c r="C22" s="136">
        <f>IF(SER_hh_tes!C22=0,"",SER_hh_tes!C22/SER_hh_fec!C22)</f>
        <v>0.47305800926310504</v>
      </c>
      <c r="D22" s="136">
        <f>IF(SER_hh_tes!D22=0,"",SER_hh_tes!D22/SER_hh_fec!D22)</f>
        <v>0.47305800926310504</v>
      </c>
      <c r="E22" s="136">
        <f>IF(SER_hh_tes!E22=0,"",SER_hh_tes!E22/SER_hh_fec!E22)</f>
        <v>0.47305800926310498</v>
      </c>
      <c r="F22" s="136">
        <f>IF(SER_hh_tes!F22=0,"",SER_hh_tes!F22/SER_hh_fec!F22)</f>
        <v>0.47305800926310493</v>
      </c>
      <c r="G22" s="136">
        <f>IF(SER_hh_tes!G22=0,"",SER_hh_tes!G22/SER_hh_fec!G22)</f>
        <v>0.47305800926310498</v>
      </c>
      <c r="H22" s="136">
        <f>IF(SER_hh_tes!H22=0,"",SER_hh_tes!H22/SER_hh_fec!H22)</f>
        <v>0.47305800926310498</v>
      </c>
      <c r="I22" s="136">
        <f>IF(SER_hh_tes!I22=0,"",SER_hh_tes!I22/SER_hh_fec!I22)</f>
        <v>0.47305800926310498</v>
      </c>
      <c r="J22" s="136">
        <f>IF(SER_hh_tes!J22=0,"",SER_hh_tes!J22/SER_hh_fec!J22)</f>
        <v>0.47305800926310498</v>
      </c>
      <c r="K22" s="136">
        <f>IF(SER_hh_tes!K22=0,"",SER_hh_tes!K22/SER_hh_fec!K22)</f>
        <v>0.4741766077697761</v>
      </c>
      <c r="L22" s="136">
        <f>IF(SER_hh_tes!L22=0,"",SER_hh_tes!L22/SER_hh_fec!L22)</f>
        <v>0.48001570089364443</v>
      </c>
      <c r="M22" s="136">
        <f>IF(SER_hh_tes!M22=0,"",SER_hh_tes!M22/SER_hh_fec!M22)</f>
        <v>0.49187777405074473</v>
      </c>
      <c r="N22" s="136">
        <f>IF(SER_hh_tes!N22=0,"",SER_hh_tes!N22/SER_hh_fec!N22)</f>
        <v>0.51791752458039686</v>
      </c>
      <c r="O22" s="136">
        <f>IF(SER_hh_tes!O22=0,"",SER_hh_tes!O22/SER_hh_fec!O22)</f>
        <v>0.5565617580686959</v>
      </c>
      <c r="P22" s="136">
        <f>IF(SER_hh_tes!P22=0,"",SER_hh_tes!P22/SER_hh_fec!P22)</f>
        <v>0.55664688174456511</v>
      </c>
      <c r="Q22" s="136">
        <f>IF(SER_hh_tes!Q22=0,"",SER_hh_tes!Q22/SER_hh_fec!Q22)</f>
        <v>0.55786860184166731</v>
      </c>
      <c r="R22" s="136">
        <f>IF(SER_hh_tes!R22=0,"",SER_hh_tes!R22/SER_hh_fec!R22)</f>
        <v>0.55808279782967563</v>
      </c>
      <c r="S22" s="136">
        <f>IF(SER_hh_tes!S22=0,"",SER_hh_tes!S22/SER_hh_fec!S22)</f>
        <v>0.55873273576562243</v>
      </c>
      <c r="T22" s="136">
        <f>IF(SER_hh_tes!T22=0,"",SER_hh_tes!T22/SER_hh_fec!T22)</f>
        <v>0.55948321206001206</v>
      </c>
      <c r="U22" s="136">
        <f>IF(SER_hh_tes!U22=0,"",SER_hh_tes!U22/SER_hh_fec!U22)</f>
        <v>0.57921814110136272</v>
      </c>
      <c r="V22" s="136">
        <f>IF(SER_hh_tes!V22=0,"",SER_hh_tes!V22/SER_hh_fec!V22)</f>
        <v>0.60204051618595833</v>
      </c>
      <c r="W22" s="136">
        <f>IF(SER_hh_tes!W22=0,"",SER_hh_tes!W22/SER_hh_fec!W22)</f>
        <v>0.61533730930676833</v>
      </c>
      <c r="X22" s="136">
        <f>IF(SER_hh_tes!X22=0,"",SER_hh_tes!X22/SER_hh_fec!X22)</f>
        <v>0.61964640128024218</v>
      </c>
      <c r="Y22" s="136">
        <f>IF(SER_hh_tes!Y22=0,"",SER_hh_tes!Y22/SER_hh_fec!Y22)</f>
        <v>0.62557561160207209</v>
      </c>
      <c r="DA22" s="163" t="s">
        <v>347</v>
      </c>
    </row>
    <row r="23" spans="1:105" ht="12" customHeight="1" x14ac:dyDescent="0.25">
      <c r="A23" s="131" t="s">
        <v>149</v>
      </c>
      <c r="B23" s="136">
        <f>IF(SER_hh_tes!B23=0,"",SER_hh_tes!B23/SER_hh_fec!B23)</f>
        <v>0.48368637557091987</v>
      </c>
      <c r="C23" s="136">
        <f>IF(SER_hh_tes!C23=0,"",SER_hh_tes!C23/SER_hh_fec!C23)</f>
        <v>0.48914444570090437</v>
      </c>
      <c r="D23" s="136">
        <f>IF(SER_hh_tes!D23=0,"",SER_hh_tes!D23/SER_hh_fec!D23)</f>
        <v>0.49706589962076009</v>
      </c>
      <c r="E23" s="136">
        <f>IF(SER_hh_tes!E23=0,"",SER_hh_tes!E23/SER_hh_fec!E23)</f>
        <v>0.50485708698008247</v>
      </c>
      <c r="F23" s="136">
        <f>IF(SER_hh_tes!F23=0,"",SER_hh_tes!F23/SER_hh_fec!F23)</f>
        <v>0.51379570026956622</v>
      </c>
      <c r="G23" s="136">
        <f>IF(SER_hh_tes!G23=0,"",SER_hh_tes!G23/SER_hh_fec!G23)</f>
        <v>0.52341587492997121</v>
      </c>
      <c r="H23" s="136">
        <f>IF(SER_hh_tes!H23=0,"",SER_hh_tes!H23/SER_hh_fec!H23)</f>
        <v>0.53456937486489886</v>
      </c>
      <c r="I23" s="136">
        <f>IF(SER_hh_tes!I23=0,"",SER_hh_tes!I23/SER_hh_fec!I23)</f>
        <v>0.54575218988516938</v>
      </c>
      <c r="J23" s="136">
        <f>IF(SER_hh_tes!J23=0,"",SER_hh_tes!J23/SER_hh_fec!J23)</f>
        <v>0.55343293617767764</v>
      </c>
      <c r="K23" s="136">
        <f>IF(SER_hh_tes!K23=0,"",SER_hh_tes!K23/SER_hh_fec!K23)</f>
        <v>0.55874174875395344</v>
      </c>
      <c r="L23" s="136">
        <f>IF(SER_hh_tes!L23=0,"",SER_hh_tes!L23/SER_hh_fec!L23)</f>
        <v>0.5630405221740008</v>
      </c>
      <c r="M23" s="136">
        <f>IF(SER_hh_tes!M23=0,"",SER_hh_tes!M23/SER_hh_fec!M23)</f>
        <v>0.56795325043222522</v>
      </c>
      <c r="N23" s="136">
        <f>IF(SER_hh_tes!N23=0,"",SER_hh_tes!N23/SER_hh_fec!N23)</f>
        <v>0.57387722278471331</v>
      </c>
      <c r="O23" s="136">
        <f>IF(SER_hh_tes!O23=0,"",SER_hh_tes!O23/SER_hh_fec!O23)</f>
        <v>0.58116968300978022</v>
      </c>
      <c r="P23" s="136">
        <f>IF(SER_hh_tes!P23=0,"",SER_hh_tes!P23/SER_hh_fec!P23)</f>
        <v>0.58705425612039441</v>
      </c>
      <c r="Q23" s="136">
        <f>IF(SER_hh_tes!Q23=0,"",SER_hh_tes!Q23/SER_hh_fec!Q23)</f>
        <v>0.59923612047801911</v>
      </c>
      <c r="R23" s="136">
        <f>IF(SER_hh_tes!R23=0,"",SER_hh_tes!R23/SER_hh_fec!R23)</f>
        <v>0.61543395139239665</v>
      </c>
      <c r="S23" s="136">
        <f>IF(SER_hh_tes!S23=0,"",SER_hh_tes!S23/SER_hh_fec!S23)</f>
        <v>0.63325295459498743</v>
      </c>
      <c r="T23" s="136">
        <f>IF(SER_hh_tes!T23=0,"",SER_hh_tes!T23/SER_hh_fec!T23)</f>
        <v>0.65526932447953568</v>
      </c>
      <c r="U23" s="136">
        <f>IF(SER_hh_tes!U23=0,"",SER_hh_tes!U23/SER_hh_fec!U23)</f>
        <v>0.67759646291278619</v>
      </c>
      <c r="V23" s="136">
        <f>IF(SER_hh_tes!V23=0,"",SER_hh_tes!V23/SER_hh_fec!V23)</f>
        <v>0.70159427680845288</v>
      </c>
      <c r="W23" s="136">
        <f>IF(SER_hh_tes!W23=0,"",SER_hh_tes!W23/SER_hh_fec!W23)</f>
        <v>0.72102937284027269</v>
      </c>
      <c r="X23" s="136">
        <f>IF(SER_hh_tes!X23=0,"",SER_hh_tes!X23/SER_hh_fec!X23)</f>
        <v>0.73924863327896462</v>
      </c>
      <c r="Y23" s="136">
        <f>IF(SER_hh_tes!Y23=0,"",SER_hh_tes!Y23/SER_hh_fec!Y23)</f>
        <v>0.75476186022442993</v>
      </c>
      <c r="DA23" s="163" t="s">
        <v>348</v>
      </c>
    </row>
    <row r="24" spans="1:105" ht="12" customHeight="1" x14ac:dyDescent="0.25">
      <c r="A24" s="131" t="s">
        <v>128</v>
      </c>
      <c r="B24" s="136">
        <f>IF(SER_hh_tes!B24=0,"",SER_hh_tes!B24/SER_hh_fec!B24)</f>
        <v>0.41290475642364111</v>
      </c>
      <c r="C24" s="136">
        <f>IF(SER_hh_tes!C24=0,"",SER_hh_tes!C24/SER_hh_fec!C24)</f>
        <v>0.42327593723663476</v>
      </c>
      <c r="D24" s="136">
        <f>IF(SER_hh_tes!D24=0,"",SER_hh_tes!D24/SER_hh_fec!D24)</f>
        <v>0.43222981860642107</v>
      </c>
      <c r="E24" s="136">
        <f>IF(SER_hh_tes!E24=0,"",SER_hh_tes!E24/SER_hh_fec!E24)</f>
        <v>0.44277382015927541</v>
      </c>
      <c r="F24" s="136">
        <f>IF(SER_hh_tes!F24=0,"",SER_hh_tes!F24/SER_hh_fec!F24)</f>
        <v>0.45491878623652271</v>
      </c>
      <c r="G24" s="136">
        <f>IF(SER_hh_tes!G24=0,"",SER_hh_tes!G24/SER_hh_fec!G24)</f>
        <v>0.46770572339463545</v>
      </c>
      <c r="H24" s="136">
        <f>IF(SER_hh_tes!H24=0,"",SER_hh_tes!H24/SER_hh_fec!H24)</f>
        <v>0.48129215025557914</v>
      </c>
      <c r="I24" s="136">
        <f>IF(SER_hh_tes!I24=0,"",SER_hh_tes!I24/SER_hh_fec!I24)</f>
        <v>0.4948573250418164</v>
      </c>
      <c r="J24" s="136">
        <f>IF(SER_hh_tes!J24=0,"",SER_hh_tes!J24/SER_hh_fec!J24)</f>
        <v>0.50926320995937968</v>
      </c>
      <c r="K24" s="136">
        <f>IF(SER_hh_tes!K24=0,"",SER_hh_tes!K24/SER_hh_fec!K24)</f>
        <v>0.52424074632256445</v>
      </c>
      <c r="L24" s="136">
        <f>IF(SER_hh_tes!L24=0,"",SER_hh_tes!L24/SER_hh_fec!L24)</f>
        <v>0.54105806496799791</v>
      </c>
      <c r="M24" s="136">
        <f>IF(SER_hh_tes!M24=0,"",SER_hh_tes!M24/SER_hh_fec!M24)</f>
        <v>0.55985828269981908</v>
      </c>
      <c r="N24" s="136">
        <f>IF(SER_hh_tes!N24=0,"",SER_hh_tes!N24/SER_hh_fec!N24)</f>
        <v>0.58024542473564333</v>
      </c>
      <c r="O24" s="136">
        <f>IF(SER_hh_tes!O24=0,"",SER_hh_tes!O24/SER_hh_fec!O24)</f>
        <v>0.59876094953754622</v>
      </c>
      <c r="P24" s="136">
        <f>IF(SER_hh_tes!P24=0,"",SER_hh_tes!P24/SER_hh_fec!P24)</f>
        <v>0.60371711499263347</v>
      </c>
      <c r="Q24" s="136">
        <f>IF(SER_hh_tes!Q24=0,"",SER_hh_tes!Q24/SER_hh_fec!Q24)</f>
        <v>0.60829749946506151</v>
      </c>
      <c r="R24" s="136">
        <f>IF(SER_hh_tes!R24=0,"",SER_hh_tes!R24/SER_hh_fec!R24)</f>
        <v>0.61293525523359638</v>
      </c>
      <c r="S24" s="136">
        <f>IF(SER_hh_tes!S24=0,"",SER_hh_tes!S24/SER_hh_fec!S24)</f>
        <v>0.61811511501971483</v>
      </c>
      <c r="T24" s="136">
        <f>IF(SER_hh_tes!T24=0,"",SER_hh_tes!T24/SER_hh_fec!T24)</f>
        <v>0.62733409642786619</v>
      </c>
      <c r="U24" s="136">
        <f>IF(SER_hh_tes!U24=0,"",SER_hh_tes!U24/SER_hh_fec!U24)</f>
        <v>0.63859885393595472</v>
      </c>
      <c r="V24" s="136">
        <f>IF(SER_hh_tes!V24=0,"",SER_hh_tes!V24/SER_hh_fec!V24)</f>
        <v>0.65145536700439299</v>
      </c>
      <c r="W24" s="136">
        <f>IF(SER_hh_tes!W24=0,"",SER_hh_tes!W24/SER_hh_fec!W24)</f>
        <v>0.66408899042978309</v>
      </c>
      <c r="X24" s="136">
        <f>IF(SER_hh_tes!X24=0,"",SER_hh_tes!X24/SER_hh_fec!X24)</f>
        <v>0.67673356944950225</v>
      </c>
      <c r="Y24" s="136">
        <f>IF(SER_hh_tes!Y24=0,"",SER_hh_tes!Y24/SER_hh_fec!Y24)</f>
        <v>0.68857788798329922</v>
      </c>
      <c r="DA24" s="163" t="s">
        <v>349</v>
      </c>
    </row>
    <row r="25" spans="1:105" ht="12" customHeight="1" x14ac:dyDescent="0.25">
      <c r="A25" s="131" t="s">
        <v>162</v>
      </c>
      <c r="B25" s="136">
        <f>IF(SER_hh_tes!B25=0,"",SER_hh_tes!B25/SER_hh_fec!B25)</f>
        <v>0.72178006617973001</v>
      </c>
      <c r="C25" s="136">
        <f>IF(SER_hh_tes!C25=0,"",SER_hh_tes!C25/SER_hh_fec!C25)</f>
        <v>0.72470654245179611</v>
      </c>
      <c r="D25" s="136">
        <f>IF(SER_hh_tes!D25=0,"",SER_hh_tes!D25/SER_hh_fec!D25)</f>
        <v>0.72748629923620733</v>
      </c>
      <c r="E25" s="136">
        <f>IF(SER_hh_tes!E25=0,"",SER_hh_tes!E25/SER_hh_fec!E25)</f>
        <v>0.73147301973547385</v>
      </c>
      <c r="F25" s="136">
        <f>IF(SER_hh_tes!F25=0,"",SER_hh_tes!F25/SER_hh_fec!F25)</f>
        <v>0.73494652463531118</v>
      </c>
      <c r="G25" s="136">
        <f>IF(SER_hh_tes!G25=0,"",SER_hh_tes!G25/SER_hh_fec!G25)</f>
        <v>0.73837495525382457</v>
      </c>
      <c r="H25" s="136">
        <f>IF(SER_hh_tes!H25=0,"",SER_hh_tes!H25/SER_hh_fec!H25)</f>
        <v>0.74121486758207822</v>
      </c>
      <c r="I25" s="136">
        <f>IF(SER_hh_tes!I25=0,"",SER_hh_tes!I25/SER_hh_fec!I25)</f>
        <v>0.74568210929653922</v>
      </c>
      <c r="J25" s="136">
        <f>IF(SER_hh_tes!J25=0,"",SER_hh_tes!J25/SER_hh_fec!J25)</f>
        <v>0.74921394368781558</v>
      </c>
      <c r="K25" s="136">
        <f>IF(SER_hh_tes!K25=0,"",SER_hh_tes!K25/SER_hh_fec!K25)</f>
        <v>0.75200082921048894</v>
      </c>
      <c r="L25" s="136">
        <f>IF(SER_hh_tes!L25=0,"",SER_hh_tes!L25/SER_hh_fec!L25)</f>
        <v>0.75575499116202505</v>
      </c>
      <c r="M25" s="136">
        <f>IF(SER_hh_tes!M25=0,"",SER_hh_tes!M25/SER_hh_fec!M25)</f>
        <v>0.76014297015147836</v>
      </c>
      <c r="N25" s="136">
        <f>IF(SER_hh_tes!N25=0,"",SER_hh_tes!N25/SER_hh_fec!N25)</f>
        <v>0.76469417077948421</v>
      </c>
      <c r="O25" s="136">
        <f>IF(SER_hh_tes!O25=0,"",SER_hh_tes!O25/SER_hh_fec!O25)</f>
        <v>0.76990017205327554</v>
      </c>
      <c r="P25" s="136">
        <f>IF(SER_hh_tes!P25=0,"",SER_hh_tes!P25/SER_hh_fec!P25)</f>
        <v>0.77361199824875448</v>
      </c>
      <c r="Q25" s="136">
        <f>IF(SER_hh_tes!Q25=0,"",SER_hh_tes!Q25/SER_hh_fec!Q25)</f>
        <v>0.77821832357171661</v>
      </c>
      <c r="R25" s="136">
        <f>IF(SER_hh_tes!R25=0,"",SER_hh_tes!R25/SER_hh_fec!R25)</f>
        <v>0.78324189327200977</v>
      </c>
      <c r="S25" s="136">
        <f>IF(SER_hh_tes!S25=0,"",SER_hh_tes!S25/SER_hh_fec!S25)</f>
        <v>0.78887158572146188</v>
      </c>
      <c r="T25" s="136">
        <f>IF(SER_hh_tes!T25=0,"",SER_hh_tes!T25/SER_hh_fec!T25)</f>
        <v>0.79403397309626755</v>
      </c>
      <c r="U25" s="136">
        <f>IF(SER_hh_tes!U25=0,"",SER_hh_tes!U25/SER_hh_fec!U25)</f>
        <v>0.79948236951468254</v>
      </c>
      <c r="V25" s="136">
        <f>IF(SER_hh_tes!V25=0,"",SER_hh_tes!V25/SER_hh_fec!V25)</f>
        <v>0.80525759163844446</v>
      </c>
      <c r="W25" s="136">
        <f>IF(SER_hh_tes!W25=0,"",SER_hh_tes!W25/SER_hh_fec!W25)</f>
        <v>0.8118699205270471</v>
      </c>
      <c r="X25" s="136">
        <f>IF(SER_hh_tes!X25=0,"",SER_hh_tes!X25/SER_hh_fec!X25)</f>
        <v>0.81872596754436466</v>
      </c>
      <c r="Y25" s="136">
        <f>IF(SER_hh_tes!Y25=0,"",SER_hh_tes!Y25/SER_hh_fec!Y25)</f>
        <v>0.82608310122983797</v>
      </c>
      <c r="DA25" s="163" t="s">
        <v>350</v>
      </c>
    </row>
    <row r="26" spans="1:105" ht="12" customHeight="1" x14ac:dyDescent="0.25">
      <c r="A26" s="131" t="s">
        <v>24</v>
      </c>
      <c r="B26" s="137">
        <f>IF(SER_hh_tes!B26=0,"",SER_hh_tes!B26/SER_hh_fec!B26)</f>
        <v>0.60025133978790646</v>
      </c>
      <c r="C26" s="137">
        <f>IF(SER_hh_tes!C26=0,"",SER_hh_tes!C26/SER_hh_fec!C26)</f>
        <v>0.60293533823770074</v>
      </c>
      <c r="D26" s="137">
        <f>IF(SER_hh_tes!D26=0,"",SER_hh_tes!D26/SER_hh_fec!D26)</f>
        <v>0.60598931222499686</v>
      </c>
      <c r="E26" s="137">
        <f>IF(SER_hh_tes!E26=0,"",SER_hh_tes!E26/SER_hh_fec!E26)</f>
        <v>0.60877014187566925</v>
      </c>
      <c r="F26" s="137">
        <f>IF(SER_hh_tes!F26=0,"",SER_hh_tes!F26/SER_hh_fec!F26)</f>
        <v>0.61128954967141269</v>
      </c>
      <c r="G26" s="137">
        <f>IF(SER_hh_tes!G26=0,"",SER_hh_tes!G26/SER_hh_fec!G26)</f>
        <v>0.61414932756656682</v>
      </c>
      <c r="H26" s="137">
        <f>IF(SER_hh_tes!H26=0,"",SER_hh_tes!H26/SER_hh_fec!H26)</f>
        <v>0.61683701008693459</v>
      </c>
      <c r="I26" s="137">
        <f>IF(SER_hh_tes!I26=0,"",SER_hh_tes!I26/SER_hh_fec!I26)</f>
        <v>0.62050814427609191</v>
      </c>
      <c r="J26" s="137">
        <f>IF(SER_hh_tes!J26=0,"",SER_hh_tes!J26/SER_hh_fec!J26)</f>
        <v>0.62309928492393374</v>
      </c>
      <c r="K26" s="137">
        <f>IF(SER_hh_tes!K26=0,"",SER_hh_tes!K26/SER_hh_fec!K26)</f>
        <v>0.62526797475943996</v>
      </c>
      <c r="L26" s="137">
        <f>IF(SER_hh_tes!L26=0,"",SER_hh_tes!L26/SER_hh_fec!L26)</f>
        <v>0.62768224452205212</v>
      </c>
      <c r="M26" s="137">
        <f>IF(SER_hh_tes!M26=0,"",SER_hh_tes!M26/SER_hh_fec!M26)</f>
        <v>0.63129008208277881</v>
      </c>
      <c r="N26" s="137">
        <f>IF(SER_hh_tes!N26=0,"",SER_hh_tes!N26/SER_hh_fec!N26)</f>
        <v>0.63642299579692907</v>
      </c>
      <c r="O26" s="137">
        <f>IF(SER_hh_tes!O26=0,"",SER_hh_tes!O26/SER_hh_fec!O26)</f>
        <v>0.64214628944375773</v>
      </c>
      <c r="P26" s="137">
        <f>IF(SER_hh_tes!P26=0,"",SER_hh_tes!P26/SER_hh_fec!P26)</f>
        <v>0.64525344549839925</v>
      </c>
      <c r="Q26" s="137">
        <f>IF(SER_hh_tes!Q26=0,"",SER_hh_tes!Q26/SER_hh_fec!Q26)</f>
        <v>0.64845873842933832</v>
      </c>
      <c r="R26" s="137">
        <f>IF(SER_hh_tes!R26=0,"",SER_hh_tes!R26/SER_hh_fec!R26)</f>
        <v>0.65765615209016326</v>
      </c>
      <c r="S26" s="137">
        <f>IF(SER_hh_tes!S26=0,"",SER_hh_tes!S26/SER_hh_fec!S26)</f>
        <v>0.67588392676700504</v>
      </c>
      <c r="T26" s="137">
        <f>IF(SER_hh_tes!T26=0,"",SER_hh_tes!T26/SER_hh_fec!T26)</f>
        <v>0.69825264020597277</v>
      </c>
      <c r="U26" s="137">
        <f>IF(SER_hh_tes!U26=0,"",SER_hh_tes!U26/SER_hh_fec!U26)</f>
        <v>0.72148714299550576</v>
      </c>
      <c r="V26" s="137">
        <f>IF(SER_hh_tes!V26=0,"",SER_hh_tes!V26/SER_hh_fec!V26)</f>
        <v>0.74288981153526545</v>
      </c>
      <c r="W26" s="137">
        <f>IF(SER_hh_tes!W26=0,"",SER_hh_tes!W26/SER_hh_fec!W26)</f>
        <v>0.76417549892156444</v>
      </c>
      <c r="X26" s="137">
        <f>IF(SER_hh_tes!X26=0,"",SER_hh_tes!X26/SER_hh_fec!X26)</f>
        <v>0.78477949440795292</v>
      </c>
      <c r="Y26" s="137">
        <f>IF(SER_hh_tes!Y26=0,"",SER_hh_tes!Y26/SER_hh_fec!Y26)</f>
        <v>0.80537874380788166</v>
      </c>
      <c r="DA26" s="164" t="s">
        <v>351</v>
      </c>
    </row>
    <row r="27" spans="1:105" ht="12" customHeight="1" x14ac:dyDescent="0.25">
      <c r="A27" s="144" t="s">
        <v>26</v>
      </c>
      <c r="B27" s="153" t="str">
        <f>IF(SER_hh_tes!B27=0,"",SER_hh_tes!B27/SER_hh_fec!B27)</f>
        <v/>
      </c>
      <c r="C27" s="153" t="str">
        <f>IF(SER_hh_tes!C27=0,"",SER_hh_tes!C27/SER_hh_fec!C27)</f>
        <v/>
      </c>
      <c r="D27" s="153" t="str">
        <f>IF(SER_hh_tes!D27=0,"",SER_hh_tes!D27/SER_hh_fec!D27)</f>
        <v/>
      </c>
      <c r="E27" s="153" t="str">
        <f>IF(SER_hh_tes!E27=0,"",SER_hh_tes!E27/SER_hh_fec!E27)</f>
        <v/>
      </c>
      <c r="F27" s="153" t="str">
        <f>IF(SER_hh_tes!F27=0,"",SER_hh_tes!F27/SER_hh_fec!F27)</f>
        <v/>
      </c>
      <c r="G27" s="153" t="str">
        <f>IF(SER_hh_tes!G27=0,"",SER_hh_tes!G27/SER_hh_fec!G27)</f>
        <v/>
      </c>
      <c r="H27" s="153" t="str">
        <f>IF(SER_hh_tes!H27=0,"",SER_hh_tes!H27/SER_hh_fec!H27)</f>
        <v/>
      </c>
      <c r="I27" s="153" t="str">
        <f>IF(SER_hh_tes!I27=0,"",SER_hh_tes!I27/SER_hh_fec!I27)</f>
        <v/>
      </c>
      <c r="J27" s="153" t="str">
        <f>IF(SER_hh_tes!J27=0,"",SER_hh_tes!J27/SER_hh_fec!J27)</f>
        <v/>
      </c>
      <c r="K27" s="153" t="str">
        <f>IF(SER_hh_tes!K27=0,"",SER_hh_tes!K27/SER_hh_fec!K27)</f>
        <v/>
      </c>
      <c r="L27" s="153" t="str">
        <f>IF(SER_hh_tes!L27=0,"",SER_hh_tes!L27/SER_hh_fec!L27)</f>
        <v/>
      </c>
      <c r="M27" s="153" t="str">
        <f>IF(SER_hh_tes!M27=0,"",SER_hh_tes!M27/SER_hh_fec!M27)</f>
        <v/>
      </c>
      <c r="N27" s="153" t="str">
        <f>IF(SER_hh_tes!N27=0,"",SER_hh_tes!N27/SER_hh_fec!N27)</f>
        <v/>
      </c>
      <c r="O27" s="153" t="str">
        <f>IF(SER_hh_tes!O27=0,"",SER_hh_tes!O27/SER_hh_fec!O27)</f>
        <v/>
      </c>
      <c r="P27" s="153" t="str">
        <f>IF(SER_hh_tes!P27=0,"",SER_hh_tes!P27/SER_hh_fec!P27)</f>
        <v/>
      </c>
      <c r="Q27" s="153" t="str">
        <f>IF(SER_hh_tes!Q27=0,"",SER_hh_tes!Q27/SER_hh_fec!Q27)</f>
        <v/>
      </c>
      <c r="R27" s="153" t="str">
        <f>IF(SER_hh_tes!R27=0,"",SER_hh_tes!R27/SER_hh_fec!R27)</f>
        <v/>
      </c>
      <c r="S27" s="153" t="str">
        <f>IF(SER_hh_tes!S27=0,"",SER_hh_tes!S27/SER_hh_fec!S27)</f>
        <v/>
      </c>
      <c r="T27" s="153" t="str">
        <f>IF(SER_hh_tes!T27=0,"",SER_hh_tes!T27/SER_hh_fec!T27)</f>
        <v/>
      </c>
      <c r="U27" s="153" t="str">
        <f>IF(SER_hh_tes!U27=0,"",SER_hh_tes!U27/SER_hh_fec!U27)</f>
        <v/>
      </c>
      <c r="V27" s="153" t="str">
        <f>IF(SER_hh_tes!V27=0,"",SER_hh_tes!V27/SER_hh_fec!V27)</f>
        <v/>
      </c>
      <c r="W27" s="153" t="str">
        <f>IF(SER_hh_tes!W27=0,"",SER_hh_tes!W27/SER_hh_fec!W27)</f>
        <v/>
      </c>
      <c r="X27" s="153" t="str">
        <f>IF(SER_hh_tes!X27=0,"",SER_hh_tes!X27/SER_hh_fec!X27)</f>
        <v/>
      </c>
      <c r="Y27" s="153" t="str">
        <f>IF(SER_hh_tes!Y27=0,"",SER_hh_tes!Y27/SER_hh_fec!Y27)</f>
        <v/>
      </c>
      <c r="DA27" s="176" t="s">
        <v>352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>
        <f>IF(SER_hh_tes!B29=0,"",SER_hh_tes!B29/SER_hh_fec!B29)</f>
        <v>0.68507414412084677</v>
      </c>
      <c r="C29" s="135">
        <f>IF(SER_hh_tes!C29=0,"",SER_hh_tes!C29/SER_hh_fec!C29)</f>
        <v>0.68464984485948954</v>
      </c>
      <c r="D29" s="135">
        <f>IF(SER_hh_tes!D29=0,"",SER_hh_tes!D29/SER_hh_fec!D29)</f>
        <v>0.68305155910989857</v>
      </c>
      <c r="E29" s="135">
        <f>IF(SER_hh_tes!E29=0,"",SER_hh_tes!E29/SER_hh_fec!E29)</f>
        <v>0.68588681077984393</v>
      </c>
      <c r="F29" s="135">
        <f>IF(SER_hh_tes!F29=0,"",SER_hh_tes!F29/SER_hh_fec!F29)</f>
        <v>0.69399068683939791</v>
      </c>
      <c r="G29" s="135">
        <f>IF(SER_hh_tes!G29=0,"",SER_hh_tes!G29/SER_hh_fec!G29)</f>
        <v>0.69351147414069514</v>
      </c>
      <c r="H29" s="135">
        <f>IF(SER_hh_tes!H29=0,"",SER_hh_tes!H29/SER_hh_fec!H29)</f>
        <v>0.69727830359702003</v>
      </c>
      <c r="I29" s="135">
        <f>IF(SER_hh_tes!I29=0,"",SER_hh_tes!I29/SER_hh_fec!I29)</f>
        <v>0.69085045321215532</v>
      </c>
      <c r="J29" s="135">
        <f>IF(SER_hh_tes!J29=0,"",SER_hh_tes!J29/SER_hh_fec!J29)</f>
        <v>0.68669959551103665</v>
      </c>
      <c r="K29" s="135">
        <f>IF(SER_hh_tes!K29=0,"",SER_hh_tes!K29/SER_hh_fec!K29)</f>
        <v>0.69346655206535524</v>
      </c>
      <c r="L29" s="135">
        <f>IF(SER_hh_tes!L29=0,"",SER_hh_tes!L29/SER_hh_fec!L29)</f>
        <v>0.69666413902589952</v>
      </c>
      <c r="M29" s="135">
        <f>IF(SER_hh_tes!M29=0,"",SER_hh_tes!M29/SER_hh_fec!M29)</f>
        <v>0.7003457554751843</v>
      </c>
      <c r="N29" s="135">
        <f>IF(SER_hh_tes!N29=0,"",SER_hh_tes!N29/SER_hh_fec!N29)</f>
        <v>0.71133067824495522</v>
      </c>
      <c r="O29" s="135">
        <f>IF(SER_hh_tes!O29=0,"",SER_hh_tes!O29/SER_hh_fec!O29)</f>
        <v>0.72049693952881588</v>
      </c>
      <c r="P29" s="135">
        <f>IF(SER_hh_tes!P29=0,"",SER_hh_tes!P29/SER_hh_fec!P29)</f>
        <v>0.72720450742260057</v>
      </c>
      <c r="Q29" s="135">
        <f>IF(SER_hh_tes!Q29=0,"",SER_hh_tes!Q29/SER_hh_fec!Q29)</f>
        <v>0.72364924788196128</v>
      </c>
      <c r="R29" s="135">
        <f>IF(SER_hh_tes!R29=0,"",SER_hh_tes!R29/SER_hh_fec!R29)</f>
        <v>0.72633162156558728</v>
      </c>
      <c r="S29" s="135">
        <f>IF(SER_hh_tes!S29=0,"",SER_hh_tes!S29/SER_hh_fec!S29)</f>
        <v>0.73612283597454087</v>
      </c>
      <c r="T29" s="135">
        <f>IF(SER_hh_tes!T29=0,"",SER_hh_tes!T29/SER_hh_fec!T29)</f>
        <v>0.7420917943662183</v>
      </c>
      <c r="U29" s="135">
        <f>IF(SER_hh_tes!U29=0,"",SER_hh_tes!U29/SER_hh_fec!U29)</f>
        <v>0.76341344714488157</v>
      </c>
      <c r="V29" s="135">
        <f>IF(SER_hh_tes!V29=0,"",SER_hh_tes!V29/SER_hh_fec!V29)</f>
        <v>0.77610798765377453</v>
      </c>
      <c r="W29" s="135">
        <f>IF(SER_hh_tes!W29=0,"",SER_hh_tes!W29/SER_hh_fec!W29)</f>
        <v>0.78189480010662005</v>
      </c>
      <c r="X29" s="135">
        <f>IF(SER_hh_tes!X29=0,"",SER_hh_tes!X29/SER_hh_fec!X29)</f>
        <v>0.7861125310808047</v>
      </c>
      <c r="Y29" s="135">
        <f>IF(SER_hh_tes!Y29=0,"",SER_hh_tes!Y29/SER_hh_fec!Y29)</f>
        <v>0.79084912993013501</v>
      </c>
      <c r="DA29" s="162" t="s">
        <v>243</v>
      </c>
    </row>
    <row r="30" spans="1:105" ht="12" customHeight="1" x14ac:dyDescent="0.25">
      <c r="A30" s="131" t="s">
        <v>52</v>
      </c>
      <c r="B30" s="136" t="str">
        <f>IF(SER_hh_tes!B30=0,"",SER_hh_tes!B30/SER_hh_fec!B30)</f>
        <v/>
      </c>
      <c r="C30" s="136" t="str">
        <f>IF(SER_hh_tes!C30=0,"",SER_hh_tes!C30/SER_hh_fec!C30)</f>
        <v/>
      </c>
      <c r="D30" s="136" t="str">
        <f>IF(SER_hh_tes!D30=0,"",SER_hh_tes!D30/SER_hh_fec!D30)</f>
        <v/>
      </c>
      <c r="E30" s="136" t="str">
        <f>IF(SER_hh_tes!E30=0,"",SER_hh_tes!E30/SER_hh_fec!E30)</f>
        <v/>
      </c>
      <c r="F30" s="136" t="str">
        <f>IF(SER_hh_tes!F30=0,"",SER_hh_tes!F30/SER_hh_fec!F30)</f>
        <v/>
      </c>
      <c r="G30" s="136" t="str">
        <f>IF(SER_hh_tes!G30=0,"",SER_hh_tes!G30/SER_hh_fec!G30)</f>
        <v/>
      </c>
      <c r="H30" s="136" t="str">
        <f>IF(SER_hh_tes!H30=0,"",SER_hh_tes!H30/SER_hh_fec!H30)</f>
        <v/>
      </c>
      <c r="I30" s="136" t="str">
        <f>IF(SER_hh_tes!I30=0,"",SER_hh_tes!I30/SER_hh_fec!I30)</f>
        <v/>
      </c>
      <c r="J30" s="136" t="str">
        <f>IF(SER_hh_tes!J30=0,"",SER_hh_tes!J30/SER_hh_fec!J30)</f>
        <v/>
      </c>
      <c r="K30" s="136" t="str">
        <f>IF(SER_hh_tes!K30=0,"",SER_hh_tes!K30/SER_hh_fec!K30)</f>
        <v/>
      </c>
      <c r="L30" s="136" t="str">
        <f>IF(SER_hh_tes!L30=0,"",SER_hh_tes!L30/SER_hh_fec!L30)</f>
        <v/>
      </c>
      <c r="M30" s="136" t="str">
        <f>IF(SER_hh_tes!M30=0,"",SER_hh_tes!M30/SER_hh_fec!M30)</f>
        <v/>
      </c>
      <c r="N30" s="136" t="str">
        <f>IF(SER_hh_tes!N30=0,"",SER_hh_tes!N30/SER_hh_fec!N30)</f>
        <v/>
      </c>
      <c r="O30" s="136" t="str">
        <f>IF(SER_hh_tes!O30=0,"",SER_hh_tes!O30/SER_hh_fec!O30)</f>
        <v/>
      </c>
      <c r="P30" s="136" t="str">
        <f>IF(SER_hh_tes!P30=0,"",SER_hh_tes!P30/SER_hh_fec!P30)</f>
        <v/>
      </c>
      <c r="Q30" s="136" t="str">
        <f>IF(SER_hh_tes!Q30=0,"",SER_hh_tes!Q30/SER_hh_fec!Q30)</f>
        <v/>
      </c>
      <c r="R30" s="136" t="str">
        <f>IF(SER_hh_tes!R30=0,"",SER_hh_tes!R30/SER_hh_fec!R30)</f>
        <v/>
      </c>
      <c r="S30" s="136" t="str">
        <f>IF(SER_hh_tes!S30=0,"",SER_hh_tes!S30/SER_hh_fec!S30)</f>
        <v/>
      </c>
      <c r="T30" s="136" t="str">
        <f>IF(SER_hh_tes!T30=0,"",SER_hh_tes!T30/SER_hh_fec!T30)</f>
        <v/>
      </c>
      <c r="U30" s="136" t="str">
        <f>IF(SER_hh_tes!U30=0,"",SER_hh_tes!U30/SER_hh_fec!U30)</f>
        <v/>
      </c>
      <c r="V30" s="136" t="str">
        <f>IF(SER_hh_tes!V30=0,"",SER_hh_tes!V30/SER_hh_fec!V30)</f>
        <v/>
      </c>
      <c r="W30" s="136" t="str">
        <f>IF(SER_hh_tes!W30=0,"",SER_hh_tes!W30/SER_hh_fec!W30)</f>
        <v/>
      </c>
      <c r="X30" s="136" t="str">
        <f>IF(SER_hh_tes!X30=0,"",SER_hh_tes!X30/SER_hh_fec!X30)</f>
        <v/>
      </c>
      <c r="Y30" s="136" t="str">
        <f>IF(SER_hh_tes!Y30=0,"",SER_hh_tes!Y30/SER_hh_fec!Y30)</f>
        <v/>
      </c>
      <c r="DA30" s="163" t="s">
        <v>353</v>
      </c>
    </row>
    <row r="31" spans="1:105" ht="12" customHeight="1" x14ac:dyDescent="0.25">
      <c r="A31" s="131" t="s">
        <v>149</v>
      </c>
      <c r="B31" s="136">
        <f>IF(SER_hh_tes!B31=0,"",SER_hh_tes!B31/SER_hh_fec!B31)</f>
        <v>0.55708351049095761</v>
      </c>
      <c r="C31" s="136">
        <f>IF(SER_hh_tes!C31=0,"",SER_hh_tes!C31/SER_hh_fec!C31)</f>
        <v>0.55813256697562763</v>
      </c>
      <c r="D31" s="136">
        <f>IF(SER_hh_tes!D31=0,"",SER_hh_tes!D31/SER_hh_fec!D31)</f>
        <v>0.55921490307362176</v>
      </c>
      <c r="E31" s="136">
        <f>IF(SER_hh_tes!E31=0,"",SER_hh_tes!E31/SER_hh_fec!E31)</f>
        <v>0.56012211083551244</v>
      </c>
      <c r="F31" s="136">
        <f>IF(SER_hh_tes!F31=0,"",SER_hh_tes!F31/SER_hh_fec!F31)</f>
        <v>0.56085429305161438</v>
      </c>
      <c r="G31" s="136">
        <f>IF(SER_hh_tes!G31=0,"",SER_hh_tes!G31/SER_hh_fec!G31)</f>
        <v>0.56189973415135885</v>
      </c>
      <c r="H31" s="136">
        <f>IF(SER_hh_tes!H31=0,"",SER_hh_tes!H31/SER_hh_fec!H31)</f>
        <v>0.56315168453644326</v>
      </c>
      <c r="I31" s="136">
        <f>IF(SER_hh_tes!I31=0,"",SER_hh_tes!I31/SER_hh_fec!I31)</f>
        <v>0.5646219883219562</v>
      </c>
      <c r="J31" s="136">
        <f>IF(SER_hh_tes!J31=0,"",SER_hh_tes!J31/SER_hh_fec!J31)</f>
        <v>0.56579131901130775</v>
      </c>
      <c r="K31" s="136">
        <f>IF(SER_hh_tes!K31=0,"",SER_hh_tes!K31/SER_hh_fec!K31)</f>
        <v>0.56675219928423304</v>
      </c>
      <c r="L31" s="136">
        <f>IF(SER_hh_tes!L31=0,"",SER_hh_tes!L31/SER_hh_fec!L31)</f>
        <v>0.56732260686327751</v>
      </c>
      <c r="M31" s="136">
        <f>IF(SER_hh_tes!M31=0,"",SER_hh_tes!M31/SER_hh_fec!M31)</f>
        <v>0.56746591632743959</v>
      </c>
      <c r="N31" s="136">
        <f>IF(SER_hh_tes!N31=0,"",SER_hh_tes!N31/SER_hh_fec!N31)</f>
        <v>0.56766553449529267</v>
      </c>
      <c r="O31" s="136">
        <f>IF(SER_hh_tes!O31=0,"",SER_hh_tes!O31/SER_hh_fec!O31)</f>
        <v>0.56795764328940412</v>
      </c>
      <c r="P31" s="136">
        <f>IF(SER_hh_tes!P31=0,"",SER_hh_tes!P31/SER_hh_fec!P31)</f>
        <v>0.56844576150012682</v>
      </c>
      <c r="Q31" s="136">
        <f>IF(SER_hh_tes!Q31=0,"",SER_hh_tes!Q31/SER_hh_fec!Q31)</f>
        <v>0.56966956444216088</v>
      </c>
      <c r="R31" s="136">
        <f>IF(SER_hh_tes!R31=0,"",SER_hh_tes!R31/SER_hh_fec!R31)</f>
        <v>0.571828763319568</v>
      </c>
      <c r="S31" s="136">
        <f>IF(SER_hh_tes!S31=0,"",SER_hh_tes!S31/SER_hh_fec!S31)</f>
        <v>0.57445088916685372</v>
      </c>
      <c r="T31" s="136">
        <f>IF(SER_hh_tes!T31=0,"",SER_hh_tes!T31/SER_hh_fec!T31)</f>
        <v>0.57752994871974539</v>
      </c>
      <c r="U31" s="136">
        <f>IF(SER_hh_tes!U31=0,"",SER_hh_tes!U31/SER_hh_fec!U31)</f>
        <v>0.57937581017420026</v>
      </c>
      <c r="V31" s="136">
        <f>IF(SER_hh_tes!V31=0,"",SER_hh_tes!V31/SER_hh_fec!V31)</f>
        <v>0.5808509614897176</v>
      </c>
      <c r="W31" s="136">
        <f>IF(SER_hh_tes!W31=0,"",SER_hh_tes!W31/SER_hh_fec!W31)</f>
        <v>0.58263446884720882</v>
      </c>
      <c r="X31" s="136">
        <f>IF(SER_hh_tes!X31=0,"",SER_hh_tes!X31/SER_hh_fec!X31)</f>
        <v>0.58819564012092551</v>
      </c>
      <c r="Y31" s="136">
        <f>IF(SER_hh_tes!Y31=0,"",SER_hh_tes!Y31/SER_hh_fec!Y31)</f>
        <v>0.59393842933601682</v>
      </c>
      <c r="DA31" s="163" t="s">
        <v>354</v>
      </c>
    </row>
    <row r="32" spans="1:105" ht="12" customHeight="1" x14ac:dyDescent="0.25">
      <c r="A32" s="131" t="s">
        <v>128</v>
      </c>
      <c r="B32" s="136" t="str">
        <f>IF(SER_hh_tes!B32=0,"",SER_hh_tes!B32/SER_hh_fec!B32)</f>
        <v/>
      </c>
      <c r="C32" s="136" t="str">
        <f>IF(SER_hh_tes!C32=0,"",SER_hh_tes!C32/SER_hh_fec!C32)</f>
        <v/>
      </c>
      <c r="D32" s="136" t="str">
        <f>IF(SER_hh_tes!D32=0,"",SER_hh_tes!D32/SER_hh_fec!D32)</f>
        <v/>
      </c>
      <c r="E32" s="136" t="str">
        <f>IF(SER_hh_tes!E32=0,"",SER_hh_tes!E32/SER_hh_fec!E32)</f>
        <v/>
      </c>
      <c r="F32" s="136" t="str">
        <f>IF(SER_hh_tes!F32=0,"",SER_hh_tes!F32/SER_hh_fec!F32)</f>
        <v/>
      </c>
      <c r="G32" s="136">
        <f>IF(SER_hh_tes!G32=0,"",SER_hh_tes!G32/SER_hh_fec!G32)</f>
        <v>0.56481669906202359</v>
      </c>
      <c r="H32" s="136">
        <f>IF(SER_hh_tes!H32=0,"",SER_hh_tes!H32/SER_hh_fec!H32)</f>
        <v>0.56490605590460063</v>
      </c>
      <c r="I32" s="136">
        <f>IF(SER_hh_tes!I32=0,"",SER_hh_tes!I32/SER_hh_fec!I32)</f>
        <v>0.56500211637079345</v>
      </c>
      <c r="J32" s="136">
        <f>IF(SER_hh_tes!J32=0,"",SER_hh_tes!J32/SER_hh_fec!J32)</f>
        <v>0.56516785722427731</v>
      </c>
      <c r="K32" s="136">
        <f>IF(SER_hh_tes!K32=0,"",SER_hh_tes!K32/SER_hh_fec!K32)</f>
        <v>0.56518688363251846</v>
      </c>
      <c r="L32" s="136">
        <f>IF(SER_hh_tes!L32=0,"",SER_hh_tes!L32/SER_hh_fec!L32)</f>
        <v>0.56533370207340172</v>
      </c>
      <c r="M32" s="136">
        <f>IF(SER_hh_tes!M32=0,"",SER_hh_tes!M32/SER_hh_fec!M32)</f>
        <v>0.56534419243666956</v>
      </c>
      <c r="N32" s="136">
        <f>IF(SER_hh_tes!N32=0,"",SER_hh_tes!N32/SER_hh_fec!N32)</f>
        <v>0.56542705989862585</v>
      </c>
      <c r="O32" s="136">
        <f>IF(SER_hh_tes!O32=0,"",SER_hh_tes!O32/SER_hh_fec!O32)</f>
        <v>0.56545409869444663</v>
      </c>
      <c r="P32" s="136">
        <f>IF(SER_hh_tes!P32=0,"",SER_hh_tes!P32/SER_hh_fec!P32)</f>
        <v>0.56568211956568182</v>
      </c>
      <c r="Q32" s="136">
        <f>IF(SER_hh_tes!Q32=0,"",SER_hh_tes!Q32/SER_hh_fec!Q32)</f>
        <v>0.56601244895625591</v>
      </c>
      <c r="R32" s="136">
        <f>IF(SER_hh_tes!R32=0,"",SER_hh_tes!R32/SER_hh_fec!R32)</f>
        <v>0.56709866558993416</v>
      </c>
      <c r="S32" s="136">
        <f>IF(SER_hh_tes!S32=0,"",SER_hh_tes!S32/SER_hh_fec!S32)</f>
        <v>0.56885801798964508</v>
      </c>
      <c r="T32" s="136">
        <f>IF(SER_hh_tes!T32=0,"",SER_hh_tes!T32/SER_hh_fec!T32)</f>
        <v>0.57050424709658121</v>
      </c>
      <c r="U32" s="136">
        <f>IF(SER_hh_tes!U32=0,"",SER_hh_tes!U32/SER_hh_fec!U32)</f>
        <v>0.57261031605651946</v>
      </c>
      <c r="V32" s="136">
        <f>IF(SER_hh_tes!V32=0,"",SER_hh_tes!V32/SER_hh_fec!V32)</f>
        <v>0.5744379429065366</v>
      </c>
      <c r="W32" s="136">
        <f>IF(SER_hh_tes!W32=0,"",SER_hh_tes!W32/SER_hh_fec!W32)</f>
        <v>0.57591135471704513</v>
      </c>
      <c r="X32" s="136">
        <f>IF(SER_hh_tes!X32=0,"",SER_hh_tes!X32/SER_hh_fec!X32)</f>
        <v>0.57663899575217925</v>
      </c>
      <c r="Y32" s="136">
        <f>IF(SER_hh_tes!Y32=0,"",SER_hh_tes!Y32/SER_hh_fec!Y32)</f>
        <v>0.57722335951722048</v>
      </c>
      <c r="DA32" s="163" t="s">
        <v>355</v>
      </c>
    </row>
    <row r="33" spans="1:105" ht="12" customHeight="1" x14ac:dyDescent="0.25">
      <c r="A33" s="62" t="s">
        <v>24</v>
      </c>
      <c r="B33" s="149">
        <f>IF(SER_hh_tes!B33=0,"",SER_hh_tes!B33/SER_hh_fec!B33)</f>
        <v>0.72812555701609805</v>
      </c>
      <c r="C33" s="149">
        <f>IF(SER_hh_tes!C33=0,"",SER_hh_tes!C33/SER_hh_fec!C33)</f>
        <v>0.72982549287424825</v>
      </c>
      <c r="D33" s="149">
        <f>IF(SER_hh_tes!D33=0,"",SER_hh_tes!D33/SER_hh_fec!D33)</f>
        <v>0.7316787082858428</v>
      </c>
      <c r="E33" s="149">
        <f>IF(SER_hh_tes!E33=0,"",SER_hh_tes!E33/SER_hh_fec!E33)</f>
        <v>0.73396621446012222</v>
      </c>
      <c r="F33" s="149">
        <f>IF(SER_hh_tes!F33=0,"",SER_hh_tes!F33/SER_hh_fec!F33)</f>
        <v>0.73615233701371741</v>
      </c>
      <c r="G33" s="149">
        <f>IF(SER_hh_tes!G33=0,"",SER_hh_tes!G33/SER_hh_fec!G33)</f>
        <v>0.73817528329926996</v>
      </c>
      <c r="H33" s="149">
        <f>IF(SER_hh_tes!H33=0,"",SER_hh_tes!H33/SER_hh_fec!H33)</f>
        <v>0.74002669732985793</v>
      </c>
      <c r="I33" s="149">
        <f>IF(SER_hh_tes!I33=0,"",SER_hh_tes!I33/SER_hh_fec!I33)</f>
        <v>0.74248793569173466</v>
      </c>
      <c r="J33" s="149">
        <f>IF(SER_hh_tes!J33=0,"",SER_hh_tes!J33/SER_hh_fec!J33)</f>
        <v>0.74456820983330418</v>
      </c>
      <c r="K33" s="149">
        <f>IF(SER_hh_tes!K33=0,"",SER_hh_tes!K33/SER_hh_fec!K33)</f>
        <v>0.74664959485642146</v>
      </c>
      <c r="L33" s="149">
        <f>IF(SER_hh_tes!L33=0,"",SER_hh_tes!L33/SER_hh_fec!L33)</f>
        <v>0.7485597688716944</v>
      </c>
      <c r="M33" s="149">
        <f>IF(SER_hh_tes!M33=0,"",SER_hh_tes!M33/SER_hh_fec!M33)</f>
        <v>0.74994581494518009</v>
      </c>
      <c r="N33" s="149">
        <f>IF(SER_hh_tes!N33=0,"",SER_hh_tes!N33/SER_hh_fec!N33)</f>
        <v>0.75187869554752873</v>
      </c>
      <c r="O33" s="149">
        <f>IF(SER_hh_tes!O33=0,"",SER_hh_tes!O33/SER_hh_fec!O33)</f>
        <v>0.75482912397738167</v>
      </c>
      <c r="P33" s="149">
        <f>IF(SER_hh_tes!P33=0,"",SER_hh_tes!P33/SER_hh_fec!P33)</f>
        <v>0.7584059682478701</v>
      </c>
      <c r="Q33" s="149">
        <f>IF(SER_hh_tes!Q33=0,"",SER_hh_tes!Q33/SER_hh_fec!Q33)</f>
        <v>0.76245885714315587</v>
      </c>
      <c r="R33" s="149">
        <f>IF(SER_hh_tes!R33=0,"",SER_hh_tes!R33/SER_hh_fec!R33)</f>
        <v>0.76747635641128309</v>
      </c>
      <c r="S33" s="149">
        <f>IF(SER_hh_tes!S33=0,"",SER_hh_tes!S33/SER_hh_fec!S33)</f>
        <v>0.77436282378279364</v>
      </c>
      <c r="T33" s="149">
        <f>IF(SER_hh_tes!T33=0,"",SER_hh_tes!T33/SER_hh_fec!T33)</f>
        <v>0.78305029790804526</v>
      </c>
      <c r="U33" s="149">
        <f>IF(SER_hh_tes!U33=0,"",SER_hh_tes!U33/SER_hh_fec!U33)</f>
        <v>0.79410892920735721</v>
      </c>
      <c r="V33" s="149">
        <f>IF(SER_hh_tes!V33=0,"",SER_hh_tes!V33/SER_hh_fec!V33)</f>
        <v>0.80445394061978381</v>
      </c>
      <c r="W33" s="149">
        <f>IF(SER_hh_tes!W33=0,"",SER_hh_tes!W33/SER_hh_fec!W33)</f>
        <v>0.81451099047521347</v>
      </c>
      <c r="X33" s="149">
        <f>IF(SER_hh_tes!X33=0,"",SER_hh_tes!X33/SER_hh_fec!X33)</f>
        <v>0.82499255738941812</v>
      </c>
      <c r="Y33" s="149">
        <f>IF(SER_hh_tes!Y33=0,"",SER_hh_tes!Y33/SER_hh_fec!Y33)</f>
        <v>0.83595894529442083</v>
      </c>
      <c r="DA33" s="167" t="s">
        <v>356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>
        <f t="shared" ref="B3:Q3" si="0">SUM(B4,B16,B19,B29)</f>
        <v>315.67891140000006</v>
      </c>
      <c r="C3" s="125">
        <f t="shared" si="0"/>
        <v>272.36534435999994</v>
      </c>
      <c r="D3" s="125">
        <f t="shared" si="0"/>
        <v>311.58969551999996</v>
      </c>
      <c r="E3" s="125">
        <f t="shared" si="0"/>
        <v>301.74478380000005</v>
      </c>
      <c r="F3" s="125">
        <f t="shared" si="0"/>
        <v>327.47220547200004</v>
      </c>
      <c r="G3" s="125">
        <f t="shared" si="0"/>
        <v>345.18161483999995</v>
      </c>
      <c r="H3" s="125">
        <f t="shared" si="0"/>
        <v>419.55001113600014</v>
      </c>
      <c r="I3" s="125">
        <f t="shared" si="0"/>
        <v>397.85393426400015</v>
      </c>
      <c r="J3" s="125">
        <f t="shared" si="0"/>
        <v>349.58853345600005</v>
      </c>
      <c r="K3" s="125">
        <f t="shared" si="0"/>
        <v>352.03592275199992</v>
      </c>
      <c r="L3" s="125">
        <f t="shared" si="0"/>
        <v>367.60599669600003</v>
      </c>
      <c r="M3" s="125">
        <f t="shared" si="0"/>
        <v>393.08049129599976</v>
      </c>
      <c r="N3" s="125">
        <f t="shared" si="0"/>
        <v>324.8874264960001</v>
      </c>
      <c r="O3" s="125">
        <f t="shared" si="0"/>
        <v>352.51133032800016</v>
      </c>
      <c r="P3" s="125">
        <f t="shared" si="0"/>
        <v>309.77472254399987</v>
      </c>
      <c r="Q3" s="125">
        <f t="shared" si="0"/>
        <v>277.68165314400017</v>
      </c>
      <c r="R3" s="125">
        <f t="shared" ref="R3:W3" si="1">SUM(R4,R16,R19,R29)</f>
        <v>314.90964107999991</v>
      </c>
      <c r="S3" s="125">
        <f t="shared" si="1"/>
        <v>330.02766338399994</v>
      </c>
      <c r="T3" s="125">
        <f t="shared" si="1"/>
        <v>344.19285151200012</v>
      </c>
      <c r="U3" s="125">
        <f t="shared" si="1"/>
        <v>317.7172710719999</v>
      </c>
      <c r="V3" s="125">
        <f t="shared" si="1"/>
        <v>263.44850227199998</v>
      </c>
      <c r="W3" s="125">
        <f t="shared" si="1"/>
        <v>292.38061024799993</v>
      </c>
      <c r="X3" s="125">
        <f t="shared" ref="X3:Y3" si="2">SUM(X4,X16,X19,X29)</f>
        <v>288.30779496000002</v>
      </c>
      <c r="Y3" s="125">
        <f t="shared" si="2"/>
        <v>299.00043798705366</v>
      </c>
      <c r="DA3" s="154" t="s">
        <v>233</v>
      </c>
    </row>
    <row r="4" spans="1:105" ht="12.95" customHeight="1" x14ac:dyDescent="0.25">
      <c r="A4" s="129" t="s">
        <v>32</v>
      </c>
      <c r="B4" s="130">
        <f t="shared" ref="B4:Q4" si="3">SUM(B5:B15)</f>
        <v>285.10023033633001</v>
      </c>
      <c r="C4" s="130">
        <f t="shared" si="3"/>
        <v>242.99550841446128</v>
      </c>
      <c r="D4" s="130">
        <f t="shared" si="3"/>
        <v>279.76341457165279</v>
      </c>
      <c r="E4" s="130">
        <f t="shared" si="3"/>
        <v>269.59802814104006</v>
      </c>
      <c r="F4" s="130">
        <f t="shared" si="3"/>
        <v>295.33514162676477</v>
      </c>
      <c r="G4" s="130">
        <f t="shared" si="3"/>
        <v>311.96350213909585</v>
      </c>
      <c r="H4" s="130">
        <f t="shared" si="3"/>
        <v>384.0057370192556</v>
      </c>
      <c r="I4" s="130">
        <f t="shared" si="3"/>
        <v>351.34812634003788</v>
      </c>
      <c r="J4" s="130">
        <f t="shared" si="3"/>
        <v>299.44266347966152</v>
      </c>
      <c r="K4" s="130">
        <f t="shared" si="3"/>
        <v>303.69678035339979</v>
      </c>
      <c r="L4" s="130">
        <f t="shared" si="3"/>
        <v>322.29012305243003</v>
      </c>
      <c r="M4" s="130">
        <f t="shared" si="3"/>
        <v>349.62118755439593</v>
      </c>
      <c r="N4" s="130">
        <f t="shared" si="3"/>
        <v>285.44802677037171</v>
      </c>
      <c r="O4" s="130">
        <f t="shared" si="3"/>
        <v>317.54947278797977</v>
      </c>
      <c r="P4" s="130">
        <f t="shared" si="3"/>
        <v>279.25263785769175</v>
      </c>
      <c r="Q4" s="130">
        <f t="shared" si="3"/>
        <v>243.46480042338817</v>
      </c>
      <c r="R4" s="130">
        <f t="shared" ref="R4:W4" si="4">SUM(R5:R15)</f>
        <v>278.77610108646002</v>
      </c>
      <c r="S4" s="130">
        <f t="shared" si="4"/>
        <v>295.40263272036634</v>
      </c>
      <c r="T4" s="130">
        <f t="shared" si="4"/>
        <v>308.51183581343798</v>
      </c>
      <c r="U4" s="130">
        <f t="shared" si="4"/>
        <v>289.14769595597284</v>
      </c>
      <c r="V4" s="130">
        <f t="shared" si="4"/>
        <v>237.96555130994051</v>
      </c>
      <c r="W4" s="130">
        <f t="shared" si="4"/>
        <v>265.8642511994791</v>
      </c>
      <c r="X4" s="130">
        <f t="shared" ref="X4:Y4" si="5">SUM(X5:X15)</f>
        <v>258.70081374416651</v>
      </c>
      <c r="Y4" s="130">
        <f t="shared" si="5"/>
        <v>265.77389827143867</v>
      </c>
      <c r="DA4" s="155" t="s">
        <v>234</v>
      </c>
    </row>
    <row r="5" spans="1:105" ht="12" customHeight="1" x14ac:dyDescent="0.25">
      <c r="A5" s="131" t="s">
        <v>29</v>
      </c>
      <c r="B5" s="132">
        <v>180.21602448000002</v>
      </c>
      <c r="C5" s="132">
        <v>149.00366447999994</v>
      </c>
      <c r="D5" s="132">
        <v>174.37455359999998</v>
      </c>
      <c r="E5" s="132">
        <v>176.5542528</v>
      </c>
      <c r="F5" s="132">
        <v>174.17819599200001</v>
      </c>
      <c r="G5" s="132">
        <v>204.35757407999989</v>
      </c>
      <c r="H5" s="132">
        <v>274.27215621600004</v>
      </c>
      <c r="I5" s="132">
        <v>209.88372974400005</v>
      </c>
      <c r="J5" s="132">
        <v>160.02710841600009</v>
      </c>
      <c r="K5" s="132">
        <v>196.58559355200001</v>
      </c>
      <c r="L5" s="132">
        <v>198.98970069600003</v>
      </c>
      <c r="M5" s="132">
        <v>235.96526865599981</v>
      </c>
      <c r="N5" s="132">
        <v>166.72080657600003</v>
      </c>
      <c r="O5" s="132">
        <v>194.49618040799999</v>
      </c>
      <c r="P5" s="132">
        <v>170.43022598399997</v>
      </c>
      <c r="Q5" s="132">
        <v>126.87794078400002</v>
      </c>
      <c r="R5" s="132">
        <v>154.76527871999991</v>
      </c>
      <c r="S5" s="132">
        <v>161.06079110399983</v>
      </c>
      <c r="T5" s="132">
        <v>167.11784647200011</v>
      </c>
      <c r="U5" s="132">
        <v>140.26423723199989</v>
      </c>
      <c r="V5" s="132">
        <v>92.665423151999917</v>
      </c>
      <c r="W5" s="132">
        <v>113.00954716799986</v>
      </c>
      <c r="X5" s="132">
        <v>111.29644475999994</v>
      </c>
      <c r="Y5" s="132">
        <v>72.877082039999863</v>
      </c>
      <c r="DA5" s="156" t="s">
        <v>358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359</v>
      </c>
    </row>
    <row r="7" spans="1:105" ht="12" customHeight="1" x14ac:dyDescent="0.25">
      <c r="A7" s="131" t="s">
        <v>161</v>
      </c>
      <c r="B7" s="132">
        <v>55.747669682789322</v>
      </c>
      <c r="C7" s="132">
        <v>39.837668988469538</v>
      </c>
      <c r="D7" s="132">
        <v>43.240027435664594</v>
      </c>
      <c r="E7" s="132">
        <v>28.350987648128783</v>
      </c>
      <c r="F7" s="132">
        <v>27.977793067924452</v>
      </c>
      <c r="G7" s="132">
        <v>19.281718553647885</v>
      </c>
      <c r="H7" s="132">
        <v>16.028608338920254</v>
      </c>
      <c r="I7" s="132">
        <v>16.309519082986842</v>
      </c>
      <c r="J7" s="132">
        <v>25.831590094465447</v>
      </c>
      <c r="K7" s="132">
        <v>7.6013219327270285</v>
      </c>
      <c r="L7" s="132">
        <v>10.970303479757822</v>
      </c>
      <c r="M7" s="132">
        <v>14.443445384869351</v>
      </c>
      <c r="N7" s="132">
        <v>8.4913426477420622</v>
      </c>
      <c r="O7" s="132">
        <v>8.4785097179377704</v>
      </c>
      <c r="P7" s="132">
        <v>11.651539854823204</v>
      </c>
      <c r="Q7" s="132">
        <v>5.2348371109121787</v>
      </c>
      <c r="R7" s="132">
        <v>5.2469705060177372</v>
      </c>
      <c r="S7" s="132">
        <v>6.0232686677187068</v>
      </c>
      <c r="T7" s="132">
        <v>4.4821500529016198</v>
      </c>
      <c r="U7" s="132">
        <v>5.8262045225963455</v>
      </c>
      <c r="V7" s="132">
        <v>6.6267364094427768</v>
      </c>
      <c r="W7" s="132">
        <v>7.6893656761233355</v>
      </c>
      <c r="X7" s="132">
        <v>6.9084973327712103</v>
      </c>
      <c r="Y7" s="132">
        <v>10.747902292897951</v>
      </c>
      <c r="DA7" s="156" t="s">
        <v>360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361</v>
      </c>
    </row>
    <row r="9" spans="1:105" ht="12" customHeight="1" x14ac:dyDescent="0.25">
      <c r="A9" s="131" t="s">
        <v>78</v>
      </c>
      <c r="B9" s="132">
        <v>49.136536173540655</v>
      </c>
      <c r="C9" s="132">
        <v>54.154174945991805</v>
      </c>
      <c r="D9" s="132">
        <v>62.148833535988238</v>
      </c>
      <c r="E9" s="132">
        <v>64.692787692911295</v>
      </c>
      <c r="F9" s="132">
        <v>93.179152566840258</v>
      </c>
      <c r="G9" s="132">
        <v>88.324209505448053</v>
      </c>
      <c r="H9" s="132">
        <v>93.704972464335299</v>
      </c>
      <c r="I9" s="132">
        <v>125.15487751305099</v>
      </c>
      <c r="J9" s="132">
        <v>113.58396496919599</v>
      </c>
      <c r="K9" s="132">
        <v>99.509864868672778</v>
      </c>
      <c r="L9" s="132">
        <v>112.33011887667217</v>
      </c>
      <c r="M9" s="132">
        <v>99.21247351352676</v>
      </c>
      <c r="N9" s="132">
        <v>110.23587754662958</v>
      </c>
      <c r="O9" s="132">
        <v>114.57478266204198</v>
      </c>
      <c r="P9" s="132">
        <v>97.170872018868579</v>
      </c>
      <c r="Q9" s="132">
        <v>111.35202252847598</v>
      </c>
      <c r="R9" s="132">
        <v>118.76385186044236</v>
      </c>
      <c r="S9" s="132">
        <v>128.31857294864778</v>
      </c>
      <c r="T9" s="132">
        <v>136.91183928853621</v>
      </c>
      <c r="U9" s="132">
        <v>143.05725420137657</v>
      </c>
      <c r="V9" s="132">
        <v>138.67339174849781</v>
      </c>
      <c r="W9" s="132">
        <v>145.16533835535591</v>
      </c>
      <c r="X9" s="132">
        <v>140.49587165139536</v>
      </c>
      <c r="Y9" s="132">
        <v>182.14891393854086</v>
      </c>
      <c r="DA9" s="156" t="s">
        <v>362</v>
      </c>
    </row>
    <row r="10" spans="1:105" ht="12" customHeight="1" x14ac:dyDescent="0.25">
      <c r="A10" s="131" t="s">
        <v>128</v>
      </c>
      <c r="B10" s="132">
        <v>0</v>
      </c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363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364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365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366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367</v>
      </c>
    </row>
    <row r="15" spans="1:105" ht="12" customHeight="1" x14ac:dyDescent="0.25">
      <c r="A15" s="133" t="s">
        <v>80</v>
      </c>
      <c r="B15" s="134">
        <v>0</v>
      </c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368</v>
      </c>
    </row>
    <row r="16" spans="1:105" ht="12.95" customHeight="1" x14ac:dyDescent="0.25">
      <c r="A16" s="129" t="s">
        <v>74</v>
      </c>
      <c r="B16" s="130">
        <f t="shared" ref="B16:Q16" si="6">SUM(B17:B18)</f>
        <v>0</v>
      </c>
      <c r="C16" s="130">
        <f t="shared" si="6"/>
        <v>0</v>
      </c>
      <c r="D16" s="130">
        <f t="shared" si="6"/>
        <v>0</v>
      </c>
      <c r="E16" s="130">
        <f t="shared" si="6"/>
        <v>0</v>
      </c>
      <c r="F16" s="130">
        <f t="shared" si="6"/>
        <v>0</v>
      </c>
      <c r="G16" s="130">
        <f t="shared" si="6"/>
        <v>0</v>
      </c>
      <c r="H16" s="130">
        <f t="shared" si="6"/>
        <v>0</v>
      </c>
      <c r="I16" s="130">
        <f t="shared" si="6"/>
        <v>0</v>
      </c>
      <c r="J16" s="130">
        <f t="shared" si="6"/>
        <v>0</v>
      </c>
      <c r="K16" s="130">
        <f t="shared" si="6"/>
        <v>0</v>
      </c>
      <c r="L16" s="130">
        <f t="shared" si="6"/>
        <v>0</v>
      </c>
      <c r="M16" s="130">
        <f t="shared" si="6"/>
        <v>0</v>
      </c>
      <c r="N16" s="130">
        <f t="shared" si="6"/>
        <v>0</v>
      </c>
      <c r="O16" s="130">
        <f t="shared" si="6"/>
        <v>0</v>
      </c>
      <c r="P16" s="130">
        <f t="shared" si="6"/>
        <v>0</v>
      </c>
      <c r="Q16" s="130">
        <f t="shared" si="6"/>
        <v>0</v>
      </c>
      <c r="R16" s="130">
        <f t="shared" ref="R16:W16" si="7">SUM(R17:R18)</f>
        <v>0</v>
      </c>
      <c r="S16" s="130">
        <f t="shared" si="7"/>
        <v>0</v>
      </c>
      <c r="T16" s="130">
        <f t="shared" si="7"/>
        <v>0</v>
      </c>
      <c r="U16" s="130">
        <f t="shared" si="7"/>
        <v>0</v>
      </c>
      <c r="V16" s="130">
        <f t="shared" si="7"/>
        <v>0</v>
      </c>
      <c r="W16" s="130">
        <f t="shared" si="7"/>
        <v>0</v>
      </c>
      <c r="X16" s="130">
        <f t="shared" ref="X16:Y16" si="8">SUM(X17:X18)</f>
        <v>0</v>
      </c>
      <c r="Y16" s="130">
        <f t="shared" si="8"/>
        <v>0</v>
      </c>
      <c r="DA16" s="155" t="s">
        <v>235</v>
      </c>
    </row>
    <row r="17" spans="1:105" ht="12.95" customHeight="1" x14ac:dyDescent="0.25">
      <c r="A17" s="131" t="s">
        <v>73</v>
      </c>
      <c r="B17" s="132">
        <v>0</v>
      </c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369</v>
      </c>
    </row>
    <row r="18" spans="1:105" ht="12" customHeight="1" x14ac:dyDescent="0.25">
      <c r="A18" s="131" t="s">
        <v>72</v>
      </c>
      <c r="B18" s="132">
        <v>0</v>
      </c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370</v>
      </c>
    </row>
    <row r="19" spans="1:105" ht="12.95" customHeight="1" x14ac:dyDescent="0.25">
      <c r="A19" s="129" t="s">
        <v>35</v>
      </c>
      <c r="B19" s="130">
        <f t="shared" ref="B19:Q19" si="9">SUM(B20:B27)</f>
        <v>10.395794567812727</v>
      </c>
      <c r="C19" s="130">
        <f t="shared" si="9"/>
        <v>7.7425694249065238</v>
      </c>
      <c r="D19" s="130">
        <f t="shared" si="9"/>
        <v>7.8072449960720043</v>
      </c>
      <c r="E19" s="130">
        <f t="shared" si="9"/>
        <v>7.2538801852742676</v>
      </c>
      <c r="F19" s="130">
        <f t="shared" si="9"/>
        <v>8.9202944528401655</v>
      </c>
      <c r="G19" s="130">
        <f t="shared" si="9"/>
        <v>8.4691521353012842</v>
      </c>
      <c r="H19" s="130">
        <f t="shared" si="9"/>
        <v>9.5907027284751223</v>
      </c>
      <c r="I19" s="130">
        <f t="shared" si="9"/>
        <v>12.719952555899972</v>
      </c>
      <c r="J19" s="130">
        <f t="shared" si="9"/>
        <v>14.031644492401584</v>
      </c>
      <c r="K19" s="130">
        <f t="shared" si="9"/>
        <v>13.24913971877114</v>
      </c>
      <c r="L19" s="130">
        <f t="shared" si="9"/>
        <v>13.120449101755806</v>
      </c>
      <c r="M19" s="130">
        <f t="shared" si="9"/>
        <v>13.02265676503572</v>
      </c>
      <c r="N19" s="130">
        <f t="shared" si="9"/>
        <v>12.71805800734027</v>
      </c>
      <c r="O19" s="130">
        <f t="shared" si="9"/>
        <v>12.888263275222704</v>
      </c>
      <c r="P19" s="130">
        <f t="shared" si="9"/>
        <v>11.72438404946554</v>
      </c>
      <c r="Q19" s="130">
        <f t="shared" si="9"/>
        <v>12.673315865778802</v>
      </c>
      <c r="R19" s="130">
        <f t="shared" ref="R19:W19" si="10">SUM(R20:R27)</f>
        <v>13.362561971205718</v>
      </c>
      <c r="S19" s="130">
        <f t="shared" si="10"/>
        <v>13.582169789379966</v>
      </c>
      <c r="T19" s="130">
        <f t="shared" si="10"/>
        <v>13.763995643366117</v>
      </c>
      <c r="U19" s="130">
        <f t="shared" si="10"/>
        <v>14.290521786835518</v>
      </c>
      <c r="V19" s="130">
        <f t="shared" si="10"/>
        <v>14.551160645137482</v>
      </c>
      <c r="W19" s="130">
        <f t="shared" si="10"/>
        <v>15.190216173425272</v>
      </c>
      <c r="X19" s="130">
        <f t="shared" ref="X19:Y19" si="11">SUM(X20:X27)</f>
        <v>14.963009681112249</v>
      </c>
      <c r="Y19" s="130">
        <f t="shared" si="11"/>
        <v>14.592237706611684</v>
      </c>
      <c r="DA19" s="155" t="s">
        <v>236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371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372</v>
      </c>
    </row>
    <row r="22" spans="1:105" ht="12" customHeight="1" x14ac:dyDescent="0.25">
      <c r="A22" s="131" t="s">
        <v>161</v>
      </c>
      <c r="B22" s="132">
        <v>6.6561872372106743</v>
      </c>
      <c r="C22" s="132">
        <v>3.8507908915304676</v>
      </c>
      <c r="D22" s="132">
        <v>3.5980144843354114</v>
      </c>
      <c r="E22" s="132">
        <v>2.8776533518712184</v>
      </c>
      <c r="F22" s="132">
        <v>3.3828664120755483</v>
      </c>
      <c r="G22" s="132">
        <v>2.7393522063521138</v>
      </c>
      <c r="H22" s="132">
        <v>2.8222865810797453</v>
      </c>
      <c r="I22" s="132">
        <v>2.5696754370131649</v>
      </c>
      <c r="J22" s="132">
        <v>2.5657549455345463</v>
      </c>
      <c r="K22" s="132">
        <v>1.8824172672729704</v>
      </c>
      <c r="L22" s="132">
        <v>1.6823825202421778</v>
      </c>
      <c r="M22" s="132">
        <v>1.4007572551306522</v>
      </c>
      <c r="N22" s="132">
        <v>1.08320727225794</v>
      </c>
      <c r="O22" s="132">
        <v>1.0960402020622269</v>
      </c>
      <c r="P22" s="132">
        <v>1.1145267051767949</v>
      </c>
      <c r="Q22" s="132">
        <v>1.1169852490878198</v>
      </c>
      <c r="R22" s="132">
        <v>1.104851853982264</v>
      </c>
      <c r="S22" s="132">
        <v>1.2221140122812939</v>
      </c>
      <c r="T22" s="132">
        <v>0.87757674709838018</v>
      </c>
      <c r="U22" s="132">
        <v>1.1186659974036559</v>
      </c>
      <c r="V22" s="132">
        <v>1.2774203505572213</v>
      </c>
      <c r="W22" s="132">
        <v>1.4801093638766545</v>
      </c>
      <c r="X22" s="132">
        <v>1.3133691472287854</v>
      </c>
      <c r="Y22" s="132">
        <v>0.91060158710204819</v>
      </c>
      <c r="DA22" s="156" t="s">
        <v>373</v>
      </c>
    </row>
    <row r="23" spans="1:105" ht="12" customHeight="1" x14ac:dyDescent="0.25">
      <c r="A23" s="131" t="s">
        <v>149</v>
      </c>
      <c r="B23" s="132">
        <v>3.7396073306020532</v>
      </c>
      <c r="C23" s="132">
        <v>3.8917785333760566</v>
      </c>
      <c r="D23" s="132">
        <v>4.2092305117365933</v>
      </c>
      <c r="E23" s="132">
        <v>4.3762268334030496</v>
      </c>
      <c r="F23" s="132">
        <v>5.5374280407646177</v>
      </c>
      <c r="G23" s="132">
        <v>5.7297999289491708</v>
      </c>
      <c r="H23" s="132">
        <v>6.7684161473953779</v>
      </c>
      <c r="I23" s="132">
        <v>10.150277118886807</v>
      </c>
      <c r="J23" s="132">
        <v>11.465889546867038</v>
      </c>
      <c r="K23" s="132">
        <v>11.36672245149817</v>
      </c>
      <c r="L23" s="132">
        <v>11.438066581513628</v>
      </c>
      <c r="M23" s="132">
        <v>11.621899509905067</v>
      </c>
      <c r="N23" s="132">
        <v>11.634850735082329</v>
      </c>
      <c r="O23" s="132">
        <v>11.792223073160477</v>
      </c>
      <c r="P23" s="132">
        <v>10.609857344288745</v>
      </c>
      <c r="Q23" s="132">
        <v>11.556330616690982</v>
      </c>
      <c r="R23" s="132">
        <v>12.257710117223453</v>
      </c>
      <c r="S23" s="132">
        <v>12.360055777098673</v>
      </c>
      <c r="T23" s="132">
        <v>12.886418896267736</v>
      </c>
      <c r="U23" s="132">
        <v>13.171855789431861</v>
      </c>
      <c r="V23" s="132">
        <v>13.273740294580261</v>
      </c>
      <c r="W23" s="132">
        <v>13.710106809548618</v>
      </c>
      <c r="X23" s="132">
        <v>13.649640533883463</v>
      </c>
      <c r="Y23" s="132">
        <v>13.681636119509635</v>
      </c>
      <c r="DA23" s="156" t="s">
        <v>374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375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376</v>
      </c>
    </row>
    <row r="26" spans="1:105" ht="12" customHeight="1" x14ac:dyDescent="0.25">
      <c r="A26" s="131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377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378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20.182886495857289</v>
      </c>
      <c r="C29" s="130">
        <f t="shared" si="12"/>
        <v>21.627266520632137</v>
      </c>
      <c r="D29" s="130">
        <f t="shared" si="12"/>
        <v>24.01903595227515</v>
      </c>
      <c r="E29" s="130">
        <f t="shared" si="12"/>
        <v>24.892875473685681</v>
      </c>
      <c r="F29" s="130">
        <f t="shared" si="12"/>
        <v>23.216769392395125</v>
      </c>
      <c r="G29" s="130">
        <f t="shared" si="12"/>
        <v>24.748960565602815</v>
      </c>
      <c r="H29" s="130">
        <f t="shared" si="12"/>
        <v>25.953571388269381</v>
      </c>
      <c r="I29" s="130">
        <f t="shared" si="12"/>
        <v>33.785855368062279</v>
      </c>
      <c r="J29" s="130">
        <f t="shared" si="12"/>
        <v>36.114225483936956</v>
      </c>
      <c r="K29" s="130">
        <f t="shared" si="12"/>
        <v>35.090002679828984</v>
      </c>
      <c r="L29" s="130">
        <f t="shared" si="12"/>
        <v>32.19542454181417</v>
      </c>
      <c r="M29" s="130">
        <f t="shared" si="12"/>
        <v>30.436646976568117</v>
      </c>
      <c r="N29" s="130">
        <f t="shared" si="12"/>
        <v>26.721341718288105</v>
      </c>
      <c r="O29" s="130">
        <f t="shared" si="12"/>
        <v>22.073594264797674</v>
      </c>
      <c r="P29" s="130">
        <f t="shared" si="12"/>
        <v>18.797700636842613</v>
      </c>
      <c r="Q29" s="130">
        <f t="shared" si="12"/>
        <v>21.543536854833157</v>
      </c>
      <c r="R29" s="130">
        <f t="shared" ref="R29:W29" si="13">SUM(R30:R33)</f>
        <v>22.770978022334187</v>
      </c>
      <c r="S29" s="130">
        <f t="shared" si="13"/>
        <v>21.042860874253623</v>
      </c>
      <c r="T29" s="130">
        <f t="shared" si="13"/>
        <v>21.917020055196026</v>
      </c>
      <c r="U29" s="130">
        <f t="shared" si="13"/>
        <v>14.279053329191511</v>
      </c>
      <c r="V29" s="130">
        <f t="shared" si="13"/>
        <v>10.931790316921964</v>
      </c>
      <c r="W29" s="130">
        <f t="shared" si="13"/>
        <v>11.326142875095544</v>
      </c>
      <c r="X29" s="130">
        <f t="shared" ref="X29:Y29" si="14">SUM(X30:X33)</f>
        <v>14.643971534721317</v>
      </c>
      <c r="Y29" s="130">
        <f t="shared" si="14"/>
        <v>18.634302009003282</v>
      </c>
      <c r="DA29" s="155" t="s">
        <v>237</v>
      </c>
    </row>
    <row r="30" spans="1:105" ht="12" customHeight="1" x14ac:dyDescent="0.25">
      <c r="A30" s="131" t="s">
        <v>52</v>
      </c>
      <c r="B30" s="132">
        <v>0</v>
      </c>
      <c r="C30" s="132">
        <v>0</v>
      </c>
      <c r="D30" s="132">
        <v>0</v>
      </c>
      <c r="E30" s="132">
        <v>0</v>
      </c>
      <c r="F30" s="132">
        <v>0</v>
      </c>
      <c r="G30" s="132">
        <v>0</v>
      </c>
      <c r="H30" s="132">
        <v>0</v>
      </c>
      <c r="I30" s="132">
        <v>0</v>
      </c>
      <c r="J30" s="132">
        <v>0</v>
      </c>
      <c r="K30" s="132">
        <v>0</v>
      </c>
      <c r="L30" s="132">
        <v>0</v>
      </c>
      <c r="M30" s="132">
        <v>0</v>
      </c>
      <c r="N30" s="132">
        <v>0</v>
      </c>
      <c r="O30" s="132">
        <v>0</v>
      </c>
      <c r="P30" s="132">
        <v>0</v>
      </c>
      <c r="Q30" s="132">
        <v>0</v>
      </c>
      <c r="R30" s="132">
        <v>0</v>
      </c>
      <c r="S30" s="132">
        <v>0</v>
      </c>
      <c r="T30" s="132">
        <v>0</v>
      </c>
      <c r="U30" s="132">
        <v>0</v>
      </c>
      <c r="V30" s="132">
        <v>0</v>
      </c>
      <c r="W30" s="132">
        <v>0</v>
      </c>
      <c r="X30" s="132">
        <v>0</v>
      </c>
      <c r="Y30" s="132">
        <v>0</v>
      </c>
      <c r="DA30" s="156" t="s">
        <v>379</v>
      </c>
    </row>
    <row r="31" spans="1:105" ht="12" customHeight="1" x14ac:dyDescent="0.25">
      <c r="A31" s="131" t="s">
        <v>149</v>
      </c>
      <c r="B31" s="132">
        <v>20.182886495857289</v>
      </c>
      <c r="C31" s="132">
        <v>21.627266520632137</v>
      </c>
      <c r="D31" s="132">
        <v>24.01903595227515</v>
      </c>
      <c r="E31" s="132">
        <v>24.892875473685681</v>
      </c>
      <c r="F31" s="132">
        <v>23.216769392395125</v>
      </c>
      <c r="G31" s="132">
        <v>24.748960565602815</v>
      </c>
      <c r="H31" s="132">
        <v>25.953571388269381</v>
      </c>
      <c r="I31" s="132">
        <v>33.785855368062279</v>
      </c>
      <c r="J31" s="132">
        <v>36.114225483936956</v>
      </c>
      <c r="K31" s="132">
        <v>35.090002679828984</v>
      </c>
      <c r="L31" s="132">
        <v>32.19542454181417</v>
      </c>
      <c r="M31" s="132">
        <v>30.436646976568117</v>
      </c>
      <c r="N31" s="132">
        <v>26.721341718288105</v>
      </c>
      <c r="O31" s="132">
        <v>22.073594264797674</v>
      </c>
      <c r="P31" s="132">
        <v>18.797700636842613</v>
      </c>
      <c r="Q31" s="132">
        <v>21.543536854833157</v>
      </c>
      <c r="R31" s="132">
        <v>22.770978022334187</v>
      </c>
      <c r="S31" s="132">
        <v>21.042860874253623</v>
      </c>
      <c r="T31" s="132">
        <v>21.917020055196026</v>
      </c>
      <c r="U31" s="132">
        <v>14.279053329191511</v>
      </c>
      <c r="V31" s="132">
        <v>10.931790316921964</v>
      </c>
      <c r="W31" s="132">
        <v>11.326142875095544</v>
      </c>
      <c r="X31" s="132">
        <v>14.643971534721317</v>
      </c>
      <c r="Y31" s="132">
        <v>18.634302009003282</v>
      </c>
      <c r="DA31" s="156" t="s">
        <v>380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381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382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>
        <f>IF(SER_hh_fec!B3=0,0,11630*1000*SER_hh_fec!B3/SER_hh_num!B3)</f>
        <v>145515.58744873758</v>
      </c>
      <c r="C3" s="125">
        <f>IF(SER_hh_fec!C3=0,0,11630*1000*SER_hh_fec!C3/SER_hh_num!C3)</f>
        <v>140037.57904529668</v>
      </c>
      <c r="D3" s="125">
        <f>IF(SER_hh_fec!D3=0,0,11630*1000*SER_hh_fec!D3/SER_hh_num!D3)</f>
        <v>137100.17127398393</v>
      </c>
      <c r="E3" s="125">
        <f>IF(SER_hh_fec!E3=0,0,11630*1000*SER_hh_fec!E3/SER_hh_num!E3)</f>
        <v>133494.98792297783</v>
      </c>
      <c r="F3" s="125">
        <f>IF(SER_hh_fec!F3=0,0,11630*1000*SER_hh_fec!F3/SER_hh_num!F3)</f>
        <v>131724.52090392736</v>
      </c>
      <c r="G3" s="125">
        <f>IF(SER_hh_fec!G3=0,0,11630*1000*SER_hh_fec!G3/SER_hh_num!G3)</f>
        <v>126854.24234443752</v>
      </c>
      <c r="H3" s="125">
        <f>IF(SER_hh_fec!H3=0,0,11630*1000*SER_hh_fec!H3/SER_hh_num!H3)</f>
        <v>133007.02701173394</v>
      </c>
      <c r="I3" s="125">
        <f>IF(SER_hh_fec!I3=0,0,11630*1000*SER_hh_fec!I3/SER_hh_num!I3)</f>
        <v>122968.71262028863</v>
      </c>
      <c r="J3" s="125">
        <f>IF(SER_hh_fec!J3=0,0,11630*1000*SER_hh_fec!J3/SER_hh_num!J3)</f>
        <v>110529.47232403657</v>
      </c>
      <c r="K3" s="125">
        <f>IF(SER_hh_fec!K3=0,0,11630*1000*SER_hh_fec!K3/SER_hh_num!K3)</f>
        <v>106467.68058149512</v>
      </c>
      <c r="L3" s="125">
        <f>IF(SER_hh_fec!L3=0,0,11630*1000*SER_hh_fec!L3/SER_hh_num!L3)</f>
        <v>107445.42298103355</v>
      </c>
      <c r="M3" s="125">
        <f>IF(SER_hh_fec!M3=0,0,11630*1000*SER_hh_fec!M3/SER_hh_num!M3)</f>
        <v>100513.61202932736</v>
      </c>
      <c r="N3" s="125">
        <f>IF(SER_hh_fec!N3=0,0,11630*1000*SER_hh_fec!N3/SER_hh_num!N3)</f>
        <v>105485.25959495454</v>
      </c>
      <c r="O3" s="125">
        <f>IF(SER_hh_fec!O3=0,0,11630*1000*SER_hh_fec!O3/SER_hh_num!O3)</f>
        <v>97890.5122746423</v>
      </c>
      <c r="P3" s="125">
        <f>IF(SER_hh_fec!P3=0,0,11630*1000*SER_hh_fec!P3/SER_hh_num!P3)</f>
        <v>93428.484224763757</v>
      </c>
      <c r="Q3" s="125">
        <f>IF(SER_hh_fec!Q3=0,0,11630*1000*SER_hh_fec!Q3/SER_hh_num!Q3)</f>
        <v>89111.248452018088</v>
      </c>
      <c r="R3" s="125">
        <f>IF(SER_hh_fec!R3=0,0,11630*1000*SER_hh_fec!R3/SER_hh_num!R3)</f>
        <v>94024.637398532243</v>
      </c>
      <c r="S3" s="125">
        <f>IF(SER_hh_fec!S3=0,0,11630*1000*SER_hh_fec!S3/SER_hh_num!S3)</f>
        <v>99306.651876647549</v>
      </c>
      <c r="T3" s="125">
        <f>IF(SER_hh_fec!T3=0,0,11630*1000*SER_hh_fec!T3/SER_hh_num!T3)</f>
        <v>102592.71789340774</v>
      </c>
      <c r="U3" s="125">
        <f>IF(SER_hh_fec!U3=0,0,11630*1000*SER_hh_fec!U3/SER_hh_num!U3)</f>
        <v>96723.776123977048</v>
      </c>
      <c r="V3" s="125">
        <f>IF(SER_hh_fec!V3=0,0,11630*1000*SER_hh_fec!V3/SER_hh_num!V3)</f>
        <v>86920.67379324646</v>
      </c>
      <c r="W3" s="125">
        <f>IF(SER_hh_fec!W3=0,0,11630*1000*SER_hh_fec!W3/SER_hh_num!W3)</f>
        <v>100552.04880535278</v>
      </c>
      <c r="X3" s="125">
        <f>IF(SER_hh_fec!X3=0,0,11630*1000*SER_hh_fec!X3/SER_hh_num!X3)</f>
        <v>95492.261456288732</v>
      </c>
      <c r="Y3" s="125">
        <f>IF(SER_hh_fec!Y3=0,0,11630*1000*SER_hh_fec!Y3/SER_hh_num!Y3)</f>
        <v>93821.986523986605</v>
      </c>
      <c r="DA3" s="154" t="s">
        <v>384</v>
      </c>
    </row>
    <row r="4" spans="1:105" ht="12.95" customHeight="1" x14ac:dyDescent="0.25">
      <c r="A4" s="129" t="s">
        <v>32</v>
      </c>
      <c r="B4" s="130">
        <f>IF(SER_hh_fec!B4=0,0,11630*1000*SER_hh_fec!B4/SER_hh_num!B4)</f>
        <v>118820.99797941964</v>
      </c>
      <c r="C4" s="130">
        <f>IF(SER_hh_fec!C4=0,0,11630*1000*SER_hh_fec!C4/SER_hh_num!C4)</f>
        <v>113580.39076222478</v>
      </c>
      <c r="D4" s="130">
        <f>IF(SER_hh_fec!D4=0,0,11630*1000*SER_hh_fec!D4/SER_hh_num!D4)</f>
        <v>110469.27042364613</v>
      </c>
      <c r="E4" s="130">
        <f>IF(SER_hh_fec!E4=0,0,11630*1000*SER_hh_fec!E4/SER_hh_num!E4)</f>
        <v>107227.06228992551</v>
      </c>
      <c r="F4" s="130">
        <f>IF(SER_hh_fec!F4=0,0,11630*1000*SER_hh_fec!F4/SER_hh_num!F4)</f>
        <v>105049.60860088078</v>
      </c>
      <c r="G4" s="130">
        <f>IF(SER_hh_fec!G4=0,0,11630*1000*SER_hh_fec!G4/SER_hh_num!G4)</f>
        <v>99635.373659687859</v>
      </c>
      <c r="H4" s="130">
        <f>IF(SER_hh_fec!H4=0,0,11630*1000*SER_hh_fec!H4/SER_hh_num!H4)</f>
        <v>104491.36725415496</v>
      </c>
      <c r="I4" s="130">
        <f>IF(SER_hh_fec!I4=0,0,11630*1000*SER_hh_fec!I4/SER_hh_num!I4)</f>
        <v>95268.189434228465</v>
      </c>
      <c r="J4" s="130">
        <f>IF(SER_hh_fec!J4=0,0,11630*1000*SER_hh_fec!J4/SER_hh_num!J4)</f>
        <v>83253.581504733811</v>
      </c>
      <c r="K4" s="130">
        <f>IF(SER_hh_fec!K4=0,0,11630*1000*SER_hh_fec!K4/SER_hh_num!K4)</f>
        <v>78564.793215342972</v>
      </c>
      <c r="L4" s="130">
        <f>IF(SER_hh_fec!L4=0,0,11630*1000*SER_hh_fec!L4/SER_hh_num!L4)</f>
        <v>79286.710759842346</v>
      </c>
      <c r="M4" s="130">
        <f>IF(SER_hh_fec!M4=0,0,11630*1000*SER_hh_fec!M4/SER_hh_num!M4)</f>
        <v>72541.837184561038</v>
      </c>
      <c r="N4" s="130">
        <f>IF(SER_hh_fec!N4=0,0,11630*1000*SER_hh_fec!N4/SER_hh_num!N4)</f>
        <v>77080.027984343251</v>
      </c>
      <c r="O4" s="130">
        <f>IF(SER_hh_fec!O4=0,0,11630*1000*SER_hh_fec!O4/SER_hh_num!O4)</f>
        <v>69484.57696244109</v>
      </c>
      <c r="P4" s="130">
        <f>IF(SER_hh_fec!P4=0,0,11630*1000*SER_hh_fec!P4/SER_hh_num!P4)</f>
        <v>65153.9070557081</v>
      </c>
      <c r="Q4" s="130">
        <f>IF(SER_hh_fec!Q4=0,0,11630*1000*SER_hh_fec!Q4/SER_hh_num!Q4)</f>
        <v>61138.271401117388</v>
      </c>
      <c r="R4" s="130">
        <f>IF(SER_hh_fec!R4=0,0,11630*1000*SER_hh_fec!R4/SER_hh_num!R4)</f>
        <v>66166.731133960202</v>
      </c>
      <c r="S4" s="130">
        <f>IF(SER_hh_fec!S4=0,0,11630*1000*SER_hh_fec!S4/SER_hh_num!S4)</f>
        <v>70725.597973023847</v>
      </c>
      <c r="T4" s="130">
        <f>IF(SER_hh_fec!T4=0,0,11630*1000*SER_hh_fec!T4/SER_hh_num!T4)</f>
        <v>74198.331639536511</v>
      </c>
      <c r="U4" s="130">
        <f>IF(SER_hh_fec!U4=0,0,11630*1000*SER_hh_fec!U4/SER_hh_num!U4)</f>
        <v>67504.349728487636</v>
      </c>
      <c r="V4" s="130">
        <f>IF(SER_hh_fec!V4=0,0,11630*1000*SER_hh_fec!V4/SER_hh_num!V4)</f>
        <v>60383.354372782283</v>
      </c>
      <c r="W4" s="130">
        <f>IF(SER_hh_fec!W4=0,0,11630*1000*SER_hh_fec!W4/SER_hh_num!W4)</f>
        <v>71687.314793980651</v>
      </c>
      <c r="X4" s="130">
        <f>IF(SER_hh_fec!X4=0,0,11630*1000*SER_hh_fec!X4/SER_hh_num!X4)</f>
        <v>66800.075010375775</v>
      </c>
      <c r="Y4" s="130">
        <f>IF(SER_hh_fec!Y4=0,0,11630*1000*SER_hh_fec!Y4/SER_hh_num!Y4)</f>
        <v>64704.822690624758</v>
      </c>
      <c r="DA4" s="155" t="s">
        <v>385</v>
      </c>
    </row>
    <row r="5" spans="1:105" ht="12" customHeight="1" x14ac:dyDescent="0.25">
      <c r="A5" s="131" t="s">
        <v>29</v>
      </c>
      <c r="B5" s="132">
        <f>IF(SER_hh_fec!B5=0,0,11630*1000*SER_hh_fec!B5/SER_hh_num!B5)</f>
        <v>152682.2972432879</v>
      </c>
      <c r="C5" s="132">
        <f>IF(SER_hh_fec!C5=0,0,11630*1000*SER_hh_fec!C5/SER_hh_num!C5)</f>
        <v>127739.22058813332</v>
      </c>
      <c r="D5" s="132">
        <f>IF(SER_hh_fec!D5=0,0,11630*1000*SER_hh_fec!D5/SER_hh_num!D5)</f>
        <v>137702.25356370033</v>
      </c>
      <c r="E5" s="132">
        <f>IF(SER_hh_fec!E5=0,0,11630*1000*SER_hh_fec!E5/SER_hh_num!E5)</f>
        <v>129940.41102044296</v>
      </c>
      <c r="F5" s="132">
        <f>IF(SER_hh_fec!F5=0,0,11630*1000*SER_hh_fec!F5/SER_hh_num!F5)</f>
        <v>113727.44757808709</v>
      </c>
      <c r="G5" s="132">
        <f>IF(SER_hh_fec!G5=0,0,11630*1000*SER_hh_fec!G5/SER_hh_num!G5)</f>
        <v>116598.56336632629</v>
      </c>
      <c r="H5" s="132">
        <f>IF(SER_hh_fec!H5=0,0,11630*1000*SER_hh_fec!H5/SER_hh_num!H5)</f>
        <v>146893.79159126958</v>
      </c>
      <c r="I5" s="132">
        <f>IF(SER_hh_fec!I5=0,0,11630*1000*SER_hh_fec!I5/SER_hh_num!I5)</f>
        <v>108048.09489562958</v>
      </c>
      <c r="J5" s="132">
        <f>IF(SER_hh_fec!J5=0,0,11630*1000*SER_hh_fec!J5/SER_hh_num!J5)</f>
        <v>79457.523788178951</v>
      </c>
      <c r="K5" s="132">
        <f>IF(SER_hh_fec!K5=0,0,11630*1000*SER_hh_fec!K5/SER_hh_num!K5)</f>
        <v>91650.201248604513</v>
      </c>
      <c r="L5" s="132">
        <f>IF(SER_hh_fec!L5=0,0,11630*1000*SER_hh_fec!L5/SER_hh_num!L5)</f>
        <v>86974.462287227012</v>
      </c>
      <c r="M5" s="132">
        <f>IF(SER_hh_fec!M5=0,0,11630*1000*SER_hh_fec!M5/SER_hh_num!M5)</f>
        <v>102138.14399956312</v>
      </c>
      <c r="N5" s="132">
        <f>IF(SER_hh_fec!N5=0,0,11630*1000*SER_hh_fec!N5/SER_hh_num!N5)</f>
        <v>70876.993596988905</v>
      </c>
      <c r="O5" s="132">
        <f>IF(SER_hh_fec!O5=0,0,11630*1000*SER_hh_fec!O5/SER_hh_num!O5)</f>
        <v>83046.359844840845</v>
      </c>
      <c r="P5" s="132">
        <f>IF(SER_hh_fec!P5=0,0,11630*1000*SER_hh_fec!P5/SER_hh_num!P5)</f>
        <v>75767.300244762533</v>
      </c>
      <c r="Q5" s="132">
        <f>IF(SER_hh_fec!Q5=0,0,11630*1000*SER_hh_fec!Q5/SER_hh_num!Q5)</f>
        <v>60178.518546578314</v>
      </c>
      <c r="R5" s="132">
        <f>IF(SER_hh_fec!R5=0,0,11630*1000*SER_hh_fec!R5/SER_hh_num!R5)</f>
        <v>74826.394433811292</v>
      </c>
      <c r="S5" s="132">
        <f>IF(SER_hh_fec!S5=0,0,11630*1000*SER_hh_fec!S5/SER_hh_num!S5)</f>
        <v>79850.607634547719</v>
      </c>
      <c r="T5" s="132">
        <f>IF(SER_hh_fec!T5=0,0,11630*1000*SER_hh_fec!T5/SER_hh_num!T5)</f>
        <v>86034.304193877848</v>
      </c>
      <c r="U5" s="132">
        <f>IF(SER_hh_fec!U5=0,0,11630*1000*SER_hh_fec!U5/SER_hh_num!U5)</f>
        <v>79201.727761756571</v>
      </c>
      <c r="V5" s="132">
        <f>IF(SER_hh_fec!V5=0,0,11630*1000*SER_hh_fec!V5/SER_hh_num!V5)</f>
        <v>59624.983949515074</v>
      </c>
      <c r="W5" s="132">
        <f>IF(SER_hh_fec!W5=0,0,11630*1000*SER_hh_fec!W5/SER_hh_num!W5)</f>
        <v>79998.140317160985</v>
      </c>
      <c r="X5" s="132">
        <f>IF(SER_hh_fec!X5=0,0,11630*1000*SER_hh_fec!X5/SER_hh_num!X5)</f>
        <v>83016.637768187342</v>
      </c>
      <c r="Y5" s="132">
        <f>IF(SER_hh_fec!Y5=0,0,11630*1000*SER_hh_fec!Y5/SER_hh_num!Y5)</f>
        <v>62517.635361754838</v>
      </c>
      <c r="DA5" s="156" t="s">
        <v>386</v>
      </c>
    </row>
    <row r="6" spans="1:105" ht="12" customHeight="1" x14ac:dyDescent="0.25">
      <c r="A6" s="131" t="s">
        <v>52</v>
      </c>
      <c r="B6" s="132">
        <f>IF(SER_hh_fec!B6=0,0,11630*1000*SER_hh_fec!B6/SER_hh_num!B6)</f>
        <v>0</v>
      </c>
      <c r="C6" s="132">
        <f>IF(SER_hh_fec!C6=0,0,11630*1000*SER_hh_fec!C6/SER_hh_num!C6)</f>
        <v>0</v>
      </c>
      <c r="D6" s="132">
        <f>IF(SER_hh_fec!D6=0,0,11630*1000*SER_hh_fec!D6/SER_hh_num!D6)</f>
        <v>0</v>
      </c>
      <c r="E6" s="132">
        <f>IF(SER_hh_fec!E6=0,0,11630*1000*SER_hh_fec!E6/SER_hh_num!E6)</f>
        <v>0</v>
      </c>
      <c r="F6" s="132">
        <f>IF(SER_hh_fec!F6=0,0,11630*1000*SER_hh_fec!F6/SER_hh_num!F6)</f>
        <v>0</v>
      </c>
      <c r="G6" s="132">
        <f>IF(SER_hh_fec!G6=0,0,11630*1000*SER_hh_fec!G6/SER_hh_num!G6)</f>
        <v>0</v>
      </c>
      <c r="H6" s="132">
        <f>IF(SER_hh_fec!H6=0,0,11630*1000*SER_hh_fec!H6/SER_hh_num!H6)</f>
        <v>0</v>
      </c>
      <c r="I6" s="132">
        <f>IF(SER_hh_fec!I6=0,0,11630*1000*SER_hh_fec!I6/SER_hh_num!I6)</f>
        <v>0</v>
      </c>
      <c r="J6" s="132">
        <f>IF(SER_hh_fec!J6=0,0,11630*1000*SER_hh_fec!J6/SER_hh_num!J6)</f>
        <v>0</v>
      </c>
      <c r="K6" s="132">
        <f>IF(SER_hh_fec!K6=0,0,11630*1000*SER_hh_fec!K6/SER_hh_num!K6)</f>
        <v>0</v>
      </c>
      <c r="L6" s="132">
        <f>IF(SER_hh_fec!L6=0,0,11630*1000*SER_hh_fec!L6/SER_hh_num!L6)</f>
        <v>0</v>
      </c>
      <c r="M6" s="132">
        <f>IF(SER_hh_fec!M6=0,0,11630*1000*SER_hh_fec!M6/SER_hh_num!M6)</f>
        <v>0</v>
      </c>
      <c r="N6" s="132">
        <f>IF(SER_hh_fec!N6=0,0,11630*1000*SER_hh_fec!N6/SER_hh_num!N6)</f>
        <v>0</v>
      </c>
      <c r="O6" s="132">
        <f>IF(SER_hh_fec!O6=0,0,11630*1000*SER_hh_fec!O6/SER_hh_num!O6)</f>
        <v>0</v>
      </c>
      <c r="P6" s="132">
        <f>IF(SER_hh_fec!P6=0,0,11630*1000*SER_hh_fec!P6/SER_hh_num!P6)</f>
        <v>0</v>
      </c>
      <c r="Q6" s="132">
        <f>IF(SER_hh_fec!Q6=0,0,11630*1000*SER_hh_fec!Q6/SER_hh_num!Q6)</f>
        <v>0</v>
      </c>
      <c r="R6" s="132">
        <f>IF(SER_hh_fec!R6=0,0,11630*1000*SER_hh_fec!R6/SER_hh_num!R6)</f>
        <v>0</v>
      </c>
      <c r="S6" s="132">
        <f>IF(SER_hh_fec!S6=0,0,11630*1000*SER_hh_fec!S6/SER_hh_num!S6)</f>
        <v>0</v>
      </c>
      <c r="T6" s="132">
        <f>IF(SER_hh_fec!T6=0,0,11630*1000*SER_hh_fec!T6/SER_hh_num!T6)</f>
        <v>0</v>
      </c>
      <c r="U6" s="132">
        <f>IF(SER_hh_fec!U6=0,0,11630*1000*SER_hh_fec!U6/SER_hh_num!U6)</f>
        <v>0</v>
      </c>
      <c r="V6" s="132">
        <f>IF(SER_hh_fec!V6=0,0,11630*1000*SER_hh_fec!V6/SER_hh_num!V6)</f>
        <v>0</v>
      </c>
      <c r="W6" s="132">
        <f>IF(SER_hh_fec!W6=0,0,11630*1000*SER_hh_fec!W6/SER_hh_num!W6)</f>
        <v>0</v>
      </c>
      <c r="X6" s="132">
        <f>IF(SER_hh_fec!X6=0,0,11630*1000*SER_hh_fec!X6/SER_hh_num!X6)</f>
        <v>0</v>
      </c>
      <c r="Y6" s="132">
        <f>IF(SER_hh_fec!Y6=0,0,11630*1000*SER_hh_fec!Y6/SER_hh_num!Y6)</f>
        <v>0</v>
      </c>
      <c r="DA6" s="156" t="s">
        <v>387</v>
      </c>
    </row>
    <row r="7" spans="1:105" ht="12" customHeight="1" x14ac:dyDescent="0.25">
      <c r="A7" s="131" t="s">
        <v>161</v>
      </c>
      <c r="B7" s="132">
        <f>IF(SER_hh_fec!B7=0,0,11630*1000*SER_hh_fec!B7/SER_hh_num!B7)</f>
        <v>183497.77248669002</v>
      </c>
      <c r="C7" s="132">
        <f>IF(SER_hh_fec!C7=0,0,11630*1000*SER_hh_fec!C7/SER_hh_num!C7)</f>
        <v>146205.27929360367</v>
      </c>
      <c r="D7" s="132">
        <f>IF(SER_hh_fec!D7=0,0,11630*1000*SER_hh_fec!D7/SER_hh_num!D7)</f>
        <v>177720.10761117924</v>
      </c>
      <c r="E7" s="132">
        <f>IF(SER_hh_fec!E7=0,0,11630*1000*SER_hh_fec!E7/SER_hh_num!E7)</f>
        <v>140551.95011368091</v>
      </c>
      <c r="F7" s="132">
        <f>IF(SER_hh_fec!F7=0,0,11630*1000*SER_hh_fec!F7/SER_hh_num!F7)</f>
        <v>164129.4982637252</v>
      </c>
      <c r="G7" s="132">
        <f>IF(SER_hh_fec!G7=0,0,11630*1000*SER_hh_fec!G7/SER_hh_num!G7)</f>
        <v>140675.70755488559</v>
      </c>
      <c r="H7" s="132">
        <f>IF(SER_hh_fec!H7=0,0,11630*1000*SER_hh_fec!H7/SER_hh_num!H7)</f>
        <v>125579.88606636047</v>
      </c>
      <c r="I7" s="132">
        <f>IF(SER_hh_fec!I7=0,0,11630*1000*SER_hh_fec!I7/SER_hh_num!I7)</f>
        <v>128454.45921173927</v>
      </c>
      <c r="J7" s="132">
        <f>IF(SER_hh_fec!J7=0,0,11630*1000*SER_hh_fec!J7/SER_hh_num!J7)</f>
        <v>217563.21364559073</v>
      </c>
      <c r="K7" s="132">
        <f>IF(SER_hh_fec!K7=0,0,11630*1000*SER_hh_fec!K7/SER_hh_num!K7)</f>
        <v>67041.21595074881</v>
      </c>
      <c r="L7" s="132">
        <f>IF(SER_hh_fec!L7=0,0,11630*1000*SER_hh_fec!L7/SER_hh_num!L7)</f>
        <v>99321.297291161653</v>
      </c>
      <c r="M7" s="132">
        <f>IF(SER_hh_fec!M7=0,0,11630*1000*SER_hh_fec!M7/SER_hh_num!M7)</f>
        <v>129072.50502194952</v>
      </c>
      <c r="N7" s="132">
        <f>IF(SER_hh_fec!N7=0,0,11630*1000*SER_hh_fec!N7/SER_hh_num!N7)</f>
        <v>79135.946557017451</v>
      </c>
      <c r="O7" s="132">
        <f>IF(SER_hh_fec!O7=0,0,11630*1000*SER_hh_fec!O7/SER_hh_num!O7)</f>
        <v>78585.172968255429</v>
      </c>
      <c r="P7" s="132">
        <f>IF(SER_hh_fec!P7=0,0,11630*1000*SER_hh_fec!P7/SER_hh_num!P7)</f>
        <v>111541.69095648905</v>
      </c>
      <c r="Q7" s="132">
        <f>IF(SER_hh_fec!Q7=0,0,11630*1000*SER_hh_fec!Q7/SER_hh_num!Q7)</f>
        <v>60558.354445521327</v>
      </c>
      <c r="R7" s="132">
        <f>IF(SER_hh_fec!R7=0,0,11630*1000*SER_hh_fec!R7/SER_hh_num!R7)</f>
        <v>72561.076348048242</v>
      </c>
      <c r="S7" s="132">
        <f>IF(SER_hh_fec!S7=0,0,11630*1000*SER_hh_fec!S7/SER_hh_num!S7)</f>
        <v>96500.496461034127</v>
      </c>
      <c r="T7" s="132">
        <f>IF(SER_hh_fec!T7=0,0,11630*1000*SER_hh_fec!T7/SER_hh_num!T7)</f>
        <v>74019.642895984347</v>
      </c>
      <c r="U7" s="132">
        <f>IF(SER_hh_fec!U7=0,0,11630*1000*SER_hh_fec!U7/SER_hh_num!U7)</f>
        <v>83936.997221551399</v>
      </c>
      <c r="V7" s="132">
        <f>IF(SER_hh_fec!V7=0,0,11630*1000*SER_hh_fec!V7/SER_hh_num!V7)</f>
        <v>84121.547415479828</v>
      </c>
      <c r="W7" s="132">
        <f>IF(SER_hh_fec!W7=0,0,11630*1000*SER_hh_fec!W7/SER_hh_num!W7)</f>
        <v>86710.912499730679</v>
      </c>
      <c r="X7" s="132">
        <f>IF(SER_hh_fec!X7=0,0,11630*1000*SER_hh_fec!X7/SER_hh_num!X7)</f>
        <v>71319.81155544825</v>
      </c>
      <c r="Y7" s="132">
        <f>IF(SER_hh_fec!Y7=0,0,11630*1000*SER_hh_fec!Y7/SER_hh_num!Y7)</f>
        <v>90626.885436445911</v>
      </c>
      <c r="DA7" s="156" t="s">
        <v>388</v>
      </c>
    </row>
    <row r="8" spans="1:105" ht="12" customHeight="1" x14ac:dyDescent="0.25">
      <c r="A8" s="131" t="s">
        <v>73</v>
      </c>
      <c r="B8" s="132">
        <f>IF(SER_hh_fec!B8=0,0,11630*1000*SER_hh_fec!B8/SER_hh_num!B8)</f>
        <v>0</v>
      </c>
      <c r="C8" s="132">
        <f>IF(SER_hh_fec!C8=0,0,11630*1000*SER_hh_fec!C8/SER_hh_num!C8)</f>
        <v>0</v>
      </c>
      <c r="D8" s="132">
        <f>IF(SER_hh_fec!D8=0,0,11630*1000*SER_hh_fec!D8/SER_hh_num!D8)</f>
        <v>0</v>
      </c>
      <c r="E8" s="132">
        <f>IF(SER_hh_fec!E8=0,0,11630*1000*SER_hh_fec!E8/SER_hh_num!E8)</f>
        <v>0</v>
      </c>
      <c r="F8" s="132">
        <f>IF(SER_hh_fec!F8=0,0,11630*1000*SER_hh_fec!F8/SER_hh_num!F8)</f>
        <v>0</v>
      </c>
      <c r="G8" s="132">
        <f>IF(SER_hh_fec!G8=0,0,11630*1000*SER_hh_fec!G8/SER_hh_num!G8)</f>
        <v>0</v>
      </c>
      <c r="H8" s="132">
        <f>IF(SER_hh_fec!H8=0,0,11630*1000*SER_hh_fec!H8/SER_hh_num!H8)</f>
        <v>0</v>
      </c>
      <c r="I8" s="132">
        <f>IF(SER_hh_fec!I8=0,0,11630*1000*SER_hh_fec!I8/SER_hh_num!I8)</f>
        <v>0</v>
      </c>
      <c r="J8" s="132">
        <f>IF(SER_hh_fec!J8=0,0,11630*1000*SER_hh_fec!J8/SER_hh_num!J8)</f>
        <v>0</v>
      </c>
      <c r="K8" s="132">
        <f>IF(SER_hh_fec!K8=0,0,11630*1000*SER_hh_fec!K8/SER_hh_num!K8)</f>
        <v>0</v>
      </c>
      <c r="L8" s="132">
        <f>IF(SER_hh_fec!L8=0,0,11630*1000*SER_hh_fec!L8/SER_hh_num!L8)</f>
        <v>0</v>
      </c>
      <c r="M8" s="132">
        <f>IF(SER_hh_fec!M8=0,0,11630*1000*SER_hh_fec!M8/SER_hh_num!M8)</f>
        <v>0</v>
      </c>
      <c r="N8" s="132">
        <f>IF(SER_hh_fec!N8=0,0,11630*1000*SER_hh_fec!N8/SER_hh_num!N8)</f>
        <v>0</v>
      </c>
      <c r="O8" s="132">
        <f>IF(SER_hh_fec!O8=0,0,11630*1000*SER_hh_fec!O8/SER_hh_num!O8)</f>
        <v>0</v>
      </c>
      <c r="P8" s="132">
        <f>IF(SER_hh_fec!P8=0,0,11630*1000*SER_hh_fec!P8/SER_hh_num!P8)</f>
        <v>0</v>
      </c>
      <c r="Q8" s="132">
        <f>IF(SER_hh_fec!Q8=0,0,11630*1000*SER_hh_fec!Q8/SER_hh_num!Q8)</f>
        <v>0</v>
      </c>
      <c r="R8" s="132">
        <f>IF(SER_hh_fec!R8=0,0,11630*1000*SER_hh_fec!R8/SER_hh_num!R8)</f>
        <v>0</v>
      </c>
      <c r="S8" s="132">
        <f>IF(SER_hh_fec!S8=0,0,11630*1000*SER_hh_fec!S8/SER_hh_num!S8)</f>
        <v>0</v>
      </c>
      <c r="T8" s="132">
        <f>IF(SER_hh_fec!T8=0,0,11630*1000*SER_hh_fec!T8/SER_hh_num!T8)</f>
        <v>0</v>
      </c>
      <c r="U8" s="132">
        <f>IF(SER_hh_fec!U8=0,0,11630*1000*SER_hh_fec!U8/SER_hh_num!U8)</f>
        <v>0</v>
      </c>
      <c r="V8" s="132">
        <f>IF(SER_hh_fec!V8=0,0,11630*1000*SER_hh_fec!V8/SER_hh_num!V8)</f>
        <v>0</v>
      </c>
      <c r="W8" s="132">
        <f>IF(SER_hh_fec!W8=0,0,11630*1000*SER_hh_fec!W8/SER_hh_num!W8)</f>
        <v>0</v>
      </c>
      <c r="X8" s="132">
        <f>IF(SER_hh_fec!X8=0,0,11630*1000*SER_hh_fec!X8/SER_hh_num!X8)</f>
        <v>0</v>
      </c>
      <c r="Y8" s="132">
        <f>IF(SER_hh_fec!Y8=0,0,11630*1000*SER_hh_fec!Y8/SER_hh_num!Y8)</f>
        <v>0</v>
      </c>
      <c r="DA8" s="156" t="s">
        <v>389</v>
      </c>
    </row>
    <row r="9" spans="1:105" ht="12" customHeight="1" x14ac:dyDescent="0.25">
      <c r="A9" s="131" t="s">
        <v>78</v>
      </c>
      <c r="B9" s="132">
        <f>IF(SER_hh_fec!B9=0,0,11630*1000*SER_hh_fec!B9/SER_hh_num!B9)</f>
        <v>147735.93616713258</v>
      </c>
      <c r="C9" s="132">
        <f>IF(SER_hh_fec!C9=0,0,11630*1000*SER_hh_fec!C9/SER_hh_num!C9)</f>
        <v>145174.14450464532</v>
      </c>
      <c r="D9" s="132">
        <f>IF(SER_hh_fec!D9=0,0,11630*1000*SER_hh_fec!D9/SER_hh_num!D9)</f>
        <v>141411.89928869737</v>
      </c>
      <c r="E9" s="132">
        <f>IF(SER_hh_fec!E9=0,0,11630*1000*SER_hh_fec!E9/SER_hh_num!E9)</f>
        <v>125692.56199562384</v>
      </c>
      <c r="F9" s="132">
        <f>IF(SER_hh_fec!F9=0,0,11630*1000*SER_hh_fec!F9/SER_hh_num!F9)</f>
        <v>148402.35185896611</v>
      </c>
      <c r="G9" s="132">
        <f>IF(SER_hh_fec!G9=0,0,11630*1000*SER_hh_fec!G9/SER_hh_num!G9)</f>
        <v>124609.45029406497</v>
      </c>
      <c r="H9" s="132">
        <f>IF(SER_hh_fec!H9=0,0,11630*1000*SER_hh_fec!H9/SER_hh_num!H9)</f>
        <v>116092.4544706351</v>
      </c>
      <c r="I9" s="132">
        <f>IF(SER_hh_fec!I9=0,0,11630*1000*SER_hh_fec!I9/SER_hh_num!I9)</f>
        <v>132359.03701043539</v>
      </c>
      <c r="J9" s="132">
        <f>IF(SER_hh_fec!J9=0,0,11630*1000*SER_hh_fec!J9/SER_hh_num!J9)</f>
        <v>110464.15584058271</v>
      </c>
      <c r="K9" s="132">
        <f>IF(SER_hh_fec!K9=0,0,11630*1000*SER_hh_fec!K9/SER_hh_num!K9)</f>
        <v>94220.136473577295</v>
      </c>
      <c r="L9" s="132">
        <f>IF(SER_hh_fec!L9=0,0,11630*1000*SER_hh_fec!L9/SER_hh_num!L9)</f>
        <v>102885.86315940745</v>
      </c>
      <c r="M9" s="132">
        <f>IF(SER_hh_fec!M9=0,0,11630*1000*SER_hh_fec!M9/SER_hh_num!M9)</f>
        <v>88126.686202671219</v>
      </c>
      <c r="N9" s="132">
        <f>IF(SER_hh_fec!N9=0,0,11630*1000*SER_hh_fec!N9/SER_hh_num!N9)</f>
        <v>92683.671276747555</v>
      </c>
      <c r="O9" s="132">
        <f>IF(SER_hh_fec!O9=0,0,11630*1000*SER_hh_fec!O9/SER_hh_num!O9)</f>
        <v>88466.439146338918</v>
      </c>
      <c r="P9" s="132">
        <f>IF(SER_hh_fec!P9=0,0,11630*1000*SER_hh_fec!P9/SER_hh_num!P9)</f>
        <v>73936.063185170337</v>
      </c>
      <c r="Q9" s="132">
        <f>IF(SER_hh_fec!Q9=0,0,11630*1000*SER_hh_fec!Q9/SER_hh_num!Q9)</f>
        <v>76711.127535696782</v>
      </c>
      <c r="R9" s="132">
        <f>IF(SER_hh_fec!R9=0,0,11630*1000*SER_hh_fec!R9/SER_hh_num!R9)</f>
        <v>78889.907252662786</v>
      </c>
      <c r="S9" s="132">
        <f>IF(SER_hh_fec!S9=0,0,11630*1000*SER_hh_fec!S9/SER_hh_num!S9)</f>
        <v>80630.648311791039</v>
      </c>
      <c r="T9" s="132">
        <f>IF(SER_hh_fec!T9=0,0,11630*1000*SER_hh_fec!T9/SER_hh_num!T9)</f>
        <v>80943.751594445319</v>
      </c>
      <c r="U9" s="132">
        <f>IF(SER_hh_fec!U9=0,0,11630*1000*SER_hh_fec!U9/SER_hh_num!U9)</f>
        <v>78189.066264627676</v>
      </c>
      <c r="V9" s="132">
        <f>IF(SER_hh_fec!V9=0,0,11630*1000*SER_hh_fec!V9/SER_hh_num!V9)</f>
        <v>75828.292467354389</v>
      </c>
      <c r="W9" s="132">
        <f>IF(SER_hh_fec!W9=0,0,11630*1000*SER_hh_fec!W9/SER_hh_num!W9)</f>
        <v>74132.366698086</v>
      </c>
      <c r="X9" s="132">
        <f>IF(SER_hh_fec!X9=0,0,11630*1000*SER_hh_fec!X9/SER_hh_num!X9)</f>
        <v>65640.645399847112</v>
      </c>
      <c r="Y9" s="132">
        <f>IF(SER_hh_fec!Y9=0,0,11630*1000*SER_hh_fec!Y9/SER_hh_num!Y9)</f>
        <v>76881.69232904214</v>
      </c>
      <c r="DA9" s="156" t="s">
        <v>390</v>
      </c>
    </row>
    <row r="10" spans="1:105" ht="12" customHeight="1" x14ac:dyDescent="0.25">
      <c r="A10" s="131" t="s">
        <v>128</v>
      </c>
      <c r="B10" s="132">
        <f>IF(SER_hh_fec!B10=0,0,11630*1000*SER_hh_fec!B10/SER_hh_num!B10)</f>
        <v>170464.80425795779</v>
      </c>
      <c r="C10" s="132">
        <f>IF(SER_hh_fec!C10=0,0,11630*1000*SER_hh_fec!C10/SER_hh_num!C10)</f>
        <v>165126.36139282477</v>
      </c>
      <c r="D10" s="132">
        <f>IF(SER_hh_fec!D10=0,0,11630*1000*SER_hh_fec!D10/SER_hh_num!D10)</f>
        <v>167949.88421846105</v>
      </c>
      <c r="E10" s="132">
        <f>IF(SER_hh_fec!E10=0,0,11630*1000*SER_hh_fec!E10/SER_hh_num!E10)</f>
        <v>152197.19934512072</v>
      </c>
      <c r="F10" s="132">
        <f>IF(SER_hh_fec!F10=0,0,11630*1000*SER_hh_fec!F10/SER_hh_num!F10)</f>
        <v>147055.7561110461</v>
      </c>
      <c r="G10" s="132">
        <f>IF(SER_hh_fec!G10=0,0,11630*1000*SER_hh_fec!G10/SER_hh_num!G10)</f>
        <v>147317.86664653028</v>
      </c>
      <c r="H10" s="132">
        <f>IF(SER_hh_fec!H10=0,0,11630*1000*SER_hh_fec!H10/SER_hh_num!H10)</f>
        <v>142566.41059778279</v>
      </c>
      <c r="I10" s="132">
        <f>IF(SER_hh_fec!I10=0,0,11630*1000*SER_hh_fec!I10/SER_hh_num!I10)</f>
        <v>127375.64467896773</v>
      </c>
      <c r="J10" s="132">
        <f>IF(SER_hh_fec!J10=0,0,11630*1000*SER_hh_fec!J10/SER_hh_num!J10)</f>
        <v>120081.23847683029</v>
      </c>
      <c r="K10" s="132">
        <f>IF(SER_hh_fec!K10=0,0,11630*1000*SER_hh_fec!K10/SER_hh_num!K10)</f>
        <v>108647.77081444854</v>
      </c>
      <c r="L10" s="132">
        <f>IF(SER_hh_fec!L10=0,0,11630*1000*SER_hh_fec!L10/SER_hh_num!L10)</f>
        <v>101233.75516649909</v>
      </c>
      <c r="M10" s="132">
        <f>IF(SER_hh_fec!M10=0,0,11630*1000*SER_hh_fec!M10/SER_hh_num!M10)</f>
        <v>99825.397071753076</v>
      </c>
      <c r="N10" s="132">
        <f>IF(SER_hh_fec!N10=0,0,11630*1000*SER_hh_fec!N10/SER_hh_num!N10)</f>
        <v>98457.963246029773</v>
      </c>
      <c r="O10" s="132">
        <f>IF(SER_hh_fec!O10=0,0,11630*1000*SER_hh_fec!O10/SER_hh_num!O10)</f>
        <v>95169.043926214348</v>
      </c>
      <c r="P10" s="132">
        <f>IF(SER_hh_fec!P10=0,0,11630*1000*SER_hh_fec!P10/SER_hh_num!P10)</f>
        <v>87656.40243784574</v>
      </c>
      <c r="Q10" s="132">
        <f>IF(SER_hh_fec!Q10=0,0,11630*1000*SER_hh_fec!Q10/SER_hh_num!Q10)</f>
        <v>85358.049022631865</v>
      </c>
      <c r="R10" s="132">
        <f>IF(SER_hh_fec!R10=0,0,11630*1000*SER_hh_fec!R10/SER_hh_num!R10)</f>
        <v>93570.971837554695</v>
      </c>
      <c r="S10" s="132">
        <f>IF(SER_hh_fec!S10=0,0,11630*1000*SER_hh_fec!S10/SER_hh_num!S10)</f>
        <v>90322.849952321165</v>
      </c>
      <c r="T10" s="132">
        <f>IF(SER_hh_fec!T10=0,0,11630*1000*SER_hh_fec!T10/SER_hh_num!T10)</f>
        <v>96315.609122017209</v>
      </c>
      <c r="U10" s="132">
        <f>IF(SER_hh_fec!U10=0,0,11630*1000*SER_hh_fec!U10/SER_hh_num!U10)</f>
        <v>92438.050188641369</v>
      </c>
      <c r="V10" s="132">
        <f>IF(SER_hh_fec!V10=0,0,11630*1000*SER_hh_fec!V10/SER_hh_num!V10)</f>
        <v>102174.38239639786</v>
      </c>
      <c r="W10" s="132">
        <f>IF(SER_hh_fec!W10=0,0,11630*1000*SER_hh_fec!W10/SER_hh_num!W10)</f>
        <v>97395.403414947301</v>
      </c>
      <c r="X10" s="132">
        <f>IF(SER_hh_fec!X10=0,0,11630*1000*SER_hh_fec!X10/SER_hh_num!X10)</f>
        <v>92537.849903404494</v>
      </c>
      <c r="Y10" s="132">
        <f>IF(SER_hh_fec!Y10=0,0,11630*1000*SER_hh_fec!Y10/SER_hh_num!Y10)</f>
        <v>98429.443649577894</v>
      </c>
      <c r="DA10" s="156" t="s">
        <v>391</v>
      </c>
    </row>
    <row r="11" spans="1:105" ht="12" customHeight="1" x14ac:dyDescent="0.25">
      <c r="A11" s="131" t="s">
        <v>25</v>
      </c>
      <c r="B11" s="132">
        <f>IF(SER_hh_fec!B11=0,0,11630*1000*SER_hh_fec!B11/SER_hh_num!B11)</f>
        <v>0</v>
      </c>
      <c r="C11" s="132">
        <f>IF(SER_hh_fec!C11=0,0,11630*1000*SER_hh_fec!C11/SER_hh_num!C11)</f>
        <v>0</v>
      </c>
      <c r="D11" s="132">
        <f>IF(SER_hh_fec!D11=0,0,11630*1000*SER_hh_fec!D11/SER_hh_num!D11)</f>
        <v>0</v>
      </c>
      <c r="E11" s="132">
        <f>IF(SER_hh_fec!E11=0,0,11630*1000*SER_hh_fec!E11/SER_hh_num!E11)</f>
        <v>0</v>
      </c>
      <c r="F11" s="132">
        <f>IF(SER_hh_fec!F11=0,0,11630*1000*SER_hh_fec!F11/SER_hh_num!F11)</f>
        <v>0</v>
      </c>
      <c r="G11" s="132">
        <f>IF(SER_hh_fec!G11=0,0,11630*1000*SER_hh_fec!G11/SER_hh_num!G11)</f>
        <v>0</v>
      </c>
      <c r="H11" s="132">
        <f>IF(SER_hh_fec!H11=0,0,11630*1000*SER_hh_fec!H11/SER_hh_num!H11)</f>
        <v>0</v>
      </c>
      <c r="I11" s="132">
        <f>IF(SER_hh_fec!I11=0,0,11630*1000*SER_hh_fec!I11/SER_hh_num!I11)</f>
        <v>0</v>
      </c>
      <c r="J11" s="132">
        <f>IF(SER_hh_fec!J11=0,0,11630*1000*SER_hh_fec!J11/SER_hh_num!J11)</f>
        <v>0</v>
      </c>
      <c r="K11" s="132">
        <f>IF(SER_hh_fec!K11=0,0,11630*1000*SER_hh_fec!K11/SER_hh_num!K11)</f>
        <v>0</v>
      </c>
      <c r="L11" s="132">
        <f>IF(SER_hh_fec!L11=0,0,11630*1000*SER_hh_fec!L11/SER_hh_num!L11)</f>
        <v>0</v>
      </c>
      <c r="M11" s="132">
        <f>IF(SER_hh_fec!M11=0,0,11630*1000*SER_hh_fec!M11/SER_hh_num!M11)</f>
        <v>0</v>
      </c>
      <c r="N11" s="132">
        <f>IF(SER_hh_fec!N11=0,0,11630*1000*SER_hh_fec!N11/SER_hh_num!N11)</f>
        <v>0</v>
      </c>
      <c r="O11" s="132">
        <f>IF(SER_hh_fec!O11=0,0,11630*1000*SER_hh_fec!O11/SER_hh_num!O11)</f>
        <v>0</v>
      </c>
      <c r="P11" s="132">
        <f>IF(SER_hh_fec!P11=0,0,11630*1000*SER_hh_fec!P11/SER_hh_num!P11)</f>
        <v>0</v>
      </c>
      <c r="Q11" s="132">
        <f>IF(SER_hh_fec!Q11=0,0,11630*1000*SER_hh_fec!Q11/SER_hh_num!Q11)</f>
        <v>0</v>
      </c>
      <c r="R11" s="132">
        <f>IF(SER_hh_fec!R11=0,0,11630*1000*SER_hh_fec!R11/SER_hh_num!R11)</f>
        <v>0</v>
      </c>
      <c r="S11" s="132">
        <f>IF(SER_hh_fec!S11=0,0,11630*1000*SER_hh_fec!S11/SER_hh_num!S11)</f>
        <v>0</v>
      </c>
      <c r="T11" s="132">
        <f>IF(SER_hh_fec!T11=0,0,11630*1000*SER_hh_fec!T11/SER_hh_num!T11)</f>
        <v>0</v>
      </c>
      <c r="U11" s="132">
        <f>IF(SER_hh_fec!U11=0,0,11630*1000*SER_hh_fec!U11/SER_hh_num!U11)</f>
        <v>0</v>
      </c>
      <c r="V11" s="132">
        <f>IF(SER_hh_fec!V11=0,0,11630*1000*SER_hh_fec!V11/SER_hh_num!V11)</f>
        <v>0</v>
      </c>
      <c r="W11" s="132">
        <f>IF(SER_hh_fec!W11=0,0,11630*1000*SER_hh_fec!W11/SER_hh_num!W11)</f>
        <v>0</v>
      </c>
      <c r="X11" s="132">
        <f>IF(SER_hh_fec!X11=0,0,11630*1000*SER_hh_fec!X11/SER_hh_num!X11)</f>
        <v>0</v>
      </c>
      <c r="Y11" s="132">
        <f>IF(SER_hh_fec!Y11=0,0,11630*1000*SER_hh_fec!Y11/SER_hh_num!Y11)</f>
        <v>0</v>
      </c>
      <c r="DA11" s="156" t="s">
        <v>392</v>
      </c>
    </row>
    <row r="12" spans="1:105" ht="12" customHeight="1" x14ac:dyDescent="0.25">
      <c r="A12" s="131" t="s">
        <v>162</v>
      </c>
      <c r="B12" s="132">
        <f>IF(SER_hh_fec!B12=0,0,11630*1000*SER_hh_fec!B12/SER_hh_num!B12)</f>
        <v>98807.288717168267</v>
      </c>
      <c r="C12" s="132">
        <f>IF(SER_hh_fec!C12=0,0,11630*1000*SER_hh_fec!C12/SER_hh_num!C12)</f>
        <v>98526.52451153424</v>
      </c>
      <c r="D12" s="132">
        <f>IF(SER_hh_fec!D12=0,0,11630*1000*SER_hh_fec!D12/SER_hh_num!D12)</f>
        <v>93631.817102537287</v>
      </c>
      <c r="E12" s="132">
        <f>IF(SER_hh_fec!E12=0,0,11630*1000*SER_hh_fec!E12/SER_hh_num!E12)</f>
        <v>93023.173444386528</v>
      </c>
      <c r="F12" s="132">
        <f>IF(SER_hh_fec!F12=0,0,11630*1000*SER_hh_fec!F12/SER_hh_num!F12)</f>
        <v>90487.618127980517</v>
      </c>
      <c r="G12" s="132">
        <f>IF(SER_hh_fec!G12=0,0,11630*1000*SER_hh_fec!G12/SER_hh_num!G12)</f>
        <v>86084.207727931353</v>
      </c>
      <c r="H12" s="132">
        <f>IF(SER_hh_fec!H12=0,0,11630*1000*SER_hh_fec!H12/SER_hh_num!H12)</f>
        <v>90625.109369611906</v>
      </c>
      <c r="I12" s="132">
        <f>IF(SER_hh_fec!I12=0,0,11630*1000*SER_hh_fec!I12/SER_hh_num!I12)</f>
        <v>83160.662607363818</v>
      </c>
      <c r="J12" s="132">
        <f>IF(SER_hh_fec!J12=0,0,11630*1000*SER_hh_fec!J12/SER_hh_num!J12)</f>
        <v>65458.540314270715</v>
      </c>
      <c r="K12" s="132">
        <f>IF(SER_hh_fec!K12=0,0,11630*1000*SER_hh_fec!K12/SER_hh_num!K12)</f>
        <v>70650.940278181341</v>
      </c>
      <c r="L12" s="132">
        <f>IF(SER_hh_fec!L12=0,0,11630*1000*SER_hh_fec!L12/SER_hh_num!L12)</f>
        <v>73979.345502811571</v>
      </c>
      <c r="M12" s="132">
        <f>IF(SER_hh_fec!M12=0,0,11630*1000*SER_hh_fec!M12/SER_hh_num!M12)</f>
        <v>58257.396472226283</v>
      </c>
      <c r="N12" s="132">
        <f>IF(SER_hh_fec!N12=0,0,11630*1000*SER_hh_fec!N12/SER_hh_num!N12)</f>
        <v>70480.793513386336</v>
      </c>
      <c r="O12" s="132">
        <f>IF(SER_hh_fec!O12=0,0,11630*1000*SER_hh_fec!O12/SER_hh_num!O12)</f>
        <v>58534.556608745588</v>
      </c>
      <c r="P12" s="132">
        <f>IF(SER_hh_fec!P12=0,0,11630*1000*SER_hh_fec!P12/SER_hh_num!P12)</f>
        <v>56417.434189045285</v>
      </c>
      <c r="Q12" s="132">
        <f>IF(SER_hh_fec!Q12=0,0,11630*1000*SER_hh_fec!Q12/SER_hh_num!Q12)</f>
        <v>56830.716526207005</v>
      </c>
      <c r="R12" s="132">
        <f>IF(SER_hh_fec!R12=0,0,11630*1000*SER_hh_fec!R12/SER_hh_num!R12)</f>
        <v>55916.340157199542</v>
      </c>
      <c r="S12" s="132">
        <f>IF(SER_hh_fec!S12=0,0,11630*1000*SER_hh_fec!S12/SER_hh_num!S12)</f>
        <v>66023.059726167776</v>
      </c>
      <c r="T12" s="132">
        <f>IF(SER_hh_fec!T12=0,0,11630*1000*SER_hh_fec!T12/SER_hh_num!T12)</f>
        <v>67591.888083718906</v>
      </c>
      <c r="U12" s="132">
        <f>IF(SER_hh_fec!U12=0,0,11630*1000*SER_hh_fec!U12/SER_hh_num!U12)</f>
        <v>58350.67909952347</v>
      </c>
      <c r="V12" s="132">
        <f>IF(SER_hh_fec!V12=0,0,11630*1000*SER_hh_fec!V12/SER_hh_num!V12)</f>
        <v>52135.839359590449</v>
      </c>
      <c r="W12" s="132">
        <f>IF(SER_hh_fec!W12=0,0,11630*1000*SER_hh_fec!W12/SER_hh_num!W12)</f>
        <v>67901.3777728555</v>
      </c>
      <c r="X12" s="132">
        <f>IF(SER_hh_fec!X12=0,0,11630*1000*SER_hh_fec!X12/SER_hh_num!X12)</f>
        <v>62658.16413809466</v>
      </c>
      <c r="Y12" s="132">
        <f>IF(SER_hh_fec!Y12=0,0,11630*1000*SER_hh_fec!Y12/SER_hh_num!Y12)</f>
        <v>59123.664893594927</v>
      </c>
      <c r="DA12" s="156" t="s">
        <v>393</v>
      </c>
    </row>
    <row r="13" spans="1:105" ht="12" customHeight="1" x14ac:dyDescent="0.25">
      <c r="A13" s="131" t="s">
        <v>77</v>
      </c>
      <c r="B13" s="132">
        <f>IF(SER_hh_fec!B13=0,0,11630*1000*SER_hh_fec!B13/SER_hh_num!B13)</f>
        <v>41582.723349501983</v>
      </c>
      <c r="C13" s="132">
        <f>IF(SER_hh_fec!C13=0,0,11630*1000*SER_hh_fec!C13/SER_hh_num!C13)</f>
        <v>48216.111193479439</v>
      </c>
      <c r="D13" s="132">
        <f>IF(SER_hh_fec!D13=0,0,11630*1000*SER_hh_fec!D13/SER_hh_num!D13)</f>
        <v>36719.52484441147</v>
      </c>
      <c r="E13" s="132">
        <f>IF(SER_hh_fec!E13=0,0,11630*1000*SER_hh_fec!E13/SER_hh_num!E13)</f>
        <v>43662.995560302115</v>
      </c>
      <c r="F13" s="132">
        <f>IF(SER_hh_fec!F13=0,0,11630*1000*SER_hh_fec!F13/SER_hh_num!F13)</f>
        <v>40062.26561866729</v>
      </c>
      <c r="G13" s="132">
        <f>IF(SER_hh_fec!G13=0,0,11630*1000*SER_hh_fec!G13/SER_hh_num!G13)</f>
        <v>39669.641974026097</v>
      </c>
      <c r="H13" s="132">
        <f>IF(SER_hh_fec!H13=0,0,11630*1000*SER_hh_fec!H13/SER_hh_num!H13)</f>
        <v>34211.801358507022</v>
      </c>
      <c r="I13" s="132">
        <f>IF(SER_hh_fec!I13=0,0,11630*1000*SER_hh_fec!I13/SER_hh_num!I13)</f>
        <v>28248.117467443564</v>
      </c>
      <c r="J13" s="132">
        <f>IF(SER_hh_fec!J13=0,0,11630*1000*SER_hh_fec!J13/SER_hh_num!J13)</f>
        <v>32547.6254458146</v>
      </c>
      <c r="K13" s="132">
        <f>IF(SER_hh_fec!K13=0,0,11630*1000*SER_hh_fec!K13/SER_hh_num!K13)</f>
        <v>25471.615519525065</v>
      </c>
      <c r="L13" s="132">
        <f>IF(SER_hh_fec!L13=0,0,11630*1000*SER_hh_fec!L13/SER_hh_num!L13)</f>
        <v>19321.898095240598</v>
      </c>
      <c r="M13" s="132">
        <f>IF(SER_hh_fec!M13=0,0,11630*1000*SER_hh_fec!M13/SER_hh_num!M13)</f>
        <v>21261.551624134518</v>
      </c>
      <c r="N13" s="132">
        <f>IF(SER_hh_fec!N13=0,0,11630*1000*SER_hh_fec!N13/SER_hh_num!N13)</f>
        <v>19856.191663849633</v>
      </c>
      <c r="O13" s="132">
        <f>IF(SER_hh_fec!O13=0,0,11630*1000*SER_hh_fec!O13/SER_hh_num!O13)</f>
        <v>17342.559500343272</v>
      </c>
      <c r="P13" s="132">
        <f>IF(SER_hh_fec!P13=0,0,11630*1000*SER_hh_fec!P13/SER_hh_num!P13)</f>
        <v>19325.964030166888</v>
      </c>
      <c r="Q13" s="132">
        <f>IF(SER_hh_fec!Q13=0,0,11630*1000*SER_hh_fec!Q13/SER_hh_num!Q13)</f>
        <v>17620.087553468395</v>
      </c>
      <c r="R13" s="132">
        <f>IF(SER_hh_fec!R13=0,0,11630*1000*SER_hh_fec!R13/SER_hh_num!R13)</f>
        <v>17662.070229716177</v>
      </c>
      <c r="S13" s="132">
        <f>IF(SER_hh_fec!S13=0,0,11630*1000*SER_hh_fec!S13/SER_hh_num!S13)</f>
        <v>18174.959299237849</v>
      </c>
      <c r="T13" s="132">
        <f>IF(SER_hh_fec!T13=0,0,11630*1000*SER_hh_fec!T13/SER_hh_num!T13)</f>
        <v>18666.284232897957</v>
      </c>
      <c r="U13" s="132">
        <f>IF(SER_hh_fec!U13=0,0,11630*1000*SER_hh_fec!U13/SER_hh_num!U13)</f>
        <v>16196.017096164946</v>
      </c>
      <c r="V13" s="132">
        <f>IF(SER_hh_fec!V13=0,0,11630*1000*SER_hh_fec!V13/SER_hh_num!V13)</f>
        <v>12407.824789578652</v>
      </c>
      <c r="W13" s="132">
        <f>IF(SER_hh_fec!W13=0,0,11630*1000*SER_hh_fec!W13/SER_hh_num!W13)</f>
        <v>16823.587181528452</v>
      </c>
      <c r="X13" s="132">
        <f>IF(SER_hh_fec!X13=0,0,11630*1000*SER_hh_fec!X13/SER_hh_num!X13)</f>
        <v>13600.267882130524</v>
      </c>
      <c r="Y13" s="132">
        <f>IF(SER_hh_fec!Y13=0,0,11630*1000*SER_hh_fec!Y13/SER_hh_num!Y13)</f>
        <v>15431.368679705271</v>
      </c>
      <c r="DA13" s="156" t="s">
        <v>394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108637.46240700741</v>
      </c>
      <c r="C14" s="65">
        <f>IF(SER_hh_fec!C14=0,0,11630*1000*SER_hh_fec!C14/SER_hh_num!C14)</f>
        <v>112245.66647340989</v>
      </c>
      <c r="D14" s="65">
        <f>IF(SER_hh_fec!D14=0,0,11630*1000*SER_hh_fec!D14/SER_hh_num!D14)</f>
        <v>91786.465871852823</v>
      </c>
      <c r="E14" s="65">
        <f>IF(SER_hh_fec!E14=0,0,11630*1000*SER_hh_fec!E14/SER_hh_num!E14)</f>
        <v>110951.45476972405</v>
      </c>
      <c r="F14" s="65">
        <f>IF(SER_hh_fec!F14=0,0,11630*1000*SER_hh_fec!F14/SER_hh_num!F14)</f>
        <v>103939.38706857387</v>
      </c>
      <c r="G14" s="65">
        <f>IF(SER_hh_fec!G14=0,0,11630*1000*SER_hh_fec!G14/SER_hh_num!G14)</f>
        <v>98077.661419669996</v>
      </c>
      <c r="H14" s="65">
        <f>IF(SER_hh_fec!H14=0,0,11630*1000*SER_hh_fec!H14/SER_hh_num!H14)</f>
        <v>91515.987731757632</v>
      </c>
      <c r="I14" s="65">
        <f>IF(SER_hh_fec!I14=0,0,11630*1000*SER_hh_fec!I14/SER_hh_num!I14)</f>
        <v>88144.765972826252</v>
      </c>
      <c r="J14" s="65">
        <f>IF(SER_hh_fec!J14=0,0,11630*1000*SER_hh_fec!J14/SER_hh_num!J14)</f>
        <v>122856.42307458421</v>
      </c>
      <c r="K14" s="65">
        <f>IF(SER_hh_fec!K14=0,0,11630*1000*SER_hh_fec!K14/SER_hh_num!K14)</f>
        <v>69340.707302897325</v>
      </c>
      <c r="L14" s="65">
        <f>IF(SER_hh_fec!L14=0,0,11630*1000*SER_hh_fec!L14/SER_hh_num!L14)</f>
        <v>44548.374969239048</v>
      </c>
      <c r="M14" s="65">
        <f>IF(SER_hh_fec!M14=0,0,11630*1000*SER_hh_fec!M14/SER_hh_num!M14)</f>
        <v>70810.75139061462</v>
      </c>
      <c r="N14" s="65">
        <f>IF(SER_hh_fec!N14=0,0,11630*1000*SER_hh_fec!N14/SER_hh_num!N14)</f>
        <v>92243.02004670164</v>
      </c>
      <c r="O14" s="65">
        <f>IF(SER_hh_fec!O14=0,0,11630*1000*SER_hh_fec!O14/SER_hh_num!O14)</f>
        <v>64079.399275268348</v>
      </c>
      <c r="P14" s="65">
        <f>IF(SER_hh_fec!P14=0,0,11630*1000*SER_hh_fec!P14/SER_hh_num!P14)</f>
        <v>69167.77602753778</v>
      </c>
      <c r="Q14" s="65">
        <f>IF(SER_hh_fec!Q14=0,0,11630*1000*SER_hh_fec!Q14/SER_hh_num!Q14)</f>
        <v>32271.588006939317</v>
      </c>
      <c r="R14" s="65">
        <f>IF(SER_hh_fec!R14=0,0,11630*1000*SER_hh_fec!R14/SER_hh_num!R14)</f>
        <v>80201.213549376858</v>
      </c>
      <c r="S14" s="65">
        <f>IF(SER_hh_fec!S14=0,0,11630*1000*SER_hh_fec!S14/SER_hh_num!S14)</f>
        <v>51053.17432304984</v>
      </c>
      <c r="T14" s="65">
        <f>IF(SER_hh_fec!T14=0,0,11630*1000*SER_hh_fec!T14/SER_hh_num!T14)</f>
        <v>74009.861478295381</v>
      </c>
      <c r="U14" s="65">
        <f>IF(SER_hh_fec!U14=0,0,11630*1000*SER_hh_fec!U14/SER_hh_num!U14)</f>
        <v>71754.105032350228</v>
      </c>
      <c r="V14" s="65">
        <f>IF(SER_hh_fec!V14=0,0,11630*1000*SER_hh_fec!V14/SER_hh_num!V14)</f>
        <v>52251.526744062154</v>
      </c>
      <c r="W14" s="65">
        <f>IF(SER_hh_fec!W14=0,0,11630*1000*SER_hh_fec!W14/SER_hh_num!W14)</f>
        <v>69205.652394037388</v>
      </c>
      <c r="X14" s="65">
        <f>IF(SER_hh_fec!X14=0,0,11630*1000*SER_hh_fec!X14/SER_hh_num!X14)</f>
        <v>72966.916013190086</v>
      </c>
      <c r="Y14" s="65">
        <f>IF(SER_hh_fec!Y14=0,0,11630*1000*SER_hh_fec!Y14/SER_hh_num!Y14)</f>
        <v>43750.439753412204</v>
      </c>
      <c r="DA14" s="109" t="s">
        <v>395</v>
      </c>
    </row>
    <row r="15" spans="1:105" ht="12" customHeight="1" x14ac:dyDescent="0.25">
      <c r="A15" s="133" t="s">
        <v>80</v>
      </c>
      <c r="B15" s="134">
        <f>IF(SER_hh_fec!B15=0,0,11630*1000*SER_hh_fec!B15/SER_hh_num!B15)</f>
        <v>553.84901296159046</v>
      </c>
      <c r="C15" s="134">
        <f>IF(SER_hh_fec!C15=0,0,11630*1000*SER_hh_fec!C15/SER_hh_num!C15)</f>
        <v>510.68026747637037</v>
      </c>
      <c r="D15" s="134">
        <f>IF(SER_hh_fec!D15=0,0,11630*1000*SER_hh_fec!D15/SER_hh_num!D15)</f>
        <v>511.42910354775262</v>
      </c>
      <c r="E15" s="134">
        <f>IF(SER_hh_fec!E15=0,0,11630*1000*SER_hh_fec!E15/SER_hh_num!E15)</f>
        <v>472.90240294495129</v>
      </c>
      <c r="F15" s="134">
        <f>IF(SER_hh_fec!F15=0,0,11630*1000*SER_hh_fec!F15/SER_hh_num!F15)</f>
        <v>481.6469723333521</v>
      </c>
      <c r="G15" s="134">
        <f>IF(SER_hh_fec!G15=0,0,11630*1000*SER_hh_fec!G15/SER_hh_num!G15)</f>
        <v>449.46126028514965</v>
      </c>
      <c r="H15" s="134">
        <f>IF(SER_hh_fec!H15=0,0,11630*1000*SER_hh_fec!H15/SER_hh_num!H15)</f>
        <v>475.9703991469886</v>
      </c>
      <c r="I15" s="134">
        <f>IF(SER_hh_fec!I15=0,0,11630*1000*SER_hh_fec!I15/SER_hh_num!I15)</f>
        <v>442.15568203734182</v>
      </c>
      <c r="J15" s="134">
        <f>IF(SER_hh_fec!J15=0,0,11630*1000*SER_hh_fec!J15/SER_hh_num!J15)</f>
        <v>366.24880706330765</v>
      </c>
      <c r="K15" s="134">
        <f>IF(SER_hh_fec!K15=0,0,11630*1000*SER_hh_fec!K15/SER_hh_num!K15)</f>
        <v>355.41151559797908</v>
      </c>
      <c r="L15" s="134">
        <f>IF(SER_hh_fec!L15=0,0,11630*1000*SER_hh_fec!L15/SER_hh_num!L15)</f>
        <v>369.771899429651</v>
      </c>
      <c r="M15" s="134">
        <f>IF(SER_hh_fec!M15=0,0,11630*1000*SER_hh_fec!M15/SER_hh_num!M15)</f>
        <v>335.53926924556771</v>
      </c>
      <c r="N15" s="134">
        <f>IF(SER_hh_fec!N15=0,0,11630*1000*SER_hh_fec!N15/SER_hh_num!N15)</f>
        <v>342.69945093498433</v>
      </c>
      <c r="O15" s="134">
        <f>IF(SER_hh_fec!O15=0,0,11630*1000*SER_hh_fec!O15/SER_hh_num!O15)</f>
        <v>330.49964211329524</v>
      </c>
      <c r="P15" s="134">
        <f>IF(SER_hh_fec!P15=0,0,11630*1000*SER_hh_fec!P15/SER_hh_num!P15)</f>
        <v>303.03440160579237</v>
      </c>
      <c r="Q15" s="134">
        <f>IF(SER_hh_fec!Q15=0,0,11630*1000*SER_hh_fec!Q15/SER_hh_num!Q15)</f>
        <v>298.45582923305619</v>
      </c>
      <c r="R15" s="134">
        <f>IF(SER_hh_fec!R15=0,0,11630*1000*SER_hh_fec!R15/SER_hh_num!R15)</f>
        <v>316.40343691740873</v>
      </c>
      <c r="S15" s="134">
        <f>IF(SER_hh_fec!S15=0,0,11630*1000*SER_hh_fec!S15/SER_hh_num!S15)</f>
        <v>346.59131875734255</v>
      </c>
      <c r="T15" s="134">
        <f>IF(SER_hh_fec!T15=0,0,11630*1000*SER_hh_fec!T15/SER_hh_num!T15)</f>
        <v>364.76000890796797</v>
      </c>
      <c r="U15" s="134">
        <f>IF(SER_hh_fec!U15=0,0,11630*1000*SER_hh_fec!U15/SER_hh_num!U15)</f>
        <v>349.69948593268452</v>
      </c>
      <c r="V15" s="134">
        <f>IF(SER_hh_fec!V15=0,0,11630*1000*SER_hh_fec!V15/SER_hh_num!V15)</f>
        <v>327.15848968741346</v>
      </c>
      <c r="W15" s="134">
        <f>IF(SER_hh_fec!W15=0,0,11630*1000*SER_hh_fec!W15/SER_hh_num!W15)</f>
        <v>377.00423371691898</v>
      </c>
      <c r="X15" s="134">
        <f>IF(SER_hh_fec!X15=0,0,11630*1000*SER_hh_fec!X15/SER_hh_num!X15)</f>
        <v>360.34604966515218</v>
      </c>
      <c r="Y15" s="134">
        <f>IF(SER_hh_fec!Y15=0,0,11630*1000*SER_hh_fec!Y15/SER_hh_num!Y15)</f>
        <v>394.87667011990294</v>
      </c>
      <c r="DA15" s="157" t="s">
        <v>396</v>
      </c>
    </row>
    <row r="16" spans="1:105" ht="12.95" customHeight="1" x14ac:dyDescent="0.25">
      <c r="A16" s="129" t="s">
        <v>74</v>
      </c>
      <c r="B16" s="130">
        <f>IF(SER_hh_fec!B16=0,0,11630*1000*SER_hh_fec!B16/SER_hh_num!B16)</f>
        <v>9494.9494983367131</v>
      </c>
      <c r="C16" s="130">
        <f>IF(SER_hh_fec!C16=0,0,11630*1000*SER_hh_fec!C16/SER_hh_num!C16)</f>
        <v>9427.1484814470696</v>
      </c>
      <c r="D16" s="130">
        <f>IF(SER_hh_fec!D16=0,0,11630*1000*SER_hh_fec!D16/SER_hh_num!D16)</f>
        <v>9548.6235094294407</v>
      </c>
      <c r="E16" s="130">
        <f>IF(SER_hh_fec!E16=0,0,11630*1000*SER_hh_fec!E16/SER_hh_num!E16)</f>
        <v>8076.0135749872334</v>
      </c>
      <c r="F16" s="130">
        <f>IF(SER_hh_fec!F16=0,0,11630*1000*SER_hh_fec!F16/SER_hh_num!F16)</f>
        <v>7573.4196900461038</v>
      </c>
      <c r="G16" s="130">
        <f>IF(SER_hh_fec!G16=0,0,11630*1000*SER_hh_fec!G16/SER_hh_num!G16)</f>
        <v>7160.6635196992502</v>
      </c>
      <c r="H16" s="130">
        <f>IF(SER_hh_fec!H16=0,0,11630*1000*SER_hh_fec!H16/SER_hh_num!H16)</f>
        <v>7459.901916408644</v>
      </c>
      <c r="I16" s="130">
        <f>IF(SER_hh_fec!I16=0,0,11630*1000*SER_hh_fec!I16/SER_hh_num!I16)</f>
        <v>6480.3279615483407</v>
      </c>
      <c r="J16" s="130">
        <f>IF(SER_hh_fec!J16=0,0,11630*1000*SER_hh_fec!J16/SER_hh_num!J16)</f>
        <v>6019.6471565961383</v>
      </c>
      <c r="K16" s="130">
        <f>IF(SER_hh_fec!K16=0,0,11630*1000*SER_hh_fec!K16/SER_hh_num!K16)</f>
        <v>5902.9009886421582</v>
      </c>
      <c r="L16" s="130">
        <f>IF(SER_hh_fec!L16=0,0,11630*1000*SER_hh_fec!L16/SER_hh_num!L16)</f>
        <v>7308.2553015779704</v>
      </c>
      <c r="M16" s="130">
        <f>IF(SER_hh_fec!M16=0,0,11630*1000*SER_hh_fec!M16/SER_hh_num!M16)</f>
        <v>5585.6204512629956</v>
      </c>
      <c r="N16" s="130">
        <f>IF(SER_hh_fec!N16=0,0,11630*1000*SER_hh_fec!N16/SER_hh_num!N16)</f>
        <v>5892.2774284819461</v>
      </c>
      <c r="O16" s="130">
        <f>IF(SER_hh_fec!O16=0,0,11630*1000*SER_hh_fec!O16/SER_hh_num!O16)</f>
        <v>5262.908231977478</v>
      </c>
      <c r="P16" s="130">
        <f>IF(SER_hh_fec!P16=0,0,11630*1000*SER_hh_fec!P16/SER_hh_num!P16)</f>
        <v>5561.6998777854387</v>
      </c>
      <c r="Q16" s="130">
        <f>IF(SER_hh_fec!Q16=0,0,11630*1000*SER_hh_fec!Q16/SER_hh_num!Q16)</f>
        <v>5161.8246739773203</v>
      </c>
      <c r="R16" s="130">
        <f>IF(SER_hh_fec!R16=0,0,11630*1000*SER_hh_fec!R16/SER_hh_num!R16)</f>
        <v>4708.5786907871097</v>
      </c>
      <c r="S16" s="130">
        <f>IF(SER_hh_fec!S16=0,0,11630*1000*SER_hh_fec!S16/SER_hh_num!S16)</f>
        <v>4529.8041869853678</v>
      </c>
      <c r="T16" s="130">
        <f>IF(SER_hh_fec!T16=0,0,11630*1000*SER_hh_fec!T16/SER_hh_num!T16)</f>
        <v>4693.7389629836916</v>
      </c>
      <c r="U16" s="130">
        <f>IF(SER_hh_fec!U16=0,0,11630*1000*SER_hh_fec!U16/SER_hh_num!U16)</f>
        <v>4484.7828694705458</v>
      </c>
      <c r="V16" s="130">
        <f>IF(SER_hh_fec!V16=0,0,11630*1000*SER_hh_fec!V16/SER_hh_num!V16)</f>
        <v>4268.8779928175645</v>
      </c>
      <c r="W16" s="130">
        <f>IF(SER_hh_fec!W16=0,0,11630*1000*SER_hh_fec!W16/SER_hh_num!W16)</f>
        <v>4965.6815446266492</v>
      </c>
      <c r="X16" s="130">
        <f>IF(SER_hh_fec!X16=0,0,11630*1000*SER_hh_fec!X16/SER_hh_num!X16)</f>
        <v>4395.6746497356589</v>
      </c>
      <c r="Y16" s="130">
        <f>IF(SER_hh_fec!Y16=0,0,11630*1000*SER_hh_fec!Y16/SER_hh_num!Y16)</f>
        <v>4263.7906763489837</v>
      </c>
      <c r="DA16" s="155" t="s">
        <v>397</v>
      </c>
    </row>
    <row r="17" spans="1:105" ht="12.95" customHeight="1" x14ac:dyDescent="0.25">
      <c r="A17" s="131" t="s">
        <v>73</v>
      </c>
      <c r="B17" s="132">
        <f>IF(SER_hh_fec!B17=0,0,11630*1000*SER_hh_fec!B17/SER_hh_num!B17)</f>
        <v>0</v>
      </c>
      <c r="C17" s="132">
        <f>IF(SER_hh_fec!C17=0,0,11630*1000*SER_hh_fec!C17/SER_hh_num!C17)</f>
        <v>0</v>
      </c>
      <c r="D17" s="132">
        <f>IF(SER_hh_fec!D17=0,0,11630*1000*SER_hh_fec!D17/SER_hh_num!D17)</f>
        <v>0</v>
      </c>
      <c r="E17" s="132">
        <f>IF(SER_hh_fec!E17=0,0,11630*1000*SER_hh_fec!E17/SER_hh_num!E17)</f>
        <v>0</v>
      </c>
      <c r="F17" s="132">
        <f>IF(SER_hh_fec!F17=0,0,11630*1000*SER_hh_fec!F17/SER_hh_num!F17)</f>
        <v>0</v>
      </c>
      <c r="G17" s="132">
        <f>IF(SER_hh_fec!G17=0,0,11630*1000*SER_hh_fec!G17/SER_hh_num!G17)</f>
        <v>0</v>
      </c>
      <c r="H17" s="132">
        <f>IF(SER_hh_fec!H17=0,0,11630*1000*SER_hh_fec!H17/SER_hh_num!H17)</f>
        <v>0</v>
      </c>
      <c r="I17" s="132">
        <f>IF(SER_hh_fec!I17=0,0,11630*1000*SER_hh_fec!I17/SER_hh_num!I17)</f>
        <v>0</v>
      </c>
      <c r="J17" s="132">
        <f>IF(SER_hh_fec!J17=0,0,11630*1000*SER_hh_fec!J17/SER_hh_num!J17)</f>
        <v>0</v>
      </c>
      <c r="K17" s="132">
        <f>IF(SER_hh_fec!K17=0,0,11630*1000*SER_hh_fec!K17/SER_hh_num!K17)</f>
        <v>0</v>
      </c>
      <c r="L17" s="132">
        <f>IF(SER_hh_fec!L17=0,0,11630*1000*SER_hh_fec!L17/SER_hh_num!L17)</f>
        <v>0</v>
      </c>
      <c r="M17" s="132">
        <f>IF(SER_hh_fec!M17=0,0,11630*1000*SER_hh_fec!M17/SER_hh_num!M17)</f>
        <v>0</v>
      </c>
      <c r="N17" s="132">
        <f>IF(SER_hh_fec!N17=0,0,11630*1000*SER_hh_fec!N17/SER_hh_num!N17)</f>
        <v>0</v>
      </c>
      <c r="O17" s="132">
        <f>IF(SER_hh_fec!O17=0,0,11630*1000*SER_hh_fec!O17/SER_hh_num!O17)</f>
        <v>0</v>
      </c>
      <c r="P17" s="132">
        <f>IF(SER_hh_fec!P17=0,0,11630*1000*SER_hh_fec!P17/SER_hh_num!P17)</f>
        <v>0</v>
      </c>
      <c r="Q17" s="132">
        <f>IF(SER_hh_fec!Q17=0,0,11630*1000*SER_hh_fec!Q17/SER_hh_num!Q17)</f>
        <v>0</v>
      </c>
      <c r="R17" s="132">
        <f>IF(SER_hh_fec!R17=0,0,11630*1000*SER_hh_fec!R17/SER_hh_num!R17)</f>
        <v>0</v>
      </c>
      <c r="S17" s="132">
        <f>IF(SER_hh_fec!S17=0,0,11630*1000*SER_hh_fec!S17/SER_hh_num!S17)</f>
        <v>0</v>
      </c>
      <c r="T17" s="132">
        <f>IF(SER_hh_fec!T17=0,0,11630*1000*SER_hh_fec!T17/SER_hh_num!T17)</f>
        <v>0</v>
      </c>
      <c r="U17" s="132">
        <f>IF(SER_hh_fec!U17=0,0,11630*1000*SER_hh_fec!U17/SER_hh_num!U17)</f>
        <v>0</v>
      </c>
      <c r="V17" s="132">
        <f>IF(SER_hh_fec!V17=0,0,11630*1000*SER_hh_fec!V17/SER_hh_num!V17)</f>
        <v>0</v>
      </c>
      <c r="W17" s="132">
        <f>IF(SER_hh_fec!W17=0,0,11630*1000*SER_hh_fec!W17/SER_hh_num!W17)</f>
        <v>0</v>
      </c>
      <c r="X17" s="132">
        <f>IF(SER_hh_fec!X17=0,0,11630*1000*SER_hh_fec!X17/SER_hh_num!X17)</f>
        <v>0</v>
      </c>
      <c r="Y17" s="132">
        <f>IF(SER_hh_fec!Y17=0,0,11630*1000*SER_hh_fec!Y17/SER_hh_num!Y17)</f>
        <v>0</v>
      </c>
      <c r="DA17" s="156" t="s">
        <v>398</v>
      </c>
    </row>
    <row r="18" spans="1:105" ht="12" customHeight="1" x14ac:dyDescent="0.25">
      <c r="A18" s="131" t="s">
        <v>72</v>
      </c>
      <c r="B18" s="132">
        <f>IF(SER_hh_fec!B18=0,0,11630*1000*SER_hh_fec!B18/SER_hh_num!B18)</f>
        <v>9494.9494983367131</v>
      </c>
      <c r="C18" s="132">
        <f>IF(SER_hh_fec!C18=0,0,11630*1000*SER_hh_fec!C18/SER_hh_num!C18)</f>
        <v>9427.1484814470696</v>
      </c>
      <c r="D18" s="132">
        <f>IF(SER_hh_fec!D18=0,0,11630*1000*SER_hh_fec!D18/SER_hh_num!D18)</f>
        <v>9548.6235094294407</v>
      </c>
      <c r="E18" s="132">
        <f>IF(SER_hh_fec!E18=0,0,11630*1000*SER_hh_fec!E18/SER_hh_num!E18)</f>
        <v>8076.0135749872334</v>
      </c>
      <c r="F18" s="132">
        <f>IF(SER_hh_fec!F18=0,0,11630*1000*SER_hh_fec!F18/SER_hh_num!F18)</f>
        <v>7573.4196900461038</v>
      </c>
      <c r="G18" s="132">
        <f>IF(SER_hh_fec!G18=0,0,11630*1000*SER_hh_fec!G18/SER_hh_num!G18)</f>
        <v>7160.6635196992502</v>
      </c>
      <c r="H18" s="132">
        <f>IF(SER_hh_fec!H18=0,0,11630*1000*SER_hh_fec!H18/SER_hh_num!H18)</f>
        <v>7459.901916408644</v>
      </c>
      <c r="I18" s="132">
        <f>IF(SER_hh_fec!I18=0,0,11630*1000*SER_hh_fec!I18/SER_hh_num!I18)</f>
        <v>6480.3279615483407</v>
      </c>
      <c r="J18" s="132">
        <f>IF(SER_hh_fec!J18=0,0,11630*1000*SER_hh_fec!J18/SER_hh_num!J18)</f>
        <v>6019.6471565961383</v>
      </c>
      <c r="K18" s="132">
        <f>IF(SER_hh_fec!K18=0,0,11630*1000*SER_hh_fec!K18/SER_hh_num!K18)</f>
        <v>5902.9009886421582</v>
      </c>
      <c r="L18" s="132">
        <f>IF(SER_hh_fec!L18=0,0,11630*1000*SER_hh_fec!L18/SER_hh_num!L18)</f>
        <v>7308.2553015779704</v>
      </c>
      <c r="M18" s="132">
        <f>IF(SER_hh_fec!M18=0,0,11630*1000*SER_hh_fec!M18/SER_hh_num!M18)</f>
        <v>5585.6204512629956</v>
      </c>
      <c r="N18" s="132">
        <f>IF(SER_hh_fec!N18=0,0,11630*1000*SER_hh_fec!N18/SER_hh_num!N18)</f>
        <v>5892.2774284819461</v>
      </c>
      <c r="O18" s="132">
        <f>IF(SER_hh_fec!O18=0,0,11630*1000*SER_hh_fec!O18/SER_hh_num!O18)</f>
        <v>5262.908231977478</v>
      </c>
      <c r="P18" s="132">
        <f>IF(SER_hh_fec!P18=0,0,11630*1000*SER_hh_fec!P18/SER_hh_num!P18)</f>
        <v>5561.6998777854387</v>
      </c>
      <c r="Q18" s="132">
        <f>IF(SER_hh_fec!Q18=0,0,11630*1000*SER_hh_fec!Q18/SER_hh_num!Q18)</f>
        <v>5161.8246739773203</v>
      </c>
      <c r="R18" s="132">
        <f>IF(SER_hh_fec!R18=0,0,11630*1000*SER_hh_fec!R18/SER_hh_num!R18)</f>
        <v>4708.5786907871097</v>
      </c>
      <c r="S18" s="132">
        <f>IF(SER_hh_fec!S18=0,0,11630*1000*SER_hh_fec!S18/SER_hh_num!S18)</f>
        <v>4529.8041869853678</v>
      </c>
      <c r="T18" s="132">
        <f>IF(SER_hh_fec!T18=0,0,11630*1000*SER_hh_fec!T18/SER_hh_num!T18)</f>
        <v>4693.7389629836916</v>
      </c>
      <c r="U18" s="132">
        <f>IF(SER_hh_fec!U18=0,0,11630*1000*SER_hh_fec!U18/SER_hh_num!U18)</f>
        <v>4484.7828694705458</v>
      </c>
      <c r="V18" s="132">
        <f>IF(SER_hh_fec!V18=0,0,11630*1000*SER_hh_fec!V18/SER_hh_num!V18)</f>
        <v>4268.8779928175645</v>
      </c>
      <c r="W18" s="132">
        <f>IF(SER_hh_fec!W18=0,0,11630*1000*SER_hh_fec!W18/SER_hh_num!W18)</f>
        <v>4965.6815446266492</v>
      </c>
      <c r="X18" s="132">
        <f>IF(SER_hh_fec!X18=0,0,11630*1000*SER_hh_fec!X18/SER_hh_num!X18)</f>
        <v>4395.6746497356589</v>
      </c>
      <c r="Y18" s="132">
        <f>IF(SER_hh_fec!Y18=0,0,11630*1000*SER_hh_fec!Y18/SER_hh_num!Y18)</f>
        <v>4263.7906763489837</v>
      </c>
      <c r="DA18" s="156" t="s">
        <v>399</v>
      </c>
    </row>
    <row r="19" spans="1:105" ht="12.95" customHeight="1" x14ac:dyDescent="0.25">
      <c r="A19" s="129" t="s">
        <v>35</v>
      </c>
      <c r="B19" s="130">
        <f>IF(SER_hh_fec!B19=0,0,11630*1000*SER_hh_fec!B19/SER_hh_num!B19)</f>
        <v>12750.837730117864</v>
      </c>
      <c r="C19" s="130">
        <f>IF(SER_hh_fec!C19=0,0,11630*1000*SER_hh_fec!C19/SER_hh_num!C19)</f>
        <v>12739.160312801878</v>
      </c>
      <c r="D19" s="130">
        <f>IF(SER_hh_fec!D19=0,0,11630*1000*SER_hh_fec!D19/SER_hh_num!D19)</f>
        <v>12779.9511446694</v>
      </c>
      <c r="E19" s="130">
        <f>IF(SER_hh_fec!E19=0,0,11630*1000*SER_hh_fec!E19/SER_hh_num!E19)</f>
        <v>12657.774001034293</v>
      </c>
      <c r="F19" s="130">
        <f>IF(SER_hh_fec!F19=0,0,11630*1000*SER_hh_fec!F19/SER_hh_num!F19)</f>
        <v>13103.1508111694</v>
      </c>
      <c r="G19" s="130">
        <f>IF(SER_hh_fec!G19=0,0,11630*1000*SER_hh_fec!G19/SER_hh_num!G19)</f>
        <v>13432.417562028682</v>
      </c>
      <c r="H19" s="130">
        <f>IF(SER_hh_fec!H19=0,0,11630*1000*SER_hh_fec!H19/SER_hh_num!H19)</f>
        <v>13935.992553674783</v>
      </c>
      <c r="I19" s="130">
        <f>IF(SER_hh_fec!I19=0,0,11630*1000*SER_hh_fec!I19/SER_hh_num!I19)</f>
        <v>13625.077812845362</v>
      </c>
      <c r="J19" s="130">
        <f>IF(SER_hh_fec!J19=0,0,11630*1000*SER_hh_fec!J19/SER_hh_num!J19)</f>
        <v>13691.111655238401</v>
      </c>
      <c r="K19" s="130">
        <f>IF(SER_hh_fec!K19=0,0,11630*1000*SER_hh_fec!K19/SER_hh_num!K19)</f>
        <v>13917.795858610705</v>
      </c>
      <c r="L19" s="130">
        <f>IF(SER_hh_fec!L19=0,0,11630*1000*SER_hh_fec!L19/SER_hh_num!L19)</f>
        <v>14105.270690143308</v>
      </c>
      <c r="M19" s="130">
        <f>IF(SER_hh_fec!M19=0,0,11630*1000*SER_hh_fec!M19/SER_hh_num!M19)</f>
        <v>14220.7145088822</v>
      </c>
      <c r="N19" s="130">
        <f>IF(SER_hh_fec!N19=0,0,11630*1000*SER_hh_fec!N19/SER_hh_num!N19)</f>
        <v>14279.559141114773</v>
      </c>
      <c r="O19" s="130">
        <f>IF(SER_hh_fec!O19=0,0,11630*1000*SER_hh_fec!O19/SER_hh_num!O19)</f>
        <v>14417.478114027412</v>
      </c>
      <c r="P19" s="130">
        <f>IF(SER_hh_fec!P19=0,0,11630*1000*SER_hh_fec!P19/SER_hh_num!P19)</f>
        <v>14375.473360729547</v>
      </c>
      <c r="Q19" s="130">
        <f>IF(SER_hh_fec!Q19=0,0,11630*1000*SER_hh_fec!Q19/SER_hh_num!Q19)</f>
        <v>14409.754004148403</v>
      </c>
      <c r="R19" s="130">
        <f>IF(SER_hh_fec!R19=0,0,11630*1000*SER_hh_fec!R19/SER_hh_num!R19)</f>
        <v>14284.305012159661</v>
      </c>
      <c r="S19" s="130">
        <f>IF(SER_hh_fec!S19=0,0,11630*1000*SER_hh_fec!S19/SER_hh_num!S19)</f>
        <v>14619.915671150351</v>
      </c>
      <c r="T19" s="130">
        <f>IF(SER_hh_fec!T19=0,0,11630*1000*SER_hh_fec!T19/SER_hh_num!T19)</f>
        <v>14345.17964346595</v>
      </c>
      <c r="U19" s="130">
        <f>IF(SER_hh_fec!U19=0,0,11630*1000*SER_hh_fec!U19/SER_hh_num!U19)</f>
        <v>14350.355882319667</v>
      </c>
      <c r="V19" s="130">
        <f>IF(SER_hh_fec!V19=0,0,11630*1000*SER_hh_fec!V19/SER_hh_num!V19)</f>
        <v>12572.142099130291</v>
      </c>
      <c r="W19" s="130">
        <f>IF(SER_hh_fec!W19=0,0,11630*1000*SER_hh_fec!W19/SER_hh_num!W19)</f>
        <v>13724.667802217176</v>
      </c>
      <c r="X19" s="130">
        <f>IF(SER_hh_fec!X19=0,0,11630*1000*SER_hh_fec!X19/SER_hh_num!X19)</f>
        <v>13667.643286860008</v>
      </c>
      <c r="Y19" s="130">
        <f>IF(SER_hh_fec!Y19=0,0,11630*1000*SER_hh_fec!Y19/SER_hh_num!Y19)</f>
        <v>13847.43696163005</v>
      </c>
      <c r="DA19" s="155" t="s">
        <v>400</v>
      </c>
    </row>
    <row r="20" spans="1:105" ht="12" customHeight="1" x14ac:dyDescent="0.25">
      <c r="A20" s="131" t="s">
        <v>29</v>
      </c>
      <c r="B20" s="132">
        <f>IF(SER_hh_fec!B20=0,0,11630*1000*SER_hh_fec!B20/SER_hh_num!B20)</f>
        <v>0</v>
      </c>
      <c r="C20" s="132">
        <f>IF(SER_hh_fec!C20=0,0,11630*1000*SER_hh_fec!C20/SER_hh_num!C20)</f>
        <v>0</v>
      </c>
      <c r="D20" s="132">
        <f>IF(SER_hh_fec!D20=0,0,11630*1000*SER_hh_fec!D20/SER_hh_num!D20)</f>
        <v>0</v>
      </c>
      <c r="E20" s="132">
        <f>IF(SER_hh_fec!E20=0,0,11630*1000*SER_hh_fec!E20/SER_hh_num!E20)</f>
        <v>0</v>
      </c>
      <c r="F20" s="132">
        <f>IF(SER_hh_fec!F20=0,0,11630*1000*SER_hh_fec!F20/SER_hh_num!F20)</f>
        <v>0</v>
      </c>
      <c r="G20" s="132">
        <f>IF(SER_hh_fec!G20=0,0,11630*1000*SER_hh_fec!G20/SER_hh_num!G20)</f>
        <v>0</v>
      </c>
      <c r="H20" s="132">
        <f>IF(SER_hh_fec!H20=0,0,11630*1000*SER_hh_fec!H20/SER_hh_num!H20)</f>
        <v>0</v>
      </c>
      <c r="I20" s="132">
        <f>IF(SER_hh_fec!I20=0,0,11630*1000*SER_hh_fec!I20/SER_hh_num!I20)</f>
        <v>0</v>
      </c>
      <c r="J20" s="132">
        <f>IF(SER_hh_fec!J20=0,0,11630*1000*SER_hh_fec!J20/SER_hh_num!J20)</f>
        <v>0</v>
      </c>
      <c r="K20" s="132">
        <f>IF(SER_hh_fec!K20=0,0,11630*1000*SER_hh_fec!K20/SER_hh_num!K20)</f>
        <v>0</v>
      </c>
      <c r="L20" s="132">
        <f>IF(SER_hh_fec!L20=0,0,11630*1000*SER_hh_fec!L20/SER_hh_num!L20)</f>
        <v>0</v>
      </c>
      <c r="M20" s="132">
        <f>IF(SER_hh_fec!M20=0,0,11630*1000*SER_hh_fec!M20/SER_hh_num!M20)</f>
        <v>0</v>
      </c>
      <c r="N20" s="132">
        <f>IF(SER_hh_fec!N20=0,0,11630*1000*SER_hh_fec!N20/SER_hh_num!N20)</f>
        <v>0</v>
      </c>
      <c r="O20" s="132">
        <f>IF(SER_hh_fec!O20=0,0,11630*1000*SER_hh_fec!O20/SER_hh_num!O20)</f>
        <v>0</v>
      </c>
      <c r="P20" s="132">
        <f>IF(SER_hh_fec!P20=0,0,11630*1000*SER_hh_fec!P20/SER_hh_num!P20)</f>
        <v>0</v>
      </c>
      <c r="Q20" s="132">
        <f>IF(SER_hh_fec!Q20=0,0,11630*1000*SER_hh_fec!Q20/SER_hh_num!Q20)</f>
        <v>0</v>
      </c>
      <c r="R20" s="132">
        <f>IF(SER_hh_fec!R20=0,0,11630*1000*SER_hh_fec!R20/SER_hh_num!R20)</f>
        <v>0</v>
      </c>
      <c r="S20" s="132">
        <f>IF(SER_hh_fec!S20=0,0,11630*1000*SER_hh_fec!S20/SER_hh_num!S20)</f>
        <v>0</v>
      </c>
      <c r="T20" s="132">
        <f>IF(SER_hh_fec!T20=0,0,11630*1000*SER_hh_fec!T20/SER_hh_num!T20)</f>
        <v>0</v>
      </c>
      <c r="U20" s="132">
        <f>IF(SER_hh_fec!U20=0,0,11630*1000*SER_hh_fec!U20/SER_hh_num!U20)</f>
        <v>0</v>
      </c>
      <c r="V20" s="132">
        <f>IF(SER_hh_fec!V20=0,0,11630*1000*SER_hh_fec!V20/SER_hh_num!V20)</f>
        <v>0</v>
      </c>
      <c r="W20" s="132">
        <f>IF(SER_hh_fec!W20=0,0,11630*1000*SER_hh_fec!W20/SER_hh_num!W20)</f>
        <v>0</v>
      </c>
      <c r="X20" s="132">
        <f>IF(SER_hh_fec!X20=0,0,11630*1000*SER_hh_fec!X20/SER_hh_num!X20)</f>
        <v>0</v>
      </c>
      <c r="Y20" s="132">
        <f>IF(SER_hh_fec!Y20=0,0,11630*1000*SER_hh_fec!Y20/SER_hh_num!Y20)</f>
        <v>0</v>
      </c>
      <c r="DA20" s="156" t="s">
        <v>401</v>
      </c>
    </row>
    <row r="21" spans="1:105" s="2" customFormat="1" ht="12" customHeight="1" x14ac:dyDescent="0.25">
      <c r="A21" s="131" t="s">
        <v>52</v>
      </c>
      <c r="B21" s="132">
        <f>IF(SER_hh_fec!B21=0,0,11630*1000*SER_hh_fec!B21/SER_hh_num!B21)</f>
        <v>0</v>
      </c>
      <c r="C21" s="132">
        <f>IF(SER_hh_fec!C21=0,0,11630*1000*SER_hh_fec!C21/SER_hh_num!C21)</f>
        <v>0</v>
      </c>
      <c r="D21" s="132">
        <f>IF(SER_hh_fec!D21=0,0,11630*1000*SER_hh_fec!D21/SER_hh_num!D21)</f>
        <v>0</v>
      </c>
      <c r="E21" s="132">
        <f>IF(SER_hh_fec!E21=0,0,11630*1000*SER_hh_fec!E21/SER_hh_num!E21)</f>
        <v>0</v>
      </c>
      <c r="F21" s="132">
        <f>IF(SER_hh_fec!F21=0,0,11630*1000*SER_hh_fec!F21/SER_hh_num!F21)</f>
        <v>0</v>
      </c>
      <c r="G21" s="132">
        <f>IF(SER_hh_fec!G21=0,0,11630*1000*SER_hh_fec!G21/SER_hh_num!G21)</f>
        <v>0</v>
      </c>
      <c r="H21" s="132">
        <f>IF(SER_hh_fec!H21=0,0,11630*1000*SER_hh_fec!H21/SER_hh_num!H21)</f>
        <v>0</v>
      </c>
      <c r="I21" s="132">
        <f>IF(SER_hh_fec!I21=0,0,11630*1000*SER_hh_fec!I21/SER_hh_num!I21)</f>
        <v>0</v>
      </c>
      <c r="J21" s="132">
        <f>IF(SER_hh_fec!J21=0,0,11630*1000*SER_hh_fec!J21/SER_hh_num!J21)</f>
        <v>0</v>
      </c>
      <c r="K21" s="132">
        <f>IF(SER_hh_fec!K21=0,0,11630*1000*SER_hh_fec!K21/SER_hh_num!K21)</f>
        <v>0</v>
      </c>
      <c r="L21" s="132">
        <f>IF(SER_hh_fec!L21=0,0,11630*1000*SER_hh_fec!L21/SER_hh_num!L21)</f>
        <v>0</v>
      </c>
      <c r="M21" s="132">
        <f>IF(SER_hh_fec!M21=0,0,11630*1000*SER_hh_fec!M21/SER_hh_num!M21)</f>
        <v>0</v>
      </c>
      <c r="N21" s="132">
        <f>IF(SER_hh_fec!N21=0,0,11630*1000*SER_hh_fec!N21/SER_hh_num!N21)</f>
        <v>0</v>
      </c>
      <c r="O21" s="132">
        <f>IF(SER_hh_fec!O21=0,0,11630*1000*SER_hh_fec!O21/SER_hh_num!O21)</f>
        <v>0</v>
      </c>
      <c r="P21" s="132">
        <f>IF(SER_hh_fec!P21=0,0,11630*1000*SER_hh_fec!P21/SER_hh_num!P21)</f>
        <v>0</v>
      </c>
      <c r="Q21" s="132">
        <f>IF(SER_hh_fec!Q21=0,0,11630*1000*SER_hh_fec!Q21/SER_hh_num!Q21)</f>
        <v>0</v>
      </c>
      <c r="R21" s="132">
        <f>IF(SER_hh_fec!R21=0,0,11630*1000*SER_hh_fec!R21/SER_hh_num!R21)</f>
        <v>0</v>
      </c>
      <c r="S21" s="132">
        <f>IF(SER_hh_fec!S21=0,0,11630*1000*SER_hh_fec!S21/SER_hh_num!S21)</f>
        <v>0</v>
      </c>
      <c r="T21" s="132">
        <f>IF(SER_hh_fec!T21=0,0,11630*1000*SER_hh_fec!T21/SER_hh_num!T21)</f>
        <v>0</v>
      </c>
      <c r="U21" s="132">
        <f>IF(SER_hh_fec!U21=0,0,11630*1000*SER_hh_fec!U21/SER_hh_num!U21)</f>
        <v>0</v>
      </c>
      <c r="V21" s="132">
        <f>IF(SER_hh_fec!V21=0,0,11630*1000*SER_hh_fec!V21/SER_hh_num!V21)</f>
        <v>0</v>
      </c>
      <c r="W21" s="132">
        <f>IF(SER_hh_fec!W21=0,0,11630*1000*SER_hh_fec!W21/SER_hh_num!W21)</f>
        <v>0</v>
      </c>
      <c r="X21" s="132">
        <f>IF(SER_hh_fec!X21=0,0,11630*1000*SER_hh_fec!X21/SER_hh_num!X21)</f>
        <v>0</v>
      </c>
      <c r="Y21" s="132">
        <f>IF(SER_hh_fec!Y21=0,0,11630*1000*SER_hh_fec!Y21/SER_hh_num!Y21)</f>
        <v>0</v>
      </c>
      <c r="DA21" s="156" t="s">
        <v>402</v>
      </c>
    </row>
    <row r="22" spans="1:105" ht="12" customHeight="1" x14ac:dyDescent="0.25">
      <c r="A22" s="131" t="s">
        <v>161</v>
      </c>
      <c r="B22" s="132">
        <f>IF(SER_hh_fec!B22=0,0,11630*1000*SER_hh_fec!B22/SER_hh_num!B22)</f>
        <v>19810.894190687733</v>
      </c>
      <c r="C22" s="132">
        <f>IF(SER_hh_fec!C22=0,0,11630*1000*SER_hh_fec!C22/SER_hh_num!C22)</f>
        <v>14781.314958273453</v>
      </c>
      <c r="D22" s="132">
        <f>IF(SER_hh_fec!D22=0,0,11630*1000*SER_hh_fec!D22/SER_hh_num!D22)</f>
        <v>16572.688385511283</v>
      </c>
      <c r="E22" s="132">
        <f>IF(SER_hh_fec!E22=0,0,11630*1000*SER_hh_fec!E22/SER_hh_num!E22)</f>
        <v>15629.158378770087</v>
      </c>
      <c r="F22" s="132">
        <f>IF(SER_hh_fec!F22=0,0,11630*1000*SER_hh_fec!F22/SER_hh_num!F22)</f>
        <v>19700.349352200308</v>
      </c>
      <c r="G22" s="132">
        <f>IF(SER_hh_fec!G22=0,0,11630*1000*SER_hh_fec!G22/SER_hh_num!G22)</f>
        <v>17726.626118359443</v>
      </c>
      <c r="H22" s="132">
        <f>IF(SER_hh_fec!H22=0,0,11630*1000*SER_hh_fec!H22/SER_hh_num!H22)</f>
        <v>19360.808344929828</v>
      </c>
      <c r="I22" s="132">
        <f>IF(SER_hh_fec!I22=0,0,11630*1000*SER_hh_fec!I22/SER_hh_num!I22)</f>
        <v>19123.043692651008</v>
      </c>
      <c r="J22" s="132">
        <f>IF(SER_hh_fec!J22=0,0,11630*1000*SER_hh_fec!J22/SER_hh_num!J22)</f>
        <v>21100.379786686153</v>
      </c>
      <c r="K22" s="132">
        <f>IF(SER_hh_fec!K22=0,0,11630*1000*SER_hh_fec!K22/SER_hh_num!K22)</f>
        <v>18327.820282018685</v>
      </c>
      <c r="L22" s="132">
        <f>IF(SER_hh_fec!L22=0,0,11630*1000*SER_hh_fec!L22/SER_hh_num!L22)</f>
        <v>19547.349020264406</v>
      </c>
      <c r="M22" s="132">
        <f>IF(SER_hh_fec!M22=0,0,11630*1000*SER_hh_fec!M22/SER_hh_num!M22)</f>
        <v>19412.180499338636</v>
      </c>
      <c r="N22" s="132">
        <f>IF(SER_hh_fec!N22=0,0,11630*1000*SER_hh_fec!N22/SER_hh_num!N22)</f>
        <v>17101.69444310986</v>
      </c>
      <c r="O22" s="132">
        <f>IF(SER_hh_fec!O22=0,0,11630*1000*SER_hh_fec!O22/SER_hh_num!O22)</f>
        <v>17996.639173272051</v>
      </c>
      <c r="P22" s="132">
        <f>IF(SER_hh_fec!P22=0,0,11630*1000*SER_hh_fec!P22/SER_hh_num!P22)</f>
        <v>18452.121819243457</v>
      </c>
      <c r="Q22" s="132">
        <f>IF(SER_hh_fec!Q22=0,0,11630*1000*SER_hh_fec!Q22/SER_hh_num!Q22)</f>
        <v>18315.338650793266</v>
      </c>
      <c r="R22" s="132">
        <f>IF(SER_hh_fec!R22=0,0,11630*1000*SER_hh_fec!R22/SER_hh_num!R22)</f>
        <v>18469.198976514275</v>
      </c>
      <c r="S22" s="132">
        <f>IF(SER_hh_fec!S22=0,0,11630*1000*SER_hh_fec!S22/SER_hh_num!S22)</f>
        <v>20893.02445418702</v>
      </c>
      <c r="T22" s="132">
        <f>IF(SER_hh_fec!T22=0,0,11630*1000*SER_hh_fec!T22/SER_hh_num!T22)</f>
        <v>15476.908263837053</v>
      </c>
      <c r="U22" s="132">
        <f>IF(SER_hh_fec!U22=0,0,11630*1000*SER_hh_fec!U22/SER_hh_num!U22)</f>
        <v>17492.345637500963</v>
      </c>
      <c r="V22" s="132">
        <f>IF(SER_hh_fec!V22=0,0,11630*1000*SER_hh_fec!V22/SER_hh_num!V22)</f>
        <v>17490.520921529878</v>
      </c>
      <c r="W22" s="132">
        <f>IF(SER_hh_fec!W22=0,0,11630*1000*SER_hh_fec!W22/SER_hh_num!W22)</f>
        <v>19445.358156519225</v>
      </c>
      <c r="X22" s="132">
        <f>IF(SER_hh_fec!X22=0,0,11630*1000*SER_hh_fec!X22/SER_hh_num!X22)</f>
        <v>18352.671958029059</v>
      </c>
      <c r="Y22" s="132">
        <f>IF(SER_hh_fec!Y22=0,0,11630*1000*SER_hh_fec!Y22/SER_hh_num!Y22)</f>
        <v>15459.029313666037</v>
      </c>
      <c r="DA22" s="156" t="s">
        <v>403</v>
      </c>
    </row>
    <row r="23" spans="1:105" ht="12" customHeight="1" x14ac:dyDescent="0.25">
      <c r="A23" s="131" t="s">
        <v>149</v>
      </c>
      <c r="B23" s="132">
        <f>IF(SER_hh_fec!B23=0,0,11630*1000*SER_hh_fec!B23/SER_hh_num!B23)</f>
        <v>16430.885391791307</v>
      </c>
      <c r="C23" s="132">
        <f>IF(SER_hh_fec!C23=0,0,11630*1000*SER_hh_fec!C23/SER_hh_num!C23)</f>
        <v>16364.424489171493</v>
      </c>
      <c r="D23" s="132">
        <f>IF(SER_hh_fec!D23=0,0,11630*1000*SER_hh_fec!D23/SER_hh_num!D23)</f>
        <v>16428.595387311001</v>
      </c>
      <c r="E23" s="132">
        <f>IF(SER_hh_fec!E23=0,0,11630*1000*SER_hh_fec!E23/SER_hh_num!E23)</f>
        <v>15629.814905988698</v>
      </c>
      <c r="F23" s="132">
        <f>IF(SER_hh_fec!F23=0,0,11630*1000*SER_hh_fec!F23/SER_hh_num!F23)</f>
        <v>17249.396857884742</v>
      </c>
      <c r="G23" s="132">
        <f>IF(SER_hh_fec!G23=0,0,11630*1000*SER_hh_fec!G23/SER_hh_num!G23)</f>
        <v>15540.318101794637</v>
      </c>
      <c r="H23" s="132">
        <f>IF(SER_hh_fec!H23=0,0,11630*1000*SER_hh_fec!H23/SER_hh_num!H23)</f>
        <v>15043.521530418124</v>
      </c>
      <c r="I23" s="132">
        <f>IF(SER_hh_fec!I23=0,0,11630*1000*SER_hh_fec!I23/SER_hh_num!I23)</f>
        <v>17924.871147470163</v>
      </c>
      <c r="J23" s="132">
        <f>IF(SER_hh_fec!J23=0,0,11630*1000*SER_hh_fec!J23/SER_hh_num!J23)</f>
        <v>17776.679168242481</v>
      </c>
      <c r="K23" s="132">
        <f>IF(SER_hh_fec!K23=0,0,11630*1000*SER_hh_fec!K23/SER_hh_num!K23)</f>
        <v>16870.101391858341</v>
      </c>
      <c r="L23" s="132">
        <f>IF(SER_hh_fec!L23=0,0,11630*1000*SER_hh_fec!L23/SER_hh_num!L23)</f>
        <v>16900.739629020522</v>
      </c>
      <c r="M23" s="132">
        <f>IF(SER_hh_fec!M23=0,0,11630*1000*SER_hh_fec!M23/SER_hh_num!M23)</f>
        <v>17225.424623269017</v>
      </c>
      <c r="N23" s="132">
        <f>IF(SER_hh_fec!N23=0,0,11630*1000*SER_hh_fec!N23/SER_hh_num!N23)</f>
        <v>17250.113451495039</v>
      </c>
      <c r="O23" s="132">
        <f>IF(SER_hh_fec!O23=0,0,11630*1000*SER_hh_fec!O23/SER_hh_num!O23)</f>
        <v>17511.016784769574</v>
      </c>
      <c r="P23" s="132">
        <f>IF(SER_hh_fec!P23=0,0,11630*1000*SER_hh_fec!P23/SER_hh_num!P23)</f>
        <v>16404.099992943302</v>
      </c>
      <c r="Q23" s="132">
        <f>IF(SER_hh_fec!Q23=0,0,11630*1000*SER_hh_fec!Q23/SER_hh_num!Q23)</f>
        <v>17025.27295410067</v>
      </c>
      <c r="R23" s="132">
        <f>IF(SER_hh_fec!R23=0,0,11630*1000*SER_hh_fec!R23/SER_hh_num!R23)</f>
        <v>17239.253768326369</v>
      </c>
      <c r="S23" s="132">
        <f>IF(SER_hh_fec!S23=0,0,11630*1000*SER_hh_fec!S23/SER_hh_num!S23)</f>
        <v>16535.532517349326</v>
      </c>
      <c r="T23" s="132">
        <f>IF(SER_hh_fec!T23=0,0,11630*1000*SER_hh_fec!T23/SER_hh_num!T23)</f>
        <v>16142.114991064807</v>
      </c>
      <c r="U23" s="132">
        <f>IF(SER_hh_fec!U23=0,0,11630*1000*SER_hh_fec!U23/SER_hh_num!U23)</f>
        <v>15520.454636831302</v>
      </c>
      <c r="V23" s="132">
        <f>IF(SER_hh_fec!V23=0,0,11630*1000*SER_hh_fec!V23/SER_hh_num!V23)</f>
        <v>14573.510656233771</v>
      </c>
      <c r="W23" s="132">
        <f>IF(SER_hh_fec!W23=0,0,11630*1000*SER_hh_fec!W23/SER_hh_num!W23)</f>
        <v>14919.051872078619</v>
      </c>
      <c r="X23" s="132">
        <f>IF(SER_hh_fec!X23=0,0,11630*1000*SER_hh_fec!X23/SER_hh_num!X23)</f>
        <v>14773.01648680461</v>
      </c>
      <c r="Y23" s="132">
        <f>IF(SER_hh_fec!Y23=0,0,11630*1000*SER_hh_fec!Y23/SER_hh_num!Y23)</f>
        <v>14708.937894015702</v>
      </c>
      <c r="DA23" s="156" t="s">
        <v>404</v>
      </c>
    </row>
    <row r="24" spans="1:105" ht="12" customHeight="1" x14ac:dyDescent="0.25">
      <c r="A24" s="131" t="s">
        <v>128</v>
      </c>
      <c r="B24" s="132">
        <f>IF(SER_hh_fec!B24=0,0,11630*1000*SER_hh_fec!B24/SER_hh_num!B24)</f>
        <v>22273.930293139274</v>
      </c>
      <c r="C24" s="132">
        <f>IF(SER_hh_fec!C24=0,0,11630*1000*SER_hh_fec!C24/SER_hh_num!C24)</f>
        <v>18433.878931153049</v>
      </c>
      <c r="D24" s="132">
        <f>IF(SER_hh_fec!D24=0,0,11630*1000*SER_hh_fec!D24/SER_hh_num!D24)</f>
        <v>18538.036234283711</v>
      </c>
      <c r="E24" s="132">
        <f>IF(SER_hh_fec!E24=0,0,11630*1000*SER_hh_fec!E24/SER_hh_num!E24)</f>
        <v>18787.002075182631</v>
      </c>
      <c r="F24" s="132">
        <f>IF(SER_hh_fec!F24=0,0,11630*1000*SER_hh_fec!F24/SER_hh_num!F24)</f>
        <v>18738.955177353138</v>
      </c>
      <c r="G24" s="132">
        <f>IF(SER_hh_fec!G24=0,0,11630*1000*SER_hh_fec!G24/SER_hh_num!G24)</f>
        <v>18828.014260311917</v>
      </c>
      <c r="H24" s="132">
        <f>IF(SER_hh_fec!H24=0,0,11630*1000*SER_hh_fec!H24/SER_hh_num!H24)</f>
        <v>19384.078595031202</v>
      </c>
      <c r="I24" s="132">
        <f>IF(SER_hh_fec!I24=0,0,11630*1000*SER_hh_fec!I24/SER_hh_num!I24)</f>
        <v>18177.378286798463</v>
      </c>
      <c r="J24" s="132">
        <f>IF(SER_hh_fec!J24=0,0,11630*1000*SER_hh_fec!J24/SER_hh_num!J24)</f>
        <v>18094.706583214203</v>
      </c>
      <c r="K24" s="132">
        <f>IF(SER_hh_fec!K24=0,0,11630*1000*SER_hh_fec!K24/SER_hh_num!K24)</f>
        <v>17758.814515975162</v>
      </c>
      <c r="L24" s="132">
        <f>IF(SER_hh_fec!L24=0,0,11630*1000*SER_hh_fec!L24/SER_hh_num!L24)</f>
        <v>17547.586953843347</v>
      </c>
      <c r="M24" s="132">
        <f>IF(SER_hh_fec!M24=0,0,11630*1000*SER_hh_fec!M24/SER_hh_num!M24)</f>
        <v>17469.160633092397</v>
      </c>
      <c r="N24" s="132">
        <f>IF(SER_hh_fec!N24=0,0,11630*1000*SER_hh_fec!N24/SER_hh_num!N24)</f>
        <v>17011.426185328688</v>
      </c>
      <c r="O24" s="132">
        <f>IF(SER_hh_fec!O24=0,0,11630*1000*SER_hh_fec!O24/SER_hh_num!O24)</f>
        <v>16917.185477437644</v>
      </c>
      <c r="P24" s="132">
        <f>IF(SER_hh_fec!P24=0,0,11630*1000*SER_hh_fec!P24/SER_hh_num!P24)</f>
        <v>17025.038514057298</v>
      </c>
      <c r="Q24" s="132">
        <f>IF(SER_hh_fec!Q24=0,0,11630*1000*SER_hh_fec!Q24/SER_hh_num!Q24)</f>
        <v>17483.782161054103</v>
      </c>
      <c r="R24" s="132">
        <f>IF(SER_hh_fec!R24=0,0,11630*1000*SER_hh_fec!R24/SER_hh_num!R24)</f>
        <v>17410.569298806578</v>
      </c>
      <c r="S24" s="132">
        <f>IF(SER_hh_fec!S24=0,0,11630*1000*SER_hh_fec!S24/SER_hh_num!S24)</f>
        <v>16193.308353802548</v>
      </c>
      <c r="T24" s="132">
        <f>IF(SER_hh_fec!T24=0,0,11630*1000*SER_hh_fec!T24/SER_hh_num!T24)</f>
        <v>16842.017234504634</v>
      </c>
      <c r="U24" s="132">
        <f>IF(SER_hh_fec!U24=0,0,11630*1000*SER_hh_fec!U24/SER_hh_num!U24)</f>
        <v>15916.120649791001</v>
      </c>
      <c r="V24" s="132">
        <f>IF(SER_hh_fec!V24=0,0,11630*1000*SER_hh_fec!V24/SER_hh_num!V24)</f>
        <v>16694.741349195327</v>
      </c>
      <c r="W24" s="132">
        <f>IF(SER_hh_fec!W24=0,0,11630*1000*SER_hh_fec!W24/SER_hh_num!W24)</f>
        <v>16379.739485941865</v>
      </c>
      <c r="X24" s="132">
        <f>IF(SER_hh_fec!X24=0,0,11630*1000*SER_hh_fec!X24/SER_hh_num!X24)</f>
        <v>16011.859064587086</v>
      </c>
      <c r="Y24" s="132">
        <f>IF(SER_hh_fec!Y24=0,0,11630*1000*SER_hh_fec!Y24/SER_hh_num!Y24)</f>
        <v>16103.628582569299</v>
      </c>
      <c r="DA24" s="156" t="s">
        <v>405</v>
      </c>
    </row>
    <row r="25" spans="1:105" ht="12" customHeight="1" x14ac:dyDescent="0.25">
      <c r="A25" s="131" t="s">
        <v>162</v>
      </c>
      <c r="B25" s="132">
        <f>IF(SER_hh_fec!B25=0,0,11630*1000*SER_hh_fec!B25/SER_hh_num!B25)</f>
        <v>11286.266344176031</v>
      </c>
      <c r="C25" s="132">
        <f>IF(SER_hh_fec!C25=0,0,11630*1000*SER_hh_fec!C25/SER_hh_num!C25)</f>
        <v>11390.207502854202</v>
      </c>
      <c r="D25" s="132">
        <f>IF(SER_hh_fec!D25=0,0,11630*1000*SER_hh_fec!D25/SER_hh_num!D25)</f>
        <v>11211.673533806594</v>
      </c>
      <c r="E25" s="132">
        <f>IF(SER_hh_fec!E25=0,0,11630*1000*SER_hh_fec!E25/SER_hh_num!E25)</f>
        <v>11193.790490163785</v>
      </c>
      <c r="F25" s="132">
        <f>IF(SER_hh_fec!F25=0,0,11630*1000*SER_hh_fec!F25/SER_hh_num!F25)</f>
        <v>11655.372305725261</v>
      </c>
      <c r="G25" s="132">
        <f>IF(SER_hh_fec!G25=0,0,11630*1000*SER_hh_fec!G25/SER_hh_num!G25)</f>
        <v>12153.989314722208</v>
      </c>
      <c r="H25" s="132">
        <f>IF(SER_hh_fec!H25=0,0,11630*1000*SER_hh_fec!H25/SER_hh_num!H25)</f>
        <v>12837.257864513796</v>
      </c>
      <c r="I25" s="132">
        <f>IF(SER_hh_fec!I25=0,0,11630*1000*SER_hh_fec!I25/SER_hh_num!I25)</f>
        <v>11503.850015243044</v>
      </c>
      <c r="J25" s="132">
        <f>IF(SER_hh_fec!J25=0,0,11630*1000*SER_hh_fec!J25/SER_hh_num!J25)</f>
        <v>11572.151192549212</v>
      </c>
      <c r="K25" s="132">
        <f>IF(SER_hh_fec!K25=0,0,11630*1000*SER_hh_fec!K25/SER_hh_num!K25)</f>
        <v>12581.607933511565</v>
      </c>
      <c r="L25" s="132">
        <f>IF(SER_hh_fec!L25=0,0,11630*1000*SER_hh_fec!L25/SER_hh_num!L25)</f>
        <v>12965.991250437401</v>
      </c>
      <c r="M25" s="132">
        <f>IF(SER_hh_fec!M25=0,0,11630*1000*SER_hh_fec!M25/SER_hh_num!M25)</f>
        <v>12702.320654892363</v>
      </c>
      <c r="N25" s="132">
        <f>IF(SER_hh_fec!N25=0,0,11630*1000*SER_hh_fec!N25/SER_hh_num!N25)</f>
        <v>12818.190390529531</v>
      </c>
      <c r="O25" s="132">
        <f>IF(SER_hh_fec!O25=0,0,11630*1000*SER_hh_fec!O25/SER_hh_num!O25)</f>
        <v>13124.138924134364</v>
      </c>
      <c r="P25" s="132">
        <f>IF(SER_hh_fec!P25=0,0,11630*1000*SER_hh_fec!P25/SER_hh_num!P25)</f>
        <v>12831.256150170635</v>
      </c>
      <c r="Q25" s="132">
        <f>IF(SER_hh_fec!Q25=0,0,11630*1000*SER_hh_fec!Q25/SER_hh_num!Q25)</f>
        <v>13397.450302285024</v>
      </c>
      <c r="R25" s="132">
        <f>IF(SER_hh_fec!R25=0,0,11630*1000*SER_hh_fec!R25/SER_hh_num!R25)</f>
        <v>13397.972630291979</v>
      </c>
      <c r="S25" s="132">
        <f>IF(SER_hh_fec!S25=0,0,11630*1000*SER_hh_fec!S25/SER_hh_num!S25)</f>
        <v>13736.701754024652</v>
      </c>
      <c r="T25" s="132">
        <f>IF(SER_hh_fec!T25=0,0,11630*1000*SER_hh_fec!T25/SER_hh_num!T25)</f>
        <v>13521.767340894501</v>
      </c>
      <c r="U25" s="132">
        <f>IF(SER_hh_fec!U25=0,0,11630*1000*SER_hh_fec!U25/SER_hh_num!U25)</f>
        <v>13447.128545249796</v>
      </c>
      <c r="V25" s="132">
        <f>IF(SER_hh_fec!V25=0,0,11630*1000*SER_hh_fec!V25/SER_hh_num!V25)</f>
        <v>11765.091996328434</v>
      </c>
      <c r="W25" s="132">
        <f>IF(SER_hh_fec!W25=0,0,11630*1000*SER_hh_fec!W25/SER_hh_num!W25)</f>
        <v>13248.405521814006</v>
      </c>
      <c r="X25" s="132">
        <f>IF(SER_hh_fec!X25=0,0,11630*1000*SER_hh_fec!X25/SER_hh_num!X25)</f>
        <v>13278.166665862776</v>
      </c>
      <c r="Y25" s="132">
        <f>IF(SER_hh_fec!Y25=0,0,11630*1000*SER_hh_fec!Y25/SER_hh_num!Y25)</f>
        <v>13414.746165384982</v>
      </c>
      <c r="DA25" s="156" t="s">
        <v>406</v>
      </c>
    </row>
    <row r="26" spans="1:105" ht="12" customHeight="1" x14ac:dyDescent="0.25">
      <c r="A26" s="131" t="s">
        <v>24</v>
      </c>
      <c r="B26" s="65">
        <f>IF(SER_hh_fec!B26=0,0,11630*1000*SER_hh_fec!B26/SER_hh_num!B26)</f>
        <v>12720.548409436467</v>
      </c>
      <c r="C26" s="65">
        <f>IF(SER_hh_fec!C26=0,0,11630*1000*SER_hh_fec!C26/SER_hh_num!C26)</f>
        <v>13574.578635490745</v>
      </c>
      <c r="D26" s="65">
        <f>IF(SER_hh_fec!D26=0,0,11630*1000*SER_hh_fec!D26/SER_hh_num!D26)</f>
        <v>13766.744659519467</v>
      </c>
      <c r="E26" s="65">
        <f>IF(SER_hh_fec!E26=0,0,11630*1000*SER_hh_fec!E26/SER_hh_num!E26)</f>
        <v>13683.791391341343</v>
      </c>
      <c r="F26" s="65">
        <f>IF(SER_hh_fec!F26=0,0,11630*1000*SER_hh_fec!F26/SER_hh_num!F26)</f>
        <v>13863.481397403455</v>
      </c>
      <c r="G26" s="65">
        <f>IF(SER_hh_fec!G26=0,0,11630*1000*SER_hh_fec!G26/SER_hh_num!G26)</f>
        <v>14327.784173716716</v>
      </c>
      <c r="H26" s="65">
        <f>IF(SER_hh_fec!H26=0,0,11630*1000*SER_hh_fec!H26/SER_hh_num!H26)</f>
        <v>14621.654107920609</v>
      </c>
      <c r="I26" s="65">
        <f>IF(SER_hh_fec!I26=0,0,11630*1000*SER_hh_fec!I26/SER_hh_num!I26)</f>
        <v>15274.371450897745</v>
      </c>
      <c r="J26" s="65">
        <f>IF(SER_hh_fec!J26=0,0,11630*1000*SER_hh_fec!J26/SER_hh_num!J26)</f>
        <v>15336.627348427119</v>
      </c>
      <c r="K26" s="65">
        <f>IF(SER_hh_fec!K26=0,0,11630*1000*SER_hh_fec!K26/SER_hh_num!K26)</f>
        <v>14804.77951410023</v>
      </c>
      <c r="L26" s="65">
        <f>IF(SER_hh_fec!L26=0,0,11630*1000*SER_hh_fec!L26/SER_hh_num!L26)</f>
        <v>14827.485183474206</v>
      </c>
      <c r="M26" s="65">
        <f>IF(SER_hh_fec!M26=0,0,11630*1000*SER_hh_fec!M26/SER_hh_num!M26)</f>
        <v>15582.760356761359</v>
      </c>
      <c r="N26" s="65">
        <f>IF(SER_hh_fec!N26=0,0,11630*1000*SER_hh_fec!N26/SER_hh_num!N26)</f>
        <v>15686.683800537518</v>
      </c>
      <c r="O26" s="65">
        <f>IF(SER_hh_fec!O26=0,0,11630*1000*SER_hh_fec!O26/SER_hh_num!O26)</f>
        <v>15627.480203735553</v>
      </c>
      <c r="P26" s="65">
        <f>IF(SER_hh_fec!P26=0,0,11630*1000*SER_hh_fec!P26/SER_hh_num!P26)</f>
        <v>16359.035722357967</v>
      </c>
      <c r="Q26" s="65">
        <f>IF(SER_hh_fec!Q26=0,0,11630*1000*SER_hh_fec!Q26/SER_hh_num!Q26)</f>
        <v>15388.281774200195</v>
      </c>
      <c r="R26" s="65">
        <f>IF(SER_hh_fec!R26=0,0,11630*1000*SER_hh_fec!R26/SER_hh_num!R26)</f>
        <v>14961.38576709812</v>
      </c>
      <c r="S26" s="65">
        <f>IF(SER_hh_fec!S26=0,0,11630*1000*SER_hh_fec!S26/SER_hh_num!S26)</f>
        <v>15648.089650422535</v>
      </c>
      <c r="T26" s="65">
        <f>IF(SER_hh_fec!T26=0,0,11630*1000*SER_hh_fec!T26/SER_hh_num!T26)</f>
        <v>15192.780683431969</v>
      </c>
      <c r="U26" s="65">
        <f>IF(SER_hh_fec!U26=0,0,11630*1000*SER_hh_fec!U26/SER_hh_num!U26)</f>
        <v>15435.502821022063</v>
      </c>
      <c r="V26" s="65">
        <f>IF(SER_hh_fec!V26=0,0,11630*1000*SER_hh_fec!V26/SER_hh_num!V26)</f>
        <v>12966.720795797359</v>
      </c>
      <c r="W26" s="65">
        <f>IF(SER_hh_fec!W26=0,0,11630*1000*SER_hh_fec!W26/SER_hh_num!W26)</f>
        <v>13870.746695022535</v>
      </c>
      <c r="X26" s="65">
        <f>IF(SER_hh_fec!X26=0,0,11630*1000*SER_hh_fec!X26/SER_hh_num!X26)</f>
        <v>13734.689370964139</v>
      </c>
      <c r="Y26" s="65">
        <f>IF(SER_hh_fec!Y26=0,0,11630*1000*SER_hh_fec!Y26/SER_hh_num!Y26)</f>
        <v>14090.660616933566</v>
      </c>
      <c r="DA26" s="109" t="s">
        <v>407</v>
      </c>
    </row>
    <row r="27" spans="1:105" ht="12" customHeight="1" x14ac:dyDescent="0.25">
      <c r="A27" s="144" t="s">
        <v>86</v>
      </c>
      <c r="B27" s="145">
        <f>IF(SER_hh_fec!B27=0,0,11630*1000*SER_hh_fec!B27/SER_hh_num!B19)</f>
        <v>0</v>
      </c>
      <c r="C27" s="145">
        <f>IF(SER_hh_fec!C27=0,0,11630*1000*SER_hh_fec!C27/SER_hh_num!C19)</f>
        <v>0</v>
      </c>
      <c r="D27" s="145">
        <f>IF(SER_hh_fec!D27=0,0,11630*1000*SER_hh_fec!D27/SER_hh_num!D19)</f>
        <v>0</v>
      </c>
      <c r="E27" s="145">
        <f>IF(SER_hh_fec!E27=0,0,11630*1000*SER_hh_fec!E27/SER_hh_num!E19)</f>
        <v>0</v>
      </c>
      <c r="F27" s="145">
        <f>IF(SER_hh_fec!F27=0,0,11630*1000*SER_hh_fec!F27/SER_hh_num!F19)</f>
        <v>0</v>
      </c>
      <c r="G27" s="145">
        <f>IF(SER_hh_fec!G27=0,0,11630*1000*SER_hh_fec!G27/SER_hh_num!G19)</f>
        <v>0</v>
      </c>
      <c r="H27" s="145">
        <f>IF(SER_hh_fec!H27=0,0,11630*1000*SER_hh_fec!H27/SER_hh_num!H19)</f>
        <v>0</v>
      </c>
      <c r="I27" s="145">
        <f>IF(SER_hh_fec!I27=0,0,11630*1000*SER_hh_fec!I27/SER_hh_num!I19)</f>
        <v>0</v>
      </c>
      <c r="J27" s="145">
        <f>IF(SER_hh_fec!J27=0,0,11630*1000*SER_hh_fec!J27/SER_hh_num!J19)</f>
        <v>0</v>
      </c>
      <c r="K27" s="145">
        <f>IF(SER_hh_fec!K27=0,0,11630*1000*SER_hh_fec!K27/SER_hh_num!K19)</f>
        <v>0</v>
      </c>
      <c r="L27" s="145">
        <f>IF(SER_hh_fec!L27=0,0,11630*1000*SER_hh_fec!L27/SER_hh_num!L19)</f>
        <v>0</v>
      </c>
      <c r="M27" s="145">
        <f>IF(SER_hh_fec!M27=0,0,11630*1000*SER_hh_fec!M27/SER_hh_num!M19)</f>
        <v>0</v>
      </c>
      <c r="N27" s="145">
        <f>IF(SER_hh_fec!N27=0,0,11630*1000*SER_hh_fec!N27/SER_hh_num!N19)</f>
        <v>0</v>
      </c>
      <c r="O27" s="145">
        <f>IF(SER_hh_fec!O27=0,0,11630*1000*SER_hh_fec!O27/SER_hh_num!O19)</f>
        <v>0</v>
      </c>
      <c r="P27" s="145">
        <f>IF(SER_hh_fec!P27=0,0,11630*1000*SER_hh_fec!P27/SER_hh_num!P19)</f>
        <v>0</v>
      </c>
      <c r="Q27" s="145">
        <f>IF(SER_hh_fec!Q27=0,0,11630*1000*SER_hh_fec!Q27/SER_hh_num!Q19)</f>
        <v>0</v>
      </c>
      <c r="R27" s="145">
        <f>IF(SER_hh_fec!R27=0,0,11630*1000*SER_hh_fec!R27/SER_hh_num!R19)</f>
        <v>0</v>
      </c>
      <c r="S27" s="145">
        <f>IF(SER_hh_fec!S27=0,0,11630*1000*SER_hh_fec!S27/SER_hh_num!S19)</f>
        <v>0</v>
      </c>
      <c r="T27" s="145">
        <f>IF(SER_hh_fec!T27=0,0,11630*1000*SER_hh_fec!T27/SER_hh_num!T19)</f>
        <v>0</v>
      </c>
      <c r="U27" s="145">
        <f>IF(SER_hh_fec!U27=0,0,11630*1000*SER_hh_fec!U27/SER_hh_num!U19)</f>
        <v>0</v>
      </c>
      <c r="V27" s="145">
        <f>IF(SER_hh_fec!V27=0,0,11630*1000*SER_hh_fec!V27/SER_hh_num!V19)</f>
        <v>0</v>
      </c>
      <c r="W27" s="145">
        <f>IF(SER_hh_fec!W27=0,0,11630*1000*SER_hh_fec!W27/SER_hh_num!W19)</f>
        <v>0</v>
      </c>
      <c r="X27" s="145">
        <f>IF(SER_hh_fec!X27=0,0,11630*1000*SER_hh_fec!X27/SER_hh_num!X19)</f>
        <v>0</v>
      </c>
      <c r="Y27" s="145">
        <f>IF(SER_hh_fec!Y27=0,0,11630*1000*SER_hh_fec!Y27/SER_hh_num!Y19)</f>
        <v>0</v>
      </c>
      <c r="DA27" s="158" t="s">
        <v>408</v>
      </c>
    </row>
    <row r="28" spans="1:105" ht="12" customHeight="1" x14ac:dyDescent="0.25">
      <c r="A28" s="78" t="s">
        <v>85</v>
      </c>
      <c r="B28" s="146">
        <f>IF(SER_hh_fec!B27=0,0,11630*1000*SER_hh_fec!B27/SER_hh_num!B27)</f>
        <v>0</v>
      </c>
      <c r="C28" s="146">
        <f>IF(SER_hh_fec!C27=0,0,11630*1000*SER_hh_fec!C27/SER_hh_num!C27)</f>
        <v>0</v>
      </c>
      <c r="D28" s="146">
        <f>IF(SER_hh_fec!D27=0,0,11630*1000*SER_hh_fec!D27/SER_hh_num!D27)</f>
        <v>0</v>
      </c>
      <c r="E28" s="146">
        <f>IF(SER_hh_fec!E27=0,0,11630*1000*SER_hh_fec!E27/SER_hh_num!E27)</f>
        <v>0</v>
      </c>
      <c r="F28" s="146">
        <f>IF(SER_hh_fec!F27=0,0,11630*1000*SER_hh_fec!F27/SER_hh_num!F27)</f>
        <v>0</v>
      </c>
      <c r="G28" s="146">
        <f>IF(SER_hh_fec!G27=0,0,11630*1000*SER_hh_fec!G27/SER_hh_num!G27)</f>
        <v>0</v>
      </c>
      <c r="H28" s="146">
        <f>IF(SER_hh_fec!H27=0,0,11630*1000*SER_hh_fec!H27/SER_hh_num!H27)</f>
        <v>0</v>
      </c>
      <c r="I28" s="146">
        <f>IF(SER_hh_fec!I27=0,0,11630*1000*SER_hh_fec!I27/SER_hh_num!I27)</f>
        <v>0</v>
      </c>
      <c r="J28" s="146">
        <f>IF(SER_hh_fec!J27=0,0,11630*1000*SER_hh_fec!J27/SER_hh_num!J27)</f>
        <v>0</v>
      </c>
      <c r="K28" s="146">
        <f>IF(SER_hh_fec!K27=0,0,11630*1000*SER_hh_fec!K27/SER_hh_num!K27)</f>
        <v>0</v>
      </c>
      <c r="L28" s="146">
        <f>IF(SER_hh_fec!L27=0,0,11630*1000*SER_hh_fec!L27/SER_hh_num!L27)</f>
        <v>0</v>
      </c>
      <c r="M28" s="146">
        <f>IF(SER_hh_fec!M27=0,0,11630*1000*SER_hh_fec!M27/SER_hh_num!M27)</f>
        <v>0</v>
      </c>
      <c r="N28" s="146">
        <f>IF(SER_hh_fec!N27=0,0,11630*1000*SER_hh_fec!N27/SER_hh_num!N27)</f>
        <v>0</v>
      </c>
      <c r="O28" s="146">
        <f>IF(SER_hh_fec!O27=0,0,11630*1000*SER_hh_fec!O27/SER_hh_num!O27)</f>
        <v>0</v>
      </c>
      <c r="P28" s="146">
        <f>IF(SER_hh_fec!P27=0,0,11630*1000*SER_hh_fec!P27/SER_hh_num!P27)</f>
        <v>0</v>
      </c>
      <c r="Q28" s="146">
        <f>IF(SER_hh_fec!Q27=0,0,11630*1000*SER_hh_fec!Q27/SER_hh_num!Q27)</f>
        <v>0</v>
      </c>
      <c r="R28" s="146">
        <f>IF(SER_hh_fec!R27=0,0,11630*1000*SER_hh_fec!R27/SER_hh_num!R27)</f>
        <v>0</v>
      </c>
      <c r="S28" s="146">
        <f>IF(SER_hh_fec!S27=0,0,11630*1000*SER_hh_fec!S27/SER_hh_num!S27)</f>
        <v>0</v>
      </c>
      <c r="T28" s="146">
        <f>IF(SER_hh_fec!T27=0,0,11630*1000*SER_hh_fec!T27/SER_hh_num!T27)</f>
        <v>0</v>
      </c>
      <c r="U28" s="146">
        <f>IF(SER_hh_fec!U27=0,0,11630*1000*SER_hh_fec!U27/SER_hh_num!U27)</f>
        <v>0</v>
      </c>
      <c r="V28" s="146">
        <f>IF(SER_hh_fec!V27=0,0,11630*1000*SER_hh_fec!V27/SER_hh_num!V27)</f>
        <v>0</v>
      </c>
      <c r="W28" s="146">
        <f>IF(SER_hh_fec!W27=0,0,11630*1000*SER_hh_fec!W27/SER_hh_num!W27)</f>
        <v>0</v>
      </c>
      <c r="X28" s="146">
        <f>IF(SER_hh_fec!X27=0,0,11630*1000*SER_hh_fec!X27/SER_hh_num!X27)</f>
        <v>0</v>
      </c>
      <c r="Y28" s="146">
        <f>IF(SER_hh_fec!Y27=0,0,11630*1000*SER_hh_fec!Y27/SER_hh_num!Y27)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IF(SER_hh_fec!B29=0,0,11630*1000*SER_hh_fec!B29/SER_hh_num!B29)</f>
        <v>13483.488776879849</v>
      </c>
      <c r="C29" s="130">
        <f>IF(SER_hh_fec!C29=0,0,11630*1000*SER_hh_fec!C29/SER_hh_num!C29)</f>
        <v>13231.636852344094</v>
      </c>
      <c r="D29" s="130">
        <f>IF(SER_hh_fec!D29=0,0,11630*1000*SER_hh_fec!D29/SER_hh_num!D29)</f>
        <v>13322.500529542534</v>
      </c>
      <c r="E29" s="130">
        <f>IF(SER_hh_fec!E29=0,0,11630*1000*SER_hh_fec!E29/SER_hh_num!E29)</f>
        <v>13142.296726827075</v>
      </c>
      <c r="F29" s="130">
        <f>IF(SER_hh_fec!F29=0,0,11630*1000*SER_hh_fec!F29/SER_hh_num!F29)</f>
        <v>13104.937724732728</v>
      </c>
      <c r="G29" s="130">
        <f>IF(SER_hh_fec!G29=0,0,11630*1000*SER_hh_fec!G29/SER_hh_num!G29)</f>
        <v>13319.13595135703</v>
      </c>
      <c r="H29" s="130">
        <f>IF(SER_hh_fec!H29=0,0,11630*1000*SER_hh_fec!H29/SER_hh_num!H29)</f>
        <v>14054.023421141126</v>
      </c>
      <c r="I29" s="130">
        <f>IF(SER_hh_fec!I29=0,0,11630*1000*SER_hh_fec!I29/SER_hh_num!I29)</f>
        <v>13606.956513365434</v>
      </c>
      <c r="J29" s="130">
        <f>IF(SER_hh_fec!J29=0,0,11630*1000*SER_hh_fec!J29/SER_hh_num!J29)</f>
        <v>13122.75754113334</v>
      </c>
      <c r="K29" s="130">
        <f>IF(SER_hh_fec!K29=0,0,11630*1000*SER_hh_fec!K29/SER_hh_num!K29)</f>
        <v>13501.731964640587</v>
      </c>
      <c r="L29" s="130">
        <f>IF(SER_hh_fec!L29=0,0,11630*1000*SER_hh_fec!L29/SER_hh_num!L29)</f>
        <v>13433.688891931055</v>
      </c>
      <c r="M29" s="130">
        <f>IF(SER_hh_fec!M29=0,0,11630*1000*SER_hh_fec!M29/SER_hh_num!M29)</f>
        <v>13262.881338462339</v>
      </c>
      <c r="N29" s="130">
        <f>IF(SER_hh_fec!N29=0,0,11630*1000*SER_hh_fec!N29/SER_hh_num!N29)</f>
        <v>13596.870884646356</v>
      </c>
      <c r="O29" s="130">
        <f>IF(SER_hh_fec!O29=0,0,11630*1000*SER_hh_fec!O29/SER_hh_num!O29)</f>
        <v>13501.490757657466</v>
      </c>
      <c r="P29" s="130">
        <f>IF(SER_hh_fec!P29=0,0,11630*1000*SER_hh_fec!P29/SER_hh_num!P29)</f>
        <v>13366.443989618494</v>
      </c>
      <c r="Q29" s="130">
        <f>IF(SER_hh_fec!Q29=0,0,11630*1000*SER_hh_fec!Q29/SER_hh_num!Q29)</f>
        <v>13051.212972762543</v>
      </c>
      <c r="R29" s="130">
        <f>IF(SER_hh_fec!R29=0,0,11630*1000*SER_hh_fec!R29/SER_hh_num!R29)</f>
        <v>13089.21048927112</v>
      </c>
      <c r="S29" s="130">
        <f>IF(SER_hh_fec!S29=0,0,11630*1000*SER_hh_fec!S29/SER_hh_num!S29)</f>
        <v>13486.050015596868</v>
      </c>
      <c r="T29" s="130">
        <f>IF(SER_hh_fec!T29=0,0,11630*1000*SER_hh_fec!T29/SER_hh_num!T29)</f>
        <v>13543.873920725655</v>
      </c>
      <c r="U29" s="130">
        <f>IF(SER_hh_fec!U29=0,0,11630*1000*SER_hh_fec!U29/SER_hh_num!U29)</f>
        <v>14373.527736556383</v>
      </c>
      <c r="V29" s="130">
        <f>IF(SER_hh_fec!V29=0,0,11630*1000*SER_hh_fec!V29/SER_hh_num!V29)</f>
        <v>13481.609101829978</v>
      </c>
      <c r="W29" s="130">
        <f>IF(SER_hh_fec!W29=0,0,11630*1000*SER_hh_fec!W29/SER_hh_num!W29)</f>
        <v>14564.217537254379</v>
      </c>
      <c r="X29" s="130">
        <f>IF(SER_hh_fec!X29=0,0,11630*1000*SER_hh_fec!X29/SER_hh_num!X29)</f>
        <v>14497.757463336917</v>
      </c>
      <c r="Y29" s="130">
        <f>IF(SER_hh_fec!Y29=0,0,11630*1000*SER_hh_fec!Y29/SER_hh_num!Y29)</f>
        <v>14729.306808886628</v>
      </c>
      <c r="DA29" s="155" t="s">
        <v>409</v>
      </c>
    </row>
    <row r="30" spans="1:105" ht="12" customHeight="1" x14ac:dyDescent="0.25">
      <c r="A30" s="131" t="s">
        <v>52</v>
      </c>
      <c r="B30" s="132">
        <f>IF(SER_hh_fec!B30=0,0,11630*1000*SER_hh_fec!B30/SER_hh_num!B30)</f>
        <v>0</v>
      </c>
      <c r="C30" s="132">
        <f>IF(SER_hh_fec!C30=0,0,11630*1000*SER_hh_fec!C30/SER_hh_num!C30)</f>
        <v>0</v>
      </c>
      <c r="D30" s="132">
        <f>IF(SER_hh_fec!D30=0,0,11630*1000*SER_hh_fec!D30/SER_hh_num!D30)</f>
        <v>0</v>
      </c>
      <c r="E30" s="132">
        <f>IF(SER_hh_fec!E30=0,0,11630*1000*SER_hh_fec!E30/SER_hh_num!E30)</f>
        <v>0</v>
      </c>
      <c r="F30" s="132">
        <f>IF(SER_hh_fec!F30=0,0,11630*1000*SER_hh_fec!F30/SER_hh_num!F30)</f>
        <v>0</v>
      </c>
      <c r="G30" s="132">
        <f>IF(SER_hh_fec!G30=0,0,11630*1000*SER_hh_fec!G30/SER_hh_num!G30)</f>
        <v>0</v>
      </c>
      <c r="H30" s="132">
        <f>IF(SER_hh_fec!H30=0,0,11630*1000*SER_hh_fec!H30/SER_hh_num!H30)</f>
        <v>0</v>
      </c>
      <c r="I30" s="132">
        <f>IF(SER_hh_fec!I30=0,0,11630*1000*SER_hh_fec!I30/SER_hh_num!I30)</f>
        <v>0</v>
      </c>
      <c r="J30" s="132">
        <f>IF(SER_hh_fec!J30=0,0,11630*1000*SER_hh_fec!J30/SER_hh_num!J30)</f>
        <v>0</v>
      </c>
      <c r="K30" s="132">
        <f>IF(SER_hh_fec!K30=0,0,11630*1000*SER_hh_fec!K30/SER_hh_num!K30)</f>
        <v>0</v>
      </c>
      <c r="L30" s="132">
        <f>IF(SER_hh_fec!L30=0,0,11630*1000*SER_hh_fec!L30/SER_hh_num!L30)</f>
        <v>0</v>
      </c>
      <c r="M30" s="132">
        <f>IF(SER_hh_fec!M30=0,0,11630*1000*SER_hh_fec!M30/SER_hh_num!M30)</f>
        <v>0</v>
      </c>
      <c r="N30" s="132">
        <f>IF(SER_hh_fec!N30=0,0,11630*1000*SER_hh_fec!N30/SER_hh_num!N30)</f>
        <v>0</v>
      </c>
      <c r="O30" s="132">
        <f>IF(SER_hh_fec!O30=0,0,11630*1000*SER_hh_fec!O30/SER_hh_num!O30)</f>
        <v>0</v>
      </c>
      <c r="P30" s="132">
        <f>IF(SER_hh_fec!P30=0,0,11630*1000*SER_hh_fec!P30/SER_hh_num!P30)</f>
        <v>0</v>
      </c>
      <c r="Q30" s="132">
        <f>IF(SER_hh_fec!Q30=0,0,11630*1000*SER_hh_fec!Q30/SER_hh_num!Q30)</f>
        <v>0</v>
      </c>
      <c r="R30" s="132">
        <f>IF(SER_hh_fec!R30=0,0,11630*1000*SER_hh_fec!R30/SER_hh_num!R30)</f>
        <v>0</v>
      </c>
      <c r="S30" s="132">
        <f>IF(SER_hh_fec!S30=0,0,11630*1000*SER_hh_fec!S30/SER_hh_num!S30)</f>
        <v>0</v>
      </c>
      <c r="T30" s="132">
        <f>IF(SER_hh_fec!T30=0,0,11630*1000*SER_hh_fec!T30/SER_hh_num!T30)</f>
        <v>0</v>
      </c>
      <c r="U30" s="132">
        <f>IF(SER_hh_fec!U30=0,0,11630*1000*SER_hh_fec!U30/SER_hh_num!U30)</f>
        <v>0</v>
      </c>
      <c r="V30" s="132">
        <f>IF(SER_hh_fec!V30=0,0,11630*1000*SER_hh_fec!V30/SER_hh_num!V30)</f>
        <v>0</v>
      </c>
      <c r="W30" s="132">
        <f>IF(SER_hh_fec!W30=0,0,11630*1000*SER_hh_fec!W30/SER_hh_num!W30)</f>
        <v>0</v>
      </c>
      <c r="X30" s="132">
        <f>IF(SER_hh_fec!X30=0,0,11630*1000*SER_hh_fec!X30/SER_hh_num!X30)</f>
        <v>0</v>
      </c>
      <c r="Y30" s="132">
        <f>IF(SER_hh_fec!Y30=0,0,11630*1000*SER_hh_fec!Y30/SER_hh_num!Y30)</f>
        <v>0</v>
      </c>
      <c r="DA30" s="156" t="s">
        <v>410</v>
      </c>
    </row>
    <row r="31" spans="1:105" ht="12" customHeight="1" x14ac:dyDescent="0.25">
      <c r="A31" s="131" t="s">
        <v>149</v>
      </c>
      <c r="B31" s="132">
        <f>IF(SER_hh_fec!B31=0,0,11630*1000*SER_hh_fec!B31/SER_hh_num!B31)</f>
        <v>16073.961934568051</v>
      </c>
      <c r="C31" s="132">
        <f>IF(SER_hh_fec!C31=0,0,11630*1000*SER_hh_fec!C31/SER_hh_num!C31)</f>
        <v>16051.940518579575</v>
      </c>
      <c r="D31" s="132">
        <f>IF(SER_hh_fec!D31=0,0,11630*1000*SER_hh_fec!D31/SER_hh_num!D31)</f>
        <v>16894.870357365788</v>
      </c>
      <c r="E31" s="132">
        <f>IF(SER_hh_fec!E31=0,0,11630*1000*SER_hh_fec!E31/SER_hh_num!E31)</f>
        <v>16890.942008884173</v>
      </c>
      <c r="F31" s="132">
        <f>IF(SER_hh_fec!F31=0,0,11630*1000*SER_hh_fec!F31/SER_hh_num!F31)</f>
        <v>15584.515113419258</v>
      </c>
      <c r="G31" s="132">
        <f>IF(SER_hh_fec!G31=0,0,11630*1000*SER_hh_fec!G31/SER_hh_num!G31)</f>
        <v>16018.787533043012</v>
      </c>
      <c r="H31" s="132">
        <f>IF(SER_hh_fec!H31=0,0,11630*1000*SER_hh_fec!H31/SER_hh_num!H31)</f>
        <v>15522.492000161566</v>
      </c>
      <c r="I31" s="132">
        <f>IF(SER_hh_fec!I31=0,0,11630*1000*SER_hh_fec!I31/SER_hh_num!I31)</f>
        <v>17503.970661176314</v>
      </c>
      <c r="J31" s="132">
        <f>IF(SER_hh_fec!J31=0,0,11630*1000*SER_hh_fec!J31/SER_hh_num!J31)</f>
        <v>17306.33524973473</v>
      </c>
      <c r="K31" s="132">
        <f>IF(SER_hh_fec!K31=0,0,11630*1000*SER_hh_fec!K31/SER_hh_num!K31)</f>
        <v>16861.583226993906</v>
      </c>
      <c r="L31" s="132">
        <f>IF(SER_hh_fec!L31=0,0,11630*1000*SER_hh_fec!L31/SER_hh_num!L31)</f>
        <v>16433.232106705058</v>
      </c>
      <c r="M31" s="132">
        <f>IF(SER_hh_fec!M31=0,0,11630*1000*SER_hh_fec!M31/SER_hh_num!M31)</f>
        <v>17067.210631381273</v>
      </c>
      <c r="N31" s="132">
        <f>IF(SER_hh_fec!N31=0,0,11630*1000*SER_hh_fec!N31/SER_hh_num!N31)</f>
        <v>17035.522636466361</v>
      </c>
      <c r="O31" s="132">
        <f>IF(SER_hh_fec!O31=0,0,11630*1000*SER_hh_fec!O31/SER_hh_num!O31)</f>
        <v>16002.358486135334</v>
      </c>
      <c r="P31" s="132">
        <f>IF(SER_hh_fec!P31=0,0,11630*1000*SER_hh_fec!P31/SER_hh_num!P31)</f>
        <v>15292.002744281655</v>
      </c>
      <c r="Q31" s="132">
        <f>IF(SER_hh_fec!Q31=0,0,11630*1000*SER_hh_fec!Q31/SER_hh_num!Q31)</f>
        <v>17069.792858368164</v>
      </c>
      <c r="R31" s="132">
        <f>IF(SER_hh_fec!R31=0,0,11630*1000*SER_hh_fec!R31/SER_hh_num!R31)</f>
        <v>17763.896857198342</v>
      </c>
      <c r="S31" s="132">
        <f>IF(SER_hh_fec!S31=0,0,11630*1000*SER_hh_fec!S31/SER_hh_num!S31)</f>
        <v>17241.165345276251</v>
      </c>
      <c r="T31" s="132">
        <f>IF(SER_hh_fec!T31=0,0,11630*1000*SER_hh_fec!T31/SER_hh_num!T31)</f>
        <v>19960.984073239557</v>
      </c>
      <c r="U31" s="132">
        <f>IF(SER_hh_fec!U31=0,0,11630*1000*SER_hh_fec!U31/SER_hh_num!U31)</f>
        <v>16668.472833943651</v>
      </c>
      <c r="V31" s="132">
        <f>IF(SER_hh_fec!V31=0,0,11630*1000*SER_hh_fec!V31/SER_hh_num!V31)</f>
        <v>15338.17763774788</v>
      </c>
      <c r="W31" s="132">
        <f>IF(SER_hh_fec!W31=0,0,11630*1000*SER_hh_fec!W31/SER_hh_num!W31)</f>
        <v>16872.332140937036</v>
      </c>
      <c r="X31" s="132">
        <f>IF(SER_hh_fec!X31=0,0,11630*1000*SER_hh_fec!X31/SER_hh_num!X31)</f>
        <v>19337.732892136217</v>
      </c>
      <c r="Y31" s="132">
        <f>IF(SER_hh_fec!Y31=0,0,11630*1000*SER_hh_fec!Y31/SER_hh_num!Y31)</f>
        <v>20973.200743250469</v>
      </c>
      <c r="DA31" s="156" t="s">
        <v>411</v>
      </c>
    </row>
    <row r="32" spans="1:105" ht="12" customHeight="1" x14ac:dyDescent="0.25">
      <c r="A32" s="131" t="s">
        <v>128</v>
      </c>
      <c r="B32" s="132">
        <f>IF(SER_hh_fec!B32=0,0,11630*1000*SER_hh_fec!B32/SER_hh_num!B32)</f>
        <v>0</v>
      </c>
      <c r="C32" s="132">
        <f>IF(SER_hh_fec!C32=0,0,11630*1000*SER_hh_fec!C32/SER_hh_num!C32)</f>
        <v>0</v>
      </c>
      <c r="D32" s="132">
        <f>IF(SER_hh_fec!D32=0,0,11630*1000*SER_hh_fec!D32/SER_hh_num!D32)</f>
        <v>0</v>
      </c>
      <c r="E32" s="132">
        <f>IF(SER_hh_fec!E32=0,0,11630*1000*SER_hh_fec!E32/SER_hh_num!E32)</f>
        <v>0</v>
      </c>
      <c r="F32" s="132">
        <f>IF(SER_hh_fec!F32=0,0,11630*1000*SER_hh_fec!F32/SER_hh_num!F32)</f>
        <v>0</v>
      </c>
      <c r="G32" s="132">
        <f>IF(SER_hh_fec!G32=0,0,11630*1000*SER_hh_fec!G32/SER_hh_num!G32)</f>
        <v>23810.329168303</v>
      </c>
      <c r="H32" s="132">
        <f>IF(SER_hh_fec!H32=0,0,11630*1000*SER_hh_fec!H32/SER_hh_num!H32)</f>
        <v>16263.606500316608</v>
      </c>
      <c r="I32" s="132">
        <f>IF(SER_hh_fec!I32=0,0,11630*1000*SER_hh_fec!I32/SER_hh_num!I32)</f>
        <v>13009.711231571237</v>
      </c>
      <c r="J32" s="132">
        <f>IF(SER_hh_fec!J32=0,0,11630*1000*SER_hh_fec!J32/SER_hh_num!J32)</f>
        <v>22206.637747659344</v>
      </c>
      <c r="K32" s="132">
        <f>IF(SER_hh_fec!K32=0,0,11630*1000*SER_hh_fec!K32/SER_hh_num!K32)</f>
        <v>11003.346280781818</v>
      </c>
      <c r="L32" s="132">
        <f>IF(SER_hh_fec!L32=0,0,11630*1000*SER_hh_fec!L32/SER_hh_num!L32)</f>
        <v>19392.149876209263</v>
      </c>
      <c r="M32" s="132">
        <f>IF(SER_hh_fec!M32=0,0,11630*1000*SER_hh_fec!M32/SER_hh_num!M32)</f>
        <v>20747.554961240086</v>
      </c>
      <c r="N32" s="132">
        <f>IF(SER_hh_fec!N32=0,0,11630*1000*SER_hh_fec!N32/SER_hh_num!N32)</f>
        <v>9937.3947164360234</v>
      </c>
      <c r="O32" s="132">
        <f>IF(SER_hh_fec!O32=0,0,11630*1000*SER_hh_fec!O32/SER_hh_num!O32)</f>
        <v>10625.230134760612</v>
      </c>
      <c r="P32" s="132">
        <f>IF(SER_hh_fec!P32=0,0,11630*1000*SER_hh_fec!P32/SER_hh_num!P32)</f>
        <v>9997.413654805925</v>
      </c>
      <c r="Q32" s="132">
        <f>IF(SER_hh_fec!Q32=0,0,11630*1000*SER_hh_fec!Q32/SER_hh_num!Q32)</f>
        <v>19524.170301515784</v>
      </c>
      <c r="R32" s="132">
        <f>IF(SER_hh_fec!R32=0,0,11630*1000*SER_hh_fec!R32/SER_hh_num!R32)</f>
        <v>16859.222662136639</v>
      </c>
      <c r="S32" s="132">
        <f>IF(SER_hh_fec!S32=0,0,11630*1000*SER_hh_fec!S32/SER_hh_num!S32)</f>
        <v>16869.296773866979</v>
      </c>
      <c r="T32" s="132">
        <f>IF(SER_hh_fec!T32=0,0,11630*1000*SER_hh_fec!T32/SER_hh_num!T32)</f>
        <v>16986.060488521223</v>
      </c>
      <c r="U32" s="132">
        <f>IF(SER_hh_fec!U32=0,0,11630*1000*SER_hh_fec!U32/SER_hh_num!U32)</f>
        <v>19392.473839125167</v>
      </c>
      <c r="V32" s="132">
        <f>IF(SER_hh_fec!V32=0,0,11630*1000*SER_hh_fec!V32/SER_hh_num!V32)</f>
        <v>16970.037188736482</v>
      </c>
      <c r="W32" s="132">
        <f>IF(SER_hh_fec!W32=0,0,11630*1000*SER_hh_fec!W32/SER_hh_num!W32)</f>
        <v>21971.289634361085</v>
      </c>
      <c r="X32" s="132">
        <f>IF(SER_hh_fec!X32=0,0,11630*1000*SER_hh_fec!X32/SER_hh_num!X32)</f>
        <v>20910.841139085969</v>
      </c>
      <c r="Y32" s="132">
        <f>IF(SER_hh_fec!Y32=0,0,11630*1000*SER_hh_fec!Y32/SER_hh_num!Y32)</f>
        <v>19706.877025473248</v>
      </c>
      <c r="DA32" s="156" t="s">
        <v>412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12790.156771100883</v>
      </c>
      <c r="C33" s="68">
        <f>IF(SER_hh_fec!C33=0,0,11630*1000*SER_hh_fec!C33/SER_hh_num!C33)</f>
        <v>12450.529537405289</v>
      </c>
      <c r="D33" s="68">
        <f>IF(SER_hh_fec!D33=0,0,11630*1000*SER_hh_fec!D33/SER_hh_num!D33)</f>
        <v>12301.145574448254</v>
      </c>
      <c r="E33" s="68">
        <f>IF(SER_hh_fec!E33=0,0,11630*1000*SER_hh_fec!E33/SER_hh_num!E33)</f>
        <v>12114.45843348816</v>
      </c>
      <c r="F33" s="68">
        <f>IF(SER_hh_fec!F33=0,0,11630*1000*SER_hh_fec!F33/SER_hh_num!F33)</f>
        <v>12476.313017484621</v>
      </c>
      <c r="G33" s="68">
        <f>IF(SER_hh_fec!G33=0,0,11630*1000*SER_hh_fec!G33/SER_hh_num!G33)</f>
        <v>12534.603144637789</v>
      </c>
      <c r="H33" s="68">
        <f>IF(SER_hh_fec!H33=0,0,11630*1000*SER_hh_fec!H33/SER_hh_num!H33)</f>
        <v>13632.807713296314</v>
      </c>
      <c r="I33" s="68">
        <f>IF(SER_hh_fec!I33=0,0,11630*1000*SER_hh_fec!I33/SER_hh_num!I33)</f>
        <v>12525.08260010545</v>
      </c>
      <c r="J33" s="68">
        <f>IF(SER_hh_fec!J33=0,0,11630*1000*SER_hh_fec!J33/SER_hh_num!J33)</f>
        <v>11690.012165586866</v>
      </c>
      <c r="K33" s="68">
        <f>IF(SER_hh_fec!K33=0,0,11630*1000*SER_hh_fec!K33/SER_hh_num!K33)</f>
        <v>12555.688450336827</v>
      </c>
      <c r="L33" s="68">
        <f>IF(SER_hh_fec!L33=0,0,11630*1000*SER_hh_fec!L33/SER_hh_num!L33)</f>
        <v>12463.2294812323</v>
      </c>
      <c r="M33" s="68">
        <f>IF(SER_hh_fec!M33=0,0,11630*1000*SER_hh_fec!M33/SER_hh_num!M33)</f>
        <v>12188.327802474092</v>
      </c>
      <c r="N33" s="68">
        <f>IF(SER_hh_fec!N33=0,0,11630*1000*SER_hh_fec!N33/SER_hh_num!N33)</f>
        <v>12981.296802685658</v>
      </c>
      <c r="O33" s="68">
        <f>IF(SER_hh_fec!O33=0,0,11630*1000*SER_hh_fec!O33/SER_hh_num!O33)</f>
        <v>13128.976187847173</v>
      </c>
      <c r="P33" s="68">
        <f>IF(SER_hh_fec!P33=0,0,11630*1000*SER_hh_fec!P33/SER_hh_num!P33)</f>
        <v>13135.202160410816</v>
      </c>
      <c r="Q33" s="68">
        <f>IF(SER_hh_fec!Q33=0,0,11630*1000*SER_hh_fec!Q33/SER_hh_num!Q33)</f>
        <v>12285.904674492895</v>
      </c>
      <c r="R33" s="68">
        <f>IF(SER_hh_fec!R33=0,0,11630*1000*SER_hh_fec!R33/SER_hh_num!R33)</f>
        <v>12249.802491877324</v>
      </c>
      <c r="S33" s="68">
        <f>IF(SER_hh_fec!S33=0,0,11630*1000*SER_hh_fec!S33/SER_hh_num!S33)</f>
        <v>12836.026033912203</v>
      </c>
      <c r="T33" s="68">
        <f>IF(SER_hh_fec!T33=0,0,11630*1000*SER_hh_fec!T33/SER_hh_num!T33)</f>
        <v>12602.094573150156</v>
      </c>
      <c r="U33" s="68">
        <f>IF(SER_hh_fec!U33=0,0,11630*1000*SER_hh_fec!U33/SER_hh_num!U33)</f>
        <v>13976.366116692565</v>
      </c>
      <c r="V33" s="68">
        <f>IF(SER_hh_fec!V33=0,0,11630*1000*SER_hh_fec!V33/SER_hh_num!V33)</f>
        <v>13197.598944952268</v>
      </c>
      <c r="W33" s="68">
        <f>IF(SER_hh_fec!W33=0,0,11630*1000*SER_hh_fec!W33/SER_hh_num!W33)</f>
        <v>14061.231898923159</v>
      </c>
      <c r="X33" s="68">
        <f>IF(SER_hh_fec!X33=0,0,11630*1000*SER_hh_fec!X33/SER_hh_num!X33)</f>
        <v>13780.831853103811</v>
      </c>
      <c r="Y33" s="68">
        <f>IF(SER_hh_fec!Y33=0,0,11630*1000*SER_hh_fec!Y33/SER_hh_num!Y33)</f>
        <v>13848.941052609884</v>
      </c>
      <c r="DA33" s="111" t="s">
        <v>413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>
        <f>IF(SER_hh_tes!B3=0,0,11630*1000*SER_hh_tes!B3/SER_hh_num!B3)</f>
        <v>90466.340882070916</v>
      </c>
      <c r="C3" s="125">
        <f>IF(SER_hh_tes!C3=0,0,11630*1000*SER_hh_tes!C3/SER_hh_num!C3)</f>
        <v>88807.595861576832</v>
      </c>
      <c r="D3" s="125">
        <f>IF(SER_hh_tes!D3=0,0,11630*1000*SER_hh_tes!D3/SER_hh_num!D3)</f>
        <v>86996.34856899704</v>
      </c>
      <c r="E3" s="125">
        <f>IF(SER_hh_tes!E3=0,0,11630*1000*SER_hh_tes!E3/SER_hh_num!E3)</f>
        <v>86479.998863696019</v>
      </c>
      <c r="F3" s="125">
        <f>IF(SER_hh_tes!F3=0,0,11630*1000*SER_hh_tes!F3/SER_hh_num!F3)</f>
        <v>85791.206279497215</v>
      </c>
      <c r="G3" s="125">
        <f>IF(SER_hh_tes!G3=0,0,11630*1000*SER_hh_tes!G3/SER_hh_num!G3)</f>
        <v>83414.845773549212</v>
      </c>
      <c r="H3" s="125">
        <f>IF(SER_hh_tes!H3=0,0,11630*1000*SER_hh_tes!H3/SER_hh_num!H3)</f>
        <v>88065.008895206614</v>
      </c>
      <c r="I3" s="125">
        <f>IF(SER_hh_tes!I3=0,0,11630*1000*SER_hh_tes!I3/SER_hh_num!I3)</f>
        <v>82082.923755213502</v>
      </c>
      <c r="J3" s="125">
        <f>IF(SER_hh_tes!J3=0,0,11630*1000*SER_hh_tes!J3/SER_hh_num!J3)</f>
        <v>73960.961201352839</v>
      </c>
      <c r="K3" s="125">
        <f>IF(SER_hh_tes!K3=0,0,11630*1000*SER_hh_tes!K3/SER_hh_num!K3)</f>
        <v>72404.339050692142</v>
      </c>
      <c r="L3" s="125">
        <f>IF(SER_hh_tes!L3=0,0,11630*1000*SER_hh_tes!L3/SER_hh_num!L3)</f>
        <v>73908.787305750811</v>
      </c>
      <c r="M3" s="125">
        <f>IF(SER_hh_tes!M3=0,0,11630*1000*SER_hh_tes!M3/SER_hh_num!M3)</f>
        <v>68648.620464970125</v>
      </c>
      <c r="N3" s="125">
        <f>IF(SER_hh_tes!N3=0,0,11630*1000*SER_hh_tes!N3/SER_hh_num!N3)</f>
        <v>73715.759546167596</v>
      </c>
      <c r="O3" s="125">
        <f>IF(SER_hh_tes!O3=0,0,11630*1000*SER_hh_tes!O3/SER_hh_num!O3)</f>
        <v>68339.176403524179</v>
      </c>
      <c r="P3" s="125">
        <f>IF(SER_hh_tes!P3=0,0,11630*1000*SER_hh_tes!P3/SER_hh_num!P3)</f>
        <v>66255.133384827393</v>
      </c>
      <c r="Q3" s="125">
        <f>IF(SER_hh_tes!Q3=0,0,11630*1000*SER_hh_tes!Q3/SER_hh_num!Q3)</f>
        <v>63829.535977790554</v>
      </c>
      <c r="R3" s="125">
        <f>IF(SER_hh_tes!R3=0,0,11630*1000*SER_hh_tes!R3/SER_hh_num!R3)</f>
        <v>67528.236626714541</v>
      </c>
      <c r="S3" s="125">
        <f>IF(SER_hh_tes!S3=0,0,11630*1000*SER_hh_tes!S3/SER_hh_num!S3)</f>
        <v>72647.27572649355</v>
      </c>
      <c r="T3" s="125">
        <f>IF(SER_hh_tes!T3=0,0,11630*1000*SER_hh_tes!T3/SER_hh_num!T3)</f>
        <v>76007.438254258726</v>
      </c>
      <c r="U3" s="125">
        <f>IF(SER_hh_tes!U3=0,0,11630*1000*SER_hh_tes!U3/SER_hh_num!U3)</f>
        <v>72640.047702609038</v>
      </c>
      <c r="V3" s="125">
        <f>IF(SER_hh_tes!V3=0,0,11630*1000*SER_hh_tes!V3/SER_hh_num!V3)</f>
        <v>66095.071461488245</v>
      </c>
      <c r="W3" s="125">
        <f>IF(SER_hh_tes!W3=0,0,11630*1000*SER_hh_tes!W3/SER_hh_num!W3)</f>
        <v>78358.279261137111</v>
      </c>
      <c r="X3" s="125">
        <f>IF(SER_hh_tes!X3=0,0,11630*1000*SER_hh_tes!X3/SER_hh_num!X3)</f>
        <v>75198.096693842119</v>
      </c>
      <c r="Y3" s="125">
        <f>IF(SER_hh_tes!Y3=0,0,11630*1000*SER_hh_tes!Y3/SER_hh_num!Y3)</f>
        <v>74668.463095150451</v>
      </c>
      <c r="DA3" s="154" t="s">
        <v>415</v>
      </c>
    </row>
    <row r="4" spans="1:105" ht="12.95" customHeight="1" x14ac:dyDescent="0.25">
      <c r="A4" s="129" t="s">
        <v>32</v>
      </c>
      <c r="B4" s="130">
        <f>IF(SER_hh_tes!B4=0,0,11630*1000*SER_hh_tes!B4/SER_hh_num!B4)</f>
        <v>72275.628927580547</v>
      </c>
      <c r="C4" s="130">
        <f>IF(SER_hh_tes!C4=0,0,11630*1000*SER_hh_tes!C4/SER_hh_num!C4)</f>
        <v>70572.33519639638</v>
      </c>
      <c r="D4" s="130">
        <f>IF(SER_hh_tes!D4=0,0,11630*1000*SER_hh_tes!D4/SER_hh_num!D4)</f>
        <v>68514.192494659786</v>
      </c>
      <c r="E4" s="130">
        <f>IF(SER_hh_tes!E4=0,0,11630*1000*SER_hh_tes!E4/SER_hh_num!E4)</f>
        <v>68151.003039751784</v>
      </c>
      <c r="F4" s="130">
        <f>IF(SER_hh_tes!F4=0,0,11630*1000*SER_hh_tes!F4/SER_hh_num!F4)</f>
        <v>66979.923923392373</v>
      </c>
      <c r="G4" s="130">
        <f>IF(SER_hh_tes!G4=0,0,11630*1000*SER_hh_tes!G4/SER_hh_num!G4)</f>
        <v>64092.87774511618</v>
      </c>
      <c r="H4" s="130">
        <f>IF(SER_hh_tes!H4=0,0,11630*1000*SER_hh_tes!H4/SER_hh_num!H4)</f>
        <v>67564.078313384947</v>
      </c>
      <c r="I4" s="130">
        <f>IF(SER_hh_tes!I4=0,0,11630*1000*SER_hh_tes!I4/SER_hh_num!I4)</f>
        <v>62279.585783737683</v>
      </c>
      <c r="J4" s="130">
        <f>IF(SER_hh_tes!J4=0,0,11630*1000*SER_hh_tes!J4/SER_hh_num!J4)</f>
        <v>54385.44712539453</v>
      </c>
      <c r="K4" s="130">
        <f>IF(SER_hh_tes!K4=0,0,11630*1000*SER_hh_tes!K4/SER_hh_num!K4)</f>
        <v>52114.890885240151</v>
      </c>
      <c r="L4" s="130">
        <f>IF(SER_hh_tes!L4=0,0,11630*1000*SER_hh_tes!L4/SER_hh_num!L4)</f>
        <v>52913.915453737609</v>
      </c>
      <c r="M4" s="130">
        <f>IF(SER_hh_tes!M4=0,0,11630*1000*SER_hh_tes!M4/SER_hh_num!M4)</f>
        <v>47953.202453827667</v>
      </c>
      <c r="N4" s="130">
        <f>IF(SER_hh_tes!N4=0,0,11630*1000*SER_hh_tes!N4/SER_hh_num!N4)</f>
        <v>52289.802525560277</v>
      </c>
      <c r="O4" s="130">
        <f>IF(SER_hh_tes!O4=0,0,11630*1000*SER_hh_tes!O4/SER_hh_num!O4)</f>
        <v>46716.805231271232</v>
      </c>
      <c r="P4" s="130">
        <f>IF(SER_hh_tes!P4=0,0,11630*1000*SER_hh_tes!P4/SER_hh_num!P4)</f>
        <v>44345.492674180503</v>
      </c>
      <c r="Q4" s="130">
        <f>IF(SER_hh_tes!Q4=0,0,11630*1000*SER_hh_tes!Q4/SER_hh_num!Q4)</f>
        <v>42030.240015671225</v>
      </c>
      <c r="R4" s="130">
        <f>IF(SER_hh_tes!R4=0,0,11630*1000*SER_hh_tes!R4/SER_hh_num!R4)</f>
        <v>45662.582813399466</v>
      </c>
      <c r="S4" s="130">
        <f>IF(SER_hh_tes!S4=0,0,11630*1000*SER_hh_tes!S4/SER_hh_num!S4)</f>
        <v>49931.204335317161</v>
      </c>
      <c r="T4" s="130">
        <f>IF(SER_hh_tes!T4=0,0,11630*1000*SER_hh_tes!T4/SER_hh_num!T4)</f>
        <v>53015.914980529713</v>
      </c>
      <c r="U4" s="130">
        <f>IF(SER_hh_tes!U4=0,0,11630*1000*SER_hh_tes!U4/SER_hh_num!U4)</f>
        <v>48556.759856361474</v>
      </c>
      <c r="V4" s="130">
        <f>IF(SER_hh_tes!V4=0,0,11630*1000*SER_hh_tes!V4/SER_hh_num!V4)</f>
        <v>43742.479947825115</v>
      </c>
      <c r="W4" s="130">
        <f>IF(SER_hh_tes!W4=0,0,11630*1000*SER_hh_tes!W4/SER_hh_num!W4)</f>
        <v>53533.129616068276</v>
      </c>
      <c r="X4" s="130">
        <f>IF(SER_hh_tes!X4=0,0,11630*1000*SER_hh_tes!X4/SER_hh_num!X4)</f>
        <v>50432.298791657136</v>
      </c>
      <c r="Y4" s="130">
        <f>IF(SER_hh_tes!Y4=0,0,11630*1000*SER_hh_tes!Y4/SER_hh_num!Y4)</f>
        <v>49229.919801462362</v>
      </c>
      <c r="DA4" s="155" t="s">
        <v>416</v>
      </c>
    </row>
    <row r="5" spans="1:105" ht="12" customHeight="1" x14ac:dyDescent="0.25">
      <c r="A5" s="131" t="s">
        <v>29</v>
      </c>
      <c r="B5" s="132">
        <f>IF(SER_hh_tes!B5=0,0,11630*1000*SER_hh_tes!B5/SER_hh_num!B5)</f>
        <v>75240.893945485164</v>
      </c>
      <c r="C5" s="132">
        <f>IF(SER_hh_tes!C5=0,0,11630*1000*SER_hh_tes!C5/SER_hh_num!C5)</f>
        <v>63481.660099403336</v>
      </c>
      <c r="D5" s="132">
        <f>IF(SER_hh_tes!D5=0,0,11630*1000*SER_hh_tes!D5/SER_hh_num!D5)</f>
        <v>69864.07169393629</v>
      </c>
      <c r="E5" s="132">
        <f>IF(SER_hh_tes!E5=0,0,11630*1000*SER_hh_tes!E5/SER_hh_num!E5)</f>
        <v>67187.977758673849</v>
      </c>
      <c r="F5" s="132">
        <f>IF(SER_hh_tes!F5=0,0,11630*1000*SER_hh_tes!F5/SER_hh_num!F5)</f>
        <v>60208.588058112065</v>
      </c>
      <c r="G5" s="132">
        <f>IF(SER_hh_tes!G5=0,0,11630*1000*SER_hh_tes!G5/SER_hh_num!G5)</f>
        <v>63210.331896254531</v>
      </c>
      <c r="H5" s="132">
        <f>IF(SER_hh_tes!H5=0,0,11630*1000*SER_hh_tes!H5/SER_hh_num!H5)</f>
        <v>80949.471339973985</v>
      </c>
      <c r="I5" s="132">
        <f>IF(SER_hh_tes!I5=0,0,11630*1000*SER_hh_tes!I5/SER_hh_num!I5)</f>
        <v>60379.939057872754</v>
      </c>
      <c r="J5" s="132">
        <f>IF(SER_hh_tes!J5=0,0,11630*1000*SER_hh_tes!J5/SER_hh_num!J5)</f>
        <v>45041.555516463639</v>
      </c>
      <c r="K5" s="132">
        <f>IF(SER_hh_tes!K5=0,0,11630*1000*SER_hh_tes!K5/SER_hh_num!K5)</f>
        <v>52887.518128091142</v>
      </c>
      <c r="L5" s="132">
        <f>IF(SER_hh_tes!L5=0,0,11630*1000*SER_hh_tes!L5/SER_hh_num!L5)</f>
        <v>51073.265594001903</v>
      </c>
      <c r="M5" s="132">
        <f>IF(SER_hh_tes!M5=0,0,11630*1000*SER_hh_tes!M5/SER_hh_num!M5)</f>
        <v>60841.822880937514</v>
      </c>
      <c r="N5" s="132">
        <f>IF(SER_hh_tes!N5=0,0,11630*1000*SER_hh_tes!N5/SER_hh_num!N5)</f>
        <v>42853.695314331169</v>
      </c>
      <c r="O5" s="132">
        <f>IF(SER_hh_tes!O5=0,0,11630*1000*SER_hh_tes!O5/SER_hh_num!O5)</f>
        <v>50880.068459012058</v>
      </c>
      <c r="P5" s="132">
        <f>IF(SER_hh_tes!P5=0,0,11630*1000*SER_hh_tes!P5/SER_hh_num!P5)</f>
        <v>46515.041611809269</v>
      </c>
      <c r="Q5" s="132">
        <f>IF(SER_hh_tes!Q5=0,0,11630*1000*SER_hh_tes!Q5/SER_hh_num!Q5)</f>
        <v>37034.505827409346</v>
      </c>
      <c r="R5" s="132">
        <f>IF(SER_hh_tes!R5=0,0,11630*1000*SER_hh_tes!R5/SER_hh_num!R5)</f>
        <v>46418.32364194285</v>
      </c>
      <c r="S5" s="132">
        <f>IF(SER_hh_tes!S5=0,0,11630*1000*SER_hh_tes!S5/SER_hh_num!S5)</f>
        <v>50097.028799191285</v>
      </c>
      <c r="T5" s="132">
        <f>IF(SER_hh_tes!T5=0,0,11630*1000*SER_hh_tes!T5/SER_hh_num!T5)</f>
        <v>54692.171627524418</v>
      </c>
      <c r="U5" s="132">
        <f>IF(SER_hh_tes!U5=0,0,11630*1000*SER_hh_tes!U5/SER_hh_num!U5)</f>
        <v>50844.537999719993</v>
      </c>
      <c r="V5" s="132">
        <f>IF(SER_hh_tes!V5=0,0,11630*1000*SER_hh_tes!V5/SER_hh_num!V5)</f>
        <v>38589.234128287491</v>
      </c>
      <c r="W5" s="132">
        <f>IF(SER_hh_tes!W5=0,0,11630*1000*SER_hh_tes!W5/SER_hh_num!W5)</f>
        <v>52457.549773028069</v>
      </c>
      <c r="X5" s="132">
        <f>IF(SER_hh_tes!X5=0,0,11630*1000*SER_hh_tes!X5/SER_hh_num!X5)</f>
        <v>55263.245262690827</v>
      </c>
      <c r="Y5" s="132">
        <f>IF(SER_hh_tes!Y5=0,0,11630*1000*SER_hh_tes!Y5/SER_hh_num!Y5)</f>
        <v>41953.180620695872</v>
      </c>
      <c r="DA5" s="156" t="s">
        <v>417</v>
      </c>
    </row>
    <row r="6" spans="1:105" ht="12" customHeight="1" x14ac:dyDescent="0.25">
      <c r="A6" s="131" t="s">
        <v>52</v>
      </c>
      <c r="B6" s="132">
        <f>IF(SER_hh_tes!B6=0,0,11630*1000*SER_hh_tes!B6/SER_hh_num!B6)</f>
        <v>0</v>
      </c>
      <c r="C6" s="132">
        <f>IF(SER_hh_tes!C6=0,0,11630*1000*SER_hh_tes!C6/SER_hh_num!C6)</f>
        <v>0</v>
      </c>
      <c r="D6" s="132">
        <f>IF(SER_hh_tes!D6=0,0,11630*1000*SER_hh_tes!D6/SER_hh_num!D6)</f>
        <v>0</v>
      </c>
      <c r="E6" s="132">
        <f>IF(SER_hh_tes!E6=0,0,11630*1000*SER_hh_tes!E6/SER_hh_num!E6)</f>
        <v>0</v>
      </c>
      <c r="F6" s="132">
        <f>IF(SER_hh_tes!F6=0,0,11630*1000*SER_hh_tes!F6/SER_hh_num!F6)</f>
        <v>0</v>
      </c>
      <c r="G6" s="132">
        <f>IF(SER_hh_tes!G6=0,0,11630*1000*SER_hh_tes!G6/SER_hh_num!G6)</f>
        <v>0</v>
      </c>
      <c r="H6" s="132">
        <f>IF(SER_hh_tes!H6=0,0,11630*1000*SER_hh_tes!H6/SER_hh_num!H6)</f>
        <v>0</v>
      </c>
      <c r="I6" s="132">
        <f>IF(SER_hh_tes!I6=0,0,11630*1000*SER_hh_tes!I6/SER_hh_num!I6)</f>
        <v>0</v>
      </c>
      <c r="J6" s="132">
        <f>IF(SER_hh_tes!J6=0,0,11630*1000*SER_hh_tes!J6/SER_hh_num!J6)</f>
        <v>0</v>
      </c>
      <c r="K6" s="132">
        <f>IF(SER_hh_tes!K6=0,0,11630*1000*SER_hh_tes!K6/SER_hh_num!K6)</f>
        <v>0</v>
      </c>
      <c r="L6" s="132">
        <f>IF(SER_hh_tes!L6=0,0,11630*1000*SER_hh_tes!L6/SER_hh_num!L6)</f>
        <v>0</v>
      </c>
      <c r="M6" s="132">
        <f>IF(SER_hh_tes!M6=0,0,11630*1000*SER_hh_tes!M6/SER_hh_num!M6)</f>
        <v>0</v>
      </c>
      <c r="N6" s="132">
        <f>IF(SER_hh_tes!N6=0,0,11630*1000*SER_hh_tes!N6/SER_hh_num!N6)</f>
        <v>0</v>
      </c>
      <c r="O6" s="132">
        <f>IF(SER_hh_tes!O6=0,0,11630*1000*SER_hh_tes!O6/SER_hh_num!O6)</f>
        <v>0</v>
      </c>
      <c r="P6" s="132">
        <f>IF(SER_hh_tes!P6=0,0,11630*1000*SER_hh_tes!P6/SER_hh_num!P6)</f>
        <v>0</v>
      </c>
      <c r="Q6" s="132">
        <f>IF(SER_hh_tes!Q6=0,0,11630*1000*SER_hh_tes!Q6/SER_hh_num!Q6)</f>
        <v>0</v>
      </c>
      <c r="R6" s="132">
        <f>IF(SER_hh_tes!R6=0,0,11630*1000*SER_hh_tes!R6/SER_hh_num!R6)</f>
        <v>0</v>
      </c>
      <c r="S6" s="132">
        <f>IF(SER_hh_tes!S6=0,0,11630*1000*SER_hh_tes!S6/SER_hh_num!S6)</f>
        <v>0</v>
      </c>
      <c r="T6" s="132">
        <f>IF(SER_hh_tes!T6=0,0,11630*1000*SER_hh_tes!T6/SER_hh_num!T6)</f>
        <v>0</v>
      </c>
      <c r="U6" s="132">
        <f>IF(SER_hh_tes!U6=0,0,11630*1000*SER_hh_tes!U6/SER_hh_num!U6)</f>
        <v>0</v>
      </c>
      <c r="V6" s="132">
        <f>IF(SER_hh_tes!V6=0,0,11630*1000*SER_hh_tes!V6/SER_hh_num!V6)</f>
        <v>0</v>
      </c>
      <c r="W6" s="132">
        <f>IF(SER_hh_tes!W6=0,0,11630*1000*SER_hh_tes!W6/SER_hh_num!W6)</f>
        <v>0</v>
      </c>
      <c r="X6" s="132">
        <f>IF(SER_hh_tes!X6=0,0,11630*1000*SER_hh_tes!X6/SER_hh_num!X6)</f>
        <v>0</v>
      </c>
      <c r="Y6" s="132">
        <f>IF(SER_hh_tes!Y6=0,0,11630*1000*SER_hh_tes!Y6/SER_hh_num!Y6)</f>
        <v>0</v>
      </c>
      <c r="DA6" s="156" t="s">
        <v>418</v>
      </c>
    </row>
    <row r="7" spans="1:105" ht="12" customHeight="1" x14ac:dyDescent="0.25">
      <c r="A7" s="131" t="s">
        <v>161</v>
      </c>
      <c r="B7" s="132">
        <f>IF(SER_hh_tes!B7=0,0,11630*1000*SER_hh_tes!B7/SER_hh_num!B7)</f>
        <v>77621.219601200079</v>
      </c>
      <c r="C7" s="132">
        <f>IF(SER_hh_tes!C7=0,0,11630*1000*SER_hh_tes!C7/SER_hh_num!C7)</f>
        <v>61846.157242735855</v>
      </c>
      <c r="D7" s="132">
        <f>IF(SER_hh_tes!D7=0,0,11630*1000*SER_hh_tes!D7/SER_hh_num!D7)</f>
        <v>75177.215033696702</v>
      </c>
      <c r="E7" s="132">
        <f>IF(SER_hh_tes!E7=0,0,11630*1000*SER_hh_tes!E7/SER_hh_num!E7)</f>
        <v>59454.747800506862</v>
      </c>
      <c r="F7" s="132">
        <f>IF(SER_hh_tes!F7=0,0,11630*1000*SER_hh_tes!F7/SER_hh_num!F7)</f>
        <v>69428.264196980861</v>
      </c>
      <c r="G7" s="132">
        <f>IF(SER_hh_tes!G7=0,0,11630*1000*SER_hh_tes!G7/SER_hh_num!G7)</f>
        <v>59507.098318940167</v>
      </c>
      <c r="H7" s="132">
        <f>IF(SER_hh_tes!H7=0,0,11630*1000*SER_hh_tes!H7/SER_hh_num!H7)</f>
        <v>53121.429114665123</v>
      </c>
      <c r="I7" s="132">
        <f>IF(SER_hh_tes!I7=0,0,11630*1000*SER_hh_tes!I7/SER_hh_num!I7)</f>
        <v>54337.399588602864</v>
      </c>
      <c r="J7" s="132">
        <f>IF(SER_hh_tes!J7=0,0,11630*1000*SER_hh_tes!J7/SER_hh_num!J7)</f>
        <v>92820.921093777317</v>
      </c>
      <c r="K7" s="132">
        <f>IF(SER_hh_tes!K7=0,0,11630*1000*SER_hh_tes!K7/SER_hh_num!K7)</f>
        <v>29418.784693420977</v>
      </c>
      <c r="L7" s="132">
        <f>IF(SER_hh_tes!L7=0,0,11630*1000*SER_hh_tes!L7/SER_hh_num!L7)</f>
        <v>45379.35612155874</v>
      </c>
      <c r="M7" s="132">
        <f>IF(SER_hh_tes!M7=0,0,11630*1000*SER_hh_tes!M7/SER_hh_num!M7)</f>
        <v>62185.018946231314</v>
      </c>
      <c r="N7" s="132">
        <f>IF(SER_hh_tes!N7=0,0,11630*1000*SER_hh_tes!N7/SER_hh_num!N7)</f>
        <v>40474.889940502784</v>
      </c>
      <c r="O7" s="132">
        <f>IF(SER_hh_tes!O7=0,0,11630*1000*SER_hh_tes!O7/SER_hh_num!O7)</f>
        <v>42907.672254609672</v>
      </c>
      <c r="P7" s="132">
        <f>IF(SER_hh_tes!P7=0,0,11630*1000*SER_hh_tes!P7/SER_hh_num!P7)</f>
        <v>60918.477097262396</v>
      </c>
      <c r="Q7" s="132">
        <f>IF(SER_hh_tes!Q7=0,0,11630*1000*SER_hh_tes!Q7/SER_hh_num!Q7)</f>
        <v>33074.863312349567</v>
      </c>
      <c r="R7" s="132">
        <f>IF(SER_hh_tes!R7=0,0,11630*1000*SER_hh_tes!R7/SER_hh_num!R7)</f>
        <v>39630.33183419249</v>
      </c>
      <c r="S7" s="132">
        <f>IF(SER_hh_tes!S7=0,0,11630*1000*SER_hh_tes!S7/SER_hh_num!S7)</f>
        <v>52705.209037571949</v>
      </c>
      <c r="T7" s="132">
        <f>IF(SER_hh_tes!T7=0,0,11630*1000*SER_hh_tes!T7/SER_hh_num!T7)</f>
        <v>40426.950065428471</v>
      </c>
      <c r="U7" s="132">
        <f>IF(SER_hh_tes!U7=0,0,11630*1000*SER_hh_tes!U7/SER_hh_num!U7)</f>
        <v>46942.67871354497</v>
      </c>
      <c r="V7" s="132">
        <f>IF(SER_hh_tes!V7=0,0,11630*1000*SER_hh_tes!V7/SER_hh_num!V7)</f>
        <v>48032.635485618273</v>
      </c>
      <c r="W7" s="132">
        <f>IF(SER_hh_tes!W7=0,0,11630*1000*SER_hh_tes!W7/SER_hh_num!W7)</f>
        <v>50491.207361037465</v>
      </c>
      <c r="X7" s="132">
        <f>IF(SER_hh_tes!X7=0,0,11630*1000*SER_hh_tes!X7/SER_hh_num!X7)</f>
        <v>42349.252370911941</v>
      </c>
      <c r="Y7" s="132">
        <f>IF(SER_hh_tes!Y7=0,0,11630*1000*SER_hh_tes!Y7/SER_hh_num!Y7)</f>
        <v>55880.547796553255</v>
      </c>
      <c r="DA7" s="156" t="s">
        <v>419</v>
      </c>
    </row>
    <row r="8" spans="1:105" ht="12" customHeight="1" x14ac:dyDescent="0.25">
      <c r="A8" s="131" t="s">
        <v>73</v>
      </c>
      <c r="B8" s="132">
        <f>IF(SER_hh_tes!B8=0,0,11630*1000*SER_hh_tes!B8/SER_hh_num!B8)</f>
        <v>0</v>
      </c>
      <c r="C8" s="132">
        <f>IF(SER_hh_tes!C8=0,0,11630*1000*SER_hh_tes!C8/SER_hh_num!C8)</f>
        <v>0</v>
      </c>
      <c r="D8" s="132">
        <f>IF(SER_hh_tes!D8=0,0,11630*1000*SER_hh_tes!D8/SER_hh_num!D8)</f>
        <v>0</v>
      </c>
      <c r="E8" s="132">
        <f>IF(SER_hh_tes!E8=0,0,11630*1000*SER_hh_tes!E8/SER_hh_num!E8)</f>
        <v>0</v>
      </c>
      <c r="F8" s="132">
        <f>IF(SER_hh_tes!F8=0,0,11630*1000*SER_hh_tes!F8/SER_hh_num!F8)</f>
        <v>0</v>
      </c>
      <c r="G8" s="132">
        <f>IF(SER_hh_tes!G8=0,0,11630*1000*SER_hh_tes!G8/SER_hh_num!G8)</f>
        <v>0</v>
      </c>
      <c r="H8" s="132">
        <f>IF(SER_hh_tes!H8=0,0,11630*1000*SER_hh_tes!H8/SER_hh_num!H8)</f>
        <v>0</v>
      </c>
      <c r="I8" s="132">
        <f>IF(SER_hh_tes!I8=0,0,11630*1000*SER_hh_tes!I8/SER_hh_num!I8)</f>
        <v>0</v>
      </c>
      <c r="J8" s="132">
        <f>IF(SER_hh_tes!J8=0,0,11630*1000*SER_hh_tes!J8/SER_hh_num!J8)</f>
        <v>0</v>
      </c>
      <c r="K8" s="132">
        <f>IF(SER_hh_tes!K8=0,0,11630*1000*SER_hh_tes!K8/SER_hh_num!K8)</f>
        <v>0</v>
      </c>
      <c r="L8" s="132">
        <f>IF(SER_hh_tes!L8=0,0,11630*1000*SER_hh_tes!L8/SER_hh_num!L8)</f>
        <v>0</v>
      </c>
      <c r="M8" s="132">
        <f>IF(SER_hh_tes!M8=0,0,11630*1000*SER_hh_tes!M8/SER_hh_num!M8)</f>
        <v>0</v>
      </c>
      <c r="N8" s="132">
        <f>IF(SER_hh_tes!N8=0,0,11630*1000*SER_hh_tes!N8/SER_hh_num!N8)</f>
        <v>0</v>
      </c>
      <c r="O8" s="132">
        <f>IF(SER_hh_tes!O8=0,0,11630*1000*SER_hh_tes!O8/SER_hh_num!O8)</f>
        <v>0</v>
      </c>
      <c r="P8" s="132">
        <f>IF(SER_hh_tes!P8=0,0,11630*1000*SER_hh_tes!P8/SER_hh_num!P8)</f>
        <v>0</v>
      </c>
      <c r="Q8" s="132">
        <f>IF(SER_hh_tes!Q8=0,0,11630*1000*SER_hh_tes!Q8/SER_hh_num!Q8)</f>
        <v>0</v>
      </c>
      <c r="R8" s="132">
        <f>IF(SER_hh_tes!R8=0,0,11630*1000*SER_hh_tes!R8/SER_hh_num!R8)</f>
        <v>0</v>
      </c>
      <c r="S8" s="132">
        <f>IF(SER_hh_tes!S8=0,0,11630*1000*SER_hh_tes!S8/SER_hh_num!S8)</f>
        <v>0</v>
      </c>
      <c r="T8" s="132">
        <f>IF(SER_hh_tes!T8=0,0,11630*1000*SER_hh_tes!T8/SER_hh_num!T8)</f>
        <v>0</v>
      </c>
      <c r="U8" s="132">
        <f>IF(SER_hh_tes!U8=0,0,11630*1000*SER_hh_tes!U8/SER_hh_num!U8)</f>
        <v>0</v>
      </c>
      <c r="V8" s="132">
        <f>IF(SER_hh_tes!V8=0,0,11630*1000*SER_hh_tes!V8/SER_hh_num!V8)</f>
        <v>0</v>
      </c>
      <c r="W8" s="132">
        <f>IF(SER_hh_tes!W8=0,0,11630*1000*SER_hh_tes!W8/SER_hh_num!W8)</f>
        <v>0</v>
      </c>
      <c r="X8" s="132">
        <f>IF(SER_hh_tes!X8=0,0,11630*1000*SER_hh_tes!X8/SER_hh_num!X8)</f>
        <v>0</v>
      </c>
      <c r="Y8" s="132">
        <f>IF(SER_hh_tes!Y8=0,0,11630*1000*SER_hh_tes!Y8/SER_hh_num!Y8)</f>
        <v>0</v>
      </c>
      <c r="DA8" s="156" t="s">
        <v>420</v>
      </c>
    </row>
    <row r="9" spans="1:105" ht="12" customHeight="1" x14ac:dyDescent="0.25">
      <c r="A9" s="131" t="s">
        <v>78</v>
      </c>
      <c r="B9" s="132">
        <f>IF(SER_hh_tes!B9=0,0,11630*1000*SER_hh_tes!B9/SER_hh_num!B9)</f>
        <v>67549.024650378313</v>
      </c>
      <c r="C9" s="132">
        <f>IF(SER_hh_tes!C9=0,0,11630*1000*SER_hh_tes!C9/SER_hh_num!C9)</f>
        <v>67479.221728485383</v>
      </c>
      <c r="D9" s="132">
        <f>IF(SER_hh_tes!D9=0,0,11630*1000*SER_hh_tes!D9/SER_hh_num!D9)</f>
        <v>67068.03584473049</v>
      </c>
      <c r="E9" s="132">
        <f>IF(SER_hh_tes!E9=0,0,11630*1000*SER_hh_tes!E9/SER_hh_num!E9)</f>
        <v>60593.585800912711</v>
      </c>
      <c r="F9" s="132">
        <f>IF(SER_hh_tes!F9=0,0,11630*1000*SER_hh_tes!F9/SER_hh_num!F9)</f>
        <v>72689.660337335168</v>
      </c>
      <c r="G9" s="132">
        <f>IF(SER_hh_tes!G9=0,0,11630*1000*SER_hh_tes!G9/SER_hh_num!G9)</f>
        <v>61757.175112248879</v>
      </c>
      <c r="H9" s="132">
        <f>IF(SER_hh_tes!H9=0,0,11630*1000*SER_hh_tes!H9/SER_hh_num!H9)</f>
        <v>58201.565262931828</v>
      </c>
      <c r="I9" s="132">
        <f>IF(SER_hh_tes!I9=0,0,11630*1000*SER_hh_tes!I9/SER_hh_num!I9)</f>
        <v>67162.358527717457</v>
      </c>
      <c r="J9" s="132">
        <f>IF(SER_hh_tes!J9=0,0,11630*1000*SER_hh_tes!J9/SER_hh_num!J9)</f>
        <v>56546.664133109924</v>
      </c>
      <c r="K9" s="132">
        <f>IF(SER_hh_tes!K9=0,0,11630*1000*SER_hh_tes!K9/SER_hh_num!K9)</f>
        <v>48565.313206694627</v>
      </c>
      <c r="L9" s="132">
        <f>IF(SER_hh_tes!L9=0,0,11630*1000*SER_hh_tes!L9/SER_hh_num!L9)</f>
        <v>53449.222201437799</v>
      </c>
      <c r="M9" s="132">
        <f>IF(SER_hh_tes!M9=0,0,11630*1000*SER_hh_tes!M9/SER_hh_num!M9)</f>
        <v>46213.079563942869</v>
      </c>
      <c r="N9" s="132">
        <f>IF(SER_hh_tes!N9=0,0,11630*1000*SER_hh_tes!N9/SER_hh_num!N9)</f>
        <v>49272.193295141667</v>
      </c>
      <c r="O9" s="132">
        <f>IF(SER_hh_tes!O9=0,0,11630*1000*SER_hh_tes!O9/SER_hh_num!O9)</f>
        <v>48023.543458368214</v>
      </c>
      <c r="P9" s="132">
        <f>IF(SER_hh_tes!P9=0,0,11630*1000*SER_hh_tes!P9/SER_hh_num!P9)</f>
        <v>40827.196698604188</v>
      </c>
      <c r="Q9" s="132">
        <f>IF(SER_hh_tes!Q9=0,0,11630*1000*SER_hh_tes!Q9/SER_hh_num!Q9)</f>
        <v>43509.735478836919</v>
      </c>
      <c r="R9" s="132">
        <f>IF(SER_hh_tes!R9=0,0,11630*1000*SER_hh_tes!R9/SER_hh_num!R9)</f>
        <v>45724.925692272693</v>
      </c>
      <c r="S9" s="132">
        <f>IF(SER_hh_tes!S9=0,0,11630*1000*SER_hh_tes!S9/SER_hh_num!S9)</f>
        <v>47943.76118601708</v>
      </c>
      <c r="T9" s="132">
        <f>IF(SER_hh_tes!T9=0,0,11630*1000*SER_hh_tes!T9/SER_hh_num!T9)</f>
        <v>49496.684499905808</v>
      </c>
      <c r="U9" s="132">
        <f>IF(SER_hh_tes!U9=0,0,11630*1000*SER_hh_tes!U9/SER_hh_num!U9)</f>
        <v>49227.711559191433</v>
      </c>
      <c r="V9" s="132">
        <f>IF(SER_hh_tes!V9=0,0,11630*1000*SER_hh_tes!V9/SER_hh_num!V9)</f>
        <v>48667.429364596144</v>
      </c>
      <c r="W9" s="132">
        <f>IF(SER_hh_tes!W9=0,0,11630*1000*SER_hh_tes!W9/SER_hh_num!W9)</f>
        <v>48833.848414602639</v>
      </c>
      <c r="X9" s="132">
        <f>IF(SER_hh_tes!X9=0,0,11630*1000*SER_hh_tes!X9/SER_hh_num!X9)</f>
        <v>44284.93420533913</v>
      </c>
      <c r="Y9" s="132">
        <f>IF(SER_hh_tes!Y9=0,0,11630*1000*SER_hh_tes!Y9/SER_hh_num!Y9)</f>
        <v>52918.479325167886</v>
      </c>
      <c r="DA9" s="156" t="s">
        <v>421</v>
      </c>
    </row>
    <row r="10" spans="1:105" ht="12" customHeight="1" x14ac:dyDescent="0.25">
      <c r="A10" s="131" t="s">
        <v>128</v>
      </c>
      <c r="B10" s="132">
        <f>IF(SER_hh_tes!B10=0,0,11630*1000*SER_hh_tes!B10/SER_hh_num!B10)</f>
        <v>71062.093442209414</v>
      </c>
      <c r="C10" s="132">
        <f>IF(SER_hh_tes!C10=0,0,11630*1000*SER_hh_tes!C10/SER_hh_num!C10)</f>
        <v>69952.480243226819</v>
      </c>
      <c r="D10" s="132">
        <f>IF(SER_hh_tes!D10=0,0,11630*1000*SER_hh_tes!D10/SER_hh_num!D10)</f>
        <v>71730.630423029084</v>
      </c>
      <c r="E10" s="132">
        <f>IF(SER_hh_tes!E10=0,0,11630*1000*SER_hh_tes!E10/SER_hh_num!E10)</f>
        <v>65352.490533061071</v>
      </c>
      <c r="F10" s="132">
        <f>IF(SER_hh_tes!F10=0,0,11630*1000*SER_hh_tes!F10/SER_hh_num!F10)</f>
        <v>63674.479758445392</v>
      </c>
      <c r="G10" s="132">
        <f>IF(SER_hh_tes!G10=0,0,11630*1000*SER_hh_tes!G10/SER_hh_num!G10)</f>
        <v>64687.77494000025</v>
      </c>
      <c r="H10" s="132">
        <f>IF(SER_hh_tes!H10=0,0,11630*1000*SER_hh_tes!H10/SER_hh_num!H10)</f>
        <v>63760.073096828659</v>
      </c>
      <c r="I10" s="132">
        <f>IF(SER_hh_tes!I10=0,0,11630*1000*SER_hh_tes!I10/SER_hh_num!I10)</f>
        <v>58284.650562066578</v>
      </c>
      <c r="J10" s="132">
        <f>IF(SER_hh_tes!J10=0,0,11630*1000*SER_hh_tes!J10/SER_hh_num!J10)</f>
        <v>56287.040020179506</v>
      </c>
      <c r="K10" s="132">
        <f>IF(SER_hh_tes!K10=0,0,11630*1000*SER_hh_tes!K10/SER_hh_num!K10)</f>
        <v>52031.500839028355</v>
      </c>
      <c r="L10" s="132">
        <f>IF(SER_hh_tes!L10=0,0,11630*1000*SER_hh_tes!L10/SER_hh_num!L10)</f>
        <v>49383.086106114002</v>
      </c>
      <c r="M10" s="132">
        <f>IF(SER_hh_tes!M10=0,0,11630*1000*SER_hh_tes!M10/SER_hh_num!M10)</f>
        <v>49562.156784782062</v>
      </c>
      <c r="N10" s="132">
        <f>IF(SER_hh_tes!N10=0,0,11630*1000*SER_hh_tes!N10/SER_hh_num!N10)</f>
        <v>49607.190465433276</v>
      </c>
      <c r="O10" s="132">
        <f>IF(SER_hh_tes!O10=0,0,11630*1000*SER_hh_tes!O10/SER_hh_num!O10)</f>
        <v>48465.613784636385</v>
      </c>
      <c r="P10" s="132">
        <f>IF(SER_hh_tes!P10=0,0,11630*1000*SER_hh_tes!P10/SER_hh_num!P10)</f>
        <v>44647.257038927914</v>
      </c>
      <c r="Q10" s="132">
        <f>IF(SER_hh_tes!Q10=0,0,11630*1000*SER_hh_tes!Q10/SER_hh_num!Q10)</f>
        <v>43482.616876160391</v>
      </c>
      <c r="R10" s="132">
        <f>IF(SER_hh_tes!R10=0,0,11630*1000*SER_hh_tes!R10/SER_hh_num!R10)</f>
        <v>47670.861315224909</v>
      </c>
      <c r="S10" s="132">
        <f>IF(SER_hh_tes!S10=0,0,11630*1000*SER_hh_tes!S10/SER_hh_num!S10)</f>
        <v>46021.442849065344</v>
      </c>
      <c r="T10" s="132">
        <f>IF(SER_hh_tes!T10=0,0,11630*1000*SER_hh_tes!T10/SER_hh_num!T10)</f>
        <v>49078.306323827055</v>
      </c>
      <c r="U10" s="132">
        <f>IF(SER_hh_tes!U10=0,0,11630*1000*SER_hh_tes!U10/SER_hh_num!U10)</f>
        <v>47117.310677332112</v>
      </c>
      <c r="V10" s="132">
        <f>IF(SER_hh_tes!V10=0,0,11630*1000*SER_hh_tes!V10/SER_hh_num!V10)</f>
        <v>52098.106762174088</v>
      </c>
      <c r="W10" s="132">
        <f>IF(SER_hh_tes!W10=0,0,11630*1000*SER_hh_tes!W10/SER_hh_num!W10)</f>
        <v>49690.86219868336</v>
      </c>
      <c r="X10" s="132">
        <f>IF(SER_hh_tes!X10=0,0,11630*1000*SER_hh_tes!X10/SER_hh_num!X10)</f>
        <v>47282.157254231017</v>
      </c>
      <c r="Y10" s="132">
        <f>IF(SER_hh_tes!Y10=0,0,11630*1000*SER_hh_tes!Y10/SER_hh_num!Y10)</f>
        <v>50439.387773111834</v>
      </c>
      <c r="DA10" s="156" t="s">
        <v>422</v>
      </c>
    </row>
    <row r="11" spans="1:105" ht="12" customHeight="1" x14ac:dyDescent="0.25">
      <c r="A11" s="131" t="s">
        <v>25</v>
      </c>
      <c r="B11" s="132">
        <f>IF(SER_hh_tes!B11=0,0,11630*1000*SER_hh_tes!B11/SER_hh_num!B11)</f>
        <v>0</v>
      </c>
      <c r="C11" s="132">
        <f>IF(SER_hh_tes!C11=0,0,11630*1000*SER_hh_tes!C11/SER_hh_num!C11)</f>
        <v>0</v>
      </c>
      <c r="D11" s="132">
        <f>IF(SER_hh_tes!D11=0,0,11630*1000*SER_hh_tes!D11/SER_hh_num!D11)</f>
        <v>0</v>
      </c>
      <c r="E11" s="132">
        <f>IF(SER_hh_tes!E11=0,0,11630*1000*SER_hh_tes!E11/SER_hh_num!E11)</f>
        <v>0</v>
      </c>
      <c r="F11" s="132">
        <f>IF(SER_hh_tes!F11=0,0,11630*1000*SER_hh_tes!F11/SER_hh_num!F11)</f>
        <v>0</v>
      </c>
      <c r="G11" s="132">
        <f>IF(SER_hh_tes!G11=0,0,11630*1000*SER_hh_tes!G11/SER_hh_num!G11)</f>
        <v>0</v>
      </c>
      <c r="H11" s="132">
        <f>IF(SER_hh_tes!H11=0,0,11630*1000*SER_hh_tes!H11/SER_hh_num!H11)</f>
        <v>0</v>
      </c>
      <c r="I11" s="132">
        <f>IF(SER_hh_tes!I11=0,0,11630*1000*SER_hh_tes!I11/SER_hh_num!I11)</f>
        <v>0</v>
      </c>
      <c r="J11" s="132">
        <f>IF(SER_hh_tes!J11=0,0,11630*1000*SER_hh_tes!J11/SER_hh_num!J11)</f>
        <v>0</v>
      </c>
      <c r="K11" s="132">
        <f>IF(SER_hh_tes!K11=0,0,11630*1000*SER_hh_tes!K11/SER_hh_num!K11)</f>
        <v>0</v>
      </c>
      <c r="L11" s="132">
        <f>IF(SER_hh_tes!L11=0,0,11630*1000*SER_hh_tes!L11/SER_hh_num!L11)</f>
        <v>0</v>
      </c>
      <c r="M11" s="132">
        <f>IF(SER_hh_tes!M11=0,0,11630*1000*SER_hh_tes!M11/SER_hh_num!M11)</f>
        <v>0</v>
      </c>
      <c r="N11" s="132">
        <f>IF(SER_hh_tes!N11=0,0,11630*1000*SER_hh_tes!N11/SER_hh_num!N11)</f>
        <v>0</v>
      </c>
      <c r="O11" s="132">
        <f>IF(SER_hh_tes!O11=0,0,11630*1000*SER_hh_tes!O11/SER_hh_num!O11)</f>
        <v>0</v>
      </c>
      <c r="P11" s="132">
        <f>IF(SER_hh_tes!P11=0,0,11630*1000*SER_hh_tes!P11/SER_hh_num!P11)</f>
        <v>0</v>
      </c>
      <c r="Q11" s="132">
        <f>IF(SER_hh_tes!Q11=0,0,11630*1000*SER_hh_tes!Q11/SER_hh_num!Q11)</f>
        <v>0</v>
      </c>
      <c r="R11" s="132">
        <f>IF(SER_hh_tes!R11=0,0,11630*1000*SER_hh_tes!R11/SER_hh_num!R11)</f>
        <v>0</v>
      </c>
      <c r="S11" s="132">
        <f>IF(SER_hh_tes!S11=0,0,11630*1000*SER_hh_tes!S11/SER_hh_num!S11)</f>
        <v>0</v>
      </c>
      <c r="T11" s="132">
        <f>IF(SER_hh_tes!T11=0,0,11630*1000*SER_hh_tes!T11/SER_hh_num!T11)</f>
        <v>0</v>
      </c>
      <c r="U11" s="132">
        <f>IF(SER_hh_tes!U11=0,0,11630*1000*SER_hh_tes!U11/SER_hh_num!U11)</f>
        <v>0</v>
      </c>
      <c r="V11" s="132">
        <f>IF(SER_hh_tes!V11=0,0,11630*1000*SER_hh_tes!V11/SER_hh_num!V11)</f>
        <v>0</v>
      </c>
      <c r="W11" s="132">
        <f>IF(SER_hh_tes!W11=0,0,11630*1000*SER_hh_tes!W11/SER_hh_num!W11)</f>
        <v>0</v>
      </c>
      <c r="X11" s="132">
        <f>IF(SER_hh_tes!X11=0,0,11630*1000*SER_hh_tes!X11/SER_hh_num!X11)</f>
        <v>0</v>
      </c>
      <c r="Y11" s="132">
        <f>IF(SER_hh_tes!Y11=0,0,11630*1000*SER_hh_tes!Y11/SER_hh_num!Y11)</f>
        <v>0</v>
      </c>
      <c r="DA11" s="156" t="s">
        <v>423</v>
      </c>
    </row>
    <row r="12" spans="1:105" ht="12" customHeight="1" x14ac:dyDescent="0.25">
      <c r="A12" s="131" t="s">
        <v>162</v>
      </c>
      <c r="B12" s="132">
        <f>IF(SER_hh_tes!B12=0,0,11630*1000*SER_hh_tes!B12/SER_hh_num!B12)</f>
        <v>71560.711236261806</v>
      </c>
      <c r="C12" s="132">
        <f>IF(SER_hh_tes!C12=0,0,11630*1000*SER_hh_tes!C12/SER_hh_num!C12)</f>
        <v>71667.867791771539</v>
      </c>
      <c r="D12" s="132">
        <f>IF(SER_hh_tes!D12=0,0,11630*1000*SER_hh_tes!D12/SER_hh_num!D12)</f>
        <v>68353.477175447071</v>
      </c>
      <c r="E12" s="132">
        <f>IF(SER_hh_tes!E12=0,0,11630*1000*SER_hh_tes!E12/SER_hh_num!E12)</f>
        <v>68232.509514259335</v>
      </c>
      <c r="F12" s="132">
        <f>IF(SER_hh_tes!F12=0,0,11630*1000*SER_hh_tes!F12/SER_hh_num!F12)</f>
        <v>66631.665432630354</v>
      </c>
      <c r="G12" s="132">
        <f>IF(SER_hh_tes!G12=0,0,11630*1000*SER_hh_tes!G12/SER_hh_num!G12)</f>
        <v>63661.042807138292</v>
      </c>
      <c r="H12" s="132">
        <f>IF(SER_hh_tes!H12=0,0,11630*1000*SER_hh_tes!H12/SER_hh_num!H12)</f>
        <v>67261.203434998853</v>
      </c>
      <c r="I12" s="132">
        <f>IF(SER_hh_tes!I12=0,0,11630*1000*SER_hh_tes!I12/SER_hh_num!I12)</f>
        <v>62119.718809246435</v>
      </c>
      <c r="J12" s="132">
        <f>IF(SER_hh_tes!J12=0,0,11630*1000*SER_hh_tes!J12/SER_hh_num!J12)</f>
        <v>49112.3739518484</v>
      </c>
      <c r="K12" s="132">
        <f>IF(SER_hh_tes!K12=0,0,11630*1000*SER_hh_tes!K12/SER_hh_num!K12)</f>
        <v>53190.963073352425</v>
      </c>
      <c r="L12" s="132">
        <f>IF(SER_hh_tes!L12=0,0,11630*1000*SER_hh_tes!L12/SER_hh_num!L12)</f>
        <v>55948.406048877172</v>
      </c>
      <c r="M12" s="132">
        <f>IF(SER_hh_tes!M12=0,0,11630*1000*SER_hh_tes!M12/SER_hh_num!M12)</f>
        <v>44275.775329938537</v>
      </c>
      <c r="N12" s="132">
        <f>IF(SER_hh_tes!N12=0,0,11630*1000*SER_hh_tes!N12/SER_hh_num!N12)</f>
        <v>53834.366080417851</v>
      </c>
      <c r="O12" s="132">
        <f>IF(SER_hh_tes!O12=0,0,11630*1000*SER_hh_tes!O12/SER_hh_num!O12)</f>
        <v>44947.76303426821</v>
      </c>
      <c r="P12" s="132">
        <f>IF(SER_hh_tes!P12=0,0,11630*1000*SER_hh_tes!P12/SER_hh_num!P12)</f>
        <v>43477.64700087472</v>
      </c>
      <c r="Q12" s="132">
        <f>IF(SER_hh_tes!Q12=0,0,11630*1000*SER_hh_tes!Q12/SER_hh_num!Q12)</f>
        <v>43988.88176664646</v>
      </c>
      <c r="R12" s="132">
        <f>IF(SER_hh_tes!R12=0,0,11630*1000*SER_hh_tes!R12/SER_hh_num!R12)</f>
        <v>43533.089277588238</v>
      </c>
      <c r="S12" s="132">
        <f>IF(SER_hh_tes!S12=0,0,11630*1000*SER_hh_tes!S12/SER_hh_num!S12)</f>
        <v>51811.697680172903</v>
      </c>
      <c r="T12" s="132">
        <f>IF(SER_hh_tes!T12=0,0,11630*1000*SER_hh_tes!T12/SER_hh_num!T12)</f>
        <v>53384.097429540627</v>
      </c>
      <c r="U12" s="132">
        <f>IF(SER_hh_tes!U12=0,0,11630*1000*SER_hh_tes!U12/SER_hh_num!U12)</f>
        <v>46421.42050481747</v>
      </c>
      <c r="V12" s="132">
        <f>IF(SER_hh_tes!V12=0,0,11630*1000*SER_hh_tes!V12/SER_hh_num!V12)</f>
        <v>41869.258078449435</v>
      </c>
      <c r="W12" s="132">
        <f>IF(SER_hh_tes!W12=0,0,11630*1000*SER_hh_tes!W12/SER_hh_num!W12)</f>
        <v>54958.302908731559</v>
      </c>
      <c r="X12" s="132">
        <f>IF(SER_hh_tes!X12=0,0,11630*1000*SER_hh_tes!X12/SER_hh_num!X12)</f>
        <v>51102.917917182705</v>
      </c>
      <c r="Y12" s="132">
        <f>IF(SER_hh_tes!Y12=0,0,11630*1000*SER_hh_tes!Y12/SER_hh_num!Y12)</f>
        <v>48681.660611193125</v>
      </c>
      <c r="DA12" s="156" t="s">
        <v>424</v>
      </c>
    </row>
    <row r="13" spans="1:105" ht="12" customHeight="1" x14ac:dyDescent="0.25">
      <c r="A13" s="131" t="s">
        <v>77</v>
      </c>
      <c r="B13" s="132">
        <f>IF(SER_hh_tes!B13=0,0,11630*1000*SER_hh_tes!B13/SER_hh_num!B13)</f>
        <v>58877.075400448979</v>
      </c>
      <c r="C13" s="132">
        <f>IF(SER_hh_tes!C13=0,0,11630*1000*SER_hh_tes!C13/SER_hh_num!C13)</f>
        <v>68968.960773236613</v>
      </c>
      <c r="D13" s="132">
        <f>IF(SER_hh_tes!D13=0,0,11630*1000*SER_hh_tes!D13/SER_hh_num!D13)</f>
        <v>54477.940428809081</v>
      </c>
      <c r="E13" s="132">
        <f>IF(SER_hh_tes!E13=0,0,11630*1000*SER_hh_tes!E13/SER_hh_num!E13)</f>
        <v>67254.718957910809</v>
      </c>
      <c r="F13" s="132">
        <f>IF(SER_hh_tes!F13=0,0,11630*1000*SER_hh_tes!F13/SER_hh_num!F13)</f>
        <v>63831.98578684836</v>
      </c>
      <c r="G13" s="132">
        <f>IF(SER_hh_tes!G13=0,0,11630*1000*SER_hh_tes!G13/SER_hh_num!G13)</f>
        <v>65423.34419691225</v>
      </c>
      <c r="H13" s="132">
        <f>IF(SER_hh_tes!H13=0,0,11630*1000*SER_hh_tes!H13/SER_hh_num!H13)</f>
        <v>58679.585502867216</v>
      </c>
      <c r="I13" s="132">
        <f>IF(SER_hh_tes!I13=0,0,11630*1000*SER_hh_tes!I13/SER_hh_num!I13)</f>
        <v>50536.065845577163</v>
      </c>
      <c r="J13" s="132">
        <f>IF(SER_hh_tes!J13=0,0,11630*1000*SER_hh_tes!J13/SER_hh_num!J13)</f>
        <v>60844.938443022802</v>
      </c>
      <c r="K13" s="132">
        <f>IF(SER_hh_tes!K13=0,0,11630*1000*SER_hh_tes!K13/SER_hh_num!K13)</f>
        <v>49560.261164470969</v>
      </c>
      <c r="L13" s="132">
        <f>IF(SER_hh_tes!L13=0,0,11630*1000*SER_hh_tes!L13/SER_hh_num!L13)</f>
        <v>39266.529300109069</v>
      </c>
      <c r="M13" s="132">
        <f>IF(SER_hh_tes!M13=0,0,11630*1000*SER_hh_tes!M13/SER_hh_num!M13)</f>
        <v>45743.403521728447</v>
      </c>
      <c r="N13" s="132">
        <f>IF(SER_hh_tes!N13=0,0,11630*1000*SER_hh_tes!N13/SER_hh_num!N13)</f>
        <v>45301.205427486042</v>
      </c>
      <c r="O13" s="132">
        <f>IF(SER_hh_tes!O13=0,0,11630*1000*SER_hh_tes!O13/SER_hh_num!O13)</f>
        <v>41916.077273825496</v>
      </c>
      <c r="P13" s="132">
        <f>IF(SER_hh_tes!P13=0,0,11630*1000*SER_hh_tes!P13/SER_hh_num!P13)</f>
        <v>49067.671177656746</v>
      </c>
      <c r="Q13" s="132">
        <f>IF(SER_hh_tes!Q13=0,0,11630*1000*SER_hh_tes!Q13/SER_hh_num!Q13)</f>
        <v>46090.242936572438</v>
      </c>
      <c r="R13" s="132">
        <f>IF(SER_hh_tes!R13=0,0,11630*1000*SER_hh_tes!R13/SER_hh_num!R13)</f>
        <v>46885.861060199495</v>
      </c>
      <c r="S13" s="132">
        <f>IF(SER_hh_tes!S13=0,0,11630*1000*SER_hh_tes!S13/SER_hh_num!S13)</f>
        <v>48619.962934801748</v>
      </c>
      <c r="T13" s="132">
        <f>IF(SER_hh_tes!T13=0,0,11630*1000*SER_hh_tes!T13/SER_hh_num!T13)</f>
        <v>50600.214808624398</v>
      </c>
      <c r="U13" s="132">
        <f>IF(SER_hh_tes!U13=0,0,11630*1000*SER_hh_tes!U13/SER_hh_num!U13)</f>
        <v>45570.002745794933</v>
      </c>
      <c r="V13" s="132">
        <f>IF(SER_hh_tes!V13=0,0,11630*1000*SER_hh_tes!V13/SER_hh_num!V13)</f>
        <v>36718.185204768946</v>
      </c>
      <c r="W13" s="132">
        <f>IF(SER_hh_tes!W13=0,0,11630*1000*SER_hh_tes!W13/SER_hh_num!W13)</f>
        <v>54307.965776482983</v>
      </c>
      <c r="X13" s="132">
        <f>IF(SER_hh_tes!X13=0,0,11630*1000*SER_hh_tes!X13/SER_hh_num!X13)</f>
        <v>46654.846170999648</v>
      </c>
      <c r="Y13" s="132">
        <f>IF(SER_hh_tes!Y13=0,0,11630*1000*SER_hh_tes!Y13/SER_hh_num!Y13)</f>
        <v>55252.455974440323</v>
      </c>
      <c r="DA13" s="156" t="s">
        <v>425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69559.098640002281</v>
      </c>
      <c r="C14" s="65">
        <f>IF(SER_hh_tes!C14=0,0,11630*1000*SER_hh_tes!C14/SER_hh_num!C14)</f>
        <v>72374.628989206933</v>
      </c>
      <c r="D14" s="65">
        <f>IF(SER_hh_tes!D14=0,0,11630*1000*SER_hh_tes!D14/SER_hh_num!D14)</f>
        <v>59950.034779162859</v>
      </c>
      <c r="E14" s="65">
        <f>IF(SER_hh_tes!E14=0,0,11630*1000*SER_hh_tes!E14/SER_hh_num!E14)</f>
        <v>73390.869187420249</v>
      </c>
      <c r="F14" s="65">
        <f>IF(SER_hh_tes!F14=0,0,11630*1000*SER_hh_tes!F14/SER_hh_num!F14)</f>
        <v>69329.159188896563</v>
      </c>
      <c r="G14" s="65">
        <f>IF(SER_hh_tes!G14=0,0,11630*1000*SER_hh_tes!G14/SER_hh_num!G14)</f>
        <v>65867.978548774205</v>
      </c>
      <c r="H14" s="65">
        <f>IF(SER_hh_tes!H14=0,0,11630*1000*SER_hh_tes!H14/SER_hh_num!H14)</f>
        <v>61910.394063147243</v>
      </c>
      <c r="I14" s="65">
        <f>IF(SER_hh_tes!I14=0,0,11630*1000*SER_hh_tes!I14/SER_hh_num!I14)</f>
        <v>59944.547838742103</v>
      </c>
      <c r="J14" s="65">
        <f>IF(SER_hh_tes!J14=0,0,11630*1000*SER_hh_tes!J14/SER_hh_num!J14)</f>
        <v>83898.760350959143</v>
      </c>
      <c r="K14" s="65">
        <f>IF(SER_hh_tes!K14=0,0,11630*1000*SER_hh_tes!K14/SER_hh_num!K14)</f>
        <v>47484.858408072607</v>
      </c>
      <c r="L14" s="65">
        <f>IF(SER_hh_tes!L14=0,0,11630*1000*SER_hh_tes!L14/SER_hh_num!L14)</f>
        <v>30576.365418246351</v>
      </c>
      <c r="M14" s="65">
        <f>IF(SER_hh_tes!M14=0,0,11630*1000*SER_hh_tes!M14/SER_hh_num!M14)</f>
        <v>48703.129693866824</v>
      </c>
      <c r="N14" s="65">
        <f>IF(SER_hh_tes!N14=0,0,11630*1000*SER_hh_tes!N14/SER_hh_num!N14)</f>
        <v>64019.502572927056</v>
      </c>
      <c r="O14" s="65">
        <f>IF(SER_hh_tes!O14=0,0,11630*1000*SER_hh_tes!O14/SER_hh_num!O14)</f>
        <v>44699.459965362934</v>
      </c>
      <c r="P14" s="65">
        <f>IF(SER_hh_tes!P14=0,0,11630*1000*SER_hh_tes!P14/SER_hh_num!P14)</f>
        <v>48279.549356766125</v>
      </c>
      <c r="Q14" s="65">
        <f>IF(SER_hh_tes!Q14=0,0,11630*1000*SER_hh_tes!Q14/SER_hh_num!Q14)</f>
        <v>22580.702775040052</v>
      </c>
      <c r="R14" s="65">
        <f>IF(SER_hh_tes!R14=0,0,11630*1000*SER_hh_tes!R14/SER_hh_num!R14)</f>
        <v>56957.695078781435</v>
      </c>
      <c r="S14" s="65">
        <f>IF(SER_hh_tes!S14=0,0,11630*1000*SER_hh_tes!S14/SER_hh_num!S14)</f>
        <v>37051.528861555504</v>
      </c>
      <c r="T14" s="65">
        <f>IF(SER_hh_tes!T14=0,0,11630*1000*SER_hh_tes!T14/SER_hh_num!T14)</f>
        <v>55962.233240796588</v>
      </c>
      <c r="U14" s="65">
        <f>IF(SER_hh_tes!U14=0,0,11630*1000*SER_hh_tes!U14/SER_hh_num!U14)</f>
        <v>55913.853952354715</v>
      </c>
      <c r="V14" s="65">
        <f>IF(SER_hh_tes!V14=0,0,11630*1000*SER_hh_tes!V14/SER_hh_num!V14)</f>
        <v>41513.618612265585</v>
      </c>
      <c r="W14" s="65">
        <f>IF(SER_hh_tes!W14=0,0,11630*1000*SER_hh_tes!W14/SER_hh_num!W14)</f>
        <v>55552.976195241521</v>
      </c>
      <c r="X14" s="65">
        <f>IF(SER_hh_tes!X14=0,0,11630*1000*SER_hh_tes!X14/SER_hh_num!X14)</f>
        <v>58989.394446545353</v>
      </c>
      <c r="Y14" s="65">
        <f>IF(SER_hh_tes!Y14=0,0,11630*1000*SER_hh_tes!Y14/SER_hh_num!Y14)</f>
        <v>35516.257690423161</v>
      </c>
      <c r="DA14" s="109" t="s">
        <v>426</v>
      </c>
    </row>
    <row r="15" spans="1:105" ht="12" customHeight="1" x14ac:dyDescent="0.25">
      <c r="A15" s="133" t="s">
        <v>80</v>
      </c>
      <c r="B15" s="134">
        <f>IF(SER_hh_tes!B15=0,0,11630*1000*SER_hh_tes!B15/SER_hh_num!B15)</f>
        <v>553.84901296159046</v>
      </c>
      <c r="C15" s="134">
        <f>IF(SER_hh_tes!C15=0,0,11630*1000*SER_hh_tes!C15/SER_hh_num!C15)</f>
        <v>510.68026747637037</v>
      </c>
      <c r="D15" s="134">
        <f>IF(SER_hh_tes!D15=0,0,11630*1000*SER_hh_tes!D15/SER_hh_num!D15)</f>
        <v>511.42910354775262</v>
      </c>
      <c r="E15" s="134">
        <f>IF(SER_hh_tes!E15=0,0,11630*1000*SER_hh_tes!E15/SER_hh_num!E15)</f>
        <v>472.90240294495129</v>
      </c>
      <c r="F15" s="134">
        <f>IF(SER_hh_tes!F15=0,0,11630*1000*SER_hh_tes!F15/SER_hh_num!F15)</f>
        <v>481.6469723333521</v>
      </c>
      <c r="G15" s="134">
        <f>IF(SER_hh_tes!G15=0,0,11630*1000*SER_hh_tes!G15/SER_hh_num!G15)</f>
        <v>449.46126028514965</v>
      </c>
      <c r="H15" s="134">
        <f>IF(SER_hh_tes!H15=0,0,11630*1000*SER_hh_tes!H15/SER_hh_num!H15)</f>
        <v>475.9703991469886</v>
      </c>
      <c r="I15" s="134">
        <f>IF(SER_hh_tes!I15=0,0,11630*1000*SER_hh_tes!I15/SER_hh_num!I15)</f>
        <v>442.15568203734182</v>
      </c>
      <c r="J15" s="134">
        <f>IF(SER_hh_tes!J15=0,0,11630*1000*SER_hh_tes!J15/SER_hh_num!J15)</f>
        <v>366.24880706330765</v>
      </c>
      <c r="K15" s="134">
        <f>IF(SER_hh_tes!K15=0,0,11630*1000*SER_hh_tes!K15/SER_hh_num!K15)</f>
        <v>355.41151559797908</v>
      </c>
      <c r="L15" s="134">
        <f>IF(SER_hh_tes!L15=0,0,11630*1000*SER_hh_tes!L15/SER_hh_num!L15)</f>
        <v>369.771899429651</v>
      </c>
      <c r="M15" s="134">
        <f>IF(SER_hh_tes!M15=0,0,11630*1000*SER_hh_tes!M15/SER_hh_num!M15)</f>
        <v>335.53926924556771</v>
      </c>
      <c r="N15" s="134">
        <f>IF(SER_hh_tes!N15=0,0,11630*1000*SER_hh_tes!N15/SER_hh_num!N15)</f>
        <v>342.69945093498433</v>
      </c>
      <c r="O15" s="134">
        <f>IF(SER_hh_tes!O15=0,0,11630*1000*SER_hh_tes!O15/SER_hh_num!O15)</f>
        <v>330.49964211329524</v>
      </c>
      <c r="P15" s="134">
        <f>IF(SER_hh_tes!P15=0,0,11630*1000*SER_hh_tes!P15/SER_hh_num!P15)</f>
        <v>303.03440160579237</v>
      </c>
      <c r="Q15" s="134">
        <f>IF(SER_hh_tes!Q15=0,0,11630*1000*SER_hh_tes!Q15/SER_hh_num!Q15)</f>
        <v>298.45582923305619</v>
      </c>
      <c r="R15" s="134">
        <f>IF(SER_hh_tes!R15=0,0,11630*1000*SER_hh_tes!R15/SER_hh_num!R15)</f>
        <v>316.40343691740873</v>
      </c>
      <c r="S15" s="134">
        <f>IF(SER_hh_tes!S15=0,0,11630*1000*SER_hh_tes!S15/SER_hh_num!S15)</f>
        <v>346.59131875734255</v>
      </c>
      <c r="T15" s="134">
        <f>IF(SER_hh_tes!T15=0,0,11630*1000*SER_hh_tes!T15/SER_hh_num!T15)</f>
        <v>364.76000890796797</v>
      </c>
      <c r="U15" s="134">
        <f>IF(SER_hh_tes!U15=0,0,11630*1000*SER_hh_tes!U15/SER_hh_num!U15)</f>
        <v>349.69948593268452</v>
      </c>
      <c r="V15" s="134">
        <f>IF(SER_hh_tes!V15=0,0,11630*1000*SER_hh_tes!V15/SER_hh_num!V15)</f>
        <v>327.15848968741346</v>
      </c>
      <c r="W15" s="134">
        <f>IF(SER_hh_tes!W15=0,0,11630*1000*SER_hh_tes!W15/SER_hh_num!W15)</f>
        <v>377.00423371691898</v>
      </c>
      <c r="X15" s="134">
        <f>IF(SER_hh_tes!X15=0,0,11630*1000*SER_hh_tes!X15/SER_hh_num!X15)</f>
        <v>360.34604966515218</v>
      </c>
      <c r="Y15" s="134">
        <f>IF(SER_hh_tes!Y15=0,0,11630*1000*SER_hh_tes!Y15/SER_hh_num!Y15)</f>
        <v>394.87667011990294</v>
      </c>
      <c r="DA15" s="157" t="s">
        <v>427</v>
      </c>
    </row>
    <row r="16" spans="1:105" ht="12.95" customHeight="1" x14ac:dyDescent="0.25">
      <c r="A16" s="129" t="s">
        <v>74</v>
      </c>
      <c r="B16" s="130">
        <f>IF(SER_hh_tes!B16=0,0,11630*1000*SER_hh_tes!B16/SER_hh_num!B16)</f>
        <v>18712.658730838506</v>
      </c>
      <c r="C16" s="130">
        <f>IF(SER_hh_tes!C16=0,0,11630*1000*SER_hh_tes!C16/SER_hh_num!C16)</f>
        <v>19634.905059097546</v>
      </c>
      <c r="D16" s="130">
        <f>IF(SER_hh_tes!D16=0,0,11630*1000*SER_hh_tes!D16/SER_hh_num!D16)</f>
        <v>21102.737002408317</v>
      </c>
      <c r="E16" s="130">
        <f>IF(SER_hh_tes!E16=0,0,11630*1000*SER_hh_tes!E16/SER_hh_num!E16)</f>
        <v>18925.592208058417</v>
      </c>
      <c r="F16" s="130">
        <f>IF(SER_hh_tes!F16=0,0,11630*1000*SER_hh_tes!F16/SER_hh_num!F16)</f>
        <v>18820.356269406973</v>
      </c>
      <c r="G16" s="130">
        <f>IF(SER_hh_tes!G16=0,0,11630*1000*SER_hh_tes!G16/SER_hh_num!G16)</f>
        <v>18860.256145453979</v>
      </c>
      <c r="H16" s="130">
        <f>IF(SER_hh_tes!H16=0,0,11630*1000*SER_hh_tes!H16/SER_hh_num!H16)</f>
        <v>20829.709954157272</v>
      </c>
      <c r="I16" s="130">
        <f>IF(SER_hh_tes!I16=0,0,11630*1000*SER_hh_tes!I16/SER_hh_num!I16)</f>
        <v>19217.392983244146</v>
      </c>
      <c r="J16" s="130">
        <f>IF(SER_hh_tes!J16=0,0,11630*1000*SER_hh_tes!J16/SER_hh_num!J16)</f>
        <v>18936.734922422631</v>
      </c>
      <c r="K16" s="130">
        <f>IF(SER_hh_tes!K16=0,0,11630*1000*SER_hh_tes!K16/SER_hh_num!K16)</f>
        <v>18978.641472959582</v>
      </c>
      <c r="L16" s="130">
        <f>IF(SER_hh_tes!L16=0,0,11630*1000*SER_hh_tes!L16/SER_hh_num!L16)</f>
        <v>24135.139071085949</v>
      </c>
      <c r="M16" s="130">
        <f>IF(SER_hh_tes!M16=0,0,11630*1000*SER_hh_tes!M16/SER_hh_num!M16)</f>
        <v>19165.853123938563</v>
      </c>
      <c r="N16" s="130">
        <f>IF(SER_hh_tes!N16=0,0,11630*1000*SER_hh_tes!N16/SER_hh_num!N16)</f>
        <v>21000.079543695709</v>
      </c>
      <c r="O16" s="130">
        <f>IF(SER_hh_tes!O16=0,0,11630*1000*SER_hh_tes!O16/SER_hh_num!O16)</f>
        <v>19542.007782369648</v>
      </c>
      <c r="P16" s="130">
        <f>IF(SER_hh_tes!P16=0,0,11630*1000*SER_hh_tes!P16/SER_hh_num!P16)</f>
        <v>21589.720291362853</v>
      </c>
      <c r="Q16" s="130">
        <f>IF(SER_hh_tes!Q16=0,0,11630*1000*SER_hh_tes!Q16/SER_hh_num!Q16)</f>
        <v>20929.707405814788</v>
      </c>
      <c r="R16" s="130">
        <f>IF(SER_hh_tes!R16=0,0,11630*1000*SER_hh_tes!R16/SER_hh_num!R16)</f>
        <v>19885.287505743087</v>
      </c>
      <c r="S16" s="130">
        <f>IF(SER_hh_tes!S16=0,0,11630*1000*SER_hh_tes!S16/SER_hh_num!S16)</f>
        <v>19791.631763429283</v>
      </c>
      <c r="T16" s="130">
        <f>IF(SER_hh_tes!T16=0,0,11630*1000*SER_hh_tes!T16/SER_hh_num!T16)</f>
        <v>21083.863239463495</v>
      </c>
      <c r="U16" s="130">
        <f>IF(SER_hh_tes!U16=0,0,11630*1000*SER_hh_tes!U16/SER_hh_num!U16)</f>
        <v>20554.513944552371</v>
      </c>
      <c r="V16" s="130">
        <f>IF(SER_hh_tes!V16=0,0,11630*1000*SER_hh_tes!V16/SER_hh_num!V16)</f>
        <v>19902.307904508951</v>
      </c>
      <c r="W16" s="130">
        <f>IF(SER_hh_tes!W16=0,0,11630*1000*SER_hh_tes!W16/SER_hh_num!W16)</f>
        <v>23498.771020406173</v>
      </c>
      <c r="X16" s="130">
        <f>IF(SER_hh_tes!X16=0,0,11630*1000*SER_hh_tes!X16/SER_hh_num!X16)</f>
        <v>21055.205057302115</v>
      </c>
      <c r="Y16" s="130">
        <f>IF(SER_hh_tes!Y16=0,0,11630*1000*SER_hh_tes!Y16/SER_hh_num!Y16)</f>
        <v>20648.934750437038</v>
      </c>
      <c r="DA16" s="155" t="s">
        <v>428</v>
      </c>
    </row>
    <row r="17" spans="1:105" ht="12.95" customHeight="1" x14ac:dyDescent="0.25">
      <c r="A17" s="131" t="s">
        <v>73</v>
      </c>
      <c r="B17" s="132">
        <f>IF(SER_hh_tes!B17=0,0,11630*1000*SER_hh_tes!B17/SER_hh_num!B17)</f>
        <v>0</v>
      </c>
      <c r="C17" s="132">
        <f>IF(SER_hh_tes!C17=0,0,11630*1000*SER_hh_tes!C17/SER_hh_num!C17)</f>
        <v>0</v>
      </c>
      <c r="D17" s="132">
        <f>IF(SER_hh_tes!D17=0,0,11630*1000*SER_hh_tes!D17/SER_hh_num!D17)</f>
        <v>0</v>
      </c>
      <c r="E17" s="132">
        <f>IF(SER_hh_tes!E17=0,0,11630*1000*SER_hh_tes!E17/SER_hh_num!E17)</f>
        <v>0</v>
      </c>
      <c r="F17" s="132">
        <f>IF(SER_hh_tes!F17=0,0,11630*1000*SER_hh_tes!F17/SER_hh_num!F17)</f>
        <v>0</v>
      </c>
      <c r="G17" s="132">
        <f>IF(SER_hh_tes!G17=0,0,11630*1000*SER_hh_tes!G17/SER_hh_num!G17)</f>
        <v>0</v>
      </c>
      <c r="H17" s="132">
        <f>IF(SER_hh_tes!H17=0,0,11630*1000*SER_hh_tes!H17/SER_hh_num!H17)</f>
        <v>0</v>
      </c>
      <c r="I17" s="132">
        <f>IF(SER_hh_tes!I17=0,0,11630*1000*SER_hh_tes!I17/SER_hh_num!I17)</f>
        <v>0</v>
      </c>
      <c r="J17" s="132">
        <f>IF(SER_hh_tes!J17=0,0,11630*1000*SER_hh_tes!J17/SER_hh_num!J17)</f>
        <v>0</v>
      </c>
      <c r="K17" s="132">
        <f>IF(SER_hh_tes!K17=0,0,11630*1000*SER_hh_tes!K17/SER_hh_num!K17)</f>
        <v>0</v>
      </c>
      <c r="L17" s="132">
        <f>IF(SER_hh_tes!L17=0,0,11630*1000*SER_hh_tes!L17/SER_hh_num!L17)</f>
        <v>0</v>
      </c>
      <c r="M17" s="132">
        <f>IF(SER_hh_tes!M17=0,0,11630*1000*SER_hh_tes!M17/SER_hh_num!M17)</f>
        <v>0</v>
      </c>
      <c r="N17" s="132">
        <f>IF(SER_hh_tes!N17=0,0,11630*1000*SER_hh_tes!N17/SER_hh_num!N17)</f>
        <v>0</v>
      </c>
      <c r="O17" s="132">
        <f>IF(SER_hh_tes!O17=0,0,11630*1000*SER_hh_tes!O17/SER_hh_num!O17)</f>
        <v>0</v>
      </c>
      <c r="P17" s="132">
        <f>IF(SER_hh_tes!P17=0,0,11630*1000*SER_hh_tes!P17/SER_hh_num!P17)</f>
        <v>0</v>
      </c>
      <c r="Q17" s="132">
        <f>IF(SER_hh_tes!Q17=0,0,11630*1000*SER_hh_tes!Q17/SER_hh_num!Q17)</f>
        <v>0</v>
      </c>
      <c r="R17" s="132">
        <f>IF(SER_hh_tes!R17=0,0,11630*1000*SER_hh_tes!R17/SER_hh_num!R17)</f>
        <v>0</v>
      </c>
      <c r="S17" s="132">
        <f>IF(SER_hh_tes!S17=0,0,11630*1000*SER_hh_tes!S17/SER_hh_num!S17)</f>
        <v>0</v>
      </c>
      <c r="T17" s="132">
        <f>IF(SER_hh_tes!T17=0,0,11630*1000*SER_hh_tes!T17/SER_hh_num!T17)</f>
        <v>0</v>
      </c>
      <c r="U17" s="132">
        <f>IF(SER_hh_tes!U17=0,0,11630*1000*SER_hh_tes!U17/SER_hh_num!U17)</f>
        <v>0</v>
      </c>
      <c r="V17" s="132">
        <f>IF(SER_hh_tes!V17=0,0,11630*1000*SER_hh_tes!V17/SER_hh_num!V17)</f>
        <v>0</v>
      </c>
      <c r="W17" s="132">
        <f>IF(SER_hh_tes!W17=0,0,11630*1000*SER_hh_tes!W17/SER_hh_num!W17)</f>
        <v>0</v>
      </c>
      <c r="X17" s="132">
        <f>IF(SER_hh_tes!X17=0,0,11630*1000*SER_hh_tes!X17/SER_hh_num!X17)</f>
        <v>0</v>
      </c>
      <c r="Y17" s="132">
        <f>IF(SER_hh_tes!Y17=0,0,11630*1000*SER_hh_tes!Y17/SER_hh_num!Y17)</f>
        <v>0</v>
      </c>
      <c r="DA17" s="156" t="s">
        <v>429</v>
      </c>
    </row>
    <row r="18" spans="1:105" ht="12" customHeight="1" x14ac:dyDescent="0.25">
      <c r="A18" s="131" t="s">
        <v>72</v>
      </c>
      <c r="B18" s="132">
        <f>IF(SER_hh_tes!B18=0,0,11630*1000*SER_hh_tes!B18/SER_hh_num!B18)</f>
        <v>18712.658730838506</v>
      </c>
      <c r="C18" s="132">
        <f>IF(SER_hh_tes!C18=0,0,11630*1000*SER_hh_tes!C18/SER_hh_num!C18)</f>
        <v>19634.905059097546</v>
      </c>
      <c r="D18" s="132">
        <f>IF(SER_hh_tes!D18=0,0,11630*1000*SER_hh_tes!D18/SER_hh_num!D18)</f>
        <v>21102.737002408317</v>
      </c>
      <c r="E18" s="132">
        <f>IF(SER_hh_tes!E18=0,0,11630*1000*SER_hh_tes!E18/SER_hh_num!E18)</f>
        <v>18925.592208058417</v>
      </c>
      <c r="F18" s="132">
        <f>IF(SER_hh_tes!F18=0,0,11630*1000*SER_hh_tes!F18/SER_hh_num!F18)</f>
        <v>18820.356269406973</v>
      </c>
      <c r="G18" s="132">
        <f>IF(SER_hh_tes!G18=0,0,11630*1000*SER_hh_tes!G18/SER_hh_num!G18)</f>
        <v>18860.256145453979</v>
      </c>
      <c r="H18" s="132">
        <f>IF(SER_hh_tes!H18=0,0,11630*1000*SER_hh_tes!H18/SER_hh_num!H18)</f>
        <v>20829.709954157272</v>
      </c>
      <c r="I18" s="132">
        <f>IF(SER_hh_tes!I18=0,0,11630*1000*SER_hh_tes!I18/SER_hh_num!I18)</f>
        <v>19217.392983244146</v>
      </c>
      <c r="J18" s="132">
        <f>IF(SER_hh_tes!J18=0,0,11630*1000*SER_hh_tes!J18/SER_hh_num!J18)</f>
        <v>18936.734922422631</v>
      </c>
      <c r="K18" s="132">
        <f>IF(SER_hh_tes!K18=0,0,11630*1000*SER_hh_tes!K18/SER_hh_num!K18)</f>
        <v>18978.641472959582</v>
      </c>
      <c r="L18" s="132">
        <f>IF(SER_hh_tes!L18=0,0,11630*1000*SER_hh_tes!L18/SER_hh_num!L18)</f>
        <v>24135.139071085949</v>
      </c>
      <c r="M18" s="132">
        <f>IF(SER_hh_tes!M18=0,0,11630*1000*SER_hh_tes!M18/SER_hh_num!M18)</f>
        <v>19165.853123938563</v>
      </c>
      <c r="N18" s="132">
        <f>IF(SER_hh_tes!N18=0,0,11630*1000*SER_hh_tes!N18/SER_hh_num!N18)</f>
        <v>21000.079543695709</v>
      </c>
      <c r="O18" s="132">
        <f>IF(SER_hh_tes!O18=0,0,11630*1000*SER_hh_tes!O18/SER_hh_num!O18)</f>
        <v>19542.007782369648</v>
      </c>
      <c r="P18" s="132">
        <f>IF(SER_hh_tes!P18=0,0,11630*1000*SER_hh_tes!P18/SER_hh_num!P18)</f>
        <v>21589.720291362853</v>
      </c>
      <c r="Q18" s="132">
        <f>IF(SER_hh_tes!Q18=0,0,11630*1000*SER_hh_tes!Q18/SER_hh_num!Q18)</f>
        <v>20929.707405814788</v>
      </c>
      <c r="R18" s="132">
        <f>IF(SER_hh_tes!R18=0,0,11630*1000*SER_hh_tes!R18/SER_hh_num!R18)</f>
        <v>19885.287505743087</v>
      </c>
      <c r="S18" s="132">
        <f>IF(SER_hh_tes!S18=0,0,11630*1000*SER_hh_tes!S18/SER_hh_num!S18)</f>
        <v>19791.631763429283</v>
      </c>
      <c r="T18" s="132">
        <f>IF(SER_hh_tes!T18=0,0,11630*1000*SER_hh_tes!T18/SER_hh_num!T18)</f>
        <v>21083.863239463495</v>
      </c>
      <c r="U18" s="132">
        <f>IF(SER_hh_tes!U18=0,0,11630*1000*SER_hh_tes!U18/SER_hh_num!U18)</f>
        <v>20554.513944552371</v>
      </c>
      <c r="V18" s="132">
        <f>IF(SER_hh_tes!V18=0,0,11630*1000*SER_hh_tes!V18/SER_hh_num!V18)</f>
        <v>19902.307904508951</v>
      </c>
      <c r="W18" s="132">
        <f>IF(SER_hh_tes!W18=0,0,11630*1000*SER_hh_tes!W18/SER_hh_num!W18)</f>
        <v>23498.771020406173</v>
      </c>
      <c r="X18" s="132">
        <f>IF(SER_hh_tes!X18=0,0,11630*1000*SER_hh_tes!X18/SER_hh_num!X18)</f>
        <v>21055.205057302115</v>
      </c>
      <c r="Y18" s="132">
        <f>IF(SER_hh_tes!Y18=0,0,11630*1000*SER_hh_tes!Y18/SER_hh_num!Y18)</f>
        <v>20648.934750437038</v>
      </c>
      <c r="DA18" s="156" t="s">
        <v>430</v>
      </c>
    </row>
    <row r="19" spans="1:105" ht="12.95" customHeight="1" x14ac:dyDescent="0.25">
      <c r="A19" s="129" t="s">
        <v>35</v>
      </c>
      <c r="B19" s="130">
        <f>IF(SER_hh_tes!B19=0,0,11630*1000*SER_hh_tes!B19/SER_hh_num!B19)</f>
        <v>8046.4355804916577</v>
      </c>
      <c r="C19" s="130">
        <f>IF(SER_hh_tes!C19=0,0,11630*1000*SER_hh_tes!C19/SER_hh_num!C19)</f>
        <v>8163.165052361931</v>
      </c>
      <c r="D19" s="130">
        <f>IF(SER_hh_tes!D19=0,0,11630*1000*SER_hh_tes!D19/SER_hh_num!D19)</f>
        <v>8214.3131938869228</v>
      </c>
      <c r="E19" s="130">
        <f>IF(SER_hh_tes!E19=0,0,11630*1000*SER_hh_tes!E19/SER_hh_num!E19)</f>
        <v>8218.4814730094749</v>
      </c>
      <c r="F19" s="130">
        <f>IF(SER_hh_tes!F19=0,0,11630*1000*SER_hh_tes!F19/SER_hh_num!F19)</f>
        <v>8556.4953922187433</v>
      </c>
      <c r="G19" s="130">
        <f>IF(SER_hh_tes!G19=0,0,11630*1000*SER_hh_tes!G19/SER_hh_num!G19)</f>
        <v>8854.1470544507356</v>
      </c>
      <c r="H19" s="130">
        <f>IF(SER_hh_tes!H19=0,0,11630*1000*SER_hh_tes!H19/SER_hh_num!H19)</f>
        <v>9233.6502946848304</v>
      </c>
      <c r="I19" s="130">
        <f>IF(SER_hh_tes!I19=0,0,11630*1000*SER_hh_tes!I19/SER_hh_num!I19)</f>
        <v>9013.6635994988847</v>
      </c>
      <c r="J19" s="130">
        <f>IF(SER_hh_tes!J19=0,0,11630*1000*SER_hh_tes!J19/SER_hh_num!J19)</f>
        <v>9110.6842659025169</v>
      </c>
      <c r="K19" s="130">
        <f>IF(SER_hh_tes!K19=0,0,11630*1000*SER_hh_tes!K19/SER_hh_num!K19)</f>
        <v>9372.3810030817895</v>
      </c>
      <c r="L19" s="130">
        <f>IF(SER_hh_tes!L19=0,0,11630*1000*SER_hh_tes!L19/SER_hh_num!L19)</f>
        <v>9589.4011766246622</v>
      </c>
      <c r="M19" s="130">
        <f>IF(SER_hh_tes!M19=0,0,11630*1000*SER_hh_tes!M19/SER_hh_num!M19)</f>
        <v>9731.734311744518</v>
      </c>
      <c r="N19" s="130">
        <f>IF(SER_hh_tes!N19=0,0,11630*1000*SER_hh_tes!N19/SER_hh_num!N19)</f>
        <v>9869.4365335555558</v>
      </c>
      <c r="O19" s="130">
        <f>IF(SER_hh_tes!O19=0,0,11630*1000*SER_hh_tes!O19/SER_hh_num!O19)</f>
        <v>10086.405255083824</v>
      </c>
      <c r="P19" s="130">
        <f>IF(SER_hh_tes!P19=0,0,11630*1000*SER_hh_tes!P19/SER_hh_num!P19)</f>
        <v>10121.793464430786</v>
      </c>
      <c r="Q19" s="130">
        <f>IF(SER_hh_tes!Q19=0,0,11630*1000*SER_hh_tes!Q19/SER_hh_num!Q19)</f>
        <v>10278.742619395789</v>
      </c>
      <c r="R19" s="130">
        <f>IF(SER_hh_tes!R19=0,0,11630*1000*SER_hh_tes!R19/SER_hh_num!R19)</f>
        <v>10312.865413177429</v>
      </c>
      <c r="S19" s="130">
        <f>IF(SER_hh_tes!S19=0,0,11630*1000*SER_hh_tes!S19/SER_hh_num!S19)</f>
        <v>10712.925384261711</v>
      </c>
      <c r="T19" s="130">
        <f>IF(SER_hh_tes!T19=0,0,11630*1000*SER_hh_tes!T19/SER_hh_num!T19)</f>
        <v>10670.815507146521</v>
      </c>
      <c r="U19" s="130">
        <f>IF(SER_hh_tes!U19=0,0,11630*1000*SER_hh_tes!U19/SER_hh_num!U19)</f>
        <v>10839.18762541622</v>
      </c>
      <c r="V19" s="130">
        <f>IF(SER_hh_tes!V19=0,0,11630*1000*SER_hh_tes!V19/SER_hh_num!V19)</f>
        <v>9634.9214889413488</v>
      </c>
      <c r="W19" s="130">
        <f>IF(SER_hh_tes!W19=0,0,11630*1000*SER_hh_tes!W19/SER_hh_num!W19)</f>
        <v>10712.412559298678</v>
      </c>
      <c r="X19" s="130">
        <f>IF(SER_hh_tes!X19=0,0,11630*1000*SER_hh_tes!X19/SER_hh_num!X19)</f>
        <v>10845.634774895369</v>
      </c>
      <c r="Y19" s="130">
        <f>IF(SER_hh_tes!Y19=0,0,11630*1000*SER_hh_tes!Y19/SER_hh_num!Y19)</f>
        <v>11172.705945873233</v>
      </c>
      <c r="DA19" s="155" t="s">
        <v>431</v>
      </c>
    </row>
    <row r="20" spans="1:105" ht="12" customHeight="1" x14ac:dyDescent="0.25">
      <c r="A20" s="131" t="s">
        <v>29</v>
      </c>
      <c r="B20" s="132">
        <f>IF(SER_hh_tes!B20=0,0,11630*1000*SER_hh_tes!B20/SER_hh_num!B20)</f>
        <v>0</v>
      </c>
      <c r="C20" s="132">
        <f>IF(SER_hh_tes!C20=0,0,11630*1000*SER_hh_tes!C20/SER_hh_num!C20)</f>
        <v>0</v>
      </c>
      <c r="D20" s="132">
        <f>IF(SER_hh_tes!D20=0,0,11630*1000*SER_hh_tes!D20/SER_hh_num!D20)</f>
        <v>0</v>
      </c>
      <c r="E20" s="132">
        <f>IF(SER_hh_tes!E20=0,0,11630*1000*SER_hh_tes!E20/SER_hh_num!E20)</f>
        <v>0</v>
      </c>
      <c r="F20" s="132">
        <f>IF(SER_hh_tes!F20=0,0,11630*1000*SER_hh_tes!F20/SER_hh_num!F20)</f>
        <v>0</v>
      </c>
      <c r="G20" s="132">
        <f>IF(SER_hh_tes!G20=0,0,11630*1000*SER_hh_tes!G20/SER_hh_num!G20)</f>
        <v>0</v>
      </c>
      <c r="H20" s="132">
        <f>IF(SER_hh_tes!H20=0,0,11630*1000*SER_hh_tes!H20/SER_hh_num!H20)</f>
        <v>0</v>
      </c>
      <c r="I20" s="132">
        <f>IF(SER_hh_tes!I20=0,0,11630*1000*SER_hh_tes!I20/SER_hh_num!I20)</f>
        <v>0</v>
      </c>
      <c r="J20" s="132">
        <f>IF(SER_hh_tes!J20=0,0,11630*1000*SER_hh_tes!J20/SER_hh_num!J20)</f>
        <v>0</v>
      </c>
      <c r="K20" s="132">
        <f>IF(SER_hh_tes!K20=0,0,11630*1000*SER_hh_tes!K20/SER_hh_num!K20)</f>
        <v>0</v>
      </c>
      <c r="L20" s="132">
        <f>IF(SER_hh_tes!L20=0,0,11630*1000*SER_hh_tes!L20/SER_hh_num!L20)</f>
        <v>0</v>
      </c>
      <c r="M20" s="132">
        <f>IF(SER_hh_tes!M20=0,0,11630*1000*SER_hh_tes!M20/SER_hh_num!M20)</f>
        <v>0</v>
      </c>
      <c r="N20" s="132">
        <f>IF(SER_hh_tes!N20=0,0,11630*1000*SER_hh_tes!N20/SER_hh_num!N20)</f>
        <v>0</v>
      </c>
      <c r="O20" s="132">
        <f>IF(SER_hh_tes!O20=0,0,11630*1000*SER_hh_tes!O20/SER_hh_num!O20)</f>
        <v>0</v>
      </c>
      <c r="P20" s="132">
        <f>IF(SER_hh_tes!P20=0,0,11630*1000*SER_hh_tes!P20/SER_hh_num!P20)</f>
        <v>0</v>
      </c>
      <c r="Q20" s="132">
        <f>IF(SER_hh_tes!Q20=0,0,11630*1000*SER_hh_tes!Q20/SER_hh_num!Q20)</f>
        <v>0</v>
      </c>
      <c r="R20" s="132">
        <f>IF(SER_hh_tes!R20=0,0,11630*1000*SER_hh_tes!R20/SER_hh_num!R20)</f>
        <v>0</v>
      </c>
      <c r="S20" s="132">
        <f>IF(SER_hh_tes!S20=0,0,11630*1000*SER_hh_tes!S20/SER_hh_num!S20)</f>
        <v>0</v>
      </c>
      <c r="T20" s="132">
        <f>IF(SER_hh_tes!T20=0,0,11630*1000*SER_hh_tes!T20/SER_hh_num!T20)</f>
        <v>0</v>
      </c>
      <c r="U20" s="132">
        <f>IF(SER_hh_tes!U20=0,0,11630*1000*SER_hh_tes!U20/SER_hh_num!U20)</f>
        <v>0</v>
      </c>
      <c r="V20" s="132">
        <f>IF(SER_hh_tes!V20=0,0,11630*1000*SER_hh_tes!V20/SER_hh_num!V20)</f>
        <v>0</v>
      </c>
      <c r="W20" s="132">
        <f>IF(SER_hh_tes!W20=0,0,11630*1000*SER_hh_tes!W20/SER_hh_num!W20)</f>
        <v>0</v>
      </c>
      <c r="X20" s="132">
        <f>IF(SER_hh_tes!X20=0,0,11630*1000*SER_hh_tes!X20/SER_hh_num!X20)</f>
        <v>0</v>
      </c>
      <c r="Y20" s="132">
        <f>IF(SER_hh_tes!Y20=0,0,11630*1000*SER_hh_tes!Y20/SER_hh_num!Y20)</f>
        <v>0</v>
      </c>
      <c r="DA20" s="156" t="s">
        <v>432</v>
      </c>
    </row>
    <row r="21" spans="1:105" s="2" customFormat="1" ht="12" customHeight="1" x14ac:dyDescent="0.25">
      <c r="A21" s="131" t="s">
        <v>52</v>
      </c>
      <c r="B21" s="132">
        <f>IF(SER_hh_tes!B21=0,0,11630*1000*SER_hh_tes!B21/SER_hh_num!B21)</f>
        <v>0</v>
      </c>
      <c r="C21" s="132">
        <f>IF(SER_hh_tes!C21=0,0,11630*1000*SER_hh_tes!C21/SER_hh_num!C21)</f>
        <v>0</v>
      </c>
      <c r="D21" s="132">
        <f>IF(SER_hh_tes!D21=0,0,11630*1000*SER_hh_tes!D21/SER_hh_num!D21)</f>
        <v>0</v>
      </c>
      <c r="E21" s="132">
        <f>IF(SER_hh_tes!E21=0,0,11630*1000*SER_hh_tes!E21/SER_hh_num!E21)</f>
        <v>0</v>
      </c>
      <c r="F21" s="132">
        <f>IF(SER_hh_tes!F21=0,0,11630*1000*SER_hh_tes!F21/SER_hh_num!F21)</f>
        <v>0</v>
      </c>
      <c r="G21" s="132">
        <f>IF(SER_hh_tes!G21=0,0,11630*1000*SER_hh_tes!G21/SER_hh_num!G21)</f>
        <v>0</v>
      </c>
      <c r="H21" s="132">
        <f>IF(SER_hh_tes!H21=0,0,11630*1000*SER_hh_tes!H21/SER_hh_num!H21)</f>
        <v>0</v>
      </c>
      <c r="I21" s="132">
        <f>IF(SER_hh_tes!I21=0,0,11630*1000*SER_hh_tes!I21/SER_hh_num!I21)</f>
        <v>0</v>
      </c>
      <c r="J21" s="132">
        <f>IF(SER_hh_tes!J21=0,0,11630*1000*SER_hh_tes!J21/SER_hh_num!J21)</f>
        <v>0</v>
      </c>
      <c r="K21" s="132">
        <f>IF(SER_hh_tes!K21=0,0,11630*1000*SER_hh_tes!K21/SER_hh_num!K21)</f>
        <v>0</v>
      </c>
      <c r="L21" s="132">
        <f>IF(SER_hh_tes!L21=0,0,11630*1000*SER_hh_tes!L21/SER_hh_num!L21)</f>
        <v>0</v>
      </c>
      <c r="M21" s="132">
        <f>IF(SER_hh_tes!M21=0,0,11630*1000*SER_hh_tes!M21/SER_hh_num!M21)</f>
        <v>0</v>
      </c>
      <c r="N21" s="132">
        <f>IF(SER_hh_tes!N21=0,0,11630*1000*SER_hh_tes!N21/SER_hh_num!N21)</f>
        <v>0</v>
      </c>
      <c r="O21" s="132">
        <f>IF(SER_hh_tes!O21=0,0,11630*1000*SER_hh_tes!O21/SER_hh_num!O21)</f>
        <v>0</v>
      </c>
      <c r="P21" s="132">
        <f>IF(SER_hh_tes!P21=0,0,11630*1000*SER_hh_tes!P21/SER_hh_num!P21)</f>
        <v>0</v>
      </c>
      <c r="Q21" s="132">
        <f>IF(SER_hh_tes!Q21=0,0,11630*1000*SER_hh_tes!Q21/SER_hh_num!Q21)</f>
        <v>0</v>
      </c>
      <c r="R21" s="132">
        <f>IF(SER_hh_tes!R21=0,0,11630*1000*SER_hh_tes!R21/SER_hh_num!R21)</f>
        <v>0</v>
      </c>
      <c r="S21" s="132">
        <f>IF(SER_hh_tes!S21=0,0,11630*1000*SER_hh_tes!S21/SER_hh_num!S21)</f>
        <v>0</v>
      </c>
      <c r="T21" s="132">
        <f>IF(SER_hh_tes!T21=0,0,11630*1000*SER_hh_tes!T21/SER_hh_num!T21)</f>
        <v>0</v>
      </c>
      <c r="U21" s="132">
        <f>IF(SER_hh_tes!U21=0,0,11630*1000*SER_hh_tes!U21/SER_hh_num!U21)</f>
        <v>0</v>
      </c>
      <c r="V21" s="132">
        <f>IF(SER_hh_tes!V21=0,0,11630*1000*SER_hh_tes!V21/SER_hh_num!V21)</f>
        <v>0</v>
      </c>
      <c r="W21" s="132">
        <f>IF(SER_hh_tes!W21=0,0,11630*1000*SER_hh_tes!W21/SER_hh_num!W21)</f>
        <v>0</v>
      </c>
      <c r="X21" s="132">
        <f>IF(SER_hh_tes!X21=0,0,11630*1000*SER_hh_tes!X21/SER_hh_num!X21)</f>
        <v>0</v>
      </c>
      <c r="Y21" s="132">
        <f>IF(SER_hh_tes!Y21=0,0,11630*1000*SER_hh_tes!Y21/SER_hh_num!Y21)</f>
        <v>0</v>
      </c>
      <c r="DA21" s="156" t="s">
        <v>433</v>
      </c>
    </row>
    <row r="22" spans="1:105" ht="12" customHeight="1" x14ac:dyDescent="0.25">
      <c r="A22" s="131" t="s">
        <v>161</v>
      </c>
      <c r="B22" s="132">
        <f>IF(SER_hh_tes!B22=0,0,11630*1000*SER_hh_tes!B22/SER_hh_num!B22)</f>
        <v>9371.7021675687502</v>
      </c>
      <c r="C22" s="132">
        <f>IF(SER_hh_tes!C22=0,0,11630*1000*SER_hh_tes!C22/SER_hh_num!C22)</f>
        <v>6992.4194284517962</v>
      </c>
      <c r="D22" s="132">
        <f>IF(SER_hh_tes!D22=0,0,11630*1000*SER_hh_tes!D22/SER_hh_num!D22)</f>
        <v>7839.8429757877502</v>
      </c>
      <c r="E22" s="132">
        <f>IF(SER_hh_tes!E22=0,0,11630*1000*SER_hh_tes!E22/SER_hh_num!E22)</f>
        <v>7393.4985491187545</v>
      </c>
      <c r="F22" s="132">
        <f>IF(SER_hh_tes!F22=0,0,11630*1000*SER_hh_tes!F22/SER_hh_num!F22)</f>
        <v>9319.4080463395749</v>
      </c>
      <c r="G22" s="132">
        <f>IF(SER_hh_tes!G22=0,0,11630*1000*SER_hh_tes!G22/SER_hh_num!G22)</f>
        <v>8385.722462502481</v>
      </c>
      <c r="H22" s="132">
        <f>IF(SER_hh_tes!H22=0,0,11630*1000*SER_hh_tes!H22/SER_hh_num!H22)</f>
        <v>9158.7854533770151</v>
      </c>
      <c r="I22" s="132">
        <f>IF(SER_hh_tes!I22=0,0,11630*1000*SER_hh_tes!I22/SER_hh_num!I22)</f>
        <v>9046.3089802968625</v>
      </c>
      <c r="J22" s="132">
        <f>IF(SER_hh_tes!J22=0,0,11630*1000*SER_hh_tes!J22/SER_hh_num!J22)</f>
        <v>9981.7036565852122</v>
      </c>
      <c r="K22" s="132">
        <f>IF(SER_hh_tes!K22=0,0,11630*1000*SER_hh_tes!K22/SER_hh_num!K22)</f>
        <v>8690.6236491417221</v>
      </c>
      <c r="L22" s="132">
        <f>IF(SER_hh_tes!L22=0,0,11630*1000*SER_hh_tes!L22/SER_hh_num!L22)</f>
        <v>9383.0344405749129</v>
      </c>
      <c r="M22" s="132">
        <f>IF(SER_hh_tes!M22=0,0,11630*1000*SER_hh_tes!M22/SER_hh_num!M22)</f>
        <v>9548.4201334859627</v>
      </c>
      <c r="N22" s="132">
        <f>IF(SER_hh_tes!N22=0,0,11630*1000*SER_hh_tes!N22/SER_hh_num!N22)</f>
        <v>8857.2672521057866</v>
      </c>
      <c r="O22" s="132">
        <f>IF(SER_hh_tes!O22=0,0,11630*1000*SER_hh_tes!O22/SER_hh_num!O22)</f>
        <v>10016.241137604255</v>
      </c>
      <c r="P22" s="132">
        <f>IF(SER_hh_tes!P22=0,0,11630*1000*SER_hh_tes!P22/SER_hh_num!P22)</f>
        <v>10271.316072252725</v>
      </c>
      <c r="Q22" s="132">
        <f>IF(SER_hh_tes!Q22=0,0,11630*1000*SER_hh_tes!Q22/SER_hh_num!Q22)</f>
        <v>10217.552365374691</v>
      </c>
      <c r="R22" s="132">
        <f>IF(SER_hh_tes!R22=0,0,11630*1000*SER_hh_tes!R22/SER_hh_num!R22)</f>
        <v>10307.342238486066</v>
      </c>
      <c r="S22" s="132">
        <f>IF(SER_hh_tes!S22=0,0,11630*1000*SER_hh_tes!S22/SER_hh_num!S22)</f>
        <v>11673.616711705965</v>
      </c>
      <c r="T22" s="132">
        <f>IF(SER_hh_tes!T22=0,0,11630*1000*SER_hh_tes!T22/SER_hh_num!T22)</f>
        <v>8659.0703482096997</v>
      </c>
      <c r="U22" s="132">
        <f>IF(SER_hh_tes!U22=0,0,11630*1000*SER_hh_tes!U22/SER_hh_num!U22)</f>
        <v>10131.88392365584</v>
      </c>
      <c r="V22" s="132">
        <f>IF(SER_hh_tes!V22=0,0,11630*1000*SER_hh_tes!V22/SER_hh_num!V22)</f>
        <v>10530.002243959152</v>
      </c>
      <c r="W22" s="132">
        <f>IF(SER_hh_tes!W22=0,0,11630*1000*SER_hh_tes!W22/SER_hh_num!W22)</f>
        <v>11965.454366538959</v>
      </c>
      <c r="X22" s="132">
        <f>IF(SER_hh_tes!X22=0,0,11630*1000*SER_hh_tes!X22/SER_hh_num!X22)</f>
        <v>11372.167132669523</v>
      </c>
      <c r="Y22" s="132">
        <f>IF(SER_hh_tes!Y22=0,0,11630*1000*SER_hh_tes!Y22/SER_hh_num!Y22)</f>
        <v>9670.7917176709925</v>
      </c>
      <c r="DA22" s="156" t="s">
        <v>434</v>
      </c>
    </row>
    <row r="23" spans="1:105" ht="12" customHeight="1" x14ac:dyDescent="0.25">
      <c r="A23" s="131" t="s">
        <v>149</v>
      </c>
      <c r="B23" s="132">
        <f>IF(SER_hh_tes!B23=0,0,11630*1000*SER_hh_tes!B23/SER_hh_num!B23)</f>
        <v>7947.3954025767125</v>
      </c>
      <c r="C23" s="132">
        <f>IF(SER_hh_tes!C23=0,0,11630*1000*SER_hh_tes!C23/SER_hh_num!C23)</f>
        <v>8004.5673459700938</v>
      </c>
      <c r="D23" s="132">
        <f>IF(SER_hh_tes!D23=0,0,11630*1000*SER_hh_tes!D23/SER_hh_num!D23)</f>
        <v>8166.0945456992113</v>
      </c>
      <c r="E23" s="132">
        <f>IF(SER_hh_tes!E23=0,0,11630*1000*SER_hh_tes!E23/SER_hh_num!E23)</f>
        <v>7890.822823475326</v>
      </c>
      <c r="F23" s="132">
        <f>IF(SER_hh_tes!F23=0,0,11630*1000*SER_hh_tes!F23/SER_hh_num!F23)</f>
        <v>8862.6659378245458</v>
      </c>
      <c r="G23" s="132">
        <f>IF(SER_hh_tes!G23=0,0,11630*1000*SER_hh_tes!G23/SER_hh_num!G23)</f>
        <v>8134.0491959409092</v>
      </c>
      <c r="H23" s="132">
        <f>IF(SER_hh_tes!H23=0,0,11630*1000*SER_hh_tes!H23/SER_hh_num!H23)</f>
        <v>8041.8059002822638</v>
      </c>
      <c r="I23" s="132">
        <f>IF(SER_hh_tes!I23=0,0,11630*1000*SER_hh_tes!I23/SER_hh_num!I23)</f>
        <v>9782.537682141332</v>
      </c>
      <c r="J23" s="132">
        <f>IF(SER_hh_tes!J23=0,0,11630*1000*SER_hh_tes!J23/SER_hh_num!J23)</f>
        <v>9838.1997475689914</v>
      </c>
      <c r="K23" s="132">
        <f>IF(SER_hh_tes!K23=0,0,11630*1000*SER_hh_tes!K23/SER_hh_num!K23)</f>
        <v>9426.0299533434336</v>
      </c>
      <c r="L23" s="132">
        <f>IF(SER_hh_tes!L23=0,0,11630*1000*SER_hh_tes!L23/SER_hh_num!L23)</f>
        <v>9515.8012658505413</v>
      </c>
      <c r="M23" s="132">
        <f>IF(SER_hh_tes!M23=0,0,11630*1000*SER_hh_tes!M23/SER_hh_num!M23)</f>
        <v>9783.2359048609233</v>
      </c>
      <c r="N23" s="132">
        <f>IF(SER_hh_tes!N23=0,0,11630*1000*SER_hh_tes!N23/SER_hh_num!N23)</f>
        <v>9899.4472002651964</v>
      </c>
      <c r="O23" s="132">
        <f>IF(SER_hh_tes!O23=0,0,11630*1000*SER_hh_tes!O23/SER_hh_num!O23)</f>
        <v>10176.872073983475</v>
      </c>
      <c r="P23" s="132">
        <f>IF(SER_hh_tes!P23=0,0,11630*1000*SER_hh_tes!P23/SER_hh_num!P23)</f>
        <v>9630.096718681898</v>
      </c>
      <c r="Q23" s="132">
        <f>IF(SER_hh_tes!Q23=0,0,11630*1000*SER_hh_tes!Q23/SER_hh_num!Q23)</f>
        <v>10202.158515094628</v>
      </c>
      <c r="R23" s="132">
        <f>IF(SER_hh_tes!R23=0,0,11630*1000*SER_hh_tes!R23/SER_hh_num!R23)</f>
        <v>10609.622065697362</v>
      </c>
      <c r="S23" s="132">
        <f>IF(SER_hh_tes!S23=0,0,11630*1000*SER_hh_tes!S23/SER_hh_num!S23)</f>
        <v>10471.174822412951</v>
      </c>
      <c r="T23" s="132">
        <f>IF(SER_hh_tes!T23=0,0,11630*1000*SER_hh_tes!T23/SER_hh_num!T23)</f>
        <v>10577.432785866022</v>
      </c>
      <c r="U23" s="132">
        <f>IF(SER_hh_tes!U23=0,0,11630*1000*SER_hh_tes!U23/SER_hh_num!U23)</f>
        <v>10516.605164715242</v>
      </c>
      <c r="V23" s="132">
        <f>IF(SER_hh_tes!V23=0,0,11630*1000*SER_hh_tes!V23/SER_hh_num!V23)</f>
        <v>10224.691669420616</v>
      </c>
      <c r="W23" s="132">
        <f>IF(SER_hh_tes!W23=0,0,11630*1000*SER_hh_tes!W23/SER_hh_num!W23)</f>
        <v>10757.074614696343</v>
      </c>
      <c r="X23" s="132">
        <f>IF(SER_hh_tes!X23=0,0,11630*1000*SER_hh_tes!X23/SER_hh_num!X23)</f>
        <v>10920.932247277919</v>
      </c>
      <c r="Y23" s="132">
        <f>IF(SER_hh_tes!Y23=0,0,11630*1000*SER_hh_tes!Y23/SER_hh_num!Y23)</f>
        <v>11101.745326812901</v>
      </c>
      <c r="DA23" s="156" t="s">
        <v>435</v>
      </c>
    </row>
    <row r="24" spans="1:105" ht="12" customHeight="1" x14ac:dyDescent="0.25">
      <c r="A24" s="131" t="s">
        <v>128</v>
      </c>
      <c r="B24" s="132">
        <f>IF(SER_hh_tes!B24=0,0,11630*1000*SER_hh_tes!B24/SER_hh_num!B24)</f>
        <v>9197.0117622858343</v>
      </c>
      <c r="C24" s="132">
        <f>IF(SER_hh_tes!C24=0,0,11630*1000*SER_hh_tes!C24/SER_hh_num!C24)</f>
        <v>7802.6173814904623</v>
      </c>
      <c r="D24" s="132">
        <f>IF(SER_hh_tes!D24=0,0,11630*1000*SER_hh_tes!D24/SER_hh_num!D24)</f>
        <v>8012.6920388637091</v>
      </c>
      <c r="E24" s="132">
        <f>IF(SER_hh_tes!E24=0,0,11630*1000*SER_hh_tes!E24/SER_hh_num!E24)</f>
        <v>8318.3926781688479</v>
      </c>
      <c r="F24" s="132">
        <f>IF(SER_hh_tes!F24=0,0,11630*1000*SER_hh_tes!F24/SER_hh_num!F24)</f>
        <v>8524.7027446220927</v>
      </c>
      <c r="G24" s="132">
        <f>IF(SER_hh_tes!G24=0,0,11630*1000*SER_hh_tes!G24/SER_hh_num!G24)</f>
        <v>8805.9700297036979</v>
      </c>
      <c r="H24" s="132">
        <f>IF(SER_hh_tes!H24=0,0,11630*1000*SER_hh_tes!H24/SER_hh_num!H24)</f>
        <v>9329.4048677257124</v>
      </c>
      <c r="I24" s="132">
        <f>IF(SER_hh_tes!I24=0,0,11630*1000*SER_hh_tes!I24/SER_hh_num!I24)</f>
        <v>8995.2087952782822</v>
      </c>
      <c r="J24" s="132">
        <f>IF(SER_hh_tes!J24=0,0,11630*1000*SER_hh_tes!J24/SER_hh_num!J24)</f>
        <v>9214.9683578407839</v>
      </c>
      <c r="K24" s="132">
        <f>IF(SER_hh_tes!K24=0,0,11630*1000*SER_hh_tes!K24/SER_hh_num!K24)</f>
        <v>9309.8941756588101</v>
      </c>
      <c r="L24" s="132">
        <f>IF(SER_hh_tes!L24=0,0,11630*1000*SER_hh_tes!L24/SER_hh_num!L24)</f>
        <v>9494.2634421041676</v>
      </c>
      <c r="M24" s="132">
        <f>IF(SER_hh_tes!M24=0,0,11630*1000*SER_hh_tes!M24/SER_hh_num!M24)</f>
        <v>9780.2542722503949</v>
      </c>
      <c r="N24" s="132">
        <f>IF(SER_hh_tes!N24=0,0,11630*1000*SER_hh_tes!N24/SER_hh_num!N24)</f>
        <v>9870.8022122650909</v>
      </c>
      <c r="O24" s="132">
        <f>IF(SER_hh_tes!O24=0,0,11630*1000*SER_hh_tes!O24/SER_hh_num!O24)</f>
        <v>10129.350039973353</v>
      </c>
      <c r="P24" s="132">
        <f>IF(SER_hh_tes!P24=0,0,11630*1000*SER_hh_tes!P24/SER_hh_num!P24)</f>
        <v>10278.307134345145</v>
      </c>
      <c r="Q24" s="132">
        <f>IF(SER_hh_tes!Q24=0,0,11630*1000*SER_hh_tes!Q24/SER_hh_num!Q24)</f>
        <v>10635.340969761059</v>
      </c>
      <c r="R24" s="132">
        <f>IF(SER_hh_tes!R24=0,0,11630*1000*SER_hh_tes!R24/SER_hh_num!R24)</f>
        <v>10671.551736926229</v>
      </c>
      <c r="S24" s="132">
        <f>IF(SER_hh_tes!S24=0,0,11630*1000*SER_hh_tes!S24/SER_hh_num!S24)</f>
        <v>10009.328655660369</v>
      </c>
      <c r="T24" s="132">
        <f>IF(SER_hh_tes!T24=0,0,11630*1000*SER_hh_tes!T24/SER_hh_num!T24)</f>
        <v>10565.571663830513</v>
      </c>
      <c r="U24" s="132">
        <f>IF(SER_hh_tes!U24=0,0,11630*1000*SER_hh_tes!U24/SER_hh_num!U24)</f>
        <v>10164.016406062914</v>
      </c>
      <c r="V24" s="132">
        <f>IF(SER_hh_tes!V24=0,0,11630*1000*SER_hh_tes!V24/SER_hh_num!V24)</f>
        <v>10875.878852683456</v>
      </c>
      <c r="W24" s="132">
        <f>IF(SER_hh_tes!W24=0,0,11630*1000*SER_hh_tes!W24/SER_hh_num!W24)</f>
        <v>10877.60465872199</v>
      </c>
      <c r="X24" s="132">
        <f>IF(SER_hh_tes!X24=0,0,11630*1000*SER_hh_tes!X24/SER_hh_num!X24)</f>
        <v>10835.762538300387</v>
      </c>
      <c r="Y24" s="132">
        <f>IF(SER_hh_tes!Y24=0,0,11630*1000*SER_hh_tes!Y24/SER_hh_num!Y24)</f>
        <v>11088.602558253058</v>
      </c>
      <c r="DA24" s="156" t="s">
        <v>436</v>
      </c>
    </row>
    <row r="25" spans="1:105" ht="12" customHeight="1" x14ac:dyDescent="0.25">
      <c r="A25" s="131" t="s">
        <v>162</v>
      </c>
      <c r="B25" s="132">
        <f>IF(SER_hh_tes!B25=0,0,11630*1000*SER_hh_tes!B25/SER_hh_num!B25)</f>
        <v>8146.2020688214352</v>
      </c>
      <c r="C25" s="132">
        <f>IF(SER_hh_tes!C25=0,0,11630*1000*SER_hh_tes!C25/SER_hh_num!C25)</f>
        <v>8254.5578972019775</v>
      </c>
      <c r="D25" s="132">
        <f>IF(SER_hh_tes!D25=0,0,11630*1000*SER_hh_tes!D25/SER_hh_num!D25)</f>
        <v>8156.3388873534886</v>
      </c>
      <c r="E25" s="132">
        <f>IF(SER_hh_tes!E25=0,0,11630*1000*SER_hh_tes!E25/SER_hh_num!E25)</f>
        <v>8187.9557321263337</v>
      </c>
      <c r="F25" s="132">
        <f>IF(SER_hh_tes!F25=0,0,11630*1000*SER_hh_tes!F25/SER_hh_num!F25)</f>
        <v>8566.0753694234336</v>
      </c>
      <c r="G25" s="132">
        <f>IF(SER_hh_tes!G25=0,0,11630*1000*SER_hh_tes!G25/SER_hh_num!G25)</f>
        <v>8974.2013164134733</v>
      </c>
      <c r="H25" s="132">
        <f>IF(SER_hh_tes!H25=0,0,11630*1000*SER_hh_tes!H25/SER_hh_num!H25)</f>
        <v>9515.1663881625846</v>
      </c>
      <c r="I25" s="132">
        <f>IF(SER_hh_tes!I25=0,0,11630*1000*SER_hh_tes!I25/SER_hh_num!I25)</f>
        <v>8578.2151443974581</v>
      </c>
      <c r="J25" s="132">
        <f>IF(SER_hh_tes!J25=0,0,11630*1000*SER_hh_tes!J25/SER_hh_num!J25)</f>
        <v>8670.0170319214521</v>
      </c>
      <c r="K25" s="132">
        <f>IF(SER_hh_tes!K25=0,0,11630*1000*SER_hh_tes!K25/SER_hh_num!K25)</f>
        <v>9461.379598801961</v>
      </c>
      <c r="L25" s="132">
        <f>IF(SER_hh_tes!L25=0,0,11630*1000*SER_hh_tes!L25/SER_hh_num!L25)</f>
        <v>9799.1126028812123</v>
      </c>
      <c r="M25" s="132">
        <f>IF(SER_hh_tes!M25=0,0,11630*1000*SER_hh_tes!M25/SER_hh_num!M25)</f>
        <v>9655.5797504263519</v>
      </c>
      <c r="N25" s="132">
        <f>IF(SER_hh_tes!N25=0,0,11630*1000*SER_hh_tes!N25/SER_hh_num!N25)</f>
        <v>9801.9954715795338</v>
      </c>
      <c r="O25" s="132">
        <f>IF(SER_hh_tes!O25=0,0,11630*1000*SER_hh_tes!O25/SER_hh_num!O25)</f>
        <v>10104.276815742136</v>
      </c>
      <c r="P25" s="132">
        <f>IF(SER_hh_tes!P25=0,0,11630*1000*SER_hh_tes!P25/SER_hh_num!P25)</f>
        <v>9926.4137103751273</v>
      </c>
      <c r="Q25" s="132">
        <f>IF(SER_hh_tes!Q25=0,0,11630*1000*SER_hh_tes!Q25/SER_hh_num!Q25)</f>
        <v>10426.141314379638</v>
      </c>
      <c r="R25" s="132">
        <f>IF(SER_hh_tes!R25=0,0,11630*1000*SER_hh_tes!R25/SER_hh_num!R25)</f>
        <v>10493.853448956457</v>
      </c>
      <c r="S25" s="132">
        <f>IF(SER_hh_tes!S25=0,0,11630*1000*SER_hh_tes!S25/SER_hh_num!S25)</f>
        <v>10836.493695280213</v>
      </c>
      <c r="T25" s="132">
        <f>IF(SER_hh_tes!T25=0,0,11630*1000*SER_hh_tes!T25/SER_hh_num!T25)</f>
        <v>10736.742644973814</v>
      </c>
      <c r="U25" s="132">
        <f>IF(SER_hh_tes!U25=0,0,11630*1000*SER_hh_tes!U25/SER_hh_num!U25)</f>
        <v>10750.742192524833</v>
      </c>
      <c r="V25" s="132">
        <f>IF(SER_hh_tes!V25=0,0,11630*1000*SER_hh_tes!V25/SER_hh_num!V25)</f>
        <v>9473.9296463681731</v>
      </c>
      <c r="W25" s="132">
        <f>IF(SER_hh_tes!W25=0,0,11630*1000*SER_hh_tes!W25/SER_hh_num!W25)</f>
        <v>10755.981938105228</v>
      </c>
      <c r="X25" s="132">
        <f>IF(SER_hh_tes!X25=0,0,11630*1000*SER_hh_tes!X25/SER_hh_num!X25)</f>
        <v>10871.179850723831</v>
      </c>
      <c r="Y25" s="132">
        <f>IF(SER_hh_tes!Y25=0,0,11630*1000*SER_hh_tes!Y25/SER_hh_num!Y25)</f>
        <v>11081.695114512304</v>
      </c>
      <c r="DA25" s="156" t="s">
        <v>437</v>
      </c>
    </row>
    <row r="26" spans="1:105" ht="12" customHeight="1" x14ac:dyDescent="0.25">
      <c r="A26" s="131" t="s">
        <v>24</v>
      </c>
      <c r="B26" s="65">
        <f>IF(SER_hh_tes!B26=0,0,11630*1000*SER_hh_tes!B26/SER_hh_num!B26)</f>
        <v>7635.526225601162</v>
      </c>
      <c r="C26" s="65">
        <f>IF(SER_hh_tes!C26=0,0,11630*1000*SER_hh_tes!C26/SER_hh_num!C26)</f>
        <v>8184.5931610238786</v>
      </c>
      <c r="D26" s="65">
        <f>IF(SER_hh_tes!D26=0,0,11630*1000*SER_hh_tes!D26/SER_hh_num!D26)</f>
        <v>8342.5001277993506</v>
      </c>
      <c r="E26" s="65">
        <f>IF(SER_hh_tes!E26=0,0,11630*1000*SER_hh_tes!E26/SER_hh_num!E26)</f>
        <v>8330.2836267039311</v>
      </c>
      <c r="F26" s="65">
        <f>IF(SER_hh_tes!F26=0,0,11630*1000*SER_hh_tes!F26/SER_hh_num!F26)</f>
        <v>8474.6013002967647</v>
      </c>
      <c r="G26" s="65">
        <f>IF(SER_hh_tes!G26=0,0,11630*1000*SER_hh_tes!G26/SER_hh_num!G26)</f>
        <v>8799.3990158070192</v>
      </c>
      <c r="H26" s="65">
        <f>IF(SER_hh_tes!H26=0,0,11630*1000*SER_hh_tes!H26/SER_hh_num!H26)</f>
        <v>9019.1774024550941</v>
      </c>
      <c r="I26" s="65">
        <f>IF(SER_hh_tes!I26=0,0,11630*1000*SER_hh_tes!I26/SER_hh_num!I26)</f>
        <v>9477.8718839802768</v>
      </c>
      <c r="J26" s="65">
        <f>IF(SER_hh_tes!J26=0,0,11630*1000*SER_hh_tes!J26/SER_hh_num!J26)</f>
        <v>9556.2415339497838</v>
      </c>
      <c r="K26" s="65">
        <f>IF(SER_hh_tes!K26=0,0,11630*1000*SER_hh_tes!K26/SER_hh_num!K26)</f>
        <v>9256.9545035414958</v>
      </c>
      <c r="L26" s="65">
        <f>IF(SER_hh_tes!L26=0,0,11630*1000*SER_hh_tes!L26/SER_hh_num!L26)</f>
        <v>9306.949180580561</v>
      </c>
      <c r="M26" s="65">
        <f>IF(SER_hh_tes!M26=0,0,11630*1000*SER_hh_tes!M26/SER_hh_num!M26)</f>
        <v>9837.2420646961491</v>
      </c>
      <c r="N26" s="65">
        <f>IF(SER_hh_tes!N26=0,0,11630*1000*SER_hh_tes!N26/SER_hh_num!N26)</f>
        <v>9983.3662984572438</v>
      </c>
      <c r="O26" s="65">
        <f>IF(SER_hh_tes!O26=0,0,11630*1000*SER_hh_tes!O26/SER_hh_num!O26)</f>
        <v>10035.128426184565</v>
      </c>
      <c r="P26" s="65">
        <f>IF(SER_hh_tes!P26=0,0,11630*1000*SER_hh_tes!P26/SER_hh_num!P26)</f>
        <v>10555.724164882875</v>
      </c>
      <c r="Q26" s="65">
        <f>IF(SER_hh_tes!Q26=0,0,11630*1000*SER_hh_tes!Q26/SER_hh_num!Q26)</f>
        <v>9978.6657858930375</v>
      </c>
      <c r="R26" s="65">
        <f>IF(SER_hh_tes!R26=0,0,11630*1000*SER_hh_tes!R26/SER_hh_num!R26)</f>
        <v>9839.4473935262849</v>
      </c>
      <c r="S26" s="65">
        <f>IF(SER_hh_tes!S26=0,0,11630*1000*SER_hh_tes!S26/SER_hh_num!S26)</f>
        <v>10576.292279329715</v>
      </c>
      <c r="T26" s="65">
        <f>IF(SER_hh_tes!T26=0,0,11630*1000*SER_hh_tes!T26/SER_hh_num!T26)</f>
        <v>10608.399224276676</v>
      </c>
      <c r="U26" s="65">
        <f>IF(SER_hh_tes!U26=0,0,11630*1000*SER_hh_tes!U26/SER_hh_num!U26)</f>
        <v>11136.516831038276</v>
      </c>
      <c r="V26" s="65">
        <f>IF(SER_hh_tes!V26=0,0,11630*1000*SER_hh_tes!V26/SER_hh_num!V26)</f>
        <v>9632.8447682203077</v>
      </c>
      <c r="W26" s="65">
        <f>IF(SER_hh_tes!W26=0,0,11630*1000*SER_hh_tes!W26/SER_hh_num!W26)</f>
        <v>10599.684776083486</v>
      </c>
      <c r="X26" s="65">
        <f>IF(SER_hh_tes!X26=0,0,11630*1000*SER_hh_tes!X26/SER_hh_num!X26)</f>
        <v>10778.70258039552</v>
      </c>
      <c r="Y26" s="65">
        <f>IF(SER_hh_tes!Y26=0,0,11630*1000*SER_hh_tes!Y26/SER_hh_num!Y26)</f>
        <v>11348.318547089148</v>
      </c>
      <c r="DA26" s="109" t="s">
        <v>438</v>
      </c>
    </row>
    <row r="27" spans="1:105" ht="12" customHeight="1" x14ac:dyDescent="0.25">
      <c r="A27" s="144" t="s">
        <v>86</v>
      </c>
      <c r="B27" s="145">
        <f>IF(SER_hh_tes!B27=0,0,11630*1000*SER_hh_tes!B27/SER_hh_num!B19)</f>
        <v>0</v>
      </c>
      <c r="C27" s="145">
        <f>IF(SER_hh_tes!C27=0,0,11630*1000*SER_hh_tes!C27/SER_hh_num!C19)</f>
        <v>0</v>
      </c>
      <c r="D27" s="145">
        <f>IF(SER_hh_tes!D27=0,0,11630*1000*SER_hh_tes!D27/SER_hh_num!D19)</f>
        <v>0</v>
      </c>
      <c r="E27" s="145">
        <f>IF(SER_hh_tes!E27=0,0,11630*1000*SER_hh_tes!E27/SER_hh_num!E19)</f>
        <v>0</v>
      </c>
      <c r="F27" s="145">
        <f>IF(SER_hh_tes!F27=0,0,11630*1000*SER_hh_tes!F27/SER_hh_num!F19)</f>
        <v>0</v>
      </c>
      <c r="G27" s="145">
        <f>IF(SER_hh_tes!G27=0,0,11630*1000*SER_hh_tes!G27/SER_hh_num!G19)</f>
        <v>0</v>
      </c>
      <c r="H27" s="145">
        <f>IF(SER_hh_tes!H27=0,0,11630*1000*SER_hh_tes!H27/SER_hh_num!H19)</f>
        <v>0</v>
      </c>
      <c r="I27" s="145">
        <f>IF(SER_hh_tes!I27=0,0,11630*1000*SER_hh_tes!I27/SER_hh_num!I19)</f>
        <v>0</v>
      </c>
      <c r="J27" s="145">
        <f>IF(SER_hh_tes!J27=0,0,11630*1000*SER_hh_tes!J27/SER_hh_num!J19)</f>
        <v>0</v>
      </c>
      <c r="K27" s="145">
        <f>IF(SER_hh_tes!K27=0,0,11630*1000*SER_hh_tes!K27/SER_hh_num!K19)</f>
        <v>0</v>
      </c>
      <c r="L27" s="145">
        <f>IF(SER_hh_tes!L27=0,0,11630*1000*SER_hh_tes!L27/SER_hh_num!L19)</f>
        <v>0</v>
      </c>
      <c r="M27" s="145">
        <f>IF(SER_hh_tes!M27=0,0,11630*1000*SER_hh_tes!M27/SER_hh_num!M19)</f>
        <v>0</v>
      </c>
      <c r="N27" s="145">
        <f>IF(SER_hh_tes!N27=0,0,11630*1000*SER_hh_tes!N27/SER_hh_num!N19)</f>
        <v>0</v>
      </c>
      <c r="O27" s="145">
        <f>IF(SER_hh_tes!O27=0,0,11630*1000*SER_hh_tes!O27/SER_hh_num!O19)</f>
        <v>0</v>
      </c>
      <c r="P27" s="145">
        <f>IF(SER_hh_tes!P27=0,0,11630*1000*SER_hh_tes!P27/SER_hh_num!P19)</f>
        <v>0</v>
      </c>
      <c r="Q27" s="145">
        <f>IF(SER_hh_tes!Q27=0,0,11630*1000*SER_hh_tes!Q27/SER_hh_num!Q19)</f>
        <v>0</v>
      </c>
      <c r="R27" s="145">
        <f>IF(SER_hh_tes!R27=0,0,11630*1000*SER_hh_tes!R27/SER_hh_num!R19)</f>
        <v>0</v>
      </c>
      <c r="S27" s="145">
        <f>IF(SER_hh_tes!S27=0,0,11630*1000*SER_hh_tes!S27/SER_hh_num!S19)</f>
        <v>0</v>
      </c>
      <c r="T27" s="145">
        <f>IF(SER_hh_tes!T27=0,0,11630*1000*SER_hh_tes!T27/SER_hh_num!T19)</f>
        <v>0</v>
      </c>
      <c r="U27" s="145">
        <f>IF(SER_hh_tes!U27=0,0,11630*1000*SER_hh_tes!U27/SER_hh_num!U19)</f>
        <v>0</v>
      </c>
      <c r="V27" s="145">
        <f>IF(SER_hh_tes!V27=0,0,11630*1000*SER_hh_tes!V27/SER_hh_num!V19)</f>
        <v>0</v>
      </c>
      <c r="W27" s="145">
        <f>IF(SER_hh_tes!W27=0,0,11630*1000*SER_hh_tes!W27/SER_hh_num!W19)</f>
        <v>0</v>
      </c>
      <c r="X27" s="145">
        <f>IF(SER_hh_tes!X27=0,0,11630*1000*SER_hh_tes!X27/SER_hh_num!X19)</f>
        <v>0</v>
      </c>
      <c r="Y27" s="145">
        <f>IF(SER_hh_tes!Y27=0,0,11630*1000*SER_hh_tes!Y27/SER_hh_num!Y19)</f>
        <v>0</v>
      </c>
      <c r="DA27" s="158" t="s">
        <v>439</v>
      </c>
    </row>
    <row r="28" spans="1:105" ht="12" customHeight="1" x14ac:dyDescent="0.25">
      <c r="A28" s="78" t="s">
        <v>85</v>
      </c>
      <c r="B28" s="146">
        <f>IF(SER_hh_tes!B27=0,0,11630*1000*SER_hh_tes!B27/SER_hh_num!B27)</f>
        <v>0</v>
      </c>
      <c r="C28" s="146">
        <f>IF(SER_hh_tes!C27=0,0,11630*1000*SER_hh_tes!C27/SER_hh_num!C27)</f>
        <v>0</v>
      </c>
      <c r="D28" s="146">
        <f>IF(SER_hh_tes!D27=0,0,11630*1000*SER_hh_tes!D27/SER_hh_num!D27)</f>
        <v>0</v>
      </c>
      <c r="E28" s="146">
        <f>IF(SER_hh_tes!E27=0,0,11630*1000*SER_hh_tes!E27/SER_hh_num!E27)</f>
        <v>0</v>
      </c>
      <c r="F28" s="146">
        <f>IF(SER_hh_tes!F27=0,0,11630*1000*SER_hh_tes!F27/SER_hh_num!F27)</f>
        <v>0</v>
      </c>
      <c r="G28" s="146">
        <f>IF(SER_hh_tes!G27=0,0,11630*1000*SER_hh_tes!G27/SER_hh_num!G27)</f>
        <v>0</v>
      </c>
      <c r="H28" s="146">
        <f>IF(SER_hh_tes!H27=0,0,11630*1000*SER_hh_tes!H27/SER_hh_num!H27)</f>
        <v>0</v>
      </c>
      <c r="I28" s="146">
        <f>IF(SER_hh_tes!I27=0,0,11630*1000*SER_hh_tes!I27/SER_hh_num!I27)</f>
        <v>0</v>
      </c>
      <c r="J28" s="146">
        <f>IF(SER_hh_tes!J27=0,0,11630*1000*SER_hh_tes!J27/SER_hh_num!J27)</f>
        <v>0</v>
      </c>
      <c r="K28" s="146">
        <f>IF(SER_hh_tes!K27=0,0,11630*1000*SER_hh_tes!K27/SER_hh_num!K27)</f>
        <v>0</v>
      </c>
      <c r="L28" s="146">
        <f>IF(SER_hh_tes!L27=0,0,11630*1000*SER_hh_tes!L27/SER_hh_num!L27)</f>
        <v>0</v>
      </c>
      <c r="M28" s="146">
        <f>IF(SER_hh_tes!M27=0,0,11630*1000*SER_hh_tes!M27/SER_hh_num!M27)</f>
        <v>0</v>
      </c>
      <c r="N28" s="146">
        <f>IF(SER_hh_tes!N27=0,0,11630*1000*SER_hh_tes!N27/SER_hh_num!N27)</f>
        <v>0</v>
      </c>
      <c r="O28" s="146">
        <f>IF(SER_hh_tes!O27=0,0,11630*1000*SER_hh_tes!O27/SER_hh_num!O27)</f>
        <v>0</v>
      </c>
      <c r="P28" s="146">
        <f>IF(SER_hh_tes!P27=0,0,11630*1000*SER_hh_tes!P27/SER_hh_num!P27)</f>
        <v>0</v>
      </c>
      <c r="Q28" s="146">
        <f>IF(SER_hh_tes!Q27=0,0,11630*1000*SER_hh_tes!Q27/SER_hh_num!Q27)</f>
        <v>0</v>
      </c>
      <c r="R28" s="146">
        <f>IF(SER_hh_tes!R27=0,0,11630*1000*SER_hh_tes!R27/SER_hh_num!R27)</f>
        <v>0</v>
      </c>
      <c r="S28" s="146">
        <f>IF(SER_hh_tes!S27=0,0,11630*1000*SER_hh_tes!S27/SER_hh_num!S27)</f>
        <v>0</v>
      </c>
      <c r="T28" s="146">
        <f>IF(SER_hh_tes!T27=0,0,11630*1000*SER_hh_tes!T27/SER_hh_num!T27)</f>
        <v>0</v>
      </c>
      <c r="U28" s="146">
        <f>IF(SER_hh_tes!U27=0,0,11630*1000*SER_hh_tes!U27/SER_hh_num!U27)</f>
        <v>0</v>
      </c>
      <c r="V28" s="146">
        <f>IF(SER_hh_tes!V27=0,0,11630*1000*SER_hh_tes!V27/SER_hh_num!V27)</f>
        <v>0</v>
      </c>
      <c r="W28" s="146">
        <f>IF(SER_hh_tes!W27=0,0,11630*1000*SER_hh_tes!W27/SER_hh_num!W27)</f>
        <v>0</v>
      </c>
      <c r="X28" s="146">
        <f>IF(SER_hh_tes!X27=0,0,11630*1000*SER_hh_tes!X27/SER_hh_num!X27)</f>
        <v>0</v>
      </c>
      <c r="Y28" s="146">
        <f>IF(SER_hh_tes!Y27=0,0,11630*1000*SER_hh_tes!Y27/SER_hh_num!Y27)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IF(SER_hh_tes!B29=0,0,11630*1000*SER_hh_tes!B29/SER_hh_num!B29)</f>
        <v>9237.1895335840054</v>
      </c>
      <c r="C29" s="130">
        <f>IF(SER_hh_tes!C29=0,0,11630*1000*SER_hh_tes!C29/SER_hh_num!C29)</f>
        <v>9059.0381181944867</v>
      </c>
      <c r="D29" s="130">
        <f>IF(SER_hh_tes!D29=0,0,11630*1000*SER_hh_tes!D29/SER_hh_num!D29)</f>
        <v>9099.9547579464779</v>
      </c>
      <c r="E29" s="130">
        <f>IF(SER_hh_tes!E29=0,0,11630*1000*SER_hh_tes!E29/SER_hh_num!E29)</f>
        <v>9014.1279882858034</v>
      </c>
      <c r="F29" s="130">
        <f>IF(SER_hh_tes!F29=0,0,11630*1000*SER_hh_tes!F29/SER_hh_num!F29)</f>
        <v>9094.7047325748026</v>
      </c>
      <c r="G29" s="130">
        <f>IF(SER_hh_tes!G29=0,0,11630*1000*SER_hh_tes!G29/SER_hh_num!G29)</f>
        <v>9236.9736079059439</v>
      </c>
      <c r="H29" s="130">
        <f>IF(SER_hh_tes!H29=0,0,11630*1000*SER_hh_tes!H29/SER_hh_num!H29)</f>
        <v>9799.5656098060717</v>
      </c>
      <c r="I29" s="130">
        <f>IF(SER_hh_tes!I29=0,0,11630*1000*SER_hh_tes!I29/SER_hh_num!I29)</f>
        <v>9400.3720740966</v>
      </c>
      <c r="J29" s="130">
        <f>IF(SER_hh_tes!J29=0,0,11630*1000*SER_hh_tes!J29/SER_hh_num!J29)</f>
        <v>9011.3922954856716</v>
      </c>
      <c r="K29" s="130">
        <f>IF(SER_hh_tes!K29=0,0,11630*1000*SER_hh_tes!K29/SER_hh_num!K29)</f>
        <v>9362.9995124299021</v>
      </c>
      <c r="L29" s="130">
        <f>IF(SER_hh_tes!L29=0,0,11630*1000*SER_hh_tes!L29/SER_hh_num!L29)</f>
        <v>9358.7693058389395</v>
      </c>
      <c r="M29" s="130">
        <f>IF(SER_hh_tes!M29=0,0,11630*1000*SER_hh_tes!M29/SER_hh_num!M29)</f>
        <v>9288.6026507631304</v>
      </c>
      <c r="N29" s="130">
        <f>IF(SER_hh_tes!N29=0,0,11630*1000*SER_hh_tes!N29/SER_hh_num!N29)</f>
        <v>9671.8713883845758</v>
      </c>
      <c r="O29" s="130">
        <f>IF(SER_hh_tes!O29=0,0,11630*1000*SER_hh_tes!O29/SER_hh_num!O29)</f>
        <v>9727.7827699687987</v>
      </c>
      <c r="P29" s="130">
        <f>IF(SER_hh_tes!P29=0,0,11630*1000*SER_hh_tes!P29/SER_hh_num!P29)</f>
        <v>9720.138317462297</v>
      </c>
      <c r="Q29" s="130">
        <f>IF(SER_hh_tes!Q29=0,0,11630*1000*SER_hh_tes!Q29/SER_hh_num!Q29)</f>
        <v>9444.5004516869103</v>
      </c>
      <c r="R29" s="130">
        <f>IF(SER_hh_tes!R29=0,0,11630*1000*SER_hh_tes!R29/SER_hh_num!R29)</f>
        <v>9507.1074796855846</v>
      </c>
      <c r="S29" s="130">
        <f>IF(SER_hh_tes!S29=0,0,11630*1000*SER_hh_tes!S29/SER_hh_num!S29)</f>
        <v>9927.389383575668</v>
      </c>
      <c r="T29" s="130">
        <f>IF(SER_hh_tes!T29=0,0,11630*1000*SER_hh_tes!T29/SER_hh_num!T29)</f>
        <v>10050.797700501131</v>
      </c>
      <c r="U29" s="130">
        <f>IF(SER_hh_tes!U29=0,0,11630*1000*SER_hh_tes!U29/SER_hh_num!U29)</f>
        <v>10972.944356997075</v>
      </c>
      <c r="V29" s="130">
        <f>IF(SER_hh_tes!V29=0,0,11630*1000*SER_hh_tes!V29/SER_hh_num!V29)</f>
        <v>10463.184510356075</v>
      </c>
      <c r="W29" s="130">
        <f>IF(SER_hh_tes!W29=0,0,11630*1000*SER_hh_tes!W29/SER_hh_num!W29)</f>
        <v>11387.685960000843</v>
      </c>
      <c r="X29" s="130">
        <f>IF(SER_hh_tes!X29=0,0,11630*1000*SER_hh_tes!X29/SER_hh_num!X29)</f>
        <v>11396.86881449941</v>
      </c>
      <c r="Y29" s="130">
        <f>IF(SER_hh_tes!Y29=0,0,11630*1000*SER_hh_tes!Y29/SER_hh_num!Y29)</f>
        <v>11648.659474282003</v>
      </c>
      <c r="DA29" s="155" t="s">
        <v>440</v>
      </c>
    </row>
    <row r="30" spans="1:105" ht="12" customHeight="1" x14ac:dyDescent="0.25">
      <c r="A30" s="131" t="s">
        <v>52</v>
      </c>
      <c r="B30" s="132">
        <f>IF(SER_hh_tes!B30=0,0,11630*1000*SER_hh_tes!B30/SER_hh_num!B30)</f>
        <v>0</v>
      </c>
      <c r="C30" s="132">
        <f>IF(SER_hh_tes!C30=0,0,11630*1000*SER_hh_tes!C30/SER_hh_num!C30)</f>
        <v>0</v>
      </c>
      <c r="D30" s="132">
        <f>IF(SER_hh_tes!D30=0,0,11630*1000*SER_hh_tes!D30/SER_hh_num!D30)</f>
        <v>0</v>
      </c>
      <c r="E30" s="132">
        <f>IF(SER_hh_tes!E30=0,0,11630*1000*SER_hh_tes!E30/SER_hh_num!E30)</f>
        <v>0</v>
      </c>
      <c r="F30" s="132">
        <f>IF(SER_hh_tes!F30=0,0,11630*1000*SER_hh_tes!F30/SER_hh_num!F30)</f>
        <v>0</v>
      </c>
      <c r="G30" s="132">
        <f>IF(SER_hh_tes!G30=0,0,11630*1000*SER_hh_tes!G30/SER_hh_num!G30)</f>
        <v>0</v>
      </c>
      <c r="H30" s="132">
        <f>IF(SER_hh_tes!H30=0,0,11630*1000*SER_hh_tes!H30/SER_hh_num!H30)</f>
        <v>0</v>
      </c>
      <c r="I30" s="132">
        <f>IF(SER_hh_tes!I30=0,0,11630*1000*SER_hh_tes!I30/SER_hh_num!I30)</f>
        <v>0</v>
      </c>
      <c r="J30" s="132">
        <f>IF(SER_hh_tes!J30=0,0,11630*1000*SER_hh_tes!J30/SER_hh_num!J30)</f>
        <v>0</v>
      </c>
      <c r="K30" s="132">
        <f>IF(SER_hh_tes!K30=0,0,11630*1000*SER_hh_tes!K30/SER_hh_num!K30)</f>
        <v>0</v>
      </c>
      <c r="L30" s="132">
        <f>IF(SER_hh_tes!L30=0,0,11630*1000*SER_hh_tes!L30/SER_hh_num!L30)</f>
        <v>0</v>
      </c>
      <c r="M30" s="132">
        <f>IF(SER_hh_tes!M30=0,0,11630*1000*SER_hh_tes!M30/SER_hh_num!M30)</f>
        <v>0</v>
      </c>
      <c r="N30" s="132">
        <f>IF(SER_hh_tes!N30=0,0,11630*1000*SER_hh_tes!N30/SER_hh_num!N30)</f>
        <v>0</v>
      </c>
      <c r="O30" s="132">
        <f>IF(SER_hh_tes!O30=0,0,11630*1000*SER_hh_tes!O30/SER_hh_num!O30)</f>
        <v>0</v>
      </c>
      <c r="P30" s="132">
        <f>IF(SER_hh_tes!P30=0,0,11630*1000*SER_hh_tes!P30/SER_hh_num!P30)</f>
        <v>0</v>
      </c>
      <c r="Q30" s="132">
        <f>IF(SER_hh_tes!Q30=0,0,11630*1000*SER_hh_tes!Q30/SER_hh_num!Q30)</f>
        <v>0</v>
      </c>
      <c r="R30" s="132">
        <f>IF(SER_hh_tes!R30=0,0,11630*1000*SER_hh_tes!R30/SER_hh_num!R30)</f>
        <v>0</v>
      </c>
      <c r="S30" s="132">
        <f>IF(SER_hh_tes!S30=0,0,11630*1000*SER_hh_tes!S30/SER_hh_num!S30)</f>
        <v>0</v>
      </c>
      <c r="T30" s="132">
        <f>IF(SER_hh_tes!T30=0,0,11630*1000*SER_hh_tes!T30/SER_hh_num!T30)</f>
        <v>0</v>
      </c>
      <c r="U30" s="132">
        <f>IF(SER_hh_tes!U30=0,0,11630*1000*SER_hh_tes!U30/SER_hh_num!U30)</f>
        <v>0</v>
      </c>
      <c r="V30" s="132">
        <f>IF(SER_hh_tes!V30=0,0,11630*1000*SER_hh_tes!V30/SER_hh_num!V30)</f>
        <v>0</v>
      </c>
      <c r="W30" s="132">
        <f>IF(SER_hh_tes!W30=0,0,11630*1000*SER_hh_tes!W30/SER_hh_num!W30)</f>
        <v>0</v>
      </c>
      <c r="X30" s="132">
        <f>IF(SER_hh_tes!X30=0,0,11630*1000*SER_hh_tes!X30/SER_hh_num!X30)</f>
        <v>0</v>
      </c>
      <c r="Y30" s="132">
        <f>IF(SER_hh_tes!Y30=0,0,11630*1000*SER_hh_tes!Y30/SER_hh_num!Y30)</f>
        <v>0</v>
      </c>
      <c r="DA30" s="156" t="s">
        <v>441</v>
      </c>
    </row>
    <row r="31" spans="1:105" ht="12" customHeight="1" x14ac:dyDescent="0.25">
      <c r="A31" s="131" t="s">
        <v>149</v>
      </c>
      <c r="B31" s="132">
        <f>IF(SER_hh_tes!B31=0,0,11630*1000*SER_hh_tes!B31/SER_hh_num!B31)</f>
        <v>8954.5391420071937</v>
      </c>
      <c r="C31" s="132">
        <f>IF(SER_hh_tes!C31=0,0,11630*1000*SER_hh_tes!C31/SER_hh_num!C31)</f>
        <v>8959.1107665749059</v>
      </c>
      <c r="D31" s="132">
        <f>IF(SER_hh_tes!D31=0,0,11630*1000*SER_hh_tes!D31/SER_hh_num!D31)</f>
        <v>9447.8632893357153</v>
      </c>
      <c r="E31" s="132">
        <f>IF(SER_hh_tes!E31=0,0,11630*1000*SER_hh_tes!E31/SER_hh_num!E31)</f>
        <v>9460.9900920164346</v>
      </c>
      <c r="F31" s="132">
        <f>IF(SER_hh_tes!F31=0,0,11630*1000*SER_hh_tes!F31/SER_hh_num!F31)</f>
        <v>8740.6422064889593</v>
      </c>
      <c r="G31" s="132">
        <f>IF(SER_hh_tes!G31=0,0,11630*1000*SER_hh_tes!G31/SER_hh_num!G31)</f>
        <v>9000.952456243971</v>
      </c>
      <c r="H31" s="132">
        <f>IF(SER_hh_tes!H31=0,0,11630*1000*SER_hh_tes!H31/SER_hh_num!H31)</f>
        <v>8741.5175180944498</v>
      </c>
      <c r="I31" s="132">
        <f>IF(SER_hh_tes!I31=0,0,11630*1000*SER_hh_tes!I31/SER_hh_num!I31)</f>
        <v>9883.1267182425563</v>
      </c>
      <c r="J31" s="132">
        <f>IF(SER_hh_tes!J31=0,0,11630*1000*SER_hh_tes!J31/SER_hh_num!J31)</f>
        <v>9791.7742481993027</v>
      </c>
      <c r="K31" s="132">
        <f>IF(SER_hh_tes!K31=0,0,11630*1000*SER_hh_tes!K31/SER_hh_num!K31)</f>
        <v>9556.3393773129283</v>
      </c>
      <c r="L31" s="132">
        <f>IF(SER_hh_tes!L31=0,0,11630*1000*SER_hh_tes!L31/SER_hh_num!L31)</f>
        <v>9322.944077965225</v>
      </c>
      <c r="M31" s="132">
        <f>IF(SER_hh_tes!M31=0,0,11630*1000*SER_hh_tes!M31/SER_hh_num!M31)</f>
        <v>9685.0603200901951</v>
      </c>
      <c r="N31" s="132">
        <f>IF(SER_hh_tes!N31=0,0,11630*1000*SER_hh_tes!N31/SER_hh_num!N31)</f>
        <v>9670.4790628363335</v>
      </c>
      <c r="O31" s="132">
        <f>IF(SER_hh_tes!O31=0,0,11630*1000*SER_hh_tes!O31/SER_hh_num!O31)</f>
        <v>9088.6618128576192</v>
      </c>
      <c r="P31" s="132">
        <f>IF(SER_hh_tes!P31=0,0,11630*1000*SER_hh_tes!P31/SER_hh_num!P31)</f>
        <v>8692.6741448352132</v>
      </c>
      <c r="Q31" s="132">
        <f>IF(SER_hh_tes!Q31=0,0,11630*1000*SER_hh_tes!Q31/SER_hh_num!Q31)</f>
        <v>9724.1414627444992</v>
      </c>
      <c r="R31" s="132">
        <f>IF(SER_hh_tes!R31=0,0,11630*1000*SER_hh_tes!R31/SER_hh_num!R31)</f>
        <v>10157.907171588087</v>
      </c>
      <c r="S31" s="132">
        <f>IF(SER_hh_tes!S31=0,0,11630*1000*SER_hh_tes!S31/SER_hh_num!S31)</f>
        <v>9904.2027628666874</v>
      </c>
      <c r="T31" s="132">
        <f>IF(SER_hh_tes!T31=0,0,11630*1000*SER_hh_tes!T31/SER_hh_num!T31)</f>
        <v>11528.066108213698</v>
      </c>
      <c r="U31" s="132">
        <f>IF(SER_hh_tes!U31=0,0,11630*1000*SER_hh_tes!U31/SER_hh_num!U31)</f>
        <v>9657.3099525327489</v>
      </c>
      <c r="V31" s="132">
        <f>IF(SER_hh_tes!V31=0,0,11630*1000*SER_hh_tes!V31/SER_hh_num!V31)</f>
        <v>8909.1952283859409</v>
      </c>
      <c r="W31" s="132">
        <f>IF(SER_hh_tes!W31=0,0,11630*1000*SER_hh_tes!W31/SER_hh_num!W31)</f>
        <v>9830.4022751485409</v>
      </c>
      <c r="X31" s="132">
        <f>IF(SER_hh_tes!X31=0,0,11630*1000*SER_hh_tes!X31/SER_hh_num!X31)</f>
        <v>11374.370176977536</v>
      </c>
      <c r="Y31" s="132">
        <f>IF(SER_hh_tes!Y31=0,0,11630*1000*SER_hh_tes!Y31/SER_hh_num!Y31)</f>
        <v>12456.789907595165</v>
      </c>
      <c r="DA31" s="156" t="s">
        <v>442</v>
      </c>
    </row>
    <row r="32" spans="1:105" ht="12" customHeight="1" x14ac:dyDescent="0.25">
      <c r="A32" s="131" t="s">
        <v>128</v>
      </c>
      <c r="B32" s="132">
        <f>IF(SER_hh_tes!B32=0,0,11630*1000*SER_hh_tes!B32/SER_hh_num!B32)</f>
        <v>0</v>
      </c>
      <c r="C32" s="132">
        <f>IF(SER_hh_tes!C32=0,0,11630*1000*SER_hh_tes!C32/SER_hh_num!C32)</f>
        <v>0</v>
      </c>
      <c r="D32" s="132">
        <f>IF(SER_hh_tes!D32=0,0,11630*1000*SER_hh_tes!D32/SER_hh_num!D32)</f>
        <v>0</v>
      </c>
      <c r="E32" s="132">
        <f>IF(SER_hh_tes!E32=0,0,11630*1000*SER_hh_tes!E32/SER_hh_num!E32)</f>
        <v>0</v>
      </c>
      <c r="F32" s="132">
        <f>IF(SER_hh_tes!F32=0,0,11630*1000*SER_hh_tes!F32/SER_hh_num!F32)</f>
        <v>0</v>
      </c>
      <c r="G32" s="132">
        <f>IF(SER_hh_tes!G32=0,0,11630*1000*SER_hh_tes!G32/SER_hh_num!G32)</f>
        <v>13448.471524421117</v>
      </c>
      <c r="H32" s="132">
        <f>IF(SER_hh_tes!H32=0,0,11630*1000*SER_hh_tes!H32/SER_hh_num!H32)</f>
        <v>9187.409802878281</v>
      </c>
      <c r="I32" s="132">
        <f>IF(SER_hh_tes!I32=0,0,11630*1000*SER_hh_tes!I32/SER_hh_num!I32)</f>
        <v>7350.514379210631</v>
      </c>
      <c r="J32" s="132">
        <f>IF(SER_hh_tes!J32=0,0,11630*1000*SER_hh_tes!J32/SER_hh_num!J32)</f>
        <v>12550.477872000383</v>
      </c>
      <c r="K32" s="132">
        <f>IF(SER_hh_tes!K32=0,0,11630*1000*SER_hh_tes!K32/SER_hh_num!K32)</f>
        <v>6218.9469939645369</v>
      </c>
      <c r="L32" s="132">
        <f>IF(SER_hh_tes!L32=0,0,11630*1000*SER_hh_tes!L32/SER_hh_num!L32)</f>
        <v>10963.035880679639</v>
      </c>
      <c r="M32" s="132">
        <f>IF(SER_hh_tes!M32=0,0,11630*1000*SER_hh_tes!M32/SER_hh_num!M32)</f>
        <v>11729.509704597696</v>
      </c>
      <c r="N32" s="132">
        <f>IF(SER_hh_tes!N32=0,0,11630*1000*SER_hh_tes!N32/SER_hh_num!N32)</f>
        <v>5618.8718775665593</v>
      </c>
      <c r="O32" s="132">
        <f>IF(SER_hh_tes!O32=0,0,11630*1000*SER_hh_tes!O32/SER_hh_num!O32)</f>
        <v>6008.0799292721349</v>
      </c>
      <c r="P32" s="132">
        <f>IF(SER_hh_tes!P32=0,0,11630*1000*SER_hh_tes!P32/SER_hh_num!P32)</f>
        <v>5655.3581464255049</v>
      </c>
      <c r="Q32" s="132">
        <f>IF(SER_hh_tes!Q32=0,0,11630*1000*SER_hh_tes!Q32/SER_hh_num!Q32)</f>
        <v>11050.923446199951</v>
      </c>
      <c r="R32" s="132">
        <f>IF(SER_hh_tes!R32=0,0,11630*1000*SER_hh_tes!R32/SER_hh_num!R32)</f>
        <v>9560.8426745812667</v>
      </c>
      <c r="S32" s="132">
        <f>IF(SER_hh_tes!S32=0,0,11630*1000*SER_hh_tes!S32/SER_hh_num!S32)</f>
        <v>9596.2347276610835</v>
      </c>
      <c r="T32" s="132">
        <f>IF(SER_hh_tes!T32=0,0,11630*1000*SER_hh_tes!T32/SER_hh_num!T32)</f>
        <v>9690.6196501407867</v>
      </c>
      <c r="U32" s="132">
        <f>IF(SER_hh_tes!U32=0,0,11630*1000*SER_hh_tes!U32/SER_hh_num!U32)</f>
        <v>11104.330574139247</v>
      </c>
      <c r="V32" s="132">
        <f>IF(SER_hh_tes!V32=0,0,11630*1000*SER_hh_tes!V32/SER_hh_num!V32)</f>
        <v>9748.2332537452094</v>
      </c>
      <c r="W32" s="132">
        <f>IF(SER_hh_tes!W32=0,0,11630*1000*SER_hh_tes!W32/SER_hh_num!W32)</f>
        <v>12653.515178205464</v>
      </c>
      <c r="X32" s="132">
        <f>IF(SER_hh_tes!X32=0,0,11630*1000*SER_hh_tes!X32/SER_hh_num!X32)</f>
        <v>12058.006434775889</v>
      </c>
      <c r="Y32" s="132">
        <f>IF(SER_hh_tes!Y32=0,0,11630*1000*SER_hh_tes!Y32/SER_hh_num!Y32)</f>
        <v>11375.269762236396</v>
      </c>
      <c r="DA32" s="156" t="s">
        <v>443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9312.8400232810473</v>
      </c>
      <c r="C33" s="68">
        <f>IF(SER_hh_tes!C33=0,0,11630*1000*SER_hh_tes!C33/SER_hh_num!C33)</f>
        <v>9086.7138561821994</v>
      </c>
      <c r="D33" s="68">
        <f>IF(SER_hh_tes!D33=0,0,11630*1000*SER_hh_tes!D33/SER_hh_num!D33)</f>
        <v>9000.4863043484111</v>
      </c>
      <c r="E33" s="68">
        <f>IF(SER_hh_tes!E33=0,0,11630*1000*SER_hh_tes!E33/SER_hh_num!E33)</f>
        <v>8891.6031966618066</v>
      </c>
      <c r="F33" s="68">
        <f>IF(SER_hh_tes!F33=0,0,11630*1000*SER_hh_tes!F33/SER_hh_num!F33)</f>
        <v>9184.4669851359686</v>
      </c>
      <c r="G33" s="68">
        <f>IF(SER_hh_tes!G33=0,0,11630*1000*SER_hh_tes!G33/SER_hh_num!G33)</f>
        <v>9252.7342273369213</v>
      </c>
      <c r="H33" s="68">
        <f>IF(SER_hh_tes!H33=0,0,11630*1000*SER_hh_tes!H33/SER_hh_num!H33)</f>
        <v>10088.641667403685</v>
      </c>
      <c r="I33" s="68">
        <f>IF(SER_hh_tes!I33=0,0,11630*1000*SER_hh_tes!I33/SER_hh_num!I33)</f>
        <v>9299.722724120762</v>
      </c>
      <c r="J33" s="68">
        <f>IF(SER_hh_tes!J33=0,0,11630*1000*SER_hh_tes!J33/SER_hh_num!J33)</f>
        <v>8704.0114310605604</v>
      </c>
      <c r="K33" s="68">
        <f>IF(SER_hh_tes!K33=0,0,11630*1000*SER_hh_tes!K33/SER_hh_num!K33)</f>
        <v>9374.6996945874434</v>
      </c>
      <c r="L33" s="68">
        <f>IF(SER_hh_tes!L33=0,0,11630*1000*SER_hh_tes!L33/SER_hh_num!L33)</f>
        <v>9329.4721798661376</v>
      </c>
      <c r="M33" s="68">
        <f>IF(SER_hh_tes!M33=0,0,11630*1000*SER_hh_tes!M33/SER_hh_num!M33)</f>
        <v>9140.5854266454298</v>
      </c>
      <c r="N33" s="68">
        <f>IF(SER_hh_tes!N33=0,0,11630*1000*SER_hh_tes!N33/SER_hh_num!N33)</f>
        <v>9760.3605065185966</v>
      </c>
      <c r="O33" s="68">
        <f>IF(SER_hh_tes!O33=0,0,11630*1000*SER_hh_tes!O33/SER_hh_num!O33)</f>
        <v>9910.1335945925857</v>
      </c>
      <c r="P33" s="68">
        <f>IF(SER_hh_tes!P33=0,0,11630*1000*SER_hh_tes!P33/SER_hh_num!P33)</f>
        <v>9961.8157125978796</v>
      </c>
      <c r="Q33" s="68">
        <f>IF(SER_hh_tes!Q33=0,0,11630*1000*SER_hh_tes!Q33/SER_hh_num!Q33)</f>
        <v>9367.4968370836086</v>
      </c>
      <c r="R33" s="68">
        <f>IF(SER_hh_tes!R33=0,0,11630*1000*SER_hh_tes!R33/SER_hh_num!R33)</f>
        <v>9401.4337832238652</v>
      </c>
      <c r="S33" s="68">
        <f>IF(SER_hh_tes!S33=0,0,11630*1000*SER_hh_tes!S33/SER_hh_num!S33)</f>
        <v>9939.741365769707</v>
      </c>
      <c r="T33" s="68">
        <f>IF(SER_hh_tes!T33=0,0,11630*1000*SER_hh_tes!T33/SER_hh_num!T33)</f>
        <v>9868.07390977059</v>
      </c>
      <c r="U33" s="68">
        <f>IF(SER_hh_tes!U33=0,0,11630*1000*SER_hh_tes!U33/SER_hh_num!U33)</f>
        <v>11098.757131136723</v>
      </c>
      <c r="V33" s="68">
        <f>IF(SER_hh_tes!V33=0,0,11630*1000*SER_hh_tes!V33/SER_hh_num!V33)</f>
        <v>10616.860477986353</v>
      </c>
      <c r="W33" s="68">
        <f>IF(SER_hh_tes!W33=0,0,11630*1000*SER_hh_tes!W33/SER_hh_num!W33)</f>
        <v>11453.027921293569</v>
      </c>
      <c r="X33" s="68">
        <f>IF(SER_hh_tes!X33=0,0,11630*1000*SER_hh_tes!X33/SER_hh_num!X33)</f>
        <v>11369.083713445667</v>
      </c>
      <c r="Y33" s="68">
        <f>IF(SER_hh_tes!Y33=0,0,11630*1000*SER_hh_tes!Y33/SER_hh_num!Y33)</f>
        <v>11577.146155784365</v>
      </c>
      <c r="DA33" s="111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>
        <f>IF(SER_hh_emi!B3=0,0,1000000*SER_hh_emi!B3/SER_hh_num!B3)</f>
        <v>10720.485586312492</v>
      </c>
      <c r="C3" s="125">
        <f>IF(SER_hh_emi!C3=0,0,1000000*SER_hh_emi!C3/SER_hh_num!C3)</f>
        <v>8854.8485856841235</v>
      </c>
      <c r="D3" s="125">
        <f>IF(SER_hh_emi!D3=0,0,1000000*SER_hh_emi!D3/SER_hh_num!D3)</f>
        <v>9638.0578468748554</v>
      </c>
      <c r="E3" s="125">
        <f>IF(SER_hh_emi!E3=0,0,1000000*SER_hh_emi!E3/SER_hh_num!E3)</f>
        <v>8695.6920374357924</v>
      </c>
      <c r="F3" s="125">
        <f>IF(SER_hh_emi!F3=0,0,1000000*SER_hh_emi!F3/SER_hh_num!F3)</f>
        <v>8925.3191250959899</v>
      </c>
      <c r="G3" s="125">
        <f>IF(SER_hh_emi!G3=0,0,1000000*SER_hh_emi!G3/SER_hh_num!G3)</f>
        <v>8870.7681448295734</v>
      </c>
      <c r="H3" s="125">
        <f>IF(SER_hh_emi!H3=0,0,1000000*SER_hh_emi!H3/SER_hh_num!H3)</f>
        <v>10365.31509717351</v>
      </c>
      <c r="I3" s="125">
        <f>IF(SER_hh_emi!I3=0,0,1000000*SER_hh_emi!I3/SER_hh_num!I3)</f>
        <v>8904.1677214612628</v>
      </c>
      <c r="J3" s="125">
        <f>IF(SER_hh_emi!J3=0,0,1000000*SER_hh_emi!J3/SER_hh_num!J3)</f>
        <v>7493.4297871718345</v>
      </c>
      <c r="K3" s="125">
        <f>IF(SER_hh_emi!K3=0,0,1000000*SER_hh_emi!K3/SER_hh_num!K3)</f>
        <v>7560.7018860006101</v>
      </c>
      <c r="L3" s="125">
        <f>IF(SER_hh_emi!L3=0,0,1000000*SER_hh_emi!L3/SER_hh_num!L3)</f>
        <v>7824.152535944032</v>
      </c>
      <c r="M3" s="125">
        <f>IF(SER_hh_emi!M3=0,0,1000000*SER_hh_emi!M3/SER_hh_num!M3)</f>
        <v>8197.5171759008881</v>
      </c>
      <c r="N3" s="125">
        <f>IF(SER_hh_emi!N3=0,0,1000000*SER_hh_emi!N3/SER_hh_num!N3)</f>
        <v>6709.710943125644</v>
      </c>
      <c r="O3" s="125">
        <f>IF(SER_hh_emi!O3=0,0,1000000*SER_hh_emi!O3/SER_hh_num!O3)</f>
        <v>7190.6989327528363</v>
      </c>
      <c r="P3" s="125">
        <f>IF(SER_hh_emi!P3=0,0,1000000*SER_hh_emi!P3/SER_hh_num!P3)</f>
        <v>6212.6327170843833</v>
      </c>
      <c r="Q3" s="125">
        <f>IF(SER_hh_emi!Q3=0,0,1000000*SER_hh_emi!Q3/SER_hh_num!Q3)</f>
        <v>5526.0214062253744</v>
      </c>
      <c r="R3" s="125">
        <f>IF(SER_hh_emi!R3=0,0,1000000*SER_hh_emi!R3/SER_hh_num!R3)</f>
        <v>6221.8087120781693</v>
      </c>
      <c r="S3" s="125">
        <f>IF(SER_hh_emi!S3=0,0,1000000*SER_hh_emi!S3/SER_hh_num!S3)</f>
        <v>6466.8293835224085</v>
      </c>
      <c r="T3" s="125">
        <f>IF(SER_hh_emi!T3=0,0,1000000*SER_hh_emi!T3/SER_hh_num!T3)</f>
        <v>6697.0683377372416</v>
      </c>
      <c r="U3" s="125">
        <f>IF(SER_hh_emi!U3=0,0,1000000*SER_hh_emi!U3/SER_hh_num!U3)</f>
        <v>6149.8281904925361</v>
      </c>
      <c r="V3" s="125">
        <f>IF(SER_hh_emi!V3=0,0,1000000*SER_hh_emi!V3/SER_hh_num!V3)</f>
        <v>5083.7024187694869</v>
      </c>
      <c r="W3" s="125">
        <f>IF(SER_hh_emi!W3=0,0,1000000*SER_hh_emi!W3/SER_hh_num!W3)</f>
        <v>5634.0172484072637</v>
      </c>
      <c r="X3" s="125">
        <f>IF(SER_hh_emi!X3=0,0,1000000*SER_hh_emi!X3/SER_hh_num!X3)</f>
        <v>5555.1300089138458</v>
      </c>
      <c r="Y3" s="125">
        <f>IF(SER_hh_emi!Y3=0,0,1000000*SER_hh_emi!Y3/SER_hh_num!Y3)</f>
        <v>5767.2237790135705</v>
      </c>
      <c r="DA3" s="154" t="s">
        <v>446</v>
      </c>
    </row>
    <row r="4" spans="1:105" ht="12.95" customHeight="1" x14ac:dyDescent="0.25">
      <c r="A4" s="129" t="s">
        <v>32</v>
      </c>
      <c r="B4" s="130">
        <f>IF(SER_hh_emi!B4=0,0,1000000*SER_hh_emi!B4/SER_hh_num!B4)</f>
        <v>9682.0306951140756</v>
      </c>
      <c r="C4" s="130">
        <f>IF(SER_hh_emi!C4=0,0,1000000*SER_hh_emi!C4/SER_hh_num!C4)</f>
        <v>7900.0081271991221</v>
      </c>
      <c r="D4" s="130">
        <f>IF(SER_hh_emi!D4=0,0,1000000*SER_hh_emi!D4/SER_hh_num!D4)</f>
        <v>8653.6108602081458</v>
      </c>
      <c r="E4" s="130">
        <f>IF(SER_hh_emi!E4=0,0,1000000*SER_hh_emi!E4/SER_hh_num!E4)</f>
        <v>7769.2856760973527</v>
      </c>
      <c r="F4" s="130">
        <f>IF(SER_hh_emi!F4=0,0,1000000*SER_hh_emi!F4/SER_hh_num!F4)</f>
        <v>8049.4171530526419</v>
      </c>
      <c r="G4" s="130">
        <f>IF(SER_hh_emi!G4=0,0,1000000*SER_hh_emi!G4/SER_hh_num!G4)</f>
        <v>8017.1010799856776</v>
      </c>
      <c r="H4" s="130">
        <f>IF(SER_hh_emi!H4=0,0,1000000*SER_hh_emi!H4/SER_hh_num!H4)</f>
        <v>9487.1656719767652</v>
      </c>
      <c r="I4" s="130">
        <f>IF(SER_hh_emi!I4=0,0,1000000*SER_hh_emi!I4/SER_hh_num!I4)</f>
        <v>7863.3447507318988</v>
      </c>
      <c r="J4" s="130">
        <f>IF(SER_hh_emi!J4=0,0,1000000*SER_hh_emi!J4/SER_hh_num!J4)</f>
        <v>6418.5531255446149</v>
      </c>
      <c r="K4" s="130">
        <f>IF(SER_hh_emi!K4=0,0,1000000*SER_hh_emi!K4/SER_hh_num!K4)</f>
        <v>6522.5185033399221</v>
      </c>
      <c r="L4" s="130">
        <f>IF(SER_hh_emi!L4=0,0,1000000*SER_hh_emi!L4/SER_hh_num!L4)</f>
        <v>6859.6462143018762</v>
      </c>
      <c r="M4" s="130">
        <f>IF(SER_hh_emi!M4=0,0,1000000*SER_hh_emi!M4/SER_hh_num!M4)</f>
        <v>7291.1929070472097</v>
      </c>
      <c r="N4" s="130">
        <f>IF(SER_hh_emi!N4=0,0,1000000*SER_hh_emi!N4/SER_hh_num!N4)</f>
        <v>5895.1919733291525</v>
      </c>
      <c r="O4" s="130">
        <f>IF(SER_hh_emi!O4=0,0,1000000*SER_hh_emi!O4/SER_hh_num!O4)</f>
        <v>6477.529822794977</v>
      </c>
      <c r="P4" s="130">
        <f>IF(SER_hh_emi!P4=0,0,1000000*SER_hh_emi!P4/SER_hh_num!P4)</f>
        <v>5600.5023910251157</v>
      </c>
      <c r="Q4" s="130">
        <f>IF(SER_hh_emi!Q4=0,0,1000000*SER_hh_emi!Q4/SER_hh_num!Q4)</f>
        <v>4845.0867515699301</v>
      </c>
      <c r="R4" s="130">
        <f>IF(SER_hh_emi!R4=0,0,1000000*SER_hh_emi!R4/SER_hh_num!R4)</f>
        <v>5507.9024208671008</v>
      </c>
      <c r="S4" s="130">
        <f>IF(SER_hh_emi!S4=0,0,1000000*SER_hh_emi!S4/SER_hh_num!S4)</f>
        <v>5788.3584838256838</v>
      </c>
      <c r="T4" s="130">
        <f>IF(SER_hh_emi!T4=0,0,1000000*SER_hh_emi!T4/SER_hh_num!T4)</f>
        <v>6002.8116167059079</v>
      </c>
      <c r="U4" s="130">
        <f>IF(SER_hh_emi!U4=0,0,1000000*SER_hh_emi!U4/SER_hh_num!U4)</f>
        <v>5596.8271595881715</v>
      </c>
      <c r="V4" s="130">
        <f>IF(SER_hh_emi!V4=0,0,1000000*SER_hh_emi!V4/SER_hh_num!V4)</f>
        <v>4591.9640398226475</v>
      </c>
      <c r="W4" s="130">
        <f>IF(SER_hh_emi!W4=0,0,1000000*SER_hh_emi!W4/SER_hh_num!W4)</f>
        <v>5123.0612581396144</v>
      </c>
      <c r="X4" s="130">
        <f>IF(SER_hh_emi!X4=0,0,1000000*SER_hh_emi!X4/SER_hh_num!X4)</f>
        <v>4984.6611117817229</v>
      </c>
      <c r="Y4" s="130">
        <f>IF(SER_hh_emi!Y4=0,0,1000000*SER_hh_emi!Y4/SER_hh_num!Y4)</f>
        <v>5126.3387982680551</v>
      </c>
      <c r="DA4" s="155" t="s">
        <v>447</v>
      </c>
    </row>
    <row r="5" spans="1:105" ht="12" customHeight="1" x14ac:dyDescent="0.25">
      <c r="A5" s="131" t="s">
        <v>29</v>
      </c>
      <c r="B5" s="132">
        <f>IF(SER_hh_emi!B5=0,0,1000000*SER_hh_emi!B5/SER_hh_num!B5)</f>
        <v>52789.31432025104</v>
      </c>
      <c r="C5" s="132">
        <f>IF(SER_hh_emi!C5=0,0,1000000*SER_hh_emi!C5/SER_hh_num!C5)</f>
        <v>44191.862544696407</v>
      </c>
      <c r="D5" s="132">
        <f>IF(SER_hh_emi!D5=0,0,1000000*SER_hh_emi!D5/SER_hh_num!D5)</f>
        <v>47589.898831614839</v>
      </c>
      <c r="E5" s="132">
        <f>IF(SER_hh_emi!E5=0,0,1000000*SER_hh_emi!E5/SER_hh_num!E5)</f>
        <v>44907.406048665092</v>
      </c>
      <c r="F5" s="132">
        <f>IF(SER_hh_emi!F5=0,0,1000000*SER_hh_emi!F5/SER_hh_num!F5)</f>
        <v>39379.437709708174</v>
      </c>
      <c r="G5" s="132">
        <f>IF(SER_hh_emi!G5=0,0,1000000*SER_hh_emi!G5/SER_hh_num!G5)</f>
        <v>40409.113581218444</v>
      </c>
      <c r="H5" s="132">
        <f>IF(SER_hh_emi!H5=0,0,1000000*SER_hh_emi!H5/SER_hh_num!H5)</f>
        <v>50874.611806018547</v>
      </c>
      <c r="I5" s="132">
        <f>IF(SER_hh_emi!I5=0,0,1000000*SER_hh_emi!I5/SER_hh_num!I5)</f>
        <v>37537.449904786175</v>
      </c>
      <c r="J5" s="132">
        <f>IF(SER_hh_emi!J5=0,0,1000000*SER_hh_emi!J5/SER_hh_num!J5)</f>
        <v>27691.203904573795</v>
      </c>
      <c r="K5" s="132">
        <f>IF(SER_hh_emi!K5=0,0,1000000*SER_hh_emi!K5/SER_hh_num!K5)</f>
        <v>31854.635419157523</v>
      </c>
      <c r="L5" s="132">
        <f>IF(SER_hh_emi!L5=0,0,1000000*SER_hh_emi!L5/SER_hh_num!L5)</f>
        <v>30303.971218935007</v>
      </c>
      <c r="M5" s="132">
        <f>IF(SER_hh_emi!M5=0,0,1000000*SER_hh_emi!M5/SER_hh_num!M5)</f>
        <v>35352.837548178431</v>
      </c>
      <c r="N5" s="132">
        <f>IF(SER_hh_emi!N5=0,0,1000000*SER_hh_emi!N5/SER_hh_num!N5)</f>
        <v>24789.62641483765</v>
      </c>
      <c r="O5" s="132">
        <f>IF(SER_hh_emi!O5=0,0,1000000*SER_hh_emi!O5/SER_hh_num!O5)</f>
        <v>28969.07418590027</v>
      </c>
      <c r="P5" s="132">
        <f>IF(SER_hh_emi!P5=0,0,1000000*SER_hh_emi!P5/SER_hh_num!P5)</f>
        <v>26471.124569330364</v>
      </c>
      <c r="Q5" s="132">
        <f>IF(SER_hh_emi!Q5=0,0,1000000*SER_hh_emi!Q5/SER_hh_num!Q5)</f>
        <v>20956.021717089636</v>
      </c>
      <c r="R5" s="132">
        <f>IF(SER_hh_emi!R5=0,0,1000000*SER_hh_emi!R5/SER_hh_num!R5)</f>
        <v>26036.998260145556</v>
      </c>
      <c r="S5" s="132">
        <f>IF(SER_hh_emi!S5=0,0,1000000*SER_hh_emi!S5/SER_hh_num!S5)</f>
        <v>27792.477127213653</v>
      </c>
      <c r="T5" s="132">
        <f>IF(SER_hh_emi!T5=0,0,1000000*SER_hh_emi!T5/SER_hh_num!T5)</f>
        <v>30016.111814277152</v>
      </c>
      <c r="U5" s="132">
        <f>IF(SER_hh_emi!U5=0,0,1000000*SER_hh_emi!U5/SER_hh_num!U5)</f>
        <v>27578.633357891908</v>
      </c>
      <c r="V5" s="132">
        <f>IF(SER_hh_emi!V5=0,0,1000000*SER_hh_emi!V5/SER_hh_num!V5)</f>
        <v>20760.561693982159</v>
      </c>
      <c r="W5" s="132">
        <f>IF(SER_hh_emi!W5=0,0,1000000*SER_hh_emi!W5/SER_hh_num!W5)</f>
        <v>27836.616492568592</v>
      </c>
      <c r="X5" s="132">
        <f>IF(SER_hh_emi!X5=0,0,1000000*SER_hh_emi!X5/SER_hh_num!X5)</f>
        <v>29169.463204624426</v>
      </c>
      <c r="Y5" s="132">
        <f>IF(SER_hh_emi!Y5=0,0,1000000*SER_hh_emi!Y5/SER_hh_num!Y5)</f>
        <v>22169.845803373148</v>
      </c>
      <c r="DA5" s="156" t="s">
        <v>448</v>
      </c>
    </row>
    <row r="6" spans="1:105" ht="12" customHeight="1" x14ac:dyDescent="0.25">
      <c r="A6" s="131" t="s">
        <v>52</v>
      </c>
      <c r="B6" s="132">
        <f>IF(SER_hh_emi!B6=0,0,1000000*SER_hh_emi!B6/SER_hh_num!B6)</f>
        <v>0</v>
      </c>
      <c r="C6" s="132">
        <f>IF(SER_hh_emi!C6=0,0,1000000*SER_hh_emi!C6/SER_hh_num!C6)</f>
        <v>0</v>
      </c>
      <c r="D6" s="132">
        <f>IF(SER_hh_emi!D6=0,0,1000000*SER_hh_emi!D6/SER_hh_num!D6)</f>
        <v>0</v>
      </c>
      <c r="E6" s="132">
        <f>IF(SER_hh_emi!E6=0,0,1000000*SER_hh_emi!E6/SER_hh_num!E6)</f>
        <v>0</v>
      </c>
      <c r="F6" s="132">
        <f>IF(SER_hh_emi!F6=0,0,1000000*SER_hh_emi!F6/SER_hh_num!F6)</f>
        <v>0</v>
      </c>
      <c r="G6" s="132">
        <f>IF(SER_hh_emi!G6=0,0,1000000*SER_hh_emi!G6/SER_hh_num!G6)</f>
        <v>0</v>
      </c>
      <c r="H6" s="132">
        <f>IF(SER_hh_emi!H6=0,0,1000000*SER_hh_emi!H6/SER_hh_num!H6)</f>
        <v>0</v>
      </c>
      <c r="I6" s="132">
        <f>IF(SER_hh_emi!I6=0,0,1000000*SER_hh_emi!I6/SER_hh_num!I6)</f>
        <v>0</v>
      </c>
      <c r="J6" s="132">
        <f>IF(SER_hh_emi!J6=0,0,1000000*SER_hh_emi!J6/SER_hh_num!J6)</f>
        <v>0</v>
      </c>
      <c r="K6" s="132">
        <f>IF(SER_hh_emi!K6=0,0,1000000*SER_hh_emi!K6/SER_hh_num!K6)</f>
        <v>0</v>
      </c>
      <c r="L6" s="132">
        <f>IF(SER_hh_emi!L6=0,0,1000000*SER_hh_emi!L6/SER_hh_num!L6)</f>
        <v>0</v>
      </c>
      <c r="M6" s="132">
        <f>IF(SER_hh_emi!M6=0,0,1000000*SER_hh_emi!M6/SER_hh_num!M6)</f>
        <v>0</v>
      </c>
      <c r="N6" s="132">
        <f>IF(SER_hh_emi!N6=0,0,1000000*SER_hh_emi!N6/SER_hh_num!N6)</f>
        <v>0</v>
      </c>
      <c r="O6" s="132">
        <f>IF(SER_hh_emi!O6=0,0,1000000*SER_hh_emi!O6/SER_hh_num!O6)</f>
        <v>0</v>
      </c>
      <c r="P6" s="132">
        <f>IF(SER_hh_emi!P6=0,0,1000000*SER_hh_emi!P6/SER_hh_num!P6)</f>
        <v>0</v>
      </c>
      <c r="Q6" s="132">
        <f>IF(SER_hh_emi!Q6=0,0,1000000*SER_hh_emi!Q6/SER_hh_num!Q6)</f>
        <v>0</v>
      </c>
      <c r="R6" s="132">
        <f>IF(SER_hh_emi!R6=0,0,1000000*SER_hh_emi!R6/SER_hh_num!R6)</f>
        <v>0</v>
      </c>
      <c r="S6" s="132">
        <f>IF(SER_hh_emi!S6=0,0,1000000*SER_hh_emi!S6/SER_hh_num!S6)</f>
        <v>0</v>
      </c>
      <c r="T6" s="132">
        <f>IF(SER_hh_emi!T6=0,0,1000000*SER_hh_emi!T6/SER_hh_num!T6)</f>
        <v>0</v>
      </c>
      <c r="U6" s="132">
        <f>IF(SER_hh_emi!U6=0,0,1000000*SER_hh_emi!U6/SER_hh_num!U6)</f>
        <v>0</v>
      </c>
      <c r="V6" s="132">
        <f>IF(SER_hh_emi!V6=0,0,1000000*SER_hh_emi!V6/SER_hh_num!V6)</f>
        <v>0</v>
      </c>
      <c r="W6" s="132">
        <f>IF(SER_hh_emi!W6=0,0,1000000*SER_hh_emi!W6/SER_hh_num!W6)</f>
        <v>0</v>
      </c>
      <c r="X6" s="132">
        <f>IF(SER_hh_emi!X6=0,0,1000000*SER_hh_emi!X6/SER_hh_num!X6)</f>
        <v>0</v>
      </c>
      <c r="Y6" s="132">
        <f>IF(SER_hh_emi!Y6=0,0,1000000*SER_hh_emi!Y6/SER_hh_num!Y6)</f>
        <v>0</v>
      </c>
      <c r="DA6" s="156" t="s">
        <v>449</v>
      </c>
    </row>
    <row r="7" spans="1:105" ht="12" customHeight="1" x14ac:dyDescent="0.25">
      <c r="A7" s="131" t="s">
        <v>161</v>
      </c>
      <c r="B7" s="132">
        <f>IF(SER_hh_emi!B7=0,0,1000000*SER_hh_emi!B7/SER_hh_num!B7)</f>
        <v>49498.224436645978</v>
      </c>
      <c r="C7" s="132">
        <f>IF(SER_hh_emi!C7=0,0,1000000*SER_hh_emi!C7/SER_hh_num!C7)</f>
        <v>39061.204578277328</v>
      </c>
      <c r="D7" s="132">
        <f>IF(SER_hh_emi!D7=0,0,1000000*SER_hh_emi!D7/SER_hh_num!D7)</f>
        <v>47258.750810837679</v>
      </c>
      <c r="E7" s="132">
        <f>IF(SER_hh_emi!E7=0,0,1000000*SER_hh_emi!E7/SER_hh_num!E7)</f>
        <v>38078.289843323444</v>
      </c>
      <c r="F7" s="132">
        <f>IF(SER_hh_emi!F7=0,0,1000000*SER_hh_emi!F7/SER_hh_num!F7)</f>
        <v>43633.72983004932</v>
      </c>
      <c r="G7" s="132">
        <f>IF(SER_hh_emi!G7=0,0,1000000*SER_hh_emi!G7/SER_hh_num!G7)</f>
        <v>37444.606136505092</v>
      </c>
      <c r="H7" s="132">
        <f>IF(SER_hh_emi!H7=0,0,1000000*SER_hh_emi!H7/SER_hh_num!H7)</f>
        <v>33414.16342685694</v>
      </c>
      <c r="I7" s="132">
        <f>IF(SER_hh_emi!I7=0,0,1000000*SER_hh_emi!I7/SER_hh_num!I7)</f>
        <v>34576.852765584954</v>
      </c>
      <c r="J7" s="132">
        <f>IF(SER_hh_emi!J7=0,0,1000000*SER_hh_emi!J7/SER_hh_num!J7)</f>
        <v>58008.165229236634</v>
      </c>
      <c r="K7" s="132">
        <f>IF(SER_hh_emi!K7=0,0,1000000*SER_hh_emi!K7/SER_hh_num!K7)</f>
        <v>18136.735729341104</v>
      </c>
      <c r="L7" s="132">
        <f>IF(SER_hh_emi!L7=0,0,1000000*SER_hh_emi!L7/SER_hh_num!L7)</f>
        <v>26772.645086979253</v>
      </c>
      <c r="M7" s="132">
        <f>IF(SER_hh_emi!M7=0,0,1000000*SER_hh_emi!M7/SER_hh_num!M7)</f>
        <v>34718.960406434075</v>
      </c>
      <c r="N7" s="132">
        <f>IF(SER_hh_emi!N7=0,0,1000000*SER_hh_emi!N7/SER_hh_num!N7)</f>
        <v>21110.305103549978</v>
      </c>
      <c r="O7" s="132">
        <f>IF(SER_hh_emi!O7=0,0,1000000*SER_hh_emi!O7/SER_hh_num!O7)</f>
        <v>20963.380741011821</v>
      </c>
      <c r="P7" s="132">
        <f>IF(SER_hh_emi!P7=0,0,1000000*SER_hh_emi!P7/SER_hh_num!P7)</f>
        <v>29754.861479553019</v>
      </c>
      <c r="Q7" s="132">
        <f>IF(SER_hh_emi!Q7=0,0,1000000*SER_hh_emi!Q7/SER_hh_num!Q7)</f>
        <v>16154.54663188727</v>
      </c>
      <c r="R7" s="132">
        <f>IF(SER_hh_emi!R7=0,0,1000000*SER_hh_emi!R7/SER_hh_num!R7)</f>
        <v>19356.392726605351</v>
      </c>
      <c r="S7" s="132">
        <f>IF(SER_hh_emi!S7=0,0,1000000*SER_hh_emi!S7/SER_hh_num!S7)</f>
        <v>25350.169525041802</v>
      </c>
      <c r="T7" s="132">
        <f>IF(SER_hh_emi!T7=0,0,1000000*SER_hh_emi!T7/SER_hh_num!T7)</f>
        <v>19304.41651287222</v>
      </c>
      <c r="U7" s="132">
        <f>IF(SER_hh_emi!U7=0,0,1000000*SER_hh_emi!U7/SER_hh_num!U7)</f>
        <v>22030.671864749587</v>
      </c>
      <c r="V7" s="132">
        <f>IF(SER_hh_emi!V7=0,0,1000000*SER_hh_emi!V7/SER_hh_num!V7)</f>
        <v>22122.368168276735</v>
      </c>
      <c r="W7" s="132">
        <f>IF(SER_hh_emi!W7=0,0,1000000*SER_hh_emi!W7/SER_hh_num!W7)</f>
        <v>22824.56000751843</v>
      </c>
      <c r="X7" s="132">
        <f>IF(SER_hh_emi!X7=0,0,1000000*SER_hh_emi!X7/SER_hh_num!X7)</f>
        <v>18766.024513958349</v>
      </c>
      <c r="Y7" s="132">
        <f>IF(SER_hh_emi!Y7=0,0,1000000*SER_hh_emi!Y7/SER_hh_num!Y7)</f>
        <v>23751.773570117803</v>
      </c>
      <c r="DA7" s="156" t="s">
        <v>450</v>
      </c>
    </row>
    <row r="8" spans="1:105" ht="12" customHeight="1" x14ac:dyDescent="0.25">
      <c r="A8" s="131" t="s">
        <v>73</v>
      </c>
      <c r="B8" s="132">
        <f>IF(SER_hh_emi!B8=0,0,1000000*SER_hh_emi!B8/SER_hh_num!B8)</f>
        <v>0</v>
      </c>
      <c r="C8" s="132">
        <f>IF(SER_hh_emi!C8=0,0,1000000*SER_hh_emi!C8/SER_hh_num!C8)</f>
        <v>0</v>
      </c>
      <c r="D8" s="132">
        <f>IF(SER_hh_emi!D8=0,0,1000000*SER_hh_emi!D8/SER_hh_num!D8)</f>
        <v>0</v>
      </c>
      <c r="E8" s="132">
        <f>IF(SER_hh_emi!E8=0,0,1000000*SER_hh_emi!E8/SER_hh_num!E8)</f>
        <v>0</v>
      </c>
      <c r="F8" s="132">
        <f>IF(SER_hh_emi!F8=0,0,1000000*SER_hh_emi!F8/SER_hh_num!F8)</f>
        <v>0</v>
      </c>
      <c r="G8" s="132">
        <f>IF(SER_hh_emi!G8=0,0,1000000*SER_hh_emi!G8/SER_hh_num!G8)</f>
        <v>0</v>
      </c>
      <c r="H8" s="132">
        <f>IF(SER_hh_emi!H8=0,0,1000000*SER_hh_emi!H8/SER_hh_num!H8)</f>
        <v>0</v>
      </c>
      <c r="I8" s="132">
        <f>IF(SER_hh_emi!I8=0,0,1000000*SER_hh_emi!I8/SER_hh_num!I8)</f>
        <v>0</v>
      </c>
      <c r="J8" s="132">
        <f>IF(SER_hh_emi!J8=0,0,1000000*SER_hh_emi!J8/SER_hh_num!J8)</f>
        <v>0</v>
      </c>
      <c r="K8" s="132">
        <f>IF(SER_hh_emi!K8=0,0,1000000*SER_hh_emi!K8/SER_hh_num!K8)</f>
        <v>0</v>
      </c>
      <c r="L8" s="132">
        <f>IF(SER_hh_emi!L8=0,0,1000000*SER_hh_emi!L8/SER_hh_num!L8)</f>
        <v>0</v>
      </c>
      <c r="M8" s="132">
        <f>IF(SER_hh_emi!M8=0,0,1000000*SER_hh_emi!M8/SER_hh_num!M8)</f>
        <v>0</v>
      </c>
      <c r="N8" s="132">
        <f>IF(SER_hh_emi!N8=0,0,1000000*SER_hh_emi!N8/SER_hh_num!N8)</f>
        <v>0</v>
      </c>
      <c r="O8" s="132">
        <f>IF(SER_hh_emi!O8=0,0,1000000*SER_hh_emi!O8/SER_hh_num!O8)</f>
        <v>0</v>
      </c>
      <c r="P8" s="132">
        <f>IF(SER_hh_emi!P8=0,0,1000000*SER_hh_emi!P8/SER_hh_num!P8)</f>
        <v>0</v>
      </c>
      <c r="Q8" s="132">
        <f>IF(SER_hh_emi!Q8=0,0,1000000*SER_hh_emi!Q8/SER_hh_num!Q8)</f>
        <v>0</v>
      </c>
      <c r="R8" s="132">
        <f>IF(SER_hh_emi!R8=0,0,1000000*SER_hh_emi!R8/SER_hh_num!R8)</f>
        <v>0</v>
      </c>
      <c r="S8" s="132">
        <f>IF(SER_hh_emi!S8=0,0,1000000*SER_hh_emi!S8/SER_hh_num!S8)</f>
        <v>0</v>
      </c>
      <c r="T8" s="132">
        <f>IF(SER_hh_emi!T8=0,0,1000000*SER_hh_emi!T8/SER_hh_num!T8)</f>
        <v>0</v>
      </c>
      <c r="U8" s="132">
        <f>IF(SER_hh_emi!U8=0,0,1000000*SER_hh_emi!U8/SER_hh_num!U8)</f>
        <v>0</v>
      </c>
      <c r="V8" s="132">
        <f>IF(SER_hh_emi!V8=0,0,1000000*SER_hh_emi!V8/SER_hh_num!V8)</f>
        <v>0</v>
      </c>
      <c r="W8" s="132">
        <f>IF(SER_hh_emi!W8=0,0,1000000*SER_hh_emi!W8/SER_hh_num!W8)</f>
        <v>0</v>
      </c>
      <c r="X8" s="132">
        <f>IF(SER_hh_emi!X8=0,0,1000000*SER_hh_emi!X8/SER_hh_num!X8)</f>
        <v>0</v>
      </c>
      <c r="Y8" s="132">
        <f>IF(SER_hh_emi!Y8=0,0,1000000*SER_hh_emi!Y8/SER_hh_num!Y8)</f>
        <v>0</v>
      </c>
      <c r="DA8" s="156" t="s">
        <v>451</v>
      </c>
    </row>
    <row r="9" spans="1:105" ht="12" customHeight="1" x14ac:dyDescent="0.25">
      <c r="A9" s="131" t="s">
        <v>78</v>
      </c>
      <c r="B9" s="132">
        <f>IF(SER_hh_emi!B9=0,0,1000000*SER_hh_emi!B9/SER_hh_num!B9)</f>
        <v>29836.749668314096</v>
      </c>
      <c r="C9" s="132">
        <f>IF(SER_hh_emi!C9=0,0,1000000*SER_hh_emi!C9/SER_hh_num!C9)</f>
        <v>29319.37022415817</v>
      </c>
      <c r="D9" s="132">
        <f>IF(SER_hh_emi!D9=0,0,1000000*SER_hh_emi!D9/SER_hh_num!D9)</f>
        <v>27969.285871363962</v>
      </c>
      <c r="E9" s="132">
        <f>IF(SER_hh_emi!E9=0,0,1000000*SER_hh_emi!E9/SER_hh_num!E9)</f>
        <v>24807.251433155539</v>
      </c>
      <c r="F9" s="132">
        <f>IF(SER_hh_emi!F9=0,0,1000000*SER_hh_emi!F9/SER_hh_num!F9)</f>
        <v>29793.147584455484</v>
      </c>
      <c r="G9" s="132">
        <f>IF(SER_hh_emi!G9=0,0,1000000*SER_hh_emi!G9/SER_hh_num!G9)</f>
        <v>24895.731334477379</v>
      </c>
      <c r="H9" s="132">
        <f>IF(SER_hh_emi!H9=0,0,1000000*SER_hh_emi!H9/SER_hh_num!H9)</f>
        <v>23178.626291665176</v>
      </c>
      <c r="I9" s="132">
        <f>IF(SER_hh_emi!I9=0,0,1000000*SER_hh_emi!I9/SER_hh_num!I9)</f>
        <v>26467.801801504884</v>
      </c>
      <c r="J9" s="132">
        <f>IF(SER_hh_emi!J9=0,0,1000000*SER_hh_emi!J9/SER_hh_num!J9)</f>
        <v>22040.81856012854</v>
      </c>
      <c r="K9" s="132">
        <f>IF(SER_hh_emi!K9=0,0,1000000*SER_hh_emi!K9/SER_hh_num!K9)</f>
        <v>18655.865390090945</v>
      </c>
      <c r="L9" s="132">
        <f>IF(SER_hh_emi!L9=0,0,1000000*SER_hh_emi!L9/SER_hh_num!L9)</f>
        <v>20268.501007090108</v>
      </c>
      <c r="M9" s="132">
        <f>IF(SER_hh_emi!M9=0,0,1000000*SER_hh_emi!M9/SER_hh_num!M9)</f>
        <v>17243.416688464389</v>
      </c>
      <c r="N9" s="132">
        <f>IF(SER_hh_emi!N9=0,0,1000000*SER_hh_emi!N9/SER_hh_num!N9)</f>
        <v>18176.28035884073</v>
      </c>
      <c r="O9" s="132">
        <f>IF(SER_hh_emi!O9=0,0,1000000*SER_hh_emi!O9/SER_hh_num!O9)</f>
        <v>17291.612425334901</v>
      </c>
      <c r="P9" s="132">
        <f>IF(SER_hh_emi!P9=0,0,1000000*SER_hh_emi!P9/SER_hh_num!P9)</f>
        <v>13789.2935525578</v>
      </c>
      <c r="Q9" s="132">
        <f>IF(SER_hh_emi!Q9=0,0,1000000*SER_hh_emi!Q9/SER_hh_num!Q9)</f>
        <v>14422.726565408113</v>
      </c>
      <c r="R9" s="132">
        <f>IF(SER_hh_emi!R9=0,0,1000000*SER_hh_emi!R9/SER_hh_num!R9)</f>
        <v>14748.987330283006</v>
      </c>
      <c r="S9" s="132">
        <f>IF(SER_hh_emi!S9=0,0,1000000*SER_hh_emi!S9/SER_hh_num!S9)</f>
        <v>15227.682949281079</v>
      </c>
      <c r="T9" s="132">
        <f>IF(SER_hh_emi!T9=0,0,1000000*SER_hh_emi!T9/SER_hh_num!T9)</f>
        <v>15330.656204693216</v>
      </c>
      <c r="U9" s="132">
        <f>IF(SER_hh_emi!U9=0,0,1000000*SER_hh_emi!U9/SER_hh_num!U9)</f>
        <v>14834.439636865953</v>
      </c>
      <c r="V9" s="132">
        <f>IF(SER_hh_emi!V9=0,0,1000000*SER_hh_emi!V9/SER_hh_num!V9)</f>
        <v>14350.451121678521</v>
      </c>
      <c r="W9" s="132">
        <f>IF(SER_hh_emi!W9=0,0,1000000*SER_hh_emi!W9/SER_hh_num!W9)</f>
        <v>13870.005086526831</v>
      </c>
      <c r="X9" s="132">
        <f>IF(SER_hh_emi!X9=0,0,1000000*SER_hh_emi!X9/SER_hh_num!X9)</f>
        <v>12273.666084437469</v>
      </c>
      <c r="Y9" s="132">
        <f>IF(SER_hh_emi!Y9=0,0,1000000*SER_hh_emi!Y9/SER_hh_num!Y9)</f>
        <v>14554.890851708431</v>
      </c>
      <c r="DA9" s="156" t="s">
        <v>452</v>
      </c>
    </row>
    <row r="10" spans="1:105" ht="12" customHeight="1" x14ac:dyDescent="0.25">
      <c r="A10" s="131" t="s">
        <v>128</v>
      </c>
      <c r="B10" s="132">
        <f>IF(SER_hh_emi!B10=0,0,1000000*SER_hh_emi!B10/SER_hh_num!B10)</f>
        <v>0</v>
      </c>
      <c r="C10" s="132">
        <f>IF(SER_hh_emi!C10=0,0,1000000*SER_hh_emi!C10/SER_hh_num!C10)</f>
        <v>0</v>
      </c>
      <c r="D10" s="132">
        <f>IF(SER_hh_emi!D10=0,0,1000000*SER_hh_emi!D10/SER_hh_num!D10)</f>
        <v>0</v>
      </c>
      <c r="E10" s="132">
        <f>IF(SER_hh_emi!E10=0,0,1000000*SER_hh_emi!E10/SER_hh_num!E10)</f>
        <v>0</v>
      </c>
      <c r="F10" s="132">
        <f>IF(SER_hh_emi!F10=0,0,1000000*SER_hh_emi!F10/SER_hh_num!F10)</f>
        <v>0</v>
      </c>
      <c r="G10" s="132">
        <f>IF(SER_hh_emi!G10=0,0,1000000*SER_hh_emi!G10/SER_hh_num!G10)</f>
        <v>0</v>
      </c>
      <c r="H10" s="132">
        <f>IF(SER_hh_emi!H10=0,0,1000000*SER_hh_emi!H10/SER_hh_num!H10)</f>
        <v>0</v>
      </c>
      <c r="I10" s="132">
        <f>IF(SER_hh_emi!I10=0,0,1000000*SER_hh_emi!I10/SER_hh_num!I10)</f>
        <v>0</v>
      </c>
      <c r="J10" s="132">
        <f>IF(SER_hh_emi!J10=0,0,1000000*SER_hh_emi!J10/SER_hh_num!J10)</f>
        <v>0</v>
      </c>
      <c r="K10" s="132">
        <f>IF(SER_hh_emi!K10=0,0,1000000*SER_hh_emi!K10/SER_hh_num!K10)</f>
        <v>0</v>
      </c>
      <c r="L10" s="132">
        <f>IF(SER_hh_emi!L10=0,0,1000000*SER_hh_emi!L10/SER_hh_num!L10)</f>
        <v>0</v>
      </c>
      <c r="M10" s="132">
        <f>IF(SER_hh_emi!M10=0,0,1000000*SER_hh_emi!M10/SER_hh_num!M10)</f>
        <v>0</v>
      </c>
      <c r="N10" s="132">
        <f>IF(SER_hh_emi!N10=0,0,1000000*SER_hh_emi!N10/SER_hh_num!N10)</f>
        <v>0</v>
      </c>
      <c r="O10" s="132">
        <f>IF(SER_hh_emi!O10=0,0,1000000*SER_hh_emi!O10/SER_hh_num!O10)</f>
        <v>0</v>
      </c>
      <c r="P10" s="132">
        <f>IF(SER_hh_emi!P10=0,0,1000000*SER_hh_emi!P10/SER_hh_num!P10)</f>
        <v>0</v>
      </c>
      <c r="Q10" s="132">
        <f>IF(SER_hh_emi!Q10=0,0,1000000*SER_hh_emi!Q10/SER_hh_num!Q10)</f>
        <v>0</v>
      </c>
      <c r="R10" s="132">
        <f>IF(SER_hh_emi!R10=0,0,1000000*SER_hh_emi!R10/SER_hh_num!R10)</f>
        <v>0</v>
      </c>
      <c r="S10" s="132">
        <f>IF(SER_hh_emi!S10=0,0,1000000*SER_hh_emi!S10/SER_hh_num!S10)</f>
        <v>0</v>
      </c>
      <c r="T10" s="132">
        <f>IF(SER_hh_emi!T10=0,0,1000000*SER_hh_emi!T10/SER_hh_num!T10)</f>
        <v>0</v>
      </c>
      <c r="U10" s="132">
        <f>IF(SER_hh_emi!U10=0,0,1000000*SER_hh_emi!U10/SER_hh_num!U10)</f>
        <v>0</v>
      </c>
      <c r="V10" s="132">
        <f>IF(SER_hh_emi!V10=0,0,1000000*SER_hh_emi!V10/SER_hh_num!V10)</f>
        <v>0</v>
      </c>
      <c r="W10" s="132">
        <f>IF(SER_hh_emi!W10=0,0,1000000*SER_hh_emi!W10/SER_hh_num!W10)</f>
        <v>0</v>
      </c>
      <c r="X10" s="132">
        <f>IF(SER_hh_emi!X10=0,0,1000000*SER_hh_emi!X10/SER_hh_num!X10)</f>
        <v>0</v>
      </c>
      <c r="Y10" s="132">
        <f>IF(SER_hh_emi!Y10=0,0,1000000*SER_hh_emi!Y10/SER_hh_num!Y10)</f>
        <v>0</v>
      </c>
      <c r="DA10" s="156" t="s">
        <v>453</v>
      </c>
    </row>
    <row r="11" spans="1:105" ht="12" customHeight="1" x14ac:dyDescent="0.25">
      <c r="A11" s="131" t="s">
        <v>25</v>
      </c>
      <c r="B11" s="132">
        <f>IF(SER_hh_emi!B11=0,0,1000000*SER_hh_emi!B11/SER_hh_num!B11)</f>
        <v>0</v>
      </c>
      <c r="C11" s="132">
        <f>IF(SER_hh_emi!C11=0,0,1000000*SER_hh_emi!C11/SER_hh_num!C11)</f>
        <v>0</v>
      </c>
      <c r="D11" s="132">
        <f>IF(SER_hh_emi!D11=0,0,1000000*SER_hh_emi!D11/SER_hh_num!D11)</f>
        <v>0</v>
      </c>
      <c r="E11" s="132">
        <f>IF(SER_hh_emi!E11=0,0,1000000*SER_hh_emi!E11/SER_hh_num!E11)</f>
        <v>0</v>
      </c>
      <c r="F11" s="132">
        <f>IF(SER_hh_emi!F11=0,0,1000000*SER_hh_emi!F11/SER_hh_num!F11)</f>
        <v>0</v>
      </c>
      <c r="G11" s="132">
        <f>IF(SER_hh_emi!G11=0,0,1000000*SER_hh_emi!G11/SER_hh_num!G11)</f>
        <v>0</v>
      </c>
      <c r="H11" s="132">
        <f>IF(SER_hh_emi!H11=0,0,1000000*SER_hh_emi!H11/SER_hh_num!H11)</f>
        <v>0</v>
      </c>
      <c r="I11" s="132">
        <f>IF(SER_hh_emi!I11=0,0,1000000*SER_hh_emi!I11/SER_hh_num!I11)</f>
        <v>0</v>
      </c>
      <c r="J11" s="132">
        <f>IF(SER_hh_emi!J11=0,0,1000000*SER_hh_emi!J11/SER_hh_num!J11)</f>
        <v>0</v>
      </c>
      <c r="K11" s="132">
        <f>IF(SER_hh_emi!K11=0,0,1000000*SER_hh_emi!K11/SER_hh_num!K11)</f>
        <v>0</v>
      </c>
      <c r="L11" s="132">
        <f>IF(SER_hh_emi!L11=0,0,1000000*SER_hh_emi!L11/SER_hh_num!L11)</f>
        <v>0</v>
      </c>
      <c r="M11" s="132">
        <f>IF(SER_hh_emi!M11=0,0,1000000*SER_hh_emi!M11/SER_hh_num!M11)</f>
        <v>0</v>
      </c>
      <c r="N11" s="132">
        <f>IF(SER_hh_emi!N11=0,0,1000000*SER_hh_emi!N11/SER_hh_num!N11)</f>
        <v>0</v>
      </c>
      <c r="O11" s="132">
        <f>IF(SER_hh_emi!O11=0,0,1000000*SER_hh_emi!O11/SER_hh_num!O11)</f>
        <v>0</v>
      </c>
      <c r="P11" s="132">
        <f>IF(SER_hh_emi!P11=0,0,1000000*SER_hh_emi!P11/SER_hh_num!P11)</f>
        <v>0</v>
      </c>
      <c r="Q11" s="132">
        <f>IF(SER_hh_emi!Q11=0,0,1000000*SER_hh_emi!Q11/SER_hh_num!Q11)</f>
        <v>0</v>
      </c>
      <c r="R11" s="132">
        <f>IF(SER_hh_emi!R11=0,0,1000000*SER_hh_emi!R11/SER_hh_num!R11)</f>
        <v>0</v>
      </c>
      <c r="S11" s="132">
        <f>IF(SER_hh_emi!S11=0,0,1000000*SER_hh_emi!S11/SER_hh_num!S11)</f>
        <v>0</v>
      </c>
      <c r="T11" s="132">
        <f>IF(SER_hh_emi!T11=0,0,1000000*SER_hh_emi!T11/SER_hh_num!T11)</f>
        <v>0</v>
      </c>
      <c r="U11" s="132">
        <f>IF(SER_hh_emi!U11=0,0,1000000*SER_hh_emi!U11/SER_hh_num!U11)</f>
        <v>0</v>
      </c>
      <c r="V11" s="132">
        <f>IF(SER_hh_emi!V11=0,0,1000000*SER_hh_emi!V11/SER_hh_num!V11)</f>
        <v>0</v>
      </c>
      <c r="W11" s="132">
        <f>IF(SER_hh_emi!W11=0,0,1000000*SER_hh_emi!W11/SER_hh_num!W11)</f>
        <v>0</v>
      </c>
      <c r="X11" s="132">
        <f>IF(SER_hh_emi!X11=0,0,1000000*SER_hh_emi!X11/SER_hh_num!X11)</f>
        <v>0</v>
      </c>
      <c r="Y11" s="132">
        <f>IF(SER_hh_emi!Y11=0,0,1000000*SER_hh_emi!Y11/SER_hh_num!Y11)</f>
        <v>0</v>
      </c>
      <c r="DA11" s="156" t="s">
        <v>454</v>
      </c>
    </row>
    <row r="12" spans="1:105" ht="12" customHeight="1" x14ac:dyDescent="0.25">
      <c r="A12" s="131" t="s">
        <v>162</v>
      </c>
      <c r="B12" s="132">
        <f>IF(SER_hh_emi!B12=0,0,1000000*SER_hh_emi!B12/SER_hh_num!B12)</f>
        <v>0</v>
      </c>
      <c r="C12" s="132">
        <f>IF(SER_hh_emi!C12=0,0,1000000*SER_hh_emi!C12/SER_hh_num!C12)</f>
        <v>0</v>
      </c>
      <c r="D12" s="132">
        <f>IF(SER_hh_emi!D12=0,0,1000000*SER_hh_emi!D12/SER_hh_num!D12)</f>
        <v>0</v>
      </c>
      <c r="E12" s="132">
        <f>IF(SER_hh_emi!E12=0,0,1000000*SER_hh_emi!E12/SER_hh_num!E12)</f>
        <v>0</v>
      </c>
      <c r="F12" s="132">
        <f>IF(SER_hh_emi!F12=0,0,1000000*SER_hh_emi!F12/SER_hh_num!F12)</f>
        <v>0</v>
      </c>
      <c r="G12" s="132">
        <f>IF(SER_hh_emi!G12=0,0,1000000*SER_hh_emi!G12/SER_hh_num!G12)</f>
        <v>0</v>
      </c>
      <c r="H12" s="132">
        <f>IF(SER_hh_emi!H12=0,0,1000000*SER_hh_emi!H12/SER_hh_num!H12)</f>
        <v>0</v>
      </c>
      <c r="I12" s="132">
        <f>IF(SER_hh_emi!I12=0,0,1000000*SER_hh_emi!I12/SER_hh_num!I12)</f>
        <v>0</v>
      </c>
      <c r="J12" s="132">
        <f>IF(SER_hh_emi!J12=0,0,1000000*SER_hh_emi!J12/SER_hh_num!J12)</f>
        <v>0</v>
      </c>
      <c r="K12" s="132">
        <f>IF(SER_hh_emi!K12=0,0,1000000*SER_hh_emi!K12/SER_hh_num!K12)</f>
        <v>0</v>
      </c>
      <c r="L12" s="132">
        <f>IF(SER_hh_emi!L12=0,0,1000000*SER_hh_emi!L12/SER_hh_num!L12)</f>
        <v>0</v>
      </c>
      <c r="M12" s="132">
        <f>IF(SER_hh_emi!M12=0,0,1000000*SER_hh_emi!M12/SER_hh_num!M12)</f>
        <v>0</v>
      </c>
      <c r="N12" s="132">
        <f>IF(SER_hh_emi!N12=0,0,1000000*SER_hh_emi!N12/SER_hh_num!N12)</f>
        <v>0</v>
      </c>
      <c r="O12" s="132">
        <f>IF(SER_hh_emi!O12=0,0,1000000*SER_hh_emi!O12/SER_hh_num!O12)</f>
        <v>0</v>
      </c>
      <c r="P12" s="132">
        <f>IF(SER_hh_emi!P12=0,0,1000000*SER_hh_emi!P12/SER_hh_num!P12)</f>
        <v>0</v>
      </c>
      <c r="Q12" s="132">
        <f>IF(SER_hh_emi!Q12=0,0,1000000*SER_hh_emi!Q12/SER_hh_num!Q12)</f>
        <v>0</v>
      </c>
      <c r="R12" s="132">
        <f>IF(SER_hh_emi!R12=0,0,1000000*SER_hh_emi!R12/SER_hh_num!R12)</f>
        <v>0</v>
      </c>
      <c r="S12" s="132">
        <f>IF(SER_hh_emi!S12=0,0,1000000*SER_hh_emi!S12/SER_hh_num!S12)</f>
        <v>0</v>
      </c>
      <c r="T12" s="132">
        <f>IF(SER_hh_emi!T12=0,0,1000000*SER_hh_emi!T12/SER_hh_num!T12)</f>
        <v>0</v>
      </c>
      <c r="U12" s="132">
        <f>IF(SER_hh_emi!U12=0,0,1000000*SER_hh_emi!U12/SER_hh_num!U12)</f>
        <v>0</v>
      </c>
      <c r="V12" s="132">
        <f>IF(SER_hh_emi!V12=0,0,1000000*SER_hh_emi!V12/SER_hh_num!V12)</f>
        <v>0</v>
      </c>
      <c r="W12" s="132">
        <f>IF(SER_hh_emi!W12=0,0,1000000*SER_hh_emi!W12/SER_hh_num!W12)</f>
        <v>0</v>
      </c>
      <c r="X12" s="132">
        <f>IF(SER_hh_emi!X12=0,0,1000000*SER_hh_emi!X12/SER_hh_num!X12)</f>
        <v>0</v>
      </c>
      <c r="Y12" s="132">
        <f>IF(SER_hh_emi!Y12=0,0,1000000*SER_hh_emi!Y12/SER_hh_num!Y12)</f>
        <v>0</v>
      </c>
      <c r="DA12" s="156" t="s">
        <v>455</v>
      </c>
    </row>
    <row r="13" spans="1:105" ht="12" customHeight="1" x14ac:dyDescent="0.25">
      <c r="A13" s="131" t="s">
        <v>77</v>
      </c>
      <c r="B13" s="132">
        <f>IF(SER_hh_emi!B13=0,0,1000000*SER_hh_emi!B13/SER_hh_num!B13)</f>
        <v>0</v>
      </c>
      <c r="C13" s="132">
        <f>IF(SER_hh_emi!C13=0,0,1000000*SER_hh_emi!C13/SER_hh_num!C13)</f>
        <v>0</v>
      </c>
      <c r="D13" s="132">
        <f>IF(SER_hh_emi!D13=0,0,1000000*SER_hh_emi!D13/SER_hh_num!D13)</f>
        <v>0</v>
      </c>
      <c r="E13" s="132">
        <f>IF(SER_hh_emi!E13=0,0,1000000*SER_hh_emi!E13/SER_hh_num!E13)</f>
        <v>0</v>
      </c>
      <c r="F13" s="132">
        <f>IF(SER_hh_emi!F13=0,0,1000000*SER_hh_emi!F13/SER_hh_num!F13)</f>
        <v>0</v>
      </c>
      <c r="G13" s="132">
        <f>IF(SER_hh_emi!G13=0,0,1000000*SER_hh_emi!G13/SER_hh_num!G13)</f>
        <v>0</v>
      </c>
      <c r="H13" s="132">
        <f>IF(SER_hh_emi!H13=0,0,1000000*SER_hh_emi!H13/SER_hh_num!H13)</f>
        <v>0</v>
      </c>
      <c r="I13" s="132">
        <f>IF(SER_hh_emi!I13=0,0,1000000*SER_hh_emi!I13/SER_hh_num!I13)</f>
        <v>0</v>
      </c>
      <c r="J13" s="132">
        <f>IF(SER_hh_emi!J13=0,0,1000000*SER_hh_emi!J13/SER_hh_num!J13)</f>
        <v>0</v>
      </c>
      <c r="K13" s="132">
        <f>IF(SER_hh_emi!K13=0,0,1000000*SER_hh_emi!K13/SER_hh_num!K13)</f>
        <v>0</v>
      </c>
      <c r="L13" s="132">
        <f>IF(SER_hh_emi!L13=0,0,1000000*SER_hh_emi!L13/SER_hh_num!L13)</f>
        <v>0</v>
      </c>
      <c r="M13" s="132">
        <f>IF(SER_hh_emi!M13=0,0,1000000*SER_hh_emi!M13/SER_hh_num!M13)</f>
        <v>0</v>
      </c>
      <c r="N13" s="132">
        <f>IF(SER_hh_emi!N13=0,0,1000000*SER_hh_emi!N13/SER_hh_num!N13)</f>
        <v>0</v>
      </c>
      <c r="O13" s="132">
        <f>IF(SER_hh_emi!O13=0,0,1000000*SER_hh_emi!O13/SER_hh_num!O13)</f>
        <v>0</v>
      </c>
      <c r="P13" s="132">
        <f>IF(SER_hh_emi!P13=0,0,1000000*SER_hh_emi!P13/SER_hh_num!P13)</f>
        <v>0</v>
      </c>
      <c r="Q13" s="132">
        <f>IF(SER_hh_emi!Q13=0,0,1000000*SER_hh_emi!Q13/SER_hh_num!Q13)</f>
        <v>0</v>
      </c>
      <c r="R13" s="132">
        <f>IF(SER_hh_emi!R13=0,0,1000000*SER_hh_emi!R13/SER_hh_num!R13)</f>
        <v>0</v>
      </c>
      <c r="S13" s="132">
        <f>IF(SER_hh_emi!S13=0,0,1000000*SER_hh_emi!S13/SER_hh_num!S13)</f>
        <v>0</v>
      </c>
      <c r="T13" s="132">
        <f>IF(SER_hh_emi!T13=0,0,1000000*SER_hh_emi!T13/SER_hh_num!T13)</f>
        <v>0</v>
      </c>
      <c r="U13" s="132">
        <f>IF(SER_hh_emi!U13=0,0,1000000*SER_hh_emi!U13/SER_hh_num!U13)</f>
        <v>0</v>
      </c>
      <c r="V13" s="132">
        <f>IF(SER_hh_emi!V13=0,0,1000000*SER_hh_emi!V13/SER_hh_num!V13)</f>
        <v>0</v>
      </c>
      <c r="W13" s="132">
        <f>IF(SER_hh_emi!W13=0,0,1000000*SER_hh_emi!W13/SER_hh_num!W13)</f>
        <v>0</v>
      </c>
      <c r="X13" s="132">
        <f>IF(SER_hh_emi!X13=0,0,1000000*SER_hh_emi!X13/SER_hh_num!X13)</f>
        <v>0</v>
      </c>
      <c r="Y13" s="132">
        <f>IF(SER_hh_emi!Y13=0,0,1000000*SER_hh_emi!Y13/SER_hh_num!Y13)</f>
        <v>0</v>
      </c>
      <c r="DA13" s="156" t="s">
        <v>456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X14" s="65">
        <f>IF(SER_hh_emi!X14=0,0,1000000*SER_hh_emi!X14/SER_hh_num!X14)</f>
        <v>0</v>
      </c>
      <c r="Y14" s="65">
        <f>IF(SER_hh_emi!Y14=0,0,1000000*SER_hh_emi!Y14/SER_hh_num!Y14)</f>
        <v>0</v>
      </c>
      <c r="DA14" s="109" t="s">
        <v>457</v>
      </c>
    </row>
    <row r="15" spans="1:105" ht="12" customHeight="1" x14ac:dyDescent="0.25">
      <c r="A15" s="133" t="s">
        <v>80</v>
      </c>
      <c r="B15" s="134">
        <f>IF(SER_hh_emi!B15=0,0,1000000*SER_hh_emi!B15/SER_hh_num!B15)</f>
        <v>0</v>
      </c>
      <c r="C15" s="134">
        <f>IF(SER_hh_emi!C15=0,0,1000000*SER_hh_emi!C15/SER_hh_num!C15)</f>
        <v>0</v>
      </c>
      <c r="D15" s="134">
        <f>IF(SER_hh_emi!D15=0,0,1000000*SER_hh_emi!D15/SER_hh_num!D15)</f>
        <v>0</v>
      </c>
      <c r="E15" s="134">
        <f>IF(SER_hh_emi!E15=0,0,1000000*SER_hh_emi!E15/SER_hh_num!E15)</f>
        <v>0</v>
      </c>
      <c r="F15" s="134">
        <f>IF(SER_hh_emi!F15=0,0,1000000*SER_hh_emi!F15/SER_hh_num!F15)</f>
        <v>0</v>
      </c>
      <c r="G15" s="134">
        <f>IF(SER_hh_emi!G15=0,0,1000000*SER_hh_emi!G15/SER_hh_num!G15)</f>
        <v>0</v>
      </c>
      <c r="H15" s="134">
        <f>IF(SER_hh_emi!H15=0,0,1000000*SER_hh_emi!H15/SER_hh_num!H15)</f>
        <v>0</v>
      </c>
      <c r="I15" s="134">
        <f>IF(SER_hh_emi!I15=0,0,1000000*SER_hh_emi!I15/SER_hh_num!I15)</f>
        <v>0</v>
      </c>
      <c r="J15" s="134">
        <f>IF(SER_hh_emi!J15=0,0,1000000*SER_hh_emi!J15/SER_hh_num!J15)</f>
        <v>0</v>
      </c>
      <c r="K15" s="134">
        <f>IF(SER_hh_emi!K15=0,0,1000000*SER_hh_emi!K15/SER_hh_num!K15)</f>
        <v>0</v>
      </c>
      <c r="L15" s="134">
        <f>IF(SER_hh_emi!L15=0,0,1000000*SER_hh_emi!L15/SER_hh_num!L15)</f>
        <v>0</v>
      </c>
      <c r="M15" s="134">
        <f>IF(SER_hh_emi!M15=0,0,1000000*SER_hh_emi!M15/SER_hh_num!M15)</f>
        <v>0</v>
      </c>
      <c r="N15" s="134">
        <f>IF(SER_hh_emi!N15=0,0,1000000*SER_hh_emi!N15/SER_hh_num!N15)</f>
        <v>0</v>
      </c>
      <c r="O15" s="134">
        <f>IF(SER_hh_emi!O15=0,0,1000000*SER_hh_emi!O15/SER_hh_num!O15)</f>
        <v>0</v>
      </c>
      <c r="P15" s="134">
        <f>IF(SER_hh_emi!P15=0,0,1000000*SER_hh_emi!P15/SER_hh_num!P15)</f>
        <v>0</v>
      </c>
      <c r="Q15" s="134">
        <f>IF(SER_hh_emi!Q15=0,0,1000000*SER_hh_emi!Q15/SER_hh_num!Q15)</f>
        <v>0</v>
      </c>
      <c r="R15" s="134">
        <f>IF(SER_hh_emi!R15=0,0,1000000*SER_hh_emi!R15/SER_hh_num!R15)</f>
        <v>0</v>
      </c>
      <c r="S15" s="134">
        <f>IF(SER_hh_emi!S15=0,0,1000000*SER_hh_emi!S15/SER_hh_num!S15)</f>
        <v>0</v>
      </c>
      <c r="T15" s="134">
        <f>IF(SER_hh_emi!T15=0,0,1000000*SER_hh_emi!T15/SER_hh_num!T15)</f>
        <v>0</v>
      </c>
      <c r="U15" s="134">
        <f>IF(SER_hh_emi!U15=0,0,1000000*SER_hh_emi!U15/SER_hh_num!U15)</f>
        <v>0</v>
      </c>
      <c r="V15" s="134">
        <f>IF(SER_hh_emi!V15=0,0,1000000*SER_hh_emi!V15/SER_hh_num!V15)</f>
        <v>0</v>
      </c>
      <c r="W15" s="134">
        <f>IF(SER_hh_emi!W15=0,0,1000000*SER_hh_emi!W15/SER_hh_num!W15)</f>
        <v>0</v>
      </c>
      <c r="X15" s="134">
        <f>IF(SER_hh_emi!X15=0,0,1000000*SER_hh_emi!X15/SER_hh_num!X15)</f>
        <v>0</v>
      </c>
      <c r="Y15" s="134">
        <f>IF(SER_hh_emi!Y15=0,0,1000000*SER_hh_emi!Y15/SER_hh_num!Y15)</f>
        <v>0</v>
      </c>
      <c r="DA15" s="157" t="s">
        <v>458</v>
      </c>
    </row>
    <row r="16" spans="1:105" ht="12.95" customHeight="1" x14ac:dyDescent="0.25">
      <c r="A16" s="129" t="s">
        <v>74</v>
      </c>
      <c r="B16" s="130">
        <f>IF(SER_hh_emi!B16=0,0,1000000*SER_hh_emi!B16/SER_hh_num!B16)</f>
        <v>0</v>
      </c>
      <c r="C16" s="130">
        <f>IF(SER_hh_emi!C16=0,0,1000000*SER_hh_emi!C16/SER_hh_num!C16)</f>
        <v>0</v>
      </c>
      <c r="D16" s="130">
        <f>IF(SER_hh_emi!D16=0,0,1000000*SER_hh_emi!D16/SER_hh_num!D16)</f>
        <v>0</v>
      </c>
      <c r="E16" s="130">
        <f>IF(SER_hh_emi!E16=0,0,1000000*SER_hh_emi!E16/SER_hh_num!E16)</f>
        <v>0</v>
      </c>
      <c r="F16" s="130">
        <f>IF(SER_hh_emi!F16=0,0,1000000*SER_hh_emi!F16/SER_hh_num!F16)</f>
        <v>0</v>
      </c>
      <c r="G16" s="130">
        <f>IF(SER_hh_emi!G16=0,0,1000000*SER_hh_emi!G16/SER_hh_num!G16)</f>
        <v>0</v>
      </c>
      <c r="H16" s="130">
        <f>IF(SER_hh_emi!H16=0,0,1000000*SER_hh_emi!H16/SER_hh_num!H16)</f>
        <v>0</v>
      </c>
      <c r="I16" s="130">
        <f>IF(SER_hh_emi!I16=0,0,1000000*SER_hh_emi!I16/SER_hh_num!I16)</f>
        <v>0</v>
      </c>
      <c r="J16" s="130">
        <f>IF(SER_hh_emi!J16=0,0,1000000*SER_hh_emi!J16/SER_hh_num!J16)</f>
        <v>0</v>
      </c>
      <c r="K16" s="130">
        <f>IF(SER_hh_emi!K16=0,0,1000000*SER_hh_emi!K16/SER_hh_num!K16)</f>
        <v>0</v>
      </c>
      <c r="L16" s="130">
        <f>IF(SER_hh_emi!L16=0,0,1000000*SER_hh_emi!L16/SER_hh_num!L16)</f>
        <v>0</v>
      </c>
      <c r="M16" s="130">
        <f>IF(SER_hh_emi!M16=0,0,1000000*SER_hh_emi!M16/SER_hh_num!M16)</f>
        <v>0</v>
      </c>
      <c r="N16" s="130">
        <f>IF(SER_hh_emi!N16=0,0,1000000*SER_hh_emi!N16/SER_hh_num!N16)</f>
        <v>0</v>
      </c>
      <c r="O16" s="130">
        <f>IF(SER_hh_emi!O16=0,0,1000000*SER_hh_emi!O16/SER_hh_num!O16)</f>
        <v>0</v>
      </c>
      <c r="P16" s="130">
        <f>IF(SER_hh_emi!P16=0,0,1000000*SER_hh_emi!P16/SER_hh_num!P16)</f>
        <v>0</v>
      </c>
      <c r="Q16" s="130">
        <f>IF(SER_hh_emi!Q16=0,0,1000000*SER_hh_emi!Q16/SER_hh_num!Q16)</f>
        <v>0</v>
      </c>
      <c r="R16" s="130">
        <f>IF(SER_hh_emi!R16=0,0,1000000*SER_hh_emi!R16/SER_hh_num!R16)</f>
        <v>0</v>
      </c>
      <c r="S16" s="130">
        <f>IF(SER_hh_emi!S16=0,0,1000000*SER_hh_emi!S16/SER_hh_num!S16)</f>
        <v>0</v>
      </c>
      <c r="T16" s="130">
        <f>IF(SER_hh_emi!T16=0,0,1000000*SER_hh_emi!T16/SER_hh_num!T16)</f>
        <v>0</v>
      </c>
      <c r="U16" s="130">
        <f>IF(SER_hh_emi!U16=0,0,1000000*SER_hh_emi!U16/SER_hh_num!U16)</f>
        <v>0</v>
      </c>
      <c r="V16" s="130">
        <f>IF(SER_hh_emi!V16=0,0,1000000*SER_hh_emi!V16/SER_hh_num!V16)</f>
        <v>0</v>
      </c>
      <c r="W16" s="130">
        <f>IF(SER_hh_emi!W16=0,0,1000000*SER_hh_emi!W16/SER_hh_num!W16)</f>
        <v>0</v>
      </c>
      <c r="X16" s="130">
        <f>IF(SER_hh_emi!X16=0,0,1000000*SER_hh_emi!X16/SER_hh_num!X16)</f>
        <v>0</v>
      </c>
      <c r="Y16" s="130">
        <f>IF(SER_hh_emi!Y16=0,0,1000000*SER_hh_emi!Y16/SER_hh_num!Y16)</f>
        <v>0</v>
      </c>
      <c r="DA16" s="155" t="s">
        <v>459</v>
      </c>
    </row>
    <row r="17" spans="1:105" ht="12.95" customHeight="1" x14ac:dyDescent="0.25">
      <c r="A17" s="131" t="s">
        <v>73</v>
      </c>
      <c r="B17" s="132">
        <f>IF(SER_hh_emi!B17=0,0,1000000*SER_hh_emi!B17/SER_hh_num!B17)</f>
        <v>0</v>
      </c>
      <c r="C17" s="132">
        <f>IF(SER_hh_emi!C17=0,0,1000000*SER_hh_emi!C17/SER_hh_num!C17)</f>
        <v>0</v>
      </c>
      <c r="D17" s="132">
        <f>IF(SER_hh_emi!D17=0,0,1000000*SER_hh_emi!D17/SER_hh_num!D17)</f>
        <v>0</v>
      </c>
      <c r="E17" s="132">
        <f>IF(SER_hh_emi!E17=0,0,1000000*SER_hh_emi!E17/SER_hh_num!E17)</f>
        <v>0</v>
      </c>
      <c r="F17" s="132">
        <f>IF(SER_hh_emi!F17=0,0,1000000*SER_hh_emi!F17/SER_hh_num!F17)</f>
        <v>0</v>
      </c>
      <c r="G17" s="132">
        <f>IF(SER_hh_emi!G17=0,0,1000000*SER_hh_emi!G17/SER_hh_num!G17)</f>
        <v>0</v>
      </c>
      <c r="H17" s="132">
        <f>IF(SER_hh_emi!H17=0,0,1000000*SER_hh_emi!H17/SER_hh_num!H17)</f>
        <v>0</v>
      </c>
      <c r="I17" s="132">
        <f>IF(SER_hh_emi!I17=0,0,1000000*SER_hh_emi!I17/SER_hh_num!I17)</f>
        <v>0</v>
      </c>
      <c r="J17" s="132">
        <f>IF(SER_hh_emi!J17=0,0,1000000*SER_hh_emi!J17/SER_hh_num!J17)</f>
        <v>0</v>
      </c>
      <c r="K17" s="132">
        <f>IF(SER_hh_emi!K17=0,0,1000000*SER_hh_emi!K17/SER_hh_num!K17)</f>
        <v>0</v>
      </c>
      <c r="L17" s="132">
        <f>IF(SER_hh_emi!L17=0,0,1000000*SER_hh_emi!L17/SER_hh_num!L17)</f>
        <v>0</v>
      </c>
      <c r="M17" s="132">
        <f>IF(SER_hh_emi!M17=0,0,1000000*SER_hh_emi!M17/SER_hh_num!M17)</f>
        <v>0</v>
      </c>
      <c r="N17" s="132">
        <f>IF(SER_hh_emi!N17=0,0,1000000*SER_hh_emi!N17/SER_hh_num!N17)</f>
        <v>0</v>
      </c>
      <c r="O17" s="132">
        <f>IF(SER_hh_emi!O17=0,0,1000000*SER_hh_emi!O17/SER_hh_num!O17)</f>
        <v>0</v>
      </c>
      <c r="P17" s="132">
        <f>IF(SER_hh_emi!P17=0,0,1000000*SER_hh_emi!P17/SER_hh_num!P17)</f>
        <v>0</v>
      </c>
      <c r="Q17" s="132">
        <f>IF(SER_hh_emi!Q17=0,0,1000000*SER_hh_emi!Q17/SER_hh_num!Q17)</f>
        <v>0</v>
      </c>
      <c r="R17" s="132">
        <f>IF(SER_hh_emi!R17=0,0,1000000*SER_hh_emi!R17/SER_hh_num!R17)</f>
        <v>0</v>
      </c>
      <c r="S17" s="132">
        <f>IF(SER_hh_emi!S17=0,0,1000000*SER_hh_emi!S17/SER_hh_num!S17)</f>
        <v>0</v>
      </c>
      <c r="T17" s="132">
        <f>IF(SER_hh_emi!T17=0,0,1000000*SER_hh_emi!T17/SER_hh_num!T17)</f>
        <v>0</v>
      </c>
      <c r="U17" s="132">
        <f>IF(SER_hh_emi!U17=0,0,1000000*SER_hh_emi!U17/SER_hh_num!U17)</f>
        <v>0</v>
      </c>
      <c r="V17" s="132">
        <f>IF(SER_hh_emi!V17=0,0,1000000*SER_hh_emi!V17/SER_hh_num!V17)</f>
        <v>0</v>
      </c>
      <c r="W17" s="132">
        <f>IF(SER_hh_emi!W17=0,0,1000000*SER_hh_emi!W17/SER_hh_num!W17)</f>
        <v>0</v>
      </c>
      <c r="X17" s="132">
        <f>IF(SER_hh_emi!X17=0,0,1000000*SER_hh_emi!X17/SER_hh_num!X17)</f>
        <v>0</v>
      </c>
      <c r="Y17" s="132">
        <f>IF(SER_hh_emi!Y17=0,0,1000000*SER_hh_emi!Y17/SER_hh_num!Y17)</f>
        <v>0</v>
      </c>
      <c r="DA17" s="156" t="s">
        <v>460</v>
      </c>
    </row>
    <row r="18" spans="1:105" ht="12" customHeight="1" x14ac:dyDescent="0.25">
      <c r="A18" s="131" t="s">
        <v>72</v>
      </c>
      <c r="B18" s="132">
        <f>IF(SER_hh_emi!B18=0,0,1000000*SER_hh_emi!B18/SER_hh_num!B18)</f>
        <v>0</v>
      </c>
      <c r="C18" s="132">
        <f>IF(SER_hh_emi!C18=0,0,1000000*SER_hh_emi!C18/SER_hh_num!C18)</f>
        <v>0</v>
      </c>
      <c r="D18" s="132">
        <f>IF(SER_hh_emi!D18=0,0,1000000*SER_hh_emi!D18/SER_hh_num!D18)</f>
        <v>0</v>
      </c>
      <c r="E18" s="132">
        <f>IF(SER_hh_emi!E18=0,0,1000000*SER_hh_emi!E18/SER_hh_num!E18)</f>
        <v>0</v>
      </c>
      <c r="F18" s="132">
        <f>IF(SER_hh_emi!F18=0,0,1000000*SER_hh_emi!F18/SER_hh_num!F18)</f>
        <v>0</v>
      </c>
      <c r="G18" s="132">
        <f>IF(SER_hh_emi!G18=0,0,1000000*SER_hh_emi!G18/SER_hh_num!G18)</f>
        <v>0</v>
      </c>
      <c r="H18" s="132">
        <f>IF(SER_hh_emi!H18=0,0,1000000*SER_hh_emi!H18/SER_hh_num!H18)</f>
        <v>0</v>
      </c>
      <c r="I18" s="132">
        <f>IF(SER_hh_emi!I18=0,0,1000000*SER_hh_emi!I18/SER_hh_num!I18)</f>
        <v>0</v>
      </c>
      <c r="J18" s="132">
        <f>IF(SER_hh_emi!J18=0,0,1000000*SER_hh_emi!J18/SER_hh_num!J18)</f>
        <v>0</v>
      </c>
      <c r="K18" s="132">
        <f>IF(SER_hh_emi!K18=0,0,1000000*SER_hh_emi!K18/SER_hh_num!K18)</f>
        <v>0</v>
      </c>
      <c r="L18" s="132">
        <f>IF(SER_hh_emi!L18=0,0,1000000*SER_hh_emi!L18/SER_hh_num!L18)</f>
        <v>0</v>
      </c>
      <c r="M18" s="132">
        <f>IF(SER_hh_emi!M18=0,0,1000000*SER_hh_emi!M18/SER_hh_num!M18)</f>
        <v>0</v>
      </c>
      <c r="N18" s="132">
        <f>IF(SER_hh_emi!N18=0,0,1000000*SER_hh_emi!N18/SER_hh_num!N18)</f>
        <v>0</v>
      </c>
      <c r="O18" s="132">
        <f>IF(SER_hh_emi!O18=0,0,1000000*SER_hh_emi!O18/SER_hh_num!O18)</f>
        <v>0</v>
      </c>
      <c r="P18" s="132">
        <f>IF(SER_hh_emi!P18=0,0,1000000*SER_hh_emi!P18/SER_hh_num!P18)</f>
        <v>0</v>
      </c>
      <c r="Q18" s="132">
        <f>IF(SER_hh_emi!Q18=0,0,1000000*SER_hh_emi!Q18/SER_hh_num!Q18)</f>
        <v>0</v>
      </c>
      <c r="R18" s="132">
        <f>IF(SER_hh_emi!R18=0,0,1000000*SER_hh_emi!R18/SER_hh_num!R18)</f>
        <v>0</v>
      </c>
      <c r="S18" s="132">
        <f>IF(SER_hh_emi!S18=0,0,1000000*SER_hh_emi!S18/SER_hh_num!S18)</f>
        <v>0</v>
      </c>
      <c r="T18" s="132">
        <f>IF(SER_hh_emi!T18=0,0,1000000*SER_hh_emi!T18/SER_hh_num!T18)</f>
        <v>0</v>
      </c>
      <c r="U18" s="132">
        <f>IF(SER_hh_emi!U18=0,0,1000000*SER_hh_emi!U18/SER_hh_num!U18)</f>
        <v>0</v>
      </c>
      <c r="V18" s="132">
        <f>IF(SER_hh_emi!V18=0,0,1000000*SER_hh_emi!V18/SER_hh_num!V18)</f>
        <v>0</v>
      </c>
      <c r="W18" s="132">
        <f>IF(SER_hh_emi!W18=0,0,1000000*SER_hh_emi!W18/SER_hh_num!W18)</f>
        <v>0</v>
      </c>
      <c r="X18" s="132">
        <f>IF(SER_hh_emi!X18=0,0,1000000*SER_hh_emi!X18/SER_hh_num!X18)</f>
        <v>0</v>
      </c>
      <c r="Y18" s="132">
        <f>IF(SER_hh_emi!Y18=0,0,1000000*SER_hh_emi!Y18/SER_hh_num!Y18)</f>
        <v>0</v>
      </c>
      <c r="DA18" s="156" t="s">
        <v>461</v>
      </c>
    </row>
    <row r="19" spans="1:105" ht="12.95" customHeight="1" x14ac:dyDescent="0.25">
      <c r="A19" s="129" t="s">
        <v>35</v>
      </c>
      <c r="B19" s="130">
        <f>IF(SER_hh_emi!B19=0,0,1000000*SER_hh_emi!B19/SER_hh_num!B19)</f>
        <v>353.04216340661787</v>
      </c>
      <c r="C19" s="130">
        <f>IF(SER_hh_emi!C19=0,0,1000000*SER_hh_emi!C19/SER_hh_num!C19)</f>
        <v>251.71807405525198</v>
      </c>
      <c r="D19" s="130">
        <f>IF(SER_hh_emi!D19=0,0,1000000*SER_hh_emi!D19/SER_hh_num!D19)</f>
        <v>241.49283490036458</v>
      </c>
      <c r="E19" s="130">
        <f>IF(SER_hh_emi!E19=0,0,1000000*SER_hh_emi!E19/SER_hh_num!E19)</f>
        <v>209.04258020052876</v>
      </c>
      <c r="F19" s="130">
        <f>IF(SER_hh_emi!F19=0,0,1000000*SER_hh_emi!F19/SER_hh_num!F19)</f>
        <v>243.12437315608892</v>
      </c>
      <c r="G19" s="130">
        <f>IF(SER_hh_emi!G19=0,0,1000000*SER_hh_emi!G19/SER_hh_num!G19)</f>
        <v>217.64741152384252</v>
      </c>
      <c r="H19" s="130">
        <f>IF(SER_hh_emi!H19=0,0,1000000*SER_hh_emi!H19/SER_hh_num!H19)</f>
        <v>236.94590190760769</v>
      </c>
      <c r="I19" s="130">
        <f>IF(SER_hh_emi!I19=0,0,1000000*SER_hh_emi!I19/SER_hh_num!I19)</f>
        <v>284.67882610306924</v>
      </c>
      <c r="J19" s="130">
        <f>IF(SER_hh_emi!J19=0,0,1000000*SER_hh_emi!J19/SER_hh_num!J19)</f>
        <v>300.76828253750904</v>
      </c>
      <c r="K19" s="130">
        <f>IF(SER_hh_emi!K19=0,0,1000000*SER_hh_emi!K19/SER_hh_num!K19)</f>
        <v>284.55276631006689</v>
      </c>
      <c r="L19" s="130">
        <f>IF(SER_hh_emi!L19=0,0,1000000*SER_hh_emi!L19/SER_hh_num!L19)</f>
        <v>279.2565845902709</v>
      </c>
      <c r="M19" s="130">
        <f>IF(SER_hh_emi!M19=0,0,1000000*SER_hh_emi!M19/SER_hh_num!M19)</f>
        <v>271.58166042601709</v>
      </c>
      <c r="N19" s="130">
        <f>IF(SER_hh_emi!N19=0,0,1000000*SER_hh_emi!N19/SER_hh_num!N19)</f>
        <v>262.65865043628685</v>
      </c>
      <c r="O19" s="130">
        <f>IF(SER_hh_emi!O19=0,0,1000000*SER_hh_emi!O19/SER_hh_num!O19)</f>
        <v>262.90111268749837</v>
      </c>
      <c r="P19" s="130">
        <f>IF(SER_hh_emi!P19=0,0,1000000*SER_hh_emi!P19/SER_hh_num!P19)</f>
        <v>235.13633176776059</v>
      </c>
      <c r="Q19" s="130">
        <f>IF(SER_hh_emi!Q19=0,0,1000000*SER_hh_emi!Q19/SER_hh_num!Q19)</f>
        <v>252.20612874208018</v>
      </c>
      <c r="R19" s="130">
        <f>IF(SER_hh_emi!R19=0,0,1000000*SER_hh_emi!R19/SER_hh_num!R19)</f>
        <v>264.01003222067584</v>
      </c>
      <c r="S19" s="130">
        <f>IF(SER_hh_emi!S19=0,0,1000000*SER_hh_emi!S19/SER_hh_num!S19)</f>
        <v>266.14003742999847</v>
      </c>
      <c r="T19" s="130">
        <f>IF(SER_hh_emi!T19=0,0,1000000*SER_hh_emi!T19/SER_hh_num!T19)</f>
        <v>267.81038310066924</v>
      </c>
      <c r="U19" s="130">
        <f>IF(SER_hh_emi!U19=0,0,1000000*SER_hh_emi!U19/SER_hh_num!U19)</f>
        <v>276.61150885817847</v>
      </c>
      <c r="V19" s="130">
        <f>IF(SER_hh_emi!V19=0,0,1000000*SER_hh_emi!V19/SER_hh_num!V19)</f>
        <v>280.79024906056895</v>
      </c>
      <c r="W19" s="130">
        <f>IF(SER_hh_emi!W19=0,0,1000000*SER_hh_emi!W19/SER_hh_num!W19)</f>
        <v>292.70730318101994</v>
      </c>
      <c r="X19" s="130">
        <f>IF(SER_hh_emi!X19=0,0,1000000*SER_hh_emi!X19/SER_hh_num!X19)</f>
        <v>288.30807059776981</v>
      </c>
      <c r="Y19" s="130">
        <f>IF(SER_hh_emi!Y19=0,0,1000000*SER_hh_emi!Y19/SER_hh_num!Y19)</f>
        <v>281.46012379497995</v>
      </c>
      <c r="DA19" s="155" t="s">
        <v>462</v>
      </c>
    </row>
    <row r="20" spans="1:105" ht="12" customHeight="1" x14ac:dyDescent="0.25">
      <c r="A20" s="131" t="s">
        <v>29</v>
      </c>
      <c r="B20" s="132">
        <f>IF(SER_hh_emi!B20=0,0,1000000*SER_hh_emi!B20/SER_hh_num!B20)</f>
        <v>0</v>
      </c>
      <c r="C20" s="132">
        <f>IF(SER_hh_emi!C20=0,0,1000000*SER_hh_emi!C20/SER_hh_num!C20)</f>
        <v>0</v>
      </c>
      <c r="D20" s="132">
        <f>IF(SER_hh_emi!D20=0,0,1000000*SER_hh_emi!D20/SER_hh_num!D20)</f>
        <v>0</v>
      </c>
      <c r="E20" s="132">
        <f>IF(SER_hh_emi!E20=0,0,1000000*SER_hh_emi!E20/SER_hh_num!E20)</f>
        <v>0</v>
      </c>
      <c r="F20" s="132">
        <f>IF(SER_hh_emi!F20=0,0,1000000*SER_hh_emi!F20/SER_hh_num!F20)</f>
        <v>0</v>
      </c>
      <c r="G20" s="132">
        <f>IF(SER_hh_emi!G20=0,0,1000000*SER_hh_emi!G20/SER_hh_num!G20)</f>
        <v>0</v>
      </c>
      <c r="H20" s="132">
        <f>IF(SER_hh_emi!H20=0,0,1000000*SER_hh_emi!H20/SER_hh_num!H20)</f>
        <v>0</v>
      </c>
      <c r="I20" s="132">
        <f>IF(SER_hh_emi!I20=0,0,1000000*SER_hh_emi!I20/SER_hh_num!I20)</f>
        <v>0</v>
      </c>
      <c r="J20" s="132">
        <f>IF(SER_hh_emi!J20=0,0,1000000*SER_hh_emi!J20/SER_hh_num!J20)</f>
        <v>0</v>
      </c>
      <c r="K20" s="132">
        <f>IF(SER_hh_emi!K20=0,0,1000000*SER_hh_emi!K20/SER_hh_num!K20)</f>
        <v>0</v>
      </c>
      <c r="L20" s="132">
        <f>IF(SER_hh_emi!L20=0,0,1000000*SER_hh_emi!L20/SER_hh_num!L20)</f>
        <v>0</v>
      </c>
      <c r="M20" s="132">
        <f>IF(SER_hh_emi!M20=0,0,1000000*SER_hh_emi!M20/SER_hh_num!M20)</f>
        <v>0</v>
      </c>
      <c r="N20" s="132">
        <f>IF(SER_hh_emi!N20=0,0,1000000*SER_hh_emi!N20/SER_hh_num!N20)</f>
        <v>0</v>
      </c>
      <c r="O20" s="132">
        <f>IF(SER_hh_emi!O20=0,0,1000000*SER_hh_emi!O20/SER_hh_num!O20)</f>
        <v>0</v>
      </c>
      <c r="P20" s="132">
        <f>IF(SER_hh_emi!P20=0,0,1000000*SER_hh_emi!P20/SER_hh_num!P20)</f>
        <v>0</v>
      </c>
      <c r="Q20" s="132">
        <f>IF(SER_hh_emi!Q20=0,0,1000000*SER_hh_emi!Q20/SER_hh_num!Q20)</f>
        <v>0</v>
      </c>
      <c r="R20" s="132">
        <f>IF(SER_hh_emi!R20=0,0,1000000*SER_hh_emi!R20/SER_hh_num!R20)</f>
        <v>0</v>
      </c>
      <c r="S20" s="132">
        <f>IF(SER_hh_emi!S20=0,0,1000000*SER_hh_emi!S20/SER_hh_num!S20)</f>
        <v>0</v>
      </c>
      <c r="T20" s="132">
        <f>IF(SER_hh_emi!T20=0,0,1000000*SER_hh_emi!T20/SER_hh_num!T20)</f>
        <v>0</v>
      </c>
      <c r="U20" s="132">
        <f>IF(SER_hh_emi!U20=0,0,1000000*SER_hh_emi!U20/SER_hh_num!U20)</f>
        <v>0</v>
      </c>
      <c r="V20" s="132">
        <f>IF(SER_hh_emi!V20=0,0,1000000*SER_hh_emi!V20/SER_hh_num!V20)</f>
        <v>0</v>
      </c>
      <c r="W20" s="132">
        <f>IF(SER_hh_emi!W20=0,0,1000000*SER_hh_emi!W20/SER_hh_num!W20)</f>
        <v>0</v>
      </c>
      <c r="X20" s="132">
        <f>IF(SER_hh_emi!X20=0,0,1000000*SER_hh_emi!X20/SER_hh_num!X20)</f>
        <v>0</v>
      </c>
      <c r="Y20" s="132">
        <f>IF(SER_hh_emi!Y20=0,0,1000000*SER_hh_emi!Y20/SER_hh_num!Y20)</f>
        <v>0</v>
      </c>
      <c r="DA20" s="156" t="s">
        <v>463</v>
      </c>
    </row>
    <row r="21" spans="1:105" s="2" customFormat="1" ht="12" customHeight="1" x14ac:dyDescent="0.25">
      <c r="A21" s="131" t="s">
        <v>52</v>
      </c>
      <c r="B21" s="132">
        <f>IF(SER_hh_emi!B21=0,0,1000000*SER_hh_emi!B21/SER_hh_num!B21)</f>
        <v>0</v>
      </c>
      <c r="C21" s="132">
        <f>IF(SER_hh_emi!C21=0,0,1000000*SER_hh_emi!C21/SER_hh_num!C21)</f>
        <v>0</v>
      </c>
      <c r="D21" s="132">
        <f>IF(SER_hh_emi!D21=0,0,1000000*SER_hh_emi!D21/SER_hh_num!D21)</f>
        <v>0</v>
      </c>
      <c r="E21" s="132">
        <f>IF(SER_hh_emi!E21=0,0,1000000*SER_hh_emi!E21/SER_hh_num!E21)</f>
        <v>0</v>
      </c>
      <c r="F21" s="132">
        <f>IF(SER_hh_emi!F21=0,0,1000000*SER_hh_emi!F21/SER_hh_num!F21)</f>
        <v>0</v>
      </c>
      <c r="G21" s="132">
        <f>IF(SER_hh_emi!G21=0,0,1000000*SER_hh_emi!G21/SER_hh_num!G21)</f>
        <v>0</v>
      </c>
      <c r="H21" s="132">
        <f>IF(SER_hh_emi!H21=0,0,1000000*SER_hh_emi!H21/SER_hh_num!H21)</f>
        <v>0</v>
      </c>
      <c r="I21" s="132">
        <f>IF(SER_hh_emi!I21=0,0,1000000*SER_hh_emi!I21/SER_hh_num!I21)</f>
        <v>0</v>
      </c>
      <c r="J21" s="132">
        <f>IF(SER_hh_emi!J21=0,0,1000000*SER_hh_emi!J21/SER_hh_num!J21)</f>
        <v>0</v>
      </c>
      <c r="K21" s="132">
        <f>IF(SER_hh_emi!K21=0,0,1000000*SER_hh_emi!K21/SER_hh_num!K21)</f>
        <v>0</v>
      </c>
      <c r="L21" s="132">
        <f>IF(SER_hh_emi!L21=0,0,1000000*SER_hh_emi!L21/SER_hh_num!L21)</f>
        <v>0</v>
      </c>
      <c r="M21" s="132">
        <f>IF(SER_hh_emi!M21=0,0,1000000*SER_hh_emi!M21/SER_hh_num!M21)</f>
        <v>0</v>
      </c>
      <c r="N21" s="132">
        <f>IF(SER_hh_emi!N21=0,0,1000000*SER_hh_emi!N21/SER_hh_num!N21)</f>
        <v>0</v>
      </c>
      <c r="O21" s="132">
        <f>IF(SER_hh_emi!O21=0,0,1000000*SER_hh_emi!O21/SER_hh_num!O21)</f>
        <v>0</v>
      </c>
      <c r="P21" s="132">
        <f>IF(SER_hh_emi!P21=0,0,1000000*SER_hh_emi!P21/SER_hh_num!P21)</f>
        <v>0</v>
      </c>
      <c r="Q21" s="132">
        <f>IF(SER_hh_emi!Q21=0,0,1000000*SER_hh_emi!Q21/SER_hh_num!Q21)</f>
        <v>0</v>
      </c>
      <c r="R21" s="132">
        <f>IF(SER_hh_emi!R21=0,0,1000000*SER_hh_emi!R21/SER_hh_num!R21)</f>
        <v>0</v>
      </c>
      <c r="S21" s="132">
        <f>IF(SER_hh_emi!S21=0,0,1000000*SER_hh_emi!S21/SER_hh_num!S21)</f>
        <v>0</v>
      </c>
      <c r="T21" s="132">
        <f>IF(SER_hh_emi!T21=0,0,1000000*SER_hh_emi!T21/SER_hh_num!T21)</f>
        <v>0</v>
      </c>
      <c r="U21" s="132">
        <f>IF(SER_hh_emi!U21=0,0,1000000*SER_hh_emi!U21/SER_hh_num!U21)</f>
        <v>0</v>
      </c>
      <c r="V21" s="132">
        <f>IF(SER_hh_emi!V21=0,0,1000000*SER_hh_emi!V21/SER_hh_num!V21)</f>
        <v>0</v>
      </c>
      <c r="W21" s="132">
        <f>IF(SER_hh_emi!W21=0,0,1000000*SER_hh_emi!W21/SER_hh_num!W21)</f>
        <v>0</v>
      </c>
      <c r="X21" s="132">
        <f>IF(SER_hh_emi!X21=0,0,1000000*SER_hh_emi!X21/SER_hh_num!X21)</f>
        <v>0</v>
      </c>
      <c r="Y21" s="132">
        <f>IF(SER_hh_emi!Y21=0,0,1000000*SER_hh_emi!Y21/SER_hh_num!Y21)</f>
        <v>0</v>
      </c>
      <c r="DA21" s="156" t="s">
        <v>464</v>
      </c>
    </row>
    <row r="22" spans="1:105" ht="12" customHeight="1" x14ac:dyDescent="0.25">
      <c r="A22" s="131" t="s">
        <v>161</v>
      </c>
      <c r="B22" s="132">
        <f>IF(SER_hh_emi!B22=0,0,1000000*SER_hh_emi!B22/SER_hh_num!B22)</f>
        <v>5343.9563524534633</v>
      </c>
      <c r="C22" s="132">
        <f>IF(SER_hh_emi!C22=0,0,1000000*SER_hh_emi!C22/SER_hh_num!C22)</f>
        <v>3949.0774225847654</v>
      </c>
      <c r="D22" s="132">
        <f>IF(SER_hh_emi!D22=0,0,1000000*SER_hh_emi!D22/SER_hh_num!D22)</f>
        <v>4406.9551904056752</v>
      </c>
      <c r="E22" s="132">
        <f>IF(SER_hh_emi!E22=0,0,1000000*SER_hh_emi!E22/SER_hh_num!E22)</f>
        <v>4234.2466417055166</v>
      </c>
      <c r="F22" s="132">
        <f>IF(SER_hh_emi!F22=0,0,1000000*SER_hh_emi!F22/SER_hh_num!F22)</f>
        <v>5237.3261984282708</v>
      </c>
      <c r="G22" s="132">
        <f>IF(SER_hh_emi!G22=0,0,1000000*SER_hh_emi!G22/SER_hh_num!G22)</f>
        <v>4718.4161691319759</v>
      </c>
      <c r="H22" s="132">
        <f>IF(SER_hh_emi!H22=0,0,1000000*SER_hh_emi!H22/SER_hh_num!H22)</f>
        <v>5151.503432418187</v>
      </c>
      <c r="I22" s="132">
        <f>IF(SER_hh_emi!I22=0,0,1000000*SER_hh_emi!I22/SER_hh_num!I22)</f>
        <v>5147.4637022971838</v>
      </c>
      <c r="J22" s="132">
        <f>IF(SER_hh_emi!J22=0,0,1000000*SER_hh_emi!J22/SER_hh_num!J22)</f>
        <v>5625.924973969245</v>
      </c>
      <c r="K22" s="132">
        <f>IF(SER_hh_emi!K22=0,0,1000000*SER_hh_emi!K22/SER_hh_num!K22)</f>
        <v>4958.2458825632029</v>
      </c>
      <c r="L22" s="132">
        <f>IF(SER_hh_emi!L22=0,0,1000000*SER_hh_emi!L22/SER_hh_num!L22)</f>
        <v>5269.1039282007114</v>
      </c>
      <c r="M22" s="132">
        <f>IF(SER_hh_emi!M22=0,0,1000000*SER_hh_emi!M22/SER_hh_num!M22)</f>
        <v>5221.6444241511936</v>
      </c>
      <c r="N22" s="132">
        <f>IF(SER_hh_emi!N22=0,0,1000000*SER_hh_emi!N22/SER_hh_num!N22)</f>
        <v>4562.0480096439869</v>
      </c>
      <c r="O22" s="132">
        <f>IF(SER_hh_emi!O22=0,0,1000000*SER_hh_emi!O22/SER_hh_num!O22)</f>
        <v>4800.7834658620523</v>
      </c>
      <c r="P22" s="132">
        <f>IF(SER_hh_emi!P22=0,0,1000000*SER_hh_emi!P22/SER_hh_num!P22)</f>
        <v>4922.2880165013858</v>
      </c>
      <c r="Q22" s="132">
        <f>IF(SER_hh_emi!Q22=0,0,1000000*SER_hh_emi!Q22/SER_hh_num!Q22)</f>
        <v>4885.7997384856126</v>
      </c>
      <c r="R22" s="132">
        <f>IF(SER_hh_emi!R22=0,0,1000000*SER_hh_emi!R22/SER_hh_num!R22)</f>
        <v>4926.843518974948</v>
      </c>
      <c r="S22" s="132">
        <f>IF(SER_hh_emi!S22=0,0,1000000*SER_hh_emi!S22/SER_hh_num!S22)</f>
        <v>5488.4869117574808</v>
      </c>
      <c r="T22" s="132">
        <f>IF(SER_hh_emi!T22=0,0,1000000*SER_hh_emi!T22/SER_hh_num!T22)</f>
        <v>4036.3972557456541</v>
      </c>
      <c r="U22" s="132">
        <f>IF(SER_hh_emi!U22=0,0,1000000*SER_hh_emi!U22/SER_hh_num!U22)</f>
        <v>4591.1593175937651</v>
      </c>
      <c r="V22" s="132">
        <f>IF(SER_hh_emi!V22=0,0,1000000*SER_hh_emi!V22/SER_hh_num!V22)</f>
        <v>4599.674580044978</v>
      </c>
      <c r="W22" s="132">
        <f>IF(SER_hh_emi!W22=0,0,1000000*SER_hh_emi!W22/SER_hh_num!W22)</f>
        <v>5118.5223556785841</v>
      </c>
      <c r="X22" s="132">
        <f>IF(SER_hh_emi!X22=0,0,1000000*SER_hh_emi!X22/SER_hh_num!X22)</f>
        <v>4829.0465769563507</v>
      </c>
      <c r="Y22" s="132">
        <f>IF(SER_hh_emi!Y22=0,0,1000000*SER_hh_emi!Y22/SER_hh_num!Y22)</f>
        <v>4051.5500682134989</v>
      </c>
      <c r="DA22" s="156" t="s">
        <v>465</v>
      </c>
    </row>
    <row r="23" spans="1:105" ht="12" customHeight="1" x14ac:dyDescent="0.25">
      <c r="A23" s="131" t="s">
        <v>149</v>
      </c>
      <c r="B23" s="132">
        <f>IF(SER_hh_emi!B23=0,0,1000000*SER_hh_emi!B23/SER_hh_num!B23)</f>
        <v>3318.3816137261729</v>
      </c>
      <c r="C23" s="132">
        <f>IF(SER_hh_emi!C23=0,0,1000000*SER_hh_emi!C23/SER_hh_num!C23)</f>
        <v>3304.9591698330755</v>
      </c>
      <c r="D23" s="132">
        <f>IF(SER_hh_emi!D23=0,0,1000000*SER_hh_emi!D23/SER_hh_num!D23)</f>
        <v>3249.345233066952</v>
      </c>
      <c r="E23" s="132">
        <f>IF(SER_hh_emi!E23=0,0,1000000*SER_hh_emi!E23/SER_hh_num!E23)</f>
        <v>3084.7708255007442</v>
      </c>
      <c r="F23" s="132">
        <f>IF(SER_hh_emi!F23=0,0,1000000*SER_hh_emi!F23/SER_hh_num!F23)</f>
        <v>3462.9762931129271</v>
      </c>
      <c r="G23" s="132">
        <f>IF(SER_hh_emi!G23=0,0,1000000*SER_hh_emi!G23/SER_hh_num!G23)</f>
        <v>3104.8013084206814</v>
      </c>
      <c r="H23" s="132">
        <f>IF(SER_hh_emi!H23=0,0,1000000*SER_hh_emi!H23/SER_hh_num!H23)</f>
        <v>3003.5385611765087</v>
      </c>
      <c r="I23" s="132">
        <f>IF(SER_hh_emi!I23=0,0,1000000*SER_hh_emi!I23/SER_hh_num!I23)</f>
        <v>3584.4317665392873</v>
      </c>
      <c r="J23" s="132">
        <f>IF(SER_hh_emi!J23=0,0,1000000*SER_hh_emi!J23/SER_hh_num!J23)</f>
        <v>3546.9655941090682</v>
      </c>
      <c r="K23" s="132">
        <f>IF(SER_hh_emi!K23=0,0,1000000*SER_hh_emi!K23/SER_hh_num!K23)</f>
        <v>3340.3299173946284</v>
      </c>
      <c r="L23" s="132">
        <f>IF(SER_hh_emi!L23=0,0,1000000*SER_hh_emi!L23/SER_hh_num!L23)</f>
        <v>3329.4434013799546</v>
      </c>
      <c r="M23" s="132">
        <f>IF(SER_hh_emi!M23=0,0,1000000*SER_hh_emi!M23/SER_hh_num!M23)</f>
        <v>3370.4339424686004</v>
      </c>
      <c r="N23" s="132">
        <f>IF(SER_hh_emi!N23=0,0,1000000*SER_hh_emi!N23/SER_hh_num!N23)</f>
        <v>3382.9356778494916</v>
      </c>
      <c r="O23" s="132">
        <f>IF(SER_hh_emi!O23=0,0,1000000*SER_hh_emi!O23/SER_hh_num!O23)</f>
        <v>3422.6958645288742</v>
      </c>
      <c r="P23" s="132">
        <f>IF(SER_hh_emi!P23=0,0,1000000*SER_hh_emi!P23/SER_hh_num!P23)</f>
        <v>3059.4129647083582</v>
      </c>
      <c r="Q23" s="132">
        <f>IF(SER_hh_emi!Q23=0,0,1000000*SER_hh_emi!Q23/SER_hh_num!Q23)</f>
        <v>3200.9809320579629</v>
      </c>
      <c r="R23" s="132">
        <f>IF(SER_hh_emi!R23=0,0,1000000*SER_hh_emi!R23/SER_hh_num!R23)</f>
        <v>3222.9919424071454</v>
      </c>
      <c r="S23" s="132">
        <f>IF(SER_hh_emi!S23=0,0,1000000*SER_hh_emi!S23/SER_hh_num!S23)</f>
        <v>3122.8552894433501</v>
      </c>
      <c r="T23" s="132">
        <f>IF(SER_hh_emi!T23=0,0,1000000*SER_hh_emi!T23/SER_hh_num!T23)</f>
        <v>3057.29856190186</v>
      </c>
      <c r="U23" s="132">
        <f>IF(SER_hh_emi!U23=0,0,1000000*SER_hh_emi!U23/SER_hh_num!U23)</f>
        <v>2944.622035356731</v>
      </c>
      <c r="V23" s="132">
        <f>IF(SER_hh_emi!V23=0,0,1000000*SER_hh_emi!V23/SER_hh_num!V23)</f>
        <v>2758.026661797524</v>
      </c>
      <c r="W23" s="132">
        <f>IF(SER_hh_emi!W23=0,0,1000000*SER_hh_emi!W23/SER_hh_num!W23)</f>
        <v>2791.3222600140007</v>
      </c>
      <c r="X23" s="132">
        <f>IF(SER_hh_emi!X23=0,0,1000000*SER_hh_emi!X23/SER_hh_num!X23)</f>
        <v>2762.2987299169918</v>
      </c>
      <c r="Y23" s="132">
        <f>IF(SER_hh_emi!Y23=0,0,1000000*SER_hh_emi!Y23/SER_hh_num!Y23)</f>
        <v>2784.6289422935224</v>
      </c>
      <c r="DA23" s="156" t="s">
        <v>466</v>
      </c>
    </row>
    <row r="24" spans="1:105" ht="12" customHeight="1" x14ac:dyDescent="0.25">
      <c r="A24" s="131" t="s">
        <v>128</v>
      </c>
      <c r="B24" s="132">
        <f>IF(SER_hh_emi!B24=0,0,1000000*SER_hh_emi!B24/SER_hh_num!B24)</f>
        <v>0</v>
      </c>
      <c r="C24" s="132">
        <f>IF(SER_hh_emi!C24=0,0,1000000*SER_hh_emi!C24/SER_hh_num!C24)</f>
        <v>0</v>
      </c>
      <c r="D24" s="132">
        <f>IF(SER_hh_emi!D24=0,0,1000000*SER_hh_emi!D24/SER_hh_num!D24)</f>
        <v>0</v>
      </c>
      <c r="E24" s="132">
        <f>IF(SER_hh_emi!E24=0,0,1000000*SER_hh_emi!E24/SER_hh_num!E24)</f>
        <v>0</v>
      </c>
      <c r="F24" s="132">
        <f>IF(SER_hh_emi!F24=0,0,1000000*SER_hh_emi!F24/SER_hh_num!F24)</f>
        <v>0</v>
      </c>
      <c r="G24" s="132">
        <f>IF(SER_hh_emi!G24=0,0,1000000*SER_hh_emi!G24/SER_hh_num!G24)</f>
        <v>0</v>
      </c>
      <c r="H24" s="132">
        <f>IF(SER_hh_emi!H24=0,0,1000000*SER_hh_emi!H24/SER_hh_num!H24)</f>
        <v>0</v>
      </c>
      <c r="I24" s="132">
        <f>IF(SER_hh_emi!I24=0,0,1000000*SER_hh_emi!I24/SER_hh_num!I24)</f>
        <v>0</v>
      </c>
      <c r="J24" s="132">
        <f>IF(SER_hh_emi!J24=0,0,1000000*SER_hh_emi!J24/SER_hh_num!J24)</f>
        <v>0</v>
      </c>
      <c r="K24" s="132">
        <f>IF(SER_hh_emi!K24=0,0,1000000*SER_hh_emi!K24/SER_hh_num!K24)</f>
        <v>0</v>
      </c>
      <c r="L24" s="132">
        <f>IF(SER_hh_emi!L24=0,0,1000000*SER_hh_emi!L24/SER_hh_num!L24)</f>
        <v>0</v>
      </c>
      <c r="M24" s="132">
        <f>IF(SER_hh_emi!M24=0,0,1000000*SER_hh_emi!M24/SER_hh_num!M24)</f>
        <v>0</v>
      </c>
      <c r="N24" s="132">
        <f>IF(SER_hh_emi!N24=0,0,1000000*SER_hh_emi!N24/SER_hh_num!N24)</f>
        <v>0</v>
      </c>
      <c r="O24" s="132">
        <f>IF(SER_hh_emi!O24=0,0,1000000*SER_hh_emi!O24/SER_hh_num!O24)</f>
        <v>0</v>
      </c>
      <c r="P24" s="132">
        <f>IF(SER_hh_emi!P24=0,0,1000000*SER_hh_emi!P24/SER_hh_num!P24)</f>
        <v>0</v>
      </c>
      <c r="Q24" s="132">
        <f>IF(SER_hh_emi!Q24=0,0,1000000*SER_hh_emi!Q24/SER_hh_num!Q24)</f>
        <v>0</v>
      </c>
      <c r="R24" s="132">
        <f>IF(SER_hh_emi!R24=0,0,1000000*SER_hh_emi!R24/SER_hh_num!R24)</f>
        <v>0</v>
      </c>
      <c r="S24" s="132">
        <f>IF(SER_hh_emi!S24=0,0,1000000*SER_hh_emi!S24/SER_hh_num!S24)</f>
        <v>0</v>
      </c>
      <c r="T24" s="132">
        <f>IF(SER_hh_emi!T24=0,0,1000000*SER_hh_emi!T24/SER_hh_num!T24)</f>
        <v>0</v>
      </c>
      <c r="U24" s="132">
        <f>IF(SER_hh_emi!U24=0,0,1000000*SER_hh_emi!U24/SER_hh_num!U24)</f>
        <v>0</v>
      </c>
      <c r="V24" s="132">
        <f>IF(SER_hh_emi!V24=0,0,1000000*SER_hh_emi!V24/SER_hh_num!V24)</f>
        <v>0</v>
      </c>
      <c r="W24" s="132">
        <f>IF(SER_hh_emi!W24=0,0,1000000*SER_hh_emi!W24/SER_hh_num!W24)</f>
        <v>0</v>
      </c>
      <c r="X24" s="132">
        <f>IF(SER_hh_emi!X24=0,0,1000000*SER_hh_emi!X24/SER_hh_num!X24)</f>
        <v>0</v>
      </c>
      <c r="Y24" s="132">
        <f>IF(SER_hh_emi!Y24=0,0,1000000*SER_hh_emi!Y24/SER_hh_num!Y24)</f>
        <v>0</v>
      </c>
      <c r="DA24" s="156" t="s">
        <v>467</v>
      </c>
    </row>
    <row r="25" spans="1:105" ht="12" customHeight="1" x14ac:dyDescent="0.25">
      <c r="A25" s="131" t="s">
        <v>162</v>
      </c>
      <c r="B25" s="132">
        <f>IF(SER_hh_emi!B25=0,0,1000000*SER_hh_emi!B25/SER_hh_num!B25)</f>
        <v>0</v>
      </c>
      <c r="C25" s="132">
        <f>IF(SER_hh_emi!C25=0,0,1000000*SER_hh_emi!C25/SER_hh_num!C25)</f>
        <v>0</v>
      </c>
      <c r="D25" s="132">
        <f>IF(SER_hh_emi!D25=0,0,1000000*SER_hh_emi!D25/SER_hh_num!D25)</f>
        <v>0</v>
      </c>
      <c r="E25" s="132">
        <f>IF(SER_hh_emi!E25=0,0,1000000*SER_hh_emi!E25/SER_hh_num!E25)</f>
        <v>0</v>
      </c>
      <c r="F25" s="132">
        <f>IF(SER_hh_emi!F25=0,0,1000000*SER_hh_emi!F25/SER_hh_num!F25)</f>
        <v>0</v>
      </c>
      <c r="G25" s="132">
        <f>IF(SER_hh_emi!G25=0,0,1000000*SER_hh_emi!G25/SER_hh_num!G25)</f>
        <v>0</v>
      </c>
      <c r="H25" s="132">
        <f>IF(SER_hh_emi!H25=0,0,1000000*SER_hh_emi!H25/SER_hh_num!H25)</f>
        <v>0</v>
      </c>
      <c r="I25" s="132">
        <f>IF(SER_hh_emi!I25=0,0,1000000*SER_hh_emi!I25/SER_hh_num!I25)</f>
        <v>0</v>
      </c>
      <c r="J25" s="132">
        <f>IF(SER_hh_emi!J25=0,0,1000000*SER_hh_emi!J25/SER_hh_num!J25)</f>
        <v>0</v>
      </c>
      <c r="K25" s="132">
        <f>IF(SER_hh_emi!K25=0,0,1000000*SER_hh_emi!K25/SER_hh_num!K25)</f>
        <v>0</v>
      </c>
      <c r="L25" s="132">
        <f>IF(SER_hh_emi!L25=0,0,1000000*SER_hh_emi!L25/SER_hh_num!L25)</f>
        <v>0</v>
      </c>
      <c r="M25" s="132">
        <f>IF(SER_hh_emi!M25=0,0,1000000*SER_hh_emi!M25/SER_hh_num!M25)</f>
        <v>0</v>
      </c>
      <c r="N25" s="132">
        <f>IF(SER_hh_emi!N25=0,0,1000000*SER_hh_emi!N25/SER_hh_num!N25)</f>
        <v>0</v>
      </c>
      <c r="O25" s="132">
        <f>IF(SER_hh_emi!O25=0,0,1000000*SER_hh_emi!O25/SER_hh_num!O25)</f>
        <v>0</v>
      </c>
      <c r="P25" s="132">
        <f>IF(SER_hh_emi!P25=0,0,1000000*SER_hh_emi!P25/SER_hh_num!P25)</f>
        <v>0</v>
      </c>
      <c r="Q25" s="132">
        <f>IF(SER_hh_emi!Q25=0,0,1000000*SER_hh_emi!Q25/SER_hh_num!Q25)</f>
        <v>0</v>
      </c>
      <c r="R25" s="132">
        <f>IF(SER_hh_emi!R25=0,0,1000000*SER_hh_emi!R25/SER_hh_num!R25)</f>
        <v>0</v>
      </c>
      <c r="S25" s="132">
        <f>IF(SER_hh_emi!S25=0,0,1000000*SER_hh_emi!S25/SER_hh_num!S25)</f>
        <v>0</v>
      </c>
      <c r="T25" s="132">
        <f>IF(SER_hh_emi!T25=0,0,1000000*SER_hh_emi!T25/SER_hh_num!T25)</f>
        <v>0</v>
      </c>
      <c r="U25" s="132">
        <f>IF(SER_hh_emi!U25=0,0,1000000*SER_hh_emi!U25/SER_hh_num!U25)</f>
        <v>0</v>
      </c>
      <c r="V25" s="132">
        <f>IF(SER_hh_emi!V25=0,0,1000000*SER_hh_emi!V25/SER_hh_num!V25)</f>
        <v>0</v>
      </c>
      <c r="W25" s="132">
        <f>IF(SER_hh_emi!W25=0,0,1000000*SER_hh_emi!W25/SER_hh_num!W25)</f>
        <v>0</v>
      </c>
      <c r="X25" s="132">
        <f>IF(SER_hh_emi!X25=0,0,1000000*SER_hh_emi!X25/SER_hh_num!X25)</f>
        <v>0</v>
      </c>
      <c r="Y25" s="132">
        <f>IF(SER_hh_emi!Y25=0,0,1000000*SER_hh_emi!Y25/SER_hh_num!Y25)</f>
        <v>0</v>
      </c>
      <c r="DA25" s="156" t="s">
        <v>468</v>
      </c>
    </row>
    <row r="26" spans="1:105" ht="12" customHeight="1" x14ac:dyDescent="0.25">
      <c r="A26" s="131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X26" s="65">
        <f>IF(SER_hh_emi!X26=0,0,1000000*SER_hh_emi!X26/SER_hh_num!X26)</f>
        <v>0</v>
      </c>
      <c r="Y26" s="65">
        <f>IF(SER_hh_emi!Y26=0,0,1000000*SER_hh_emi!Y26/SER_hh_num!Y26)</f>
        <v>0</v>
      </c>
      <c r="DA26" s="109" t="s">
        <v>469</v>
      </c>
    </row>
    <row r="27" spans="1:105" ht="12" customHeight="1" x14ac:dyDescent="0.25">
      <c r="A27" s="144" t="s">
        <v>86</v>
      </c>
      <c r="B27" s="145">
        <f>IF(SER_hh_emi!B27=0,0,1000000*SER_hh_emi!B27/SER_hh_num!B19)</f>
        <v>0</v>
      </c>
      <c r="C27" s="145">
        <f>IF(SER_hh_emi!C27=0,0,1000000*SER_hh_emi!C27/SER_hh_num!C19)</f>
        <v>0</v>
      </c>
      <c r="D27" s="145">
        <f>IF(SER_hh_emi!D27=0,0,1000000*SER_hh_emi!D27/SER_hh_num!D19)</f>
        <v>0</v>
      </c>
      <c r="E27" s="145">
        <f>IF(SER_hh_emi!E27=0,0,1000000*SER_hh_emi!E27/SER_hh_num!E19)</f>
        <v>0</v>
      </c>
      <c r="F27" s="145">
        <f>IF(SER_hh_emi!F27=0,0,1000000*SER_hh_emi!F27/SER_hh_num!F19)</f>
        <v>0</v>
      </c>
      <c r="G27" s="145">
        <f>IF(SER_hh_emi!G27=0,0,1000000*SER_hh_emi!G27/SER_hh_num!G19)</f>
        <v>0</v>
      </c>
      <c r="H27" s="145">
        <f>IF(SER_hh_emi!H27=0,0,1000000*SER_hh_emi!H27/SER_hh_num!H19)</f>
        <v>0</v>
      </c>
      <c r="I27" s="145">
        <f>IF(SER_hh_emi!I27=0,0,1000000*SER_hh_emi!I27/SER_hh_num!I19)</f>
        <v>0</v>
      </c>
      <c r="J27" s="145">
        <f>IF(SER_hh_emi!J27=0,0,1000000*SER_hh_emi!J27/SER_hh_num!J19)</f>
        <v>0</v>
      </c>
      <c r="K27" s="145">
        <f>IF(SER_hh_emi!K27=0,0,1000000*SER_hh_emi!K27/SER_hh_num!K19)</f>
        <v>0</v>
      </c>
      <c r="L27" s="145">
        <f>IF(SER_hh_emi!L27=0,0,1000000*SER_hh_emi!L27/SER_hh_num!L19)</f>
        <v>0</v>
      </c>
      <c r="M27" s="145">
        <f>IF(SER_hh_emi!M27=0,0,1000000*SER_hh_emi!M27/SER_hh_num!M19)</f>
        <v>0</v>
      </c>
      <c r="N27" s="145">
        <f>IF(SER_hh_emi!N27=0,0,1000000*SER_hh_emi!N27/SER_hh_num!N19)</f>
        <v>0</v>
      </c>
      <c r="O27" s="145">
        <f>IF(SER_hh_emi!O27=0,0,1000000*SER_hh_emi!O27/SER_hh_num!O19)</f>
        <v>0</v>
      </c>
      <c r="P27" s="145">
        <f>IF(SER_hh_emi!P27=0,0,1000000*SER_hh_emi!P27/SER_hh_num!P19)</f>
        <v>0</v>
      </c>
      <c r="Q27" s="145">
        <f>IF(SER_hh_emi!Q27=0,0,1000000*SER_hh_emi!Q27/SER_hh_num!Q19)</f>
        <v>0</v>
      </c>
      <c r="R27" s="145">
        <f>IF(SER_hh_emi!R27=0,0,1000000*SER_hh_emi!R27/SER_hh_num!R19)</f>
        <v>0</v>
      </c>
      <c r="S27" s="145">
        <f>IF(SER_hh_emi!S27=0,0,1000000*SER_hh_emi!S27/SER_hh_num!S19)</f>
        <v>0</v>
      </c>
      <c r="T27" s="145">
        <f>IF(SER_hh_emi!T27=0,0,1000000*SER_hh_emi!T27/SER_hh_num!T19)</f>
        <v>0</v>
      </c>
      <c r="U27" s="145">
        <f>IF(SER_hh_emi!U27=0,0,1000000*SER_hh_emi!U27/SER_hh_num!U19)</f>
        <v>0</v>
      </c>
      <c r="V27" s="145">
        <f>IF(SER_hh_emi!V27=0,0,1000000*SER_hh_emi!V27/SER_hh_num!V19)</f>
        <v>0</v>
      </c>
      <c r="W27" s="145">
        <f>IF(SER_hh_emi!W27=0,0,1000000*SER_hh_emi!W27/SER_hh_num!W19)</f>
        <v>0</v>
      </c>
      <c r="X27" s="145">
        <f>IF(SER_hh_emi!X27=0,0,1000000*SER_hh_emi!X27/SER_hh_num!X19)</f>
        <v>0</v>
      </c>
      <c r="Y27" s="145">
        <f>IF(SER_hh_emi!Y27=0,0,1000000*SER_hh_emi!Y27/SER_hh_num!Y19)</f>
        <v>0</v>
      </c>
      <c r="DA27" s="158" t="s">
        <v>470</v>
      </c>
    </row>
    <row r="28" spans="1:105" ht="12" customHeight="1" x14ac:dyDescent="0.25">
      <c r="A28" s="78" t="s">
        <v>85</v>
      </c>
      <c r="B28" s="146">
        <f>IF(SER_hh_emi!B27=0,0,1000000*SER_hh_emi!B27/SER_hh_num!B27)</f>
        <v>0</v>
      </c>
      <c r="C28" s="146">
        <f>IF(SER_hh_emi!C27=0,0,1000000*SER_hh_emi!C27/SER_hh_num!C27)</f>
        <v>0</v>
      </c>
      <c r="D28" s="146">
        <f>IF(SER_hh_emi!D27=0,0,1000000*SER_hh_emi!D27/SER_hh_num!D27)</f>
        <v>0</v>
      </c>
      <c r="E28" s="146">
        <f>IF(SER_hh_emi!E27=0,0,1000000*SER_hh_emi!E27/SER_hh_num!E27)</f>
        <v>0</v>
      </c>
      <c r="F28" s="146">
        <f>IF(SER_hh_emi!F27=0,0,1000000*SER_hh_emi!F27/SER_hh_num!F27)</f>
        <v>0</v>
      </c>
      <c r="G28" s="146">
        <f>IF(SER_hh_emi!G27=0,0,1000000*SER_hh_emi!G27/SER_hh_num!G27)</f>
        <v>0</v>
      </c>
      <c r="H28" s="146">
        <f>IF(SER_hh_emi!H27=0,0,1000000*SER_hh_emi!H27/SER_hh_num!H27)</f>
        <v>0</v>
      </c>
      <c r="I28" s="146">
        <f>IF(SER_hh_emi!I27=0,0,1000000*SER_hh_emi!I27/SER_hh_num!I27)</f>
        <v>0</v>
      </c>
      <c r="J28" s="146">
        <f>IF(SER_hh_emi!J27=0,0,1000000*SER_hh_emi!J27/SER_hh_num!J27)</f>
        <v>0</v>
      </c>
      <c r="K28" s="146">
        <f>IF(SER_hh_emi!K27=0,0,1000000*SER_hh_emi!K27/SER_hh_num!K27)</f>
        <v>0</v>
      </c>
      <c r="L28" s="146">
        <f>IF(SER_hh_emi!L27=0,0,1000000*SER_hh_emi!L27/SER_hh_num!L27)</f>
        <v>0</v>
      </c>
      <c r="M28" s="146">
        <f>IF(SER_hh_emi!M27=0,0,1000000*SER_hh_emi!M27/SER_hh_num!M27)</f>
        <v>0</v>
      </c>
      <c r="N28" s="146">
        <f>IF(SER_hh_emi!N27=0,0,1000000*SER_hh_emi!N27/SER_hh_num!N27)</f>
        <v>0</v>
      </c>
      <c r="O28" s="146">
        <f>IF(SER_hh_emi!O27=0,0,1000000*SER_hh_emi!O27/SER_hh_num!O27)</f>
        <v>0</v>
      </c>
      <c r="P28" s="146">
        <f>IF(SER_hh_emi!P27=0,0,1000000*SER_hh_emi!P27/SER_hh_num!P27)</f>
        <v>0</v>
      </c>
      <c r="Q28" s="146">
        <f>IF(SER_hh_emi!Q27=0,0,1000000*SER_hh_emi!Q27/SER_hh_num!Q27)</f>
        <v>0</v>
      </c>
      <c r="R28" s="146">
        <f>IF(SER_hh_emi!R27=0,0,1000000*SER_hh_emi!R27/SER_hh_num!R27)</f>
        <v>0</v>
      </c>
      <c r="S28" s="146">
        <f>IF(SER_hh_emi!S27=0,0,1000000*SER_hh_emi!S27/SER_hh_num!S27)</f>
        <v>0</v>
      </c>
      <c r="T28" s="146">
        <f>IF(SER_hh_emi!T27=0,0,1000000*SER_hh_emi!T27/SER_hh_num!T27)</f>
        <v>0</v>
      </c>
      <c r="U28" s="146">
        <f>IF(SER_hh_emi!U27=0,0,1000000*SER_hh_emi!U27/SER_hh_num!U27)</f>
        <v>0</v>
      </c>
      <c r="V28" s="146">
        <f>IF(SER_hh_emi!V27=0,0,1000000*SER_hh_emi!V27/SER_hh_num!V27)</f>
        <v>0</v>
      </c>
      <c r="W28" s="146">
        <f>IF(SER_hh_emi!W27=0,0,1000000*SER_hh_emi!W27/SER_hh_num!W27)</f>
        <v>0</v>
      </c>
      <c r="X28" s="146">
        <f>IF(SER_hh_emi!X27=0,0,1000000*SER_hh_emi!X27/SER_hh_num!X27)</f>
        <v>0</v>
      </c>
      <c r="Y28" s="146">
        <f>IF(SER_hh_emi!Y27=0,0,1000000*SER_hh_emi!Y27/SER_hh_num!Y27)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IF(SER_hh_emi!B29=0,0,1000000*SER_hh_emi!B29/SER_hh_num!B29)</f>
        <v>685.41272779179747</v>
      </c>
      <c r="C29" s="130">
        <f>IF(SER_hh_emi!C29=0,0,1000000*SER_hh_emi!C29/SER_hh_num!C29)</f>
        <v>703.12238442974979</v>
      </c>
      <c r="D29" s="130">
        <f>IF(SER_hh_emi!D29=0,0,1000000*SER_hh_emi!D29/SER_hh_num!D29)</f>
        <v>742.95415176634322</v>
      </c>
      <c r="E29" s="130">
        <f>IF(SER_hh_emi!E29=0,0,1000000*SER_hh_emi!E29/SER_hh_num!E29)</f>
        <v>717.36378113791034</v>
      </c>
      <c r="F29" s="130">
        <f>IF(SER_hh_emi!F29=0,0,1000000*SER_hh_emi!F29/SER_hh_num!F29)</f>
        <v>632.77759888725905</v>
      </c>
      <c r="G29" s="130">
        <f>IF(SER_hh_emi!G29=0,0,1000000*SER_hh_emi!G29/SER_hh_num!G29)</f>
        <v>636.01965332005273</v>
      </c>
      <c r="H29" s="130">
        <f>IF(SER_hh_emi!H29=0,0,1000000*SER_hh_emi!H29/SER_hh_num!H29)</f>
        <v>641.20352328913486</v>
      </c>
      <c r="I29" s="130">
        <f>IF(SER_hh_emi!I29=0,0,1000000*SER_hh_emi!I29/SER_hh_num!I29)</f>
        <v>756.14414462629554</v>
      </c>
      <c r="J29" s="130">
        <f>IF(SER_hh_emi!J29=0,0,1000000*SER_hh_emi!J29/SER_hh_num!J29)</f>
        <v>774.10837908971052</v>
      </c>
      <c r="K29" s="130">
        <f>IF(SER_hh_emi!K29=0,0,1000000*SER_hh_emi!K29/SER_hh_num!K29)</f>
        <v>753.63061635062195</v>
      </c>
      <c r="L29" s="130">
        <f>IF(SER_hh_emi!L29=0,0,1000000*SER_hh_emi!L29/SER_hh_num!L29)</f>
        <v>685.24973705188472</v>
      </c>
      <c r="M29" s="130">
        <f>IF(SER_hh_emi!M29=0,0,1000000*SER_hh_emi!M29/SER_hh_num!M29)</f>
        <v>634.74260842765966</v>
      </c>
      <c r="N29" s="130">
        <f>IF(SER_hh_emi!N29=0,0,1000000*SER_hh_emi!N29/SER_hh_num!N29)</f>
        <v>551.86031936020436</v>
      </c>
      <c r="O29" s="130">
        <f>IF(SER_hh_emi!O29=0,0,1000000*SER_hh_emi!O29/SER_hh_num!O29)</f>
        <v>450.26799727036251</v>
      </c>
      <c r="P29" s="130">
        <f>IF(SER_hh_emi!P29=0,0,1000000*SER_hh_emi!P29/SER_hh_num!P29)</f>
        <v>376.9939942915089</v>
      </c>
      <c r="Q29" s="130">
        <f>IF(SER_hh_emi!Q29=0,0,1000000*SER_hh_emi!Q29/SER_hh_num!Q29)</f>
        <v>428.72852591336419</v>
      </c>
      <c r="R29" s="130">
        <f>IF(SER_hh_emi!R29=0,0,1000000*SER_hh_emi!R29/SER_hh_num!R29)</f>
        <v>449.89625899039305</v>
      </c>
      <c r="S29" s="130">
        <f>IF(SER_hh_emi!S29=0,0,1000000*SER_hh_emi!S29/SER_hh_num!S29)</f>
        <v>412.33086226672566</v>
      </c>
      <c r="T29" s="130">
        <f>IF(SER_hh_emi!T29=0,0,1000000*SER_hh_emi!T29/SER_hh_num!T29)</f>
        <v>426.44633793066401</v>
      </c>
      <c r="U29" s="130">
        <f>IF(SER_hh_emi!U29=0,0,1000000*SER_hh_emi!U29/SER_hh_num!U29)</f>
        <v>276.38952204618499</v>
      </c>
      <c r="V29" s="130">
        <f>IF(SER_hh_emi!V29=0,0,1000000*SER_hh_emi!V29/SER_hh_num!V29)</f>
        <v>210.94812988626958</v>
      </c>
      <c r="W29" s="130">
        <f>IF(SER_hh_emi!W29=0,0,1000000*SER_hh_emi!W29/SER_hh_num!W29)</f>
        <v>218.24868708662888</v>
      </c>
      <c r="X29" s="130">
        <f>IF(SER_hh_emi!X29=0,0,1000000*SER_hh_emi!X29/SER_hh_num!X29)</f>
        <v>282.1608265343533</v>
      </c>
      <c r="Y29" s="130">
        <f>IF(SER_hh_emi!Y29=0,0,1000000*SER_hh_emi!Y29/SER_hh_num!Y29)</f>
        <v>359.42485695053466</v>
      </c>
      <c r="DA29" s="155" t="s">
        <v>471</v>
      </c>
    </row>
    <row r="30" spans="1:105" ht="12" customHeight="1" x14ac:dyDescent="0.25">
      <c r="A30" s="131" t="s">
        <v>52</v>
      </c>
      <c r="B30" s="132">
        <f>IF(SER_hh_emi!B30=0,0,1000000*SER_hh_emi!B30/SER_hh_num!B30)</f>
        <v>0</v>
      </c>
      <c r="C30" s="132">
        <f>IF(SER_hh_emi!C30=0,0,1000000*SER_hh_emi!C30/SER_hh_num!C30)</f>
        <v>0</v>
      </c>
      <c r="D30" s="132">
        <f>IF(SER_hh_emi!D30=0,0,1000000*SER_hh_emi!D30/SER_hh_num!D30)</f>
        <v>0</v>
      </c>
      <c r="E30" s="132">
        <f>IF(SER_hh_emi!E30=0,0,1000000*SER_hh_emi!E30/SER_hh_num!E30)</f>
        <v>0</v>
      </c>
      <c r="F30" s="132">
        <f>IF(SER_hh_emi!F30=0,0,1000000*SER_hh_emi!F30/SER_hh_num!F30)</f>
        <v>0</v>
      </c>
      <c r="G30" s="132">
        <f>IF(SER_hh_emi!G30=0,0,1000000*SER_hh_emi!G30/SER_hh_num!G30)</f>
        <v>0</v>
      </c>
      <c r="H30" s="132">
        <f>IF(SER_hh_emi!H30=0,0,1000000*SER_hh_emi!H30/SER_hh_num!H30)</f>
        <v>0</v>
      </c>
      <c r="I30" s="132">
        <f>IF(SER_hh_emi!I30=0,0,1000000*SER_hh_emi!I30/SER_hh_num!I30)</f>
        <v>0</v>
      </c>
      <c r="J30" s="132">
        <f>IF(SER_hh_emi!J30=0,0,1000000*SER_hh_emi!J30/SER_hh_num!J30)</f>
        <v>0</v>
      </c>
      <c r="K30" s="132">
        <f>IF(SER_hh_emi!K30=0,0,1000000*SER_hh_emi!K30/SER_hh_num!K30)</f>
        <v>0</v>
      </c>
      <c r="L30" s="132">
        <f>IF(SER_hh_emi!L30=0,0,1000000*SER_hh_emi!L30/SER_hh_num!L30)</f>
        <v>0</v>
      </c>
      <c r="M30" s="132">
        <f>IF(SER_hh_emi!M30=0,0,1000000*SER_hh_emi!M30/SER_hh_num!M30)</f>
        <v>0</v>
      </c>
      <c r="N30" s="132">
        <f>IF(SER_hh_emi!N30=0,0,1000000*SER_hh_emi!N30/SER_hh_num!N30)</f>
        <v>0</v>
      </c>
      <c r="O30" s="132">
        <f>IF(SER_hh_emi!O30=0,0,1000000*SER_hh_emi!O30/SER_hh_num!O30)</f>
        <v>0</v>
      </c>
      <c r="P30" s="132">
        <f>IF(SER_hh_emi!P30=0,0,1000000*SER_hh_emi!P30/SER_hh_num!P30)</f>
        <v>0</v>
      </c>
      <c r="Q30" s="132">
        <f>IF(SER_hh_emi!Q30=0,0,1000000*SER_hh_emi!Q30/SER_hh_num!Q30)</f>
        <v>0</v>
      </c>
      <c r="R30" s="132">
        <f>IF(SER_hh_emi!R30=0,0,1000000*SER_hh_emi!R30/SER_hh_num!R30)</f>
        <v>0</v>
      </c>
      <c r="S30" s="132">
        <f>IF(SER_hh_emi!S30=0,0,1000000*SER_hh_emi!S30/SER_hh_num!S30)</f>
        <v>0</v>
      </c>
      <c r="T30" s="132">
        <f>IF(SER_hh_emi!T30=0,0,1000000*SER_hh_emi!T30/SER_hh_num!T30)</f>
        <v>0</v>
      </c>
      <c r="U30" s="132">
        <f>IF(SER_hh_emi!U30=0,0,1000000*SER_hh_emi!U30/SER_hh_num!U30)</f>
        <v>0</v>
      </c>
      <c r="V30" s="132">
        <f>IF(SER_hh_emi!V30=0,0,1000000*SER_hh_emi!V30/SER_hh_num!V30)</f>
        <v>0</v>
      </c>
      <c r="W30" s="132">
        <f>IF(SER_hh_emi!W30=0,0,1000000*SER_hh_emi!W30/SER_hh_num!W30)</f>
        <v>0</v>
      </c>
      <c r="X30" s="132">
        <f>IF(SER_hh_emi!X30=0,0,1000000*SER_hh_emi!X30/SER_hh_num!X30)</f>
        <v>0</v>
      </c>
      <c r="Y30" s="132">
        <f>IF(SER_hh_emi!Y30=0,0,1000000*SER_hh_emi!Y30/SER_hh_num!Y30)</f>
        <v>0</v>
      </c>
      <c r="DA30" s="156" t="s">
        <v>472</v>
      </c>
    </row>
    <row r="31" spans="1:105" ht="12" customHeight="1" x14ac:dyDescent="0.25">
      <c r="A31" s="131" t="s">
        <v>149</v>
      </c>
      <c r="B31" s="132">
        <f>IF(SER_hh_emi!B31=0,0,1000000*SER_hh_emi!B31/SER_hh_num!B31)</f>
        <v>3246.2973523053647</v>
      </c>
      <c r="C31" s="132">
        <f>IF(SER_hh_emi!C31=0,0,1000000*SER_hh_emi!C31/SER_hh_num!C31)</f>
        <v>3241.8499071323308</v>
      </c>
      <c r="D31" s="132">
        <f>IF(SER_hh_emi!D31=0,0,1000000*SER_hh_emi!D31/SER_hh_num!D31)</f>
        <v>3341.567867779605</v>
      </c>
      <c r="E31" s="132">
        <f>IF(SER_hh_emi!E31=0,0,1000000*SER_hh_emi!E31/SER_hh_num!E31)</f>
        <v>3333.6725634713985</v>
      </c>
      <c r="F31" s="132">
        <f>IF(SER_hh_emi!F31=0,0,1000000*SER_hh_emi!F31/SER_hh_num!F31)</f>
        <v>3128.7358521617957</v>
      </c>
      <c r="G31" s="132">
        <f>IF(SER_hh_emi!G31=0,0,1000000*SER_hh_emi!G31/SER_hh_num!G31)</f>
        <v>3200.3947516467692</v>
      </c>
      <c r="H31" s="132">
        <f>IF(SER_hh_emi!H31=0,0,1000000*SER_hh_emi!H31/SER_hh_num!H31)</f>
        <v>3099.1681830459875</v>
      </c>
      <c r="I31" s="132">
        <f>IF(SER_hh_emi!I31=0,0,1000000*SER_hh_emi!I31/SER_hh_num!I31)</f>
        <v>3500.2644070524971</v>
      </c>
      <c r="J31" s="132">
        <f>IF(SER_hh_emi!J31=0,0,1000000*SER_hh_emi!J31/SER_hh_num!J31)</f>
        <v>3453.1182742268616</v>
      </c>
      <c r="K31" s="132">
        <f>IF(SER_hh_emi!K31=0,0,1000000*SER_hh_emi!K31/SER_hh_num!K31)</f>
        <v>3338.6432955850109</v>
      </c>
      <c r="L31" s="132">
        <f>IF(SER_hh_emi!L31=0,0,1000000*SER_hh_emi!L31/SER_hh_num!L31)</f>
        <v>3237.3444832594741</v>
      </c>
      <c r="M31" s="132">
        <f>IF(SER_hh_emi!M31=0,0,1000000*SER_hh_emi!M31/SER_hh_num!M31)</f>
        <v>3339.4768067175578</v>
      </c>
      <c r="N31" s="132">
        <f>IF(SER_hh_emi!N31=0,0,1000000*SER_hh_emi!N31/SER_hh_num!N31)</f>
        <v>3340.8520749595409</v>
      </c>
      <c r="O31" s="132">
        <f>IF(SER_hh_emi!O31=0,0,1000000*SER_hh_emi!O31/SER_hh_num!O31)</f>
        <v>3127.8141575903169</v>
      </c>
      <c r="P31" s="132">
        <f>IF(SER_hh_emi!P31=0,0,1000000*SER_hh_emi!P31/SER_hh_num!P31)</f>
        <v>2852.0035523031938</v>
      </c>
      <c r="Q31" s="132">
        <f>IF(SER_hh_emi!Q31=0,0,1000000*SER_hh_emi!Q31/SER_hh_num!Q31)</f>
        <v>3209.3512744919135</v>
      </c>
      <c r="R31" s="132">
        <f>IF(SER_hh_emi!R31=0,0,1000000*SER_hh_emi!R31/SER_hh_num!R31)</f>
        <v>3321.077420514132</v>
      </c>
      <c r="S31" s="132">
        <f>IF(SER_hh_emi!S31=0,0,1000000*SER_hh_emi!S31/SER_hh_num!S31)</f>
        <v>3256.1191687157252</v>
      </c>
      <c r="T31" s="132">
        <f>IF(SER_hh_emi!T31=0,0,1000000*SER_hh_emi!T31/SER_hh_num!T31)</f>
        <v>3780.5881035441466</v>
      </c>
      <c r="U31" s="132">
        <f>IF(SER_hh_emi!U31=0,0,1000000*SER_hh_emi!U31/SER_hh_num!U31)</f>
        <v>3162.4300673576349</v>
      </c>
      <c r="V31" s="132">
        <f>IF(SER_hh_emi!V31=0,0,1000000*SER_hh_emi!V31/SER_hh_num!V31)</f>
        <v>2902.7393512900894</v>
      </c>
      <c r="W31" s="132">
        <f>IF(SER_hh_emi!W31=0,0,1000000*SER_hh_emi!W31/SER_hh_num!W31)</f>
        <v>3156.7767635079276</v>
      </c>
      <c r="X31" s="132">
        <f>IF(SER_hh_emi!X31=0,0,1000000*SER_hh_emi!X31/SER_hh_num!X31)</f>
        <v>3615.8217961195728</v>
      </c>
      <c r="Y31" s="132">
        <f>IF(SER_hh_emi!Y31=0,0,1000000*SER_hh_emi!Y31/SER_hh_num!Y31)</f>
        <v>3970.5505742836963</v>
      </c>
      <c r="DA31" s="156" t="s">
        <v>473</v>
      </c>
    </row>
    <row r="32" spans="1:105" ht="12" customHeight="1" x14ac:dyDescent="0.25">
      <c r="A32" s="131" t="s">
        <v>128</v>
      </c>
      <c r="B32" s="132">
        <f>IF(SER_hh_emi!B32=0,0,1000000*SER_hh_emi!B32/SER_hh_num!B32)</f>
        <v>0</v>
      </c>
      <c r="C32" s="132">
        <f>IF(SER_hh_emi!C32=0,0,1000000*SER_hh_emi!C32/SER_hh_num!C32)</f>
        <v>0</v>
      </c>
      <c r="D32" s="132">
        <f>IF(SER_hh_emi!D32=0,0,1000000*SER_hh_emi!D32/SER_hh_num!D32)</f>
        <v>0</v>
      </c>
      <c r="E32" s="132">
        <f>IF(SER_hh_emi!E32=0,0,1000000*SER_hh_emi!E32/SER_hh_num!E32)</f>
        <v>0</v>
      </c>
      <c r="F32" s="132">
        <f>IF(SER_hh_emi!F32=0,0,1000000*SER_hh_emi!F32/SER_hh_num!F32)</f>
        <v>0</v>
      </c>
      <c r="G32" s="132">
        <f>IF(SER_hh_emi!G32=0,0,1000000*SER_hh_emi!G32/SER_hh_num!G32)</f>
        <v>0</v>
      </c>
      <c r="H32" s="132">
        <f>IF(SER_hh_emi!H32=0,0,1000000*SER_hh_emi!H32/SER_hh_num!H32)</f>
        <v>0</v>
      </c>
      <c r="I32" s="132">
        <f>IF(SER_hh_emi!I32=0,0,1000000*SER_hh_emi!I32/SER_hh_num!I32)</f>
        <v>0</v>
      </c>
      <c r="J32" s="132">
        <f>IF(SER_hh_emi!J32=0,0,1000000*SER_hh_emi!J32/SER_hh_num!J32)</f>
        <v>0</v>
      </c>
      <c r="K32" s="132">
        <f>IF(SER_hh_emi!K32=0,0,1000000*SER_hh_emi!K32/SER_hh_num!K32)</f>
        <v>0</v>
      </c>
      <c r="L32" s="132">
        <f>IF(SER_hh_emi!L32=0,0,1000000*SER_hh_emi!L32/SER_hh_num!L32)</f>
        <v>0</v>
      </c>
      <c r="M32" s="132">
        <f>IF(SER_hh_emi!M32=0,0,1000000*SER_hh_emi!M32/SER_hh_num!M32)</f>
        <v>0</v>
      </c>
      <c r="N32" s="132">
        <f>IF(SER_hh_emi!N32=0,0,1000000*SER_hh_emi!N32/SER_hh_num!N32)</f>
        <v>0</v>
      </c>
      <c r="O32" s="132">
        <f>IF(SER_hh_emi!O32=0,0,1000000*SER_hh_emi!O32/SER_hh_num!O32)</f>
        <v>0</v>
      </c>
      <c r="P32" s="132">
        <f>IF(SER_hh_emi!P32=0,0,1000000*SER_hh_emi!P32/SER_hh_num!P32)</f>
        <v>0</v>
      </c>
      <c r="Q32" s="132">
        <f>IF(SER_hh_emi!Q32=0,0,1000000*SER_hh_emi!Q32/SER_hh_num!Q32)</f>
        <v>0</v>
      </c>
      <c r="R32" s="132">
        <f>IF(SER_hh_emi!R32=0,0,1000000*SER_hh_emi!R32/SER_hh_num!R32)</f>
        <v>0</v>
      </c>
      <c r="S32" s="132">
        <f>IF(SER_hh_emi!S32=0,0,1000000*SER_hh_emi!S32/SER_hh_num!S32)</f>
        <v>0</v>
      </c>
      <c r="T32" s="132">
        <f>IF(SER_hh_emi!T32=0,0,1000000*SER_hh_emi!T32/SER_hh_num!T32)</f>
        <v>0</v>
      </c>
      <c r="U32" s="132">
        <f>IF(SER_hh_emi!U32=0,0,1000000*SER_hh_emi!U32/SER_hh_num!U32)</f>
        <v>0</v>
      </c>
      <c r="V32" s="132">
        <f>IF(SER_hh_emi!V32=0,0,1000000*SER_hh_emi!V32/SER_hh_num!V32)</f>
        <v>0</v>
      </c>
      <c r="W32" s="132">
        <f>IF(SER_hh_emi!W32=0,0,1000000*SER_hh_emi!W32/SER_hh_num!W32)</f>
        <v>0</v>
      </c>
      <c r="X32" s="132">
        <f>IF(SER_hh_emi!X32=0,0,1000000*SER_hh_emi!X32/SER_hh_num!X32)</f>
        <v>0</v>
      </c>
      <c r="Y32" s="132">
        <f>IF(SER_hh_emi!Y32=0,0,1000000*SER_hh_emi!Y32/SER_hh_num!Y32)</f>
        <v>0</v>
      </c>
      <c r="DA32" s="156" t="s">
        <v>474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X33" s="68">
        <f>IF(SER_hh_emi!X33=0,0,1000000*SER_hh_emi!X33/SER_hh_num!X33)</f>
        <v>0</v>
      </c>
      <c r="Y33" s="68">
        <f>IF(SER_hh_emi!Y33=0,0,1000000*SER_hh_emi!Y33/SER_hh_num!Y33)</f>
        <v>0</v>
      </c>
      <c r="DA33" s="111" t="s">
        <v>475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>
        <f>IF(SER_hh_fech!B3=0,0,SER_hh_fech!B3/SER_summary!B$26)</f>
        <v>161.68398605415288</v>
      </c>
      <c r="C3" s="125">
        <f>IF(SER_hh_fech!C3=0,0,SER_hh_fech!C3/SER_summary!C$26)</f>
        <v>155.59731005032961</v>
      </c>
      <c r="D3" s="125">
        <f>IF(SER_hh_fech!D3=0,0,SER_hh_fech!D3/SER_summary!D$26)</f>
        <v>152.33352363775992</v>
      </c>
      <c r="E3" s="125">
        <f>IF(SER_hh_fech!E3=0,0,SER_hh_fech!E3/SER_summary!E$26)</f>
        <v>148.32776435886424</v>
      </c>
      <c r="F3" s="125">
        <f>IF(SER_hh_fech!F3=0,0,SER_hh_fech!F3/SER_summary!F$26)</f>
        <v>146.36057878214152</v>
      </c>
      <c r="G3" s="125">
        <f>IF(SER_hh_fech!G3=0,0,SER_hh_fech!G3/SER_summary!G$26)</f>
        <v>140.94915816048612</v>
      </c>
      <c r="H3" s="125">
        <f>IF(SER_hh_fech!H3=0,0,SER_hh_fech!H3/SER_summary!H$26)</f>
        <v>147.78558556859326</v>
      </c>
      <c r="I3" s="125">
        <f>IF(SER_hh_fech!I3=0,0,SER_hh_fech!I3/SER_summary!I$26)</f>
        <v>136.63190291143181</v>
      </c>
      <c r="J3" s="125">
        <f>IF(SER_hh_fech!J3=0,0,SER_hh_fech!J3/SER_summary!J$26)</f>
        <v>122.81052480448508</v>
      </c>
      <c r="K3" s="125">
        <f>IF(SER_hh_fech!K3=0,0,SER_hh_fech!K3/SER_summary!K$26)</f>
        <v>118.29742286832791</v>
      </c>
      <c r="L3" s="125">
        <f>IF(SER_hh_fech!L3=0,0,SER_hh_fech!L3/SER_summary!L$26)</f>
        <v>119.3838033122595</v>
      </c>
      <c r="M3" s="125">
        <f>IF(SER_hh_fech!M3=0,0,SER_hh_fech!M3/SER_summary!M$26)</f>
        <v>111.68179114369707</v>
      </c>
      <c r="N3" s="125">
        <f>IF(SER_hh_fech!N3=0,0,SER_hh_fech!N3/SER_summary!N$26)</f>
        <v>117.20584399439394</v>
      </c>
      <c r="O3" s="125">
        <f>IF(SER_hh_fech!O3=0,0,SER_hh_fech!O3/SER_summary!O$26)</f>
        <v>108.76723586071365</v>
      </c>
      <c r="P3" s="125">
        <f>IF(SER_hh_fech!P3=0,0,SER_hh_fech!P3/SER_summary!P$26)</f>
        <v>103.80942691640418</v>
      </c>
      <c r="Q3" s="125">
        <f>IF(SER_hh_fech!Q3=0,0,SER_hh_fech!Q3/SER_summary!Q$26)</f>
        <v>99.012498280020097</v>
      </c>
      <c r="R3" s="125">
        <f>IF(SER_hh_fech!R3=0,0,SER_hh_fech!R3/SER_summary!R$26)</f>
        <v>104.47181933170251</v>
      </c>
      <c r="S3" s="125">
        <f>IF(SER_hh_fech!S3=0,0,SER_hh_fech!S3/SER_summary!S$26)</f>
        <v>110.34072430738617</v>
      </c>
      <c r="T3" s="125">
        <f>IF(SER_hh_fech!T3=0,0,SER_hh_fech!T3/SER_summary!T$26)</f>
        <v>113.99190877045302</v>
      </c>
      <c r="U3" s="125">
        <f>IF(SER_hh_fech!U3=0,0,SER_hh_fech!U3/SER_summary!U$26)</f>
        <v>107.47086235997449</v>
      </c>
      <c r="V3" s="125">
        <f>IF(SER_hh_fech!V3=0,0,SER_hh_fech!V3/SER_summary!V$26)</f>
        <v>96.578526436940507</v>
      </c>
      <c r="W3" s="125">
        <f>IF(SER_hh_fech!W3=0,0,SER_hh_fech!W3/SER_summary!W$26)</f>
        <v>111.7244986726142</v>
      </c>
      <c r="X3" s="125">
        <f>IF(SER_hh_fech!X3=0,0,SER_hh_fech!X3/SER_summary!X$26)</f>
        <v>106.10251272920972</v>
      </c>
      <c r="Y3" s="125">
        <f>IF(SER_hh_fech!Y3=0,0,SER_hh_fech!Y3/SER_summary!Y$26)</f>
        <v>104.24665169331846</v>
      </c>
      <c r="DA3" s="154" t="s">
        <v>477</v>
      </c>
    </row>
    <row r="4" spans="1:105" ht="12.95" customHeight="1" x14ac:dyDescent="0.25">
      <c r="A4" s="129" t="s">
        <v>32</v>
      </c>
      <c r="B4" s="130">
        <f>IF(SER_hh_fech!B4=0,0,SER_hh_fech!B4/SER_summary!B$26)</f>
        <v>132.02333108824405</v>
      </c>
      <c r="C4" s="130">
        <f>IF(SER_hh_fech!C4=0,0,SER_hh_fech!C4/SER_summary!C$26)</f>
        <v>126.20043418024974</v>
      </c>
      <c r="D4" s="130">
        <f>IF(SER_hh_fech!D4=0,0,SER_hh_fech!D4/SER_summary!D$26)</f>
        <v>122.74363380405126</v>
      </c>
      <c r="E4" s="130">
        <f>IF(SER_hh_fech!E4=0,0,SER_hh_fech!E4/SER_summary!E$26)</f>
        <v>119.14118032213945</v>
      </c>
      <c r="F4" s="130">
        <f>IF(SER_hh_fech!F4=0,0,SER_hh_fech!F4/SER_summary!F$26)</f>
        <v>116.72178733431197</v>
      </c>
      <c r="G4" s="130">
        <f>IF(SER_hh_fech!G4=0,0,SER_hh_fech!G4/SER_summary!G$26)</f>
        <v>110.70597073298651</v>
      </c>
      <c r="H4" s="130">
        <f>IF(SER_hh_fech!H4=0,0,SER_hh_fech!H4/SER_summary!H$26)</f>
        <v>116.10151917128329</v>
      </c>
      <c r="I4" s="130">
        <f>IF(SER_hh_fech!I4=0,0,SER_hh_fech!I4/SER_summary!I$26)</f>
        <v>105.8535438158094</v>
      </c>
      <c r="J4" s="130">
        <f>IF(SER_hh_fech!J4=0,0,SER_hh_fech!J4/SER_summary!J$26)</f>
        <v>92.503979449704232</v>
      </c>
      <c r="K4" s="130">
        <f>IF(SER_hh_fech!K4=0,0,SER_hh_fech!K4/SER_summary!K$26)</f>
        <v>87.294214683714415</v>
      </c>
      <c r="L4" s="130">
        <f>IF(SER_hh_fech!L4=0,0,SER_hh_fech!L4/SER_summary!L$26)</f>
        <v>88.096345288713721</v>
      </c>
      <c r="M4" s="130">
        <f>IF(SER_hh_fech!M4=0,0,SER_hh_fech!M4/SER_summary!M$26)</f>
        <v>80.602041316178926</v>
      </c>
      <c r="N4" s="130">
        <f>IF(SER_hh_fech!N4=0,0,SER_hh_fech!N4/SER_summary!N$26)</f>
        <v>85.644475538159185</v>
      </c>
      <c r="O4" s="130">
        <f>IF(SER_hh_fech!O4=0,0,SER_hh_fech!O4/SER_summary!O$26)</f>
        <v>77.20508551382342</v>
      </c>
      <c r="P4" s="130">
        <f>IF(SER_hh_fech!P4=0,0,SER_hh_fech!P4/SER_summary!P$26)</f>
        <v>72.393230061897881</v>
      </c>
      <c r="Q4" s="130">
        <f>IF(SER_hh_fech!Q4=0,0,SER_hh_fech!Q4/SER_summary!Q$26)</f>
        <v>67.931412667908205</v>
      </c>
      <c r="R4" s="130">
        <f>IF(SER_hh_fech!R4=0,0,SER_hh_fech!R4/SER_summary!R$26)</f>
        <v>73.51859014884468</v>
      </c>
      <c r="S4" s="130">
        <f>IF(SER_hh_fech!S4=0,0,SER_hh_fech!S4/SER_summary!S$26)</f>
        <v>78.583997747804275</v>
      </c>
      <c r="T4" s="130">
        <f>IF(SER_hh_fech!T4=0,0,SER_hh_fech!T4/SER_summary!T$26)</f>
        <v>82.442590710596107</v>
      </c>
      <c r="U4" s="130">
        <f>IF(SER_hh_fech!U4=0,0,SER_hh_fech!U4/SER_summary!U$26)</f>
        <v>75.004833031652922</v>
      </c>
      <c r="V4" s="130">
        <f>IF(SER_hh_fech!V4=0,0,SER_hh_fech!V4/SER_summary!V$26)</f>
        <v>67.092615969758086</v>
      </c>
      <c r="W4" s="130">
        <f>IF(SER_hh_fech!W4=0,0,SER_hh_fech!W4/SER_summary!W$26)</f>
        <v>79.652571993311838</v>
      </c>
      <c r="X4" s="130">
        <f>IF(SER_hh_fech!X4=0,0,SER_hh_fech!X4/SER_summary!X$26)</f>
        <v>74.222305567084206</v>
      </c>
      <c r="Y4" s="130">
        <f>IF(SER_hh_fech!Y4=0,0,SER_hh_fech!Y4/SER_summary!Y$26)</f>
        <v>71.894247434027506</v>
      </c>
      <c r="DA4" s="155" t="s">
        <v>478</v>
      </c>
    </row>
    <row r="5" spans="1:105" ht="12" customHeight="1" x14ac:dyDescent="0.25">
      <c r="A5" s="131" t="s">
        <v>29</v>
      </c>
      <c r="B5" s="132">
        <f>IF(SER_hh_fech!B5=0,0,SER_hh_fech!B5/SER_summary!B$26)</f>
        <v>169.64699693698657</v>
      </c>
      <c r="C5" s="132">
        <f>IF(SER_hh_fech!C5=0,0,SER_hh_fech!C5/SER_summary!C$26)</f>
        <v>141.93246732014811</v>
      </c>
      <c r="D5" s="132">
        <f>IF(SER_hh_fech!D5=0,0,SER_hh_fech!D5/SER_summary!D$26)</f>
        <v>153.00250395966702</v>
      </c>
      <c r="E5" s="132">
        <f>IF(SER_hh_fech!E5=0,0,SER_hh_fech!E5/SER_summary!E$26)</f>
        <v>144.37823446715882</v>
      </c>
      <c r="F5" s="132">
        <f>IF(SER_hh_fech!F5=0,0,SER_hh_fech!F5/SER_summary!F$26)</f>
        <v>126.36383064231899</v>
      </c>
      <c r="G5" s="132">
        <f>IF(SER_hh_fech!G5=0,0,SER_hh_fech!G5/SER_summary!G$26)</f>
        <v>129.5539592959181</v>
      </c>
      <c r="H5" s="132">
        <f>IF(SER_hh_fech!H5=0,0,SER_hh_fech!H5/SER_summary!H$26)</f>
        <v>163.21532399029954</v>
      </c>
      <c r="I5" s="132">
        <f>IF(SER_hh_fech!I5=0,0,SER_hh_fech!I5/SER_summary!I$26)</f>
        <v>120.05343877292175</v>
      </c>
      <c r="J5" s="132">
        <f>IF(SER_hh_fech!J5=0,0,SER_hh_fech!J5/SER_summary!J$26)</f>
        <v>88.286137542421059</v>
      </c>
      <c r="K5" s="132">
        <f>IF(SER_hh_fech!K5=0,0,SER_hh_fech!K5/SER_summary!K$26)</f>
        <v>101.83355694289391</v>
      </c>
      <c r="L5" s="132">
        <f>IF(SER_hh_fech!L5=0,0,SER_hh_fech!L5/SER_summary!L$26)</f>
        <v>96.638291430252238</v>
      </c>
      <c r="M5" s="132">
        <f>IF(SER_hh_fech!M5=0,0,SER_hh_fech!M5/SER_summary!M$26)</f>
        <v>113.48682666618124</v>
      </c>
      <c r="N5" s="132">
        <f>IF(SER_hh_fech!N5=0,0,SER_hh_fech!N5/SER_summary!N$26)</f>
        <v>78.752215107765466</v>
      </c>
      <c r="O5" s="132">
        <f>IF(SER_hh_fech!O5=0,0,SER_hh_fech!O5/SER_summary!O$26)</f>
        <v>92.273733160934256</v>
      </c>
      <c r="P5" s="132">
        <f>IF(SER_hh_fech!P5=0,0,SER_hh_fech!P5/SER_summary!P$26)</f>
        <v>84.185889160847253</v>
      </c>
      <c r="Q5" s="132">
        <f>IF(SER_hh_fech!Q5=0,0,SER_hh_fech!Q5/SER_summary!Q$26)</f>
        <v>66.865020607309233</v>
      </c>
      <c r="R5" s="132">
        <f>IF(SER_hh_fech!R5=0,0,SER_hh_fech!R5/SER_summary!R$26)</f>
        <v>83.140438259790329</v>
      </c>
      <c r="S5" s="132">
        <f>IF(SER_hh_fech!S5=0,0,SER_hh_fech!S5/SER_summary!S$26)</f>
        <v>88.722897371719682</v>
      </c>
      <c r="T5" s="132">
        <f>IF(SER_hh_fech!T5=0,0,SER_hh_fech!T5/SER_summary!T$26)</f>
        <v>95.593671326530924</v>
      </c>
      <c r="U5" s="132">
        <f>IF(SER_hh_fech!U5=0,0,SER_hh_fech!U5/SER_summary!U$26)</f>
        <v>88.001919735285071</v>
      </c>
      <c r="V5" s="132">
        <f>IF(SER_hh_fech!V5=0,0,SER_hh_fech!V5/SER_summary!V$26)</f>
        <v>66.249982166127865</v>
      </c>
      <c r="W5" s="132">
        <f>IF(SER_hh_fech!W5=0,0,SER_hh_fech!W5/SER_summary!W$26)</f>
        <v>88.886822574623324</v>
      </c>
      <c r="X5" s="132">
        <f>IF(SER_hh_fech!X5=0,0,SER_hh_fech!X5/SER_summary!X$26)</f>
        <v>92.240708631319279</v>
      </c>
      <c r="Y5" s="132">
        <f>IF(SER_hh_fech!Y5=0,0,SER_hh_fech!Y5/SER_summary!Y$26)</f>
        <v>69.464039290838713</v>
      </c>
      <c r="DA5" s="156" t="s">
        <v>479</v>
      </c>
    </row>
    <row r="6" spans="1:105" ht="12" customHeight="1" x14ac:dyDescent="0.25">
      <c r="A6" s="131" t="s">
        <v>52</v>
      </c>
      <c r="B6" s="132">
        <f>IF(SER_hh_fech!B6=0,0,SER_hh_fech!B6/SER_summary!B$26)</f>
        <v>0</v>
      </c>
      <c r="C6" s="132">
        <f>IF(SER_hh_fech!C6=0,0,SER_hh_fech!C6/SER_summary!C$26)</f>
        <v>0</v>
      </c>
      <c r="D6" s="132">
        <f>IF(SER_hh_fech!D6=0,0,SER_hh_fech!D6/SER_summary!D$26)</f>
        <v>0</v>
      </c>
      <c r="E6" s="132">
        <f>IF(SER_hh_fech!E6=0,0,SER_hh_fech!E6/SER_summary!E$26)</f>
        <v>0</v>
      </c>
      <c r="F6" s="132">
        <f>IF(SER_hh_fech!F6=0,0,SER_hh_fech!F6/SER_summary!F$26)</f>
        <v>0</v>
      </c>
      <c r="G6" s="132">
        <f>IF(SER_hh_fech!G6=0,0,SER_hh_fech!G6/SER_summary!G$26)</f>
        <v>0</v>
      </c>
      <c r="H6" s="132">
        <f>IF(SER_hh_fech!H6=0,0,SER_hh_fech!H6/SER_summary!H$26)</f>
        <v>0</v>
      </c>
      <c r="I6" s="132">
        <f>IF(SER_hh_fech!I6=0,0,SER_hh_fech!I6/SER_summary!I$26)</f>
        <v>0</v>
      </c>
      <c r="J6" s="132">
        <f>IF(SER_hh_fech!J6=0,0,SER_hh_fech!J6/SER_summary!J$26)</f>
        <v>0</v>
      </c>
      <c r="K6" s="132">
        <f>IF(SER_hh_fech!K6=0,0,SER_hh_fech!K6/SER_summary!K$26)</f>
        <v>0</v>
      </c>
      <c r="L6" s="132">
        <f>IF(SER_hh_fech!L6=0,0,SER_hh_fech!L6/SER_summary!L$26)</f>
        <v>0</v>
      </c>
      <c r="M6" s="132">
        <f>IF(SER_hh_fech!M6=0,0,SER_hh_fech!M6/SER_summary!M$26)</f>
        <v>0</v>
      </c>
      <c r="N6" s="132">
        <f>IF(SER_hh_fech!N6=0,0,SER_hh_fech!N6/SER_summary!N$26)</f>
        <v>0</v>
      </c>
      <c r="O6" s="132">
        <f>IF(SER_hh_fech!O6=0,0,SER_hh_fech!O6/SER_summary!O$26)</f>
        <v>0</v>
      </c>
      <c r="P6" s="132">
        <f>IF(SER_hh_fech!P6=0,0,SER_hh_fech!P6/SER_summary!P$26)</f>
        <v>0</v>
      </c>
      <c r="Q6" s="132">
        <f>IF(SER_hh_fech!Q6=0,0,SER_hh_fech!Q6/SER_summary!Q$26)</f>
        <v>0</v>
      </c>
      <c r="R6" s="132">
        <f>IF(SER_hh_fech!R6=0,0,SER_hh_fech!R6/SER_summary!R$26)</f>
        <v>0</v>
      </c>
      <c r="S6" s="132">
        <f>IF(SER_hh_fech!S6=0,0,SER_hh_fech!S6/SER_summary!S$26)</f>
        <v>0</v>
      </c>
      <c r="T6" s="132">
        <f>IF(SER_hh_fech!T6=0,0,SER_hh_fech!T6/SER_summary!T$26)</f>
        <v>0</v>
      </c>
      <c r="U6" s="132">
        <f>IF(SER_hh_fech!U6=0,0,SER_hh_fech!U6/SER_summary!U$26)</f>
        <v>0</v>
      </c>
      <c r="V6" s="132">
        <f>IF(SER_hh_fech!V6=0,0,SER_hh_fech!V6/SER_summary!V$26)</f>
        <v>0</v>
      </c>
      <c r="W6" s="132">
        <f>IF(SER_hh_fech!W6=0,0,SER_hh_fech!W6/SER_summary!W$26)</f>
        <v>0</v>
      </c>
      <c r="X6" s="132">
        <f>IF(SER_hh_fech!X6=0,0,SER_hh_fech!X6/SER_summary!X$26)</f>
        <v>0</v>
      </c>
      <c r="Y6" s="132">
        <f>IF(SER_hh_fech!Y6=0,0,SER_hh_fech!Y6/SER_summary!Y$26)</f>
        <v>0</v>
      </c>
      <c r="DA6" s="156" t="s">
        <v>480</v>
      </c>
    </row>
    <row r="7" spans="1:105" ht="12" customHeight="1" x14ac:dyDescent="0.25">
      <c r="A7" s="131" t="s">
        <v>161</v>
      </c>
      <c r="B7" s="132">
        <f>IF(SER_hh_fech!B7=0,0,SER_hh_fech!B7/SER_summary!B$26)</f>
        <v>203.88641387410001</v>
      </c>
      <c r="C7" s="132">
        <f>IF(SER_hh_fech!C7=0,0,SER_hh_fech!C7/SER_summary!C$26)</f>
        <v>162.45031032622629</v>
      </c>
      <c r="D7" s="132">
        <f>IF(SER_hh_fech!D7=0,0,SER_hh_fech!D7/SER_summary!D$26)</f>
        <v>197.46678623464359</v>
      </c>
      <c r="E7" s="132">
        <f>IF(SER_hh_fech!E7=0,0,SER_hh_fech!E7/SER_summary!E$26)</f>
        <v>156.16883345964544</v>
      </c>
      <c r="F7" s="132">
        <f>IF(SER_hh_fech!F7=0,0,SER_hh_fech!F7/SER_summary!F$26)</f>
        <v>182.3661091819169</v>
      </c>
      <c r="G7" s="132">
        <f>IF(SER_hh_fech!G7=0,0,SER_hh_fech!G7/SER_summary!G$26)</f>
        <v>156.30634172765065</v>
      </c>
      <c r="H7" s="132">
        <f>IF(SER_hh_fech!H7=0,0,SER_hh_fech!H7/SER_summary!H$26)</f>
        <v>139.53320674040052</v>
      </c>
      <c r="I7" s="132">
        <f>IF(SER_hh_fech!I7=0,0,SER_hh_fech!I7/SER_summary!I$26)</f>
        <v>142.72717690193252</v>
      </c>
      <c r="J7" s="132">
        <f>IF(SER_hh_fech!J7=0,0,SER_hh_fech!J7/SER_summary!J$26)</f>
        <v>241.73690405065636</v>
      </c>
      <c r="K7" s="132">
        <f>IF(SER_hh_fech!K7=0,0,SER_hh_fech!K7/SER_summary!K$26)</f>
        <v>74.490239945276457</v>
      </c>
      <c r="L7" s="132">
        <f>IF(SER_hh_fech!L7=0,0,SER_hh_fech!L7/SER_summary!L$26)</f>
        <v>110.35699699017961</v>
      </c>
      <c r="M7" s="132">
        <f>IF(SER_hh_fech!M7=0,0,SER_hh_fech!M7/SER_summary!M$26)</f>
        <v>143.41389446883281</v>
      </c>
      <c r="N7" s="132">
        <f>IF(SER_hh_fech!N7=0,0,SER_hh_fech!N7/SER_summary!N$26)</f>
        <v>87.928829507797175</v>
      </c>
      <c r="O7" s="132">
        <f>IF(SER_hh_fech!O7=0,0,SER_hh_fech!O7/SER_summary!O$26)</f>
        <v>87.316858853617134</v>
      </c>
      <c r="P7" s="132">
        <f>IF(SER_hh_fech!P7=0,0,SER_hh_fech!P7/SER_summary!P$26)</f>
        <v>123.93521217387672</v>
      </c>
      <c r="Q7" s="132">
        <f>IF(SER_hh_fech!Q7=0,0,SER_hh_fech!Q7/SER_summary!Q$26)</f>
        <v>67.287060495023695</v>
      </c>
      <c r="R7" s="132">
        <f>IF(SER_hh_fech!R7=0,0,SER_hh_fech!R7/SER_summary!R$26)</f>
        <v>80.623418164498062</v>
      </c>
      <c r="S7" s="132">
        <f>IF(SER_hh_fech!S7=0,0,SER_hh_fech!S7/SER_summary!S$26)</f>
        <v>107.22277384559348</v>
      </c>
      <c r="T7" s="132">
        <f>IF(SER_hh_fech!T7=0,0,SER_hh_fech!T7/SER_summary!T$26)</f>
        <v>82.244047662204821</v>
      </c>
      <c r="U7" s="132">
        <f>IF(SER_hh_fech!U7=0,0,SER_hh_fech!U7/SER_summary!U$26)</f>
        <v>93.263330246168209</v>
      </c>
      <c r="V7" s="132">
        <f>IF(SER_hh_fech!V7=0,0,SER_hh_fech!V7/SER_summary!V$26)</f>
        <v>93.468386017199805</v>
      </c>
      <c r="W7" s="132">
        <f>IF(SER_hh_fech!W7=0,0,SER_hh_fech!W7/SER_summary!W$26)</f>
        <v>96.345458333034088</v>
      </c>
      <c r="X7" s="132">
        <f>IF(SER_hh_fech!X7=0,0,SER_hh_fech!X7/SER_summary!X$26)</f>
        <v>79.244235061609174</v>
      </c>
      <c r="Y7" s="132">
        <f>IF(SER_hh_fech!Y7=0,0,SER_hh_fech!Y7/SER_summary!Y$26)</f>
        <v>100.69653937382878</v>
      </c>
      <c r="DA7" s="156" t="s">
        <v>481</v>
      </c>
    </row>
    <row r="8" spans="1:105" ht="12" customHeight="1" x14ac:dyDescent="0.25">
      <c r="A8" s="131" t="s">
        <v>73</v>
      </c>
      <c r="B8" s="132">
        <f>IF(SER_hh_fech!B8=0,0,SER_hh_fech!B8/SER_summary!B$26)</f>
        <v>0</v>
      </c>
      <c r="C8" s="132">
        <f>IF(SER_hh_fech!C8=0,0,SER_hh_fech!C8/SER_summary!C$26)</f>
        <v>0</v>
      </c>
      <c r="D8" s="132">
        <f>IF(SER_hh_fech!D8=0,0,SER_hh_fech!D8/SER_summary!D$26)</f>
        <v>0</v>
      </c>
      <c r="E8" s="132">
        <f>IF(SER_hh_fech!E8=0,0,SER_hh_fech!E8/SER_summary!E$26)</f>
        <v>0</v>
      </c>
      <c r="F8" s="132">
        <f>IF(SER_hh_fech!F8=0,0,SER_hh_fech!F8/SER_summary!F$26)</f>
        <v>0</v>
      </c>
      <c r="G8" s="132">
        <f>IF(SER_hh_fech!G8=0,0,SER_hh_fech!G8/SER_summary!G$26)</f>
        <v>0</v>
      </c>
      <c r="H8" s="132">
        <f>IF(SER_hh_fech!H8=0,0,SER_hh_fech!H8/SER_summary!H$26)</f>
        <v>0</v>
      </c>
      <c r="I8" s="132">
        <f>IF(SER_hh_fech!I8=0,0,SER_hh_fech!I8/SER_summary!I$26)</f>
        <v>0</v>
      </c>
      <c r="J8" s="132">
        <f>IF(SER_hh_fech!J8=0,0,SER_hh_fech!J8/SER_summary!J$26)</f>
        <v>0</v>
      </c>
      <c r="K8" s="132">
        <f>IF(SER_hh_fech!K8=0,0,SER_hh_fech!K8/SER_summary!K$26)</f>
        <v>0</v>
      </c>
      <c r="L8" s="132">
        <f>IF(SER_hh_fech!L8=0,0,SER_hh_fech!L8/SER_summary!L$26)</f>
        <v>0</v>
      </c>
      <c r="M8" s="132">
        <f>IF(SER_hh_fech!M8=0,0,SER_hh_fech!M8/SER_summary!M$26)</f>
        <v>0</v>
      </c>
      <c r="N8" s="132">
        <f>IF(SER_hh_fech!N8=0,0,SER_hh_fech!N8/SER_summary!N$26)</f>
        <v>0</v>
      </c>
      <c r="O8" s="132">
        <f>IF(SER_hh_fech!O8=0,0,SER_hh_fech!O8/SER_summary!O$26)</f>
        <v>0</v>
      </c>
      <c r="P8" s="132">
        <f>IF(SER_hh_fech!P8=0,0,SER_hh_fech!P8/SER_summary!P$26)</f>
        <v>0</v>
      </c>
      <c r="Q8" s="132">
        <f>IF(SER_hh_fech!Q8=0,0,SER_hh_fech!Q8/SER_summary!Q$26)</f>
        <v>0</v>
      </c>
      <c r="R8" s="132">
        <f>IF(SER_hh_fech!R8=0,0,SER_hh_fech!R8/SER_summary!R$26)</f>
        <v>0</v>
      </c>
      <c r="S8" s="132">
        <f>IF(SER_hh_fech!S8=0,0,SER_hh_fech!S8/SER_summary!S$26)</f>
        <v>0</v>
      </c>
      <c r="T8" s="132">
        <f>IF(SER_hh_fech!T8=0,0,SER_hh_fech!T8/SER_summary!T$26)</f>
        <v>0</v>
      </c>
      <c r="U8" s="132">
        <f>IF(SER_hh_fech!U8=0,0,SER_hh_fech!U8/SER_summary!U$26)</f>
        <v>0</v>
      </c>
      <c r="V8" s="132">
        <f>IF(SER_hh_fech!V8=0,0,SER_hh_fech!V8/SER_summary!V$26)</f>
        <v>0</v>
      </c>
      <c r="W8" s="132">
        <f>IF(SER_hh_fech!W8=0,0,SER_hh_fech!W8/SER_summary!W$26)</f>
        <v>0</v>
      </c>
      <c r="X8" s="132">
        <f>IF(SER_hh_fech!X8=0,0,SER_hh_fech!X8/SER_summary!X$26)</f>
        <v>0</v>
      </c>
      <c r="Y8" s="132">
        <f>IF(SER_hh_fech!Y8=0,0,SER_hh_fech!Y8/SER_summary!Y$26)</f>
        <v>0</v>
      </c>
      <c r="DA8" s="156" t="s">
        <v>482</v>
      </c>
    </row>
    <row r="9" spans="1:105" ht="12" customHeight="1" x14ac:dyDescent="0.25">
      <c r="A9" s="131" t="s">
        <v>78</v>
      </c>
      <c r="B9" s="132">
        <f>IF(SER_hh_fech!B9=0,0,SER_hh_fech!B9/SER_summary!B$26)</f>
        <v>164.15104018570287</v>
      </c>
      <c r="C9" s="132">
        <f>IF(SER_hh_fech!C9=0,0,SER_hh_fech!C9/SER_summary!C$26)</f>
        <v>161.30460500516145</v>
      </c>
      <c r="D9" s="132">
        <f>IF(SER_hh_fech!D9=0,0,SER_hh_fech!D9/SER_summary!D$26)</f>
        <v>157.12433254299708</v>
      </c>
      <c r="E9" s="132">
        <f>IF(SER_hh_fech!E9=0,0,SER_hh_fech!E9/SER_summary!E$26)</f>
        <v>139.65840221735979</v>
      </c>
      <c r="F9" s="132">
        <f>IF(SER_hh_fech!F9=0,0,SER_hh_fech!F9/SER_summary!F$26)</f>
        <v>164.8915020655179</v>
      </c>
      <c r="G9" s="132">
        <f>IF(SER_hh_fech!G9=0,0,SER_hh_fech!G9/SER_summary!G$26)</f>
        <v>138.45494477118331</v>
      </c>
      <c r="H9" s="132">
        <f>IF(SER_hh_fech!H9=0,0,SER_hh_fech!H9/SER_summary!H$26)</f>
        <v>128.99161607848345</v>
      </c>
      <c r="I9" s="132">
        <f>IF(SER_hh_fech!I9=0,0,SER_hh_fech!I9/SER_summary!I$26)</f>
        <v>147.06559667826156</v>
      </c>
      <c r="J9" s="132">
        <f>IF(SER_hh_fech!J9=0,0,SER_hh_fech!J9/SER_summary!J$26)</f>
        <v>122.73795093398078</v>
      </c>
      <c r="K9" s="132">
        <f>IF(SER_hh_fech!K9=0,0,SER_hh_fech!K9/SER_summary!K$26)</f>
        <v>104.68904052619699</v>
      </c>
      <c r="L9" s="132">
        <f>IF(SER_hh_fech!L9=0,0,SER_hh_fech!L9/SER_summary!L$26)</f>
        <v>114.31762573267495</v>
      </c>
      <c r="M9" s="132">
        <f>IF(SER_hh_fech!M9=0,0,SER_hh_fech!M9/SER_summary!M$26)</f>
        <v>97.918540225190242</v>
      </c>
      <c r="N9" s="132">
        <f>IF(SER_hh_fech!N9=0,0,SER_hh_fech!N9/SER_summary!N$26)</f>
        <v>102.98185697416396</v>
      </c>
      <c r="O9" s="132">
        <f>IF(SER_hh_fech!O9=0,0,SER_hh_fech!O9/SER_summary!O$26)</f>
        <v>98.296043495932125</v>
      </c>
      <c r="P9" s="132">
        <f>IF(SER_hh_fech!P9=0,0,SER_hh_fech!P9/SER_summary!P$26)</f>
        <v>82.151181316855926</v>
      </c>
      <c r="Q9" s="132">
        <f>IF(SER_hh_fech!Q9=0,0,SER_hh_fech!Q9/SER_summary!Q$26)</f>
        <v>85.234586150774206</v>
      </c>
      <c r="R9" s="132">
        <f>IF(SER_hh_fech!R9=0,0,SER_hh_fech!R9/SER_summary!R$26)</f>
        <v>87.655452502958667</v>
      </c>
      <c r="S9" s="132">
        <f>IF(SER_hh_fech!S9=0,0,SER_hh_fech!S9/SER_summary!S$26)</f>
        <v>89.58960923532338</v>
      </c>
      <c r="T9" s="132">
        <f>IF(SER_hh_fech!T9=0,0,SER_hh_fech!T9/SER_summary!T$26)</f>
        <v>89.937501771605895</v>
      </c>
      <c r="U9" s="132">
        <f>IF(SER_hh_fech!U9=0,0,SER_hh_fech!U9/SER_summary!U$26)</f>
        <v>86.876740294030739</v>
      </c>
      <c r="V9" s="132">
        <f>IF(SER_hh_fech!V9=0,0,SER_hh_fech!V9/SER_summary!V$26)</f>
        <v>84.253658297060426</v>
      </c>
      <c r="W9" s="132">
        <f>IF(SER_hh_fech!W9=0,0,SER_hh_fech!W9/SER_summary!W$26)</f>
        <v>82.369296331206669</v>
      </c>
      <c r="X9" s="132">
        <f>IF(SER_hh_fech!X9=0,0,SER_hh_fech!X9/SER_summary!X$26)</f>
        <v>72.934050444274575</v>
      </c>
      <c r="Y9" s="132">
        <f>IF(SER_hh_fech!Y9=0,0,SER_hh_fech!Y9/SER_summary!Y$26)</f>
        <v>85.424102587824606</v>
      </c>
      <c r="DA9" s="156" t="s">
        <v>483</v>
      </c>
    </row>
    <row r="10" spans="1:105" ht="12" customHeight="1" x14ac:dyDescent="0.25">
      <c r="A10" s="131" t="s">
        <v>128</v>
      </c>
      <c r="B10" s="132">
        <f>IF(SER_hh_fech!B10=0,0,SER_hh_fech!B10/SER_summary!B$26)</f>
        <v>189.40533806439754</v>
      </c>
      <c r="C10" s="132">
        <f>IF(SER_hh_fech!C10=0,0,SER_hh_fech!C10/SER_summary!C$26)</f>
        <v>183.4737348809164</v>
      </c>
      <c r="D10" s="132">
        <f>IF(SER_hh_fech!D10=0,0,SER_hh_fech!D10/SER_summary!D$26)</f>
        <v>186.61098246495672</v>
      </c>
      <c r="E10" s="132">
        <f>IF(SER_hh_fech!E10=0,0,SER_hh_fech!E10/SER_summary!E$26)</f>
        <v>169.10799927235635</v>
      </c>
      <c r="F10" s="132">
        <f>IF(SER_hh_fech!F10=0,0,SER_hh_fech!F10/SER_summary!F$26)</f>
        <v>163.39528456782901</v>
      </c>
      <c r="G10" s="132">
        <f>IF(SER_hh_fech!G10=0,0,SER_hh_fech!G10/SER_summary!G$26)</f>
        <v>163.68651849614477</v>
      </c>
      <c r="H10" s="132">
        <f>IF(SER_hh_fech!H10=0,0,SER_hh_fech!H10/SER_summary!H$26)</f>
        <v>158.40712288642533</v>
      </c>
      <c r="I10" s="132">
        <f>IF(SER_hh_fech!I10=0,0,SER_hh_fech!I10/SER_summary!I$26)</f>
        <v>141.52849408774193</v>
      </c>
      <c r="J10" s="132">
        <f>IF(SER_hh_fech!J10=0,0,SER_hh_fech!J10/SER_summary!J$26)</f>
        <v>133.4235983075892</v>
      </c>
      <c r="K10" s="132">
        <f>IF(SER_hh_fech!K10=0,0,SER_hh_fech!K10/SER_summary!K$26)</f>
        <v>120.71974534938727</v>
      </c>
      <c r="L10" s="132">
        <f>IF(SER_hh_fech!L10=0,0,SER_hh_fech!L10/SER_summary!L$26)</f>
        <v>112.48195018499899</v>
      </c>
      <c r="M10" s="132">
        <f>IF(SER_hh_fech!M10=0,0,SER_hh_fech!M10/SER_summary!M$26)</f>
        <v>110.91710785750342</v>
      </c>
      <c r="N10" s="132">
        <f>IF(SER_hh_fech!N10=0,0,SER_hh_fech!N10/SER_summary!N$26)</f>
        <v>109.3977369400331</v>
      </c>
      <c r="O10" s="132">
        <f>IF(SER_hh_fech!O10=0,0,SER_hh_fech!O10/SER_summary!O$26)</f>
        <v>105.74338214023815</v>
      </c>
      <c r="P10" s="132">
        <f>IF(SER_hh_fech!P10=0,0,SER_hh_fech!P10/SER_summary!P$26)</f>
        <v>97.396002708717489</v>
      </c>
      <c r="Q10" s="132">
        <f>IF(SER_hh_fech!Q10=0,0,SER_hh_fech!Q10/SER_summary!Q$26)</f>
        <v>94.842276691813183</v>
      </c>
      <c r="R10" s="132">
        <f>IF(SER_hh_fech!R10=0,0,SER_hh_fech!R10/SER_summary!R$26)</f>
        <v>103.96774648617189</v>
      </c>
      <c r="S10" s="132">
        <f>IF(SER_hh_fech!S10=0,0,SER_hh_fech!S10/SER_summary!S$26)</f>
        <v>100.35872216924574</v>
      </c>
      <c r="T10" s="132">
        <f>IF(SER_hh_fech!T10=0,0,SER_hh_fech!T10/SER_summary!T$26)</f>
        <v>107.017343468908</v>
      </c>
      <c r="U10" s="132">
        <f>IF(SER_hh_fech!U10=0,0,SER_hh_fech!U10/SER_summary!U$26)</f>
        <v>102.70894465404595</v>
      </c>
      <c r="V10" s="132">
        <f>IF(SER_hh_fech!V10=0,0,SER_hh_fech!V10/SER_summary!V$26)</f>
        <v>113.52709155155318</v>
      </c>
      <c r="W10" s="132">
        <f>IF(SER_hh_fech!W10=0,0,SER_hh_fech!W10/SER_summary!W$26)</f>
        <v>108.217114905497</v>
      </c>
      <c r="X10" s="132">
        <f>IF(SER_hh_fech!X10=0,0,SER_hh_fech!X10/SER_summary!X$26)</f>
        <v>102.819833226005</v>
      </c>
      <c r="Y10" s="132">
        <f>IF(SER_hh_fech!Y10=0,0,SER_hh_fech!Y10/SER_summary!Y$26)</f>
        <v>109.36604849953099</v>
      </c>
      <c r="DA10" s="156" t="s">
        <v>484</v>
      </c>
    </row>
    <row r="11" spans="1:105" ht="12" customHeight="1" x14ac:dyDescent="0.25">
      <c r="A11" s="131" t="s">
        <v>25</v>
      </c>
      <c r="B11" s="132">
        <f>IF(SER_hh_fech!B11=0,0,SER_hh_fech!B11/SER_summary!B$26)</f>
        <v>0</v>
      </c>
      <c r="C11" s="132">
        <f>IF(SER_hh_fech!C11=0,0,SER_hh_fech!C11/SER_summary!C$26)</f>
        <v>0</v>
      </c>
      <c r="D11" s="132">
        <f>IF(SER_hh_fech!D11=0,0,SER_hh_fech!D11/SER_summary!D$26)</f>
        <v>0</v>
      </c>
      <c r="E11" s="132">
        <f>IF(SER_hh_fech!E11=0,0,SER_hh_fech!E11/SER_summary!E$26)</f>
        <v>0</v>
      </c>
      <c r="F11" s="132">
        <f>IF(SER_hh_fech!F11=0,0,SER_hh_fech!F11/SER_summary!F$26)</f>
        <v>0</v>
      </c>
      <c r="G11" s="132">
        <f>IF(SER_hh_fech!G11=0,0,SER_hh_fech!G11/SER_summary!G$26)</f>
        <v>0</v>
      </c>
      <c r="H11" s="132">
        <f>IF(SER_hh_fech!H11=0,0,SER_hh_fech!H11/SER_summary!H$26)</f>
        <v>0</v>
      </c>
      <c r="I11" s="132">
        <f>IF(SER_hh_fech!I11=0,0,SER_hh_fech!I11/SER_summary!I$26)</f>
        <v>0</v>
      </c>
      <c r="J11" s="132">
        <f>IF(SER_hh_fech!J11=0,0,SER_hh_fech!J11/SER_summary!J$26)</f>
        <v>0</v>
      </c>
      <c r="K11" s="132">
        <f>IF(SER_hh_fech!K11=0,0,SER_hh_fech!K11/SER_summary!K$26)</f>
        <v>0</v>
      </c>
      <c r="L11" s="132">
        <f>IF(SER_hh_fech!L11=0,0,SER_hh_fech!L11/SER_summary!L$26)</f>
        <v>0</v>
      </c>
      <c r="M11" s="132">
        <f>IF(SER_hh_fech!M11=0,0,SER_hh_fech!M11/SER_summary!M$26)</f>
        <v>0</v>
      </c>
      <c r="N11" s="132">
        <f>IF(SER_hh_fech!N11=0,0,SER_hh_fech!N11/SER_summary!N$26)</f>
        <v>0</v>
      </c>
      <c r="O11" s="132">
        <f>IF(SER_hh_fech!O11=0,0,SER_hh_fech!O11/SER_summary!O$26)</f>
        <v>0</v>
      </c>
      <c r="P11" s="132">
        <f>IF(SER_hh_fech!P11=0,0,SER_hh_fech!P11/SER_summary!P$26)</f>
        <v>0</v>
      </c>
      <c r="Q11" s="132">
        <f>IF(SER_hh_fech!Q11=0,0,SER_hh_fech!Q11/SER_summary!Q$26)</f>
        <v>0</v>
      </c>
      <c r="R11" s="132">
        <f>IF(SER_hh_fech!R11=0,0,SER_hh_fech!R11/SER_summary!R$26)</f>
        <v>0</v>
      </c>
      <c r="S11" s="132">
        <f>IF(SER_hh_fech!S11=0,0,SER_hh_fech!S11/SER_summary!S$26)</f>
        <v>0</v>
      </c>
      <c r="T11" s="132">
        <f>IF(SER_hh_fech!T11=0,0,SER_hh_fech!T11/SER_summary!T$26)</f>
        <v>0</v>
      </c>
      <c r="U11" s="132">
        <f>IF(SER_hh_fech!U11=0,0,SER_hh_fech!U11/SER_summary!U$26)</f>
        <v>0</v>
      </c>
      <c r="V11" s="132">
        <f>IF(SER_hh_fech!V11=0,0,SER_hh_fech!V11/SER_summary!V$26)</f>
        <v>0</v>
      </c>
      <c r="W11" s="132">
        <f>IF(SER_hh_fech!W11=0,0,SER_hh_fech!W11/SER_summary!W$26)</f>
        <v>0</v>
      </c>
      <c r="X11" s="132">
        <f>IF(SER_hh_fech!X11=0,0,SER_hh_fech!X11/SER_summary!X$26)</f>
        <v>0</v>
      </c>
      <c r="Y11" s="132">
        <f>IF(SER_hh_fech!Y11=0,0,SER_hh_fech!Y11/SER_summary!Y$26)</f>
        <v>0</v>
      </c>
      <c r="DA11" s="156" t="s">
        <v>485</v>
      </c>
    </row>
    <row r="12" spans="1:105" ht="12" customHeight="1" x14ac:dyDescent="0.25">
      <c r="A12" s="131" t="s">
        <v>162</v>
      </c>
      <c r="B12" s="132">
        <f>IF(SER_hh_fech!B12=0,0,SER_hh_fech!B12/SER_summary!B$26)</f>
        <v>109.78587635240919</v>
      </c>
      <c r="C12" s="132">
        <f>IF(SER_hh_fech!C12=0,0,SER_hh_fech!C12/SER_summary!C$26)</f>
        <v>109.47391612392693</v>
      </c>
      <c r="D12" s="132">
        <f>IF(SER_hh_fech!D12=0,0,SER_hh_fech!D12/SER_summary!D$26)</f>
        <v>104.03535233615254</v>
      </c>
      <c r="E12" s="132">
        <f>IF(SER_hh_fech!E12=0,0,SER_hh_fech!E12/SER_summary!E$26)</f>
        <v>103.35908160487391</v>
      </c>
      <c r="F12" s="132">
        <f>IF(SER_hh_fech!F12=0,0,SER_hh_fech!F12/SER_summary!F$26)</f>
        <v>100.54179791997835</v>
      </c>
      <c r="G12" s="132">
        <f>IF(SER_hh_fech!G12=0,0,SER_hh_fech!G12/SER_summary!G$26)</f>
        <v>95.649119697701508</v>
      </c>
      <c r="H12" s="132">
        <f>IF(SER_hh_fech!H12=0,0,SER_hh_fech!H12/SER_summary!H$26)</f>
        <v>100.69456596623544</v>
      </c>
      <c r="I12" s="132">
        <f>IF(SER_hh_fech!I12=0,0,SER_hh_fech!I12/SER_summary!I$26)</f>
        <v>92.400736230404249</v>
      </c>
      <c r="J12" s="132">
        <f>IF(SER_hh_fech!J12=0,0,SER_hh_fech!J12/SER_summary!J$26)</f>
        <v>72.731711460300801</v>
      </c>
      <c r="K12" s="132">
        <f>IF(SER_hh_fech!K12=0,0,SER_hh_fech!K12/SER_summary!K$26)</f>
        <v>78.501044753534828</v>
      </c>
      <c r="L12" s="132">
        <f>IF(SER_hh_fech!L12=0,0,SER_hh_fech!L12/SER_summary!L$26)</f>
        <v>82.199272780901751</v>
      </c>
      <c r="M12" s="132">
        <f>IF(SER_hh_fech!M12=0,0,SER_hh_fech!M12/SER_summary!M$26)</f>
        <v>64.730440524695865</v>
      </c>
      <c r="N12" s="132">
        <f>IF(SER_hh_fech!N12=0,0,SER_hh_fech!N12/SER_summary!N$26)</f>
        <v>78.311992792651495</v>
      </c>
      <c r="O12" s="132">
        <f>IF(SER_hh_fech!O12=0,0,SER_hh_fech!O12/SER_summary!O$26)</f>
        <v>65.038396231939529</v>
      </c>
      <c r="P12" s="132">
        <f>IF(SER_hh_fech!P12=0,0,SER_hh_fech!P12/SER_summary!P$26)</f>
        <v>62.686037987828094</v>
      </c>
      <c r="Q12" s="132">
        <f>IF(SER_hh_fech!Q12=0,0,SER_hh_fech!Q12/SER_summary!Q$26)</f>
        <v>63.145240584674447</v>
      </c>
      <c r="R12" s="132">
        <f>IF(SER_hh_fech!R12=0,0,SER_hh_fech!R12/SER_summary!R$26)</f>
        <v>62.129266841332829</v>
      </c>
      <c r="S12" s="132">
        <f>IF(SER_hh_fech!S12=0,0,SER_hh_fech!S12/SER_summary!S$26)</f>
        <v>73.35895525129753</v>
      </c>
      <c r="T12" s="132">
        <f>IF(SER_hh_fech!T12=0,0,SER_hh_fech!T12/SER_summary!T$26)</f>
        <v>75.102097870798772</v>
      </c>
      <c r="U12" s="132">
        <f>IF(SER_hh_fech!U12=0,0,SER_hh_fech!U12/SER_summary!U$26)</f>
        <v>64.834087888359406</v>
      </c>
      <c r="V12" s="132">
        <f>IF(SER_hh_fech!V12=0,0,SER_hh_fech!V12/SER_summary!V$26)</f>
        <v>57.92871039954494</v>
      </c>
      <c r="W12" s="132">
        <f>IF(SER_hh_fech!W12=0,0,SER_hh_fech!W12/SER_summary!W$26)</f>
        <v>75.445975303172773</v>
      </c>
      <c r="X12" s="132">
        <f>IF(SER_hh_fech!X12=0,0,SER_hh_fech!X12/SER_summary!X$26)</f>
        <v>69.620182375660747</v>
      </c>
      <c r="Y12" s="132">
        <f>IF(SER_hh_fech!Y12=0,0,SER_hh_fech!Y12/SER_summary!Y$26)</f>
        <v>65.692960992883258</v>
      </c>
      <c r="DA12" s="156" t="s">
        <v>486</v>
      </c>
    </row>
    <row r="13" spans="1:105" ht="12" customHeight="1" x14ac:dyDescent="0.25">
      <c r="A13" s="131" t="s">
        <v>77</v>
      </c>
      <c r="B13" s="132">
        <f>IF(SER_hh_fech!B13=0,0,SER_hh_fech!B13/SER_summary!B$26)</f>
        <v>46.203025943891092</v>
      </c>
      <c r="C13" s="132">
        <f>IF(SER_hh_fech!C13=0,0,SER_hh_fech!C13/SER_summary!C$26)</f>
        <v>53.573456881643814</v>
      </c>
      <c r="D13" s="132">
        <f>IF(SER_hh_fech!D13=0,0,SER_hh_fech!D13/SER_summary!D$26)</f>
        <v>40.799472049346079</v>
      </c>
      <c r="E13" s="132">
        <f>IF(SER_hh_fech!E13=0,0,SER_hh_fech!E13/SER_summary!E$26)</f>
        <v>48.514439511446788</v>
      </c>
      <c r="F13" s="132">
        <f>IF(SER_hh_fech!F13=0,0,SER_hh_fech!F13/SER_summary!F$26)</f>
        <v>44.513628465185882</v>
      </c>
      <c r="G13" s="132">
        <f>IF(SER_hh_fech!G13=0,0,SER_hh_fech!G13/SER_summary!G$26)</f>
        <v>44.077379971140111</v>
      </c>
      <c r="H13" s="132">
        <f>IF(SER_hh_fech!H13=0,0,SER_hh_fech!H13/SER_summary!H$26)</f>
        <v>38.013112620563355</v>
      </c>
      <c r="I13" s="132">
        <f>IF(SER_hh_fech!I13=0,0,SER_hh_fech!I13/SER_summary!I$26)</f>
        <v>31.386797186048405</v>
      </c>
      <c r="J13" s="132">
        <f>IF(SER_hh_fech!J13=0,0,SER_hh_fech!J13/SER_summary!J$26)</f>
        <v>36.164028273127336</v>
      </c>
      <c r="K13" s="132">
        <f>IF(SER_hh_fech!K13=0,0,SER_hh_fech!K13/SER_summary!K$26)</f>
        <v>28.301795021694517</v>
      </c>
      <c r="L13" s="132">
        <f>IF(SER_hh_fech!L13=0,0,SER_hh_fech!L13/SER_summary!L$26)</f>
        <v>21.468775661378441</v>
      </c>
      <c r="M13" s="132">
        <f>IF(SER_hh_fech!M13=0,0,SER_hh_fech!M13/SER_summary!M$26)</f>
        <v>23.623946249038354</v>
      </c>
      <c r="N13" s="132">
        <f>IF(SER_hh_fech!N13=0,0,SER_hh_fech!N13/SER_summary!N$26)</f>
        <v>22.06243518205515</v>
      </c>
      <c r="O13" s="132">
        <f>IF(SER_hh_fech!O13=0,0,SER_hh_fech!O13/SER_summary!O$26)</f>
        <v>19.269510555936968</v>
      </c>
      <c r="P13" s="132">
        <f>IF(SER_hh_fech!P13=0,0,SER_hh_fech!P13/SER_summary!P$26)</f>
        <v>21.473293366852097</v>
      </c>
      <c r="Q13" s="132">
        <f>IF(SER_hh_fech!Q13=0,0,SER_hh_fech!Q13/SER_summary!Q$26)</f>
        <v>19.577875059409326</v>
      </c>
      <c r="R13" s="132">
        <f>IF(SER_hh_fech!R13=0,0,SER_hh_fech!R13/SER_summary!R$26)</f>
        <v>19.624522477462421</v>
      </c>
      <c r="S13" s="132">
        <f>IF(SER_hh_fech!S13=0,0,SER_hh_fech!S13/SER_summary!S$26)</f>
        <v>20.194399221375388</v>
      </c>
      <c r="T13" s="132">
        <f>IF(SER_hh_fech!T13=0,0,SER_hh_fech!T13/SER_summary!T$26)</f>
        <v>20.740315814331062</v>
      </c>
      <c r="U13" s="132">
        <f>IF(SER_hh_fech!U13=0,0,SER_hh_fech!U13/SER_summary!U$26)</f>
        <v>17.995574551294382</v>
      </c>
      <c r="V13" s="132">
        <f>IF(SER_hh_fech!V13=0,0,SER_hh_fech!V13/SER_summary!V$26)</f>
        <v>13.786471988420724</v>
      </c>
      <c r="W13" s="132">
        <f>IF(SER_hh_fech!W13=0,0,SER_hh_fech!W13/SER_summary!W$26)</f>
        <v>18.692874646142723</v>
      </c>
      <c r="X13" s="132">
        <f>IF(SER_hh_fech!X13=0,0,SER_hh_fech!X13/SER_summary!X$26)</f>
        <v>15.111408757922806</v>
      </c>
      <c r="Y13" s="132">
        <f>IF(SER_hh_fech!Y13=0,0,SER_hh_fech!Y13/SER_summary!Y$26)</f>
        <v>17.145965199672524</v>
      </c>
      <c r="DA13" s="156" t="s">
        <v>487</v>
      </c>
    </row>
    <row r="14" spans="1:105" ht="12" customHeight="1" x14ac:dyDescent="0.25">
      <c r="A14" s="60" t="s">
        <v>76</v>
      </c>
      <c r="B14" s="65">
        <f>IF(SER_hh_fech!B14=0,0,SER_hh_fech!B14/SER_summary!B$26)</f>
        <v>120.70829156334156</v>
      </c>
      <c r="C14" s="65">
        <f>IF(SER_hh_fech!C14=0,0,SER_hh_fech!C14/SER_summary!C$26)</f>
        <v>124.71740719267764</v>
      </c>
      <c r="D14" s="65">
        <f>IF(SER_hh_fech!D14=0,0,SER_hh_fech!D14/SER_summary!D$26)</f>
        <v>101.98496207983646</v>
      </c>
      <c r="E14" s="65">
        <f>IF(SER_hh_fech!E14=0,0,SER_hh_fech!E14/SER_summary!E$26)</f>
        <v>123.27939418858226</v>
      </c>
      <c r="F14" s="65">
        <f>IF(SER_hh_fech!F14=0,0,SER_hh_fech!F14/SER_summary!F$26)</f>
        <v>115.48820785397096</v>
      </c>
      <c r="G14" s="65">
        <f>IF(SER_hh_fech!G14=0,0,SER_hh_fech!G14/SER_summary!G$26)</f>
        <v>108.97517935518889</v>
      </c>
      <c r="H14" s="65">
        <f>IF(SER_hh_fech!H14=0,0,SER_hh_fech!H14/SER_summary!H$26)</f>
        <v>101.68443081306404</v>
      </c>
      <c r="I14" s="65">
        <f>IF(SER_hh_fech!I14=0,0,SER_hh_fech!I14/SER_summary!I$26)</f>
        <v>97.938628858695836</v>
      </c>
      <c r="J14" s="65">
        <f>IF(SER_hh_fech!J14=0,0,SER_hh_fech!J14/SER_summary!J$26)</f>
        <v>136.50713674953801</v>
      </c>
      <c r="K14" s="65">
        <f>IF(SER_hh_fech!K14=0,0,SER_hh_fech!K14/SER_summary!K$26)</f>
        <v>77.045230336552578</v>
      </c>
      <c r="L14" s="65">
        <f>IF(SER_hh_fech!L14=0,0,SER_hh_fech!L14/SER_summary!L$26)</f>
        <v>49.498194410265612</v>
      </c>
      <c r="M14" s="65">
        <f>IF(SER_hh_fech!M14=0,0,SER_hh_fech!M14/SER_summary!M$26)</f>
        <v>78.678612656238471</v>
      </c>
      <c r="N14" s="65">
        <f>IF(SER_hh_fech!N14=0,0,SER_hh_fech!N14/SER_summary!N$26)</f>
        <v>102.49224449633518</v>
      </c>
      <c r="O14" s="65">
        <f>IF(SER_hh_fech!O14=0,0,SER_hh_fech!O14/SER_summary!O$26)</f>
        <v>71.199332528075928</v>
      </c>
      <c r="P14" s="65">
        <f>IF(SER_hh_fech!P14=0,0,SER_hh_fech!P14/SER_summary!P$26)</f>
        <v>76.853084475041982</v>
      </c>
      <c r="Q14" s="65">
        <f>IF(SER_hh_fech!Q14=0,0,SER_hh_fech!Q14/SER_summary!Q$26)</f>
        <v>35.857320007710349</v>
      </c>
      <c r="R14" s="65">
        <f>IF(SER_hh_fech!R14=0,0,SER_hh_fech!R14/SER_summary!R$26)</f>
        <v>89.112459499307633</v>
      </c>
      <c r="S14" s="65">
        <f>IF(SER_hh_fech!S14=0,0,SER_hh_fech!S14/SER_summary!S$26)</f>
        <v>56.725749247833157</v>
      </c>
      <c r="T14" s="65">
        <f>IF(SER_hh_fech!T14=0,0,SER_hh_fech!T14/SER_summary!T$26)</f>
        <v>82.233179420328185</v>
      </c>
      <c r="U14" s="65">
        <f>IF(SER_hh_fech!U14=0,0,SER_hh_fech!U14/SER_summary!U$26)</f>
        <v>79.726783369278024</v>
      </c>
      <c r="V14" s="65">
        <f>IF(SER_hh_fech!V14=0,0,SER_hh_fech!V14/SER_summary!V$26)</f>
        <v>58.057251937846836</v>
      </c>
      <c r="W14" s="65">
        <f>IF(SER_hh_fech!W14=0,0,SER_hh_fech!W14/SER_summary!W$26)</f>
        <v>76.895169326708213</v>
      </c>
      <c r="X14" s="65">
        <f>IF(SER_hh_fech!X14=0,0,SER_hh_fech!X14/SER_summary!X$26)</f>
        <v>81.074351125766768</v>
      </c>
      <c r="Y14" s="65">
        <f>IF(SER_hh_fech!Y14=0,0,SER_hh_fech!Y14/SER_summary!Y$26)</f>
        <v>48.611599726013559</v>
      </c>
      <c r="DA14" s="109" t="s">
        <v>488</v>
      </c>
    </row>
    <row r="15" spans="1:105" ht="12" customHeight="1" x14ac:dyDescent="0.25">
      <c r="A15" s="133" t="s">
        <v>80</v>
      </c>
      <c r="B15" s="134">
        <f>IF(SER_hh_fech!B15=0,0,SER_hh_fech!B15/SER_summary!B$26)</f>
        <v>0.61538779217954498</v>
      </c>
      <c r="C15" s="134">
        <f>IF(SER_hh_fech!C15=0,0,SER_hh_fech!C15/SER_summary!C$26)</f>
        <v>0.56742251941818922</v>
      </c>
      <c r="D15" s="134">
        <f>IF(SER_hh_fech!D15=0,0,SER_hh_fech!D15/SER_summary!D$26)</f>
        <v>0.56825455949750292</v>
      </c>
      <c r="E15" s="134">
        <f>IF(SER_hh_fech!E15=0,0,SER_hh_fech!E15/SER_summary!E$26)</f>
        <v>0.52544711438327918</v>
      </c>
      <c r="F15" s="134">
        <f>IF(SER_hh_fech!F15=0,0,SER_hh_fech!F15/SER_summary!F$26)</f>
        <v>0.53516330259261347</v>
      </c>
      <c r="G15" s="134">
        <f>IF(SER_hh_fech!G15=0,0,SER_hh_fech!G15/SER_summary!G$26)</f>
        <v>0.49940140031683294</v>
      </c>
      <c r="H15" s="134">
        <f>IF(SER_hh_fech!H15=0,0,SER_hh_fech!H15/SER_summary!H$26)</f>
        <v>0.52885599905220959</v>
      </c>
      <c r="I15" s="134">
        <f>IF(SER_hh_fech!I15=0,0,SER_hh_fech!I15/SER_summary!I$26)</f>
        <v>0.49128409115260202</v>
      </c>
      <c r="J15" s="134">
        <f>IF(SER_hh_fech!J15=0,0,SER_hh_fech!J15/SER_summary!J$26)</f>
        <v>0.40694311895923074</v>
      </c>
      <c r="K15" s="134">
        <f>IF(SER_hh_fech!K15=0,0,SER_hh_fech!K15/SER_summary!K$26)</f>
        <v>0.39490168399775455</v>
      </c>
      <c r="L15" s="134">
        <f>IF(SER_hh_fech!L15=0,0,SER_hh_fech!L15/SER_summary!L$26)</f>
        <v>0.41085766603294555</v>
      </c>
      <c r="M15" s="134">
        <f>IF(SER_hh_fech!M15=0,0,SER_hh_fech!M15/SER_summary!M$26)</f>
        <v>0.37282141027285304</v>
      </c>
      <c r="N15" s="134">
        <f>IF(SER_hh_fech!N15=0,0,SER_hh_fech!N15/SER_summary!N$26)</f>
        <v>0.38077716770553821</v>
      </c>
      <c r="O15" s="134">
        <f>IF(SER_hh_fech!O15=0,0,SER_hh_fech!O15/SER_summary!O$26)</f>
        <v>0.36722182457032798</v>
      </c>
      <c r="P15" s="134">
        <f>IF(SER_hh_fech!P15=0,0,SER_hh_fech!P15/SER_summary!P$26)</f>
        <v>0.33670489067310261</v>
      </c>
      <c r="Q15" s="134">
        <f>IF(SER_hh_fech!Q15=0,0,SER_hh_fech!Q15/SER_summary!Q$26)</f>
        <v>0.33161758803672908</v>
      </c>
      <c r="R15" s="134">
        <f>IF(SER_hh_fech!R15=0,0,SER_hh_fech!R15/SER_summary!R$26)</f>
        <v>0.35155937435267642</v>
      </c>
      <c r="S15" s="134">
        <f>IF(SER_hh_fech!S15=0,0,SER_hh_fech!S15/SER_summary!S$26)</f>
        <v>0.38510146528593614</v>
      </c>
      <c r="T15" s="134">
        <f>IF(SER_hh_fech!T15=0,0,SER_hh_fech!T15/SER_summary!T$26)</f>
        <v>0.40528889878663105</v>
      </c>
      <c r="U15" s="134">
        <f>IF(SER_hh_fech!U15=0,0,SER_hh_fech!U15/SER_summary!U$26)</f>
        <v>0.38855498436964941</v>
      </c>
      <c r="V15" s="134">
        <f>IF(SER_hh_fech!V15=0,0,SER_hh_fech!V15/SER_summary!V$26)</f>
        <v>0.36350943298601496</v>
      </c>
      <c r="W15" s="134">
        <f>IF(SER_hh_fech!W15=0,0,SER_hh_fech!W15/SER_summary!W$26)</f>
        <v>0.41889359301879886</v>
      </c>
      <c r="X15" s="134">
        <f>IF(SER_hh_fech!X15=0,0,SER_hh_fech!X15/SER_summary!X$26)</f>
        <v>0.40038449962794692</v>
      </c>
      <c r="Y15" s="134">
        <f>IF(SER_hh_fech!Y15=0,0,SER_hh_fech!Y15/SER_summary!Y$26)</f>
        <v>0.43875185568878106</v>
      </c>
      <c r="DA15" s="157" t="s">
        <v>489</v>
      </c>
    </row>
    <row r="16" spans="1:105" ht="12.95" customHeight="1" x14ac:dyDescent="0.25">
      <c r="A16" s="129" t="s">
        <v>74</v>
      </c>
      <c r="B16" s="130">
        <f>IF(SER_hh_fech!B16=0,0,SER_hh_fech!B16/SER_summary!B$26)</f>
        <v>10.549943887040792</v>
      </c>
      <c r="C16" s="130">
        <f>IF(SER_hh_fech!C16=0,0,SER_hh_fech!C16/SER_summary!C$26)</f>
        <v>10.474609423830076</v>
      </c>
      <c r="D16" s="130">
        <f>IF(SER_hh_fech!D16=0,0,SER_hh_fech!D16/SER_summary!D$26)</f>
        <v>10.609581677143822</v>
      </c>
      <c r="E16" s="130">
        <f>IF(SER_hh_fech!E16=0,0,SER_hh_fech!E16/SER_summary!E$26)</f>
        <v>8.9733484166524811</v>
      </c>
      <c r="F16" s="130">
        <f>IF(SER_hh_fech!F16=0,0,SER_hh_fech!F16/SER_summary!F$26)</f>
        <v>8.4149107667178935</v>
      </c>
      <c r="G16" s="130">
        <f>IF(SER_hh_fech!G16=0,0,SER_hh_fech!G16/SER_summary!G$26)</f>
        <v>7.9562927996658335</v>
      </c>
      <c r="H16" s="130">
        <f>IF(SER_hh_fech!H16=0,0,SER_hh_fech!H16/SER_summary!H$26)</f>
        <v>8.2887799071207162</v>
      </c>
      <c r="I16" s="130">
        <f>IF(SER_hh_fech!I16=0,0,SER_hh_fech!I16/SER_summary!I$26)</f>
        <v>7.2003644017203783</v>
      </c>
      <c r="J16" s="130">
        <f>IF(SER_hh_fech!J16=0,0,SER_hh_fech!J16/SER_summary!J$26)</f>
        <v>6.6884968406623759</v>
      </c>
      <c r="K16" s="130">
        <f>IF(SER_hh_fech!K16=0,0,SER_hh_fech!K16/SER_summary!K$26)</f>
        <v>6.5587788762690646</v>
      </c>
      <c r="L16" s="130">
        <f>IF(SER_hh_fech!L16=0,0,SER_hh_fech!L16/SER_summary!L$26)</f>
        <v>8.1202836684199671</v>
      </c>
      <c r="M16" s="130">
        <f>IF(SER_hh_fech!M16=0,0,SER_hh_fech!M16/SER_summary!M$26)</f>
        <v>6.2062449458477733</v>
      </c>
      <c r="N16" s="130">
        <f>IF(SER_hh_fech!N16=0,0,SER_hh_fech!N16/SER_summary!N$26)</f>
        <v>6.5469749205354963</v>
      </c>
      <c r="O16" s="130">
        <f>IF(SER_hh_fech!O16=0,0,SER_hh_fech!O16/SER_summary!O$26)</f>
        <v>5.8476758133083084</v>
      </c>
      <c r="P16" s="130">
        <f>IF(SER_hh_fech!P16=0,0,SER_hh_fech!P16/SER_summary!P$26)</f>
        <v>6.1796665308727095</v>
      </c>
      <c r="Q16" s="130">
        <f>IF(SER_hh_fech!Q16=0,0,SER_hh_fech!Q16/SER_summary!Q$26)</f>
        <v>5.7353607488636893</v>
      </c>
      <c r="R16" s="130">
        <f>IF(SER_hh_fech!R16=0,0,SER_hh_fech!R16/SER_summary!R$26)</f>
        <v>5.2317541008745669</v>
      </c>
      <c r="S16" s="130">
        <f>IF(SER_hh_fech!S16=0,0,SER_hh_fech!S16/SER_summary!S$26)</f>
        <v>5.0331157633170749</v>
      </c>
      <c r="T16" s="130">
        <f>IF(SER_hh_fech!T16=0,0,SER_hh_fech!T16/SER_summary!T$26)</f>
        <v>5.2152655144263234</v>
      </c>
      <c r="U16" s="130">
        <f>IF(SER_hh_fech!U16=0,0,SER_hh_fech!U16/SER_summary!U$26)</f>
        <v>4.9830920771894949</v>
      </c>
      <c r="V16" s="130">
        <f>IF(SER_hh_fech!V16=0,0,SER_hh_fech!V16/SER_summary!V$26)</f>
        <v>4.7431977697972938</v>
      </c>
      <c r="W16" s="130">
        <f>IF(SER_hh_fech!W16=0,0,SER_hh_fech!W16/SER_summary!W$26)</f>
        <v>5.5174239384740549</v>
      </c>
      <c r="X16" s="130">
        <f>IF(SER_hh_fech!X16=0,0,SER_hh_fech!X16/SER_summary!X$26)</f>
        <v>4.884082944150733</v>
      </c>
      <c r="Y16" s="130">
        <f>IF(SER_hh_fech!Y16=0,0,SER_hh_fech!Y16/SER_summary!Y$26)</f>
        <v>4.7375451959433148</v>
      </c>
      <c r="DA16" s="155" t="s">
        <v>490</v>
      </c>
    </row>
    <row r="17" spans="1:105" ht="12.95" customHeight="1" x14ac:dyDescent="0.25">
      <c r="A17" s="131" t="s">
        <v>73</v>
      </c>
      <c r="B17" s="132">
        <f>IF(SER_hh_fech!B17=0,0,SER_hh_fech!B17/SER_summary!B$26)</f>
        <v>0</v>
      </c>
      <c r="C17" s="132">
        <f>IF(SER_hh_fech!C17=0,0,SER_hh_fech!C17/SER_summary!C$26)</f>
        <v>0</v>
      </c>
      <c r="D17" s="132">
        <f>IF(SER_hh_fech!D17=0,0,SER_hh_fech!D17/SER_summary!D$26)</f>
        <v>0</v>
      </c>
      <c r="E17" s="132">
        <f>IF(SER_hh_fech!E17=0,0,SER_hh_fech!E17/SER_summary!E$26)</f>
        <v>0</v>
      </c>
      <c r="F17" s="132">
        <f>IF(SER_hh_fech!F17=0,0,SER_hh_fech!F17/SER_summary!F$26)</f>
        <v>0</v>
      </c>
      <c r="G17" s="132">
        <f>IF(SER_hh_fech!G17=0,0,SER_hh_fech!G17/SER_summary!G$26)</f>
        <v>0</v>
      </c>
      <c r="H17" s="132">
        <f>IF(SER_hh_fech!H17=0,0,SER_hh_fech!H17/SER_summary!H$26)</f>
        <v>0</v>
      </c>
      <c r="I17" s="132">
        <f>IF(SER_hh_fech!I17=0,0,SER_hh_fech!I17/SER_summary!I$26)</f>
        <v>0</v>
      </c>
      <c r="J17" s="132">
        <f>IF(SER_hh_fech!J17=0,0,SER_hh_fech!J17/SER_summary!J$26)</f>
        <v>0</v>
      </c>
      <c r="K17" s="132">
        <f>IF(SER_hh_fech!K17=0,0,SER_hh_fech!K17/SER_summary!K$26)</f>
        <v>0</v>
      </c>
      <c r="L17" s="132">
        <f>IF(SER_hh_fech!L17=0,0,SER_hh_fech!L17/SER_summary!L$26)</f>
        <v>0</v>
      </c>
      <c r="M17" s="132">
        <f>IF(SER_hh_fech!M17=0,0,SER_hh_fech!M17/SER_summary!M$26)</f>
        <v>0</v>
      </c>
      <c r="N17" s="132">
        <f>IF(SER_hh_fech!N17=0,0,SER_hh_fech!N17/SER_summary!N$26)</f>
        <v>0</v>
      </c>
      <c r="O17" s="132">
        <f>IF(SER_hh_fech!O17=0,0,SER_hh_fech!O17/SER_summary!O$26)</f>
        <v>0</v>
      </c>
      <c r="P17" s="132">
        <f>IF(SER_hh_fech!P17=0,0,SER_hh_fech!P17/SER_summary!P$26)</f>
        <v>0</v>
      </c>
      <c r="Q17" s="132">
        <f>IF(SER_hh_fech!Q17=0,0,SER_hh_fech!Q17/SER_summary!Q$26)</f>
        <v>0</v>
      </c>
      <c r="R17" s="132">
        <f>IF(SER_hh_fech!R17=0,0,SER_hh_fech!R17/SER_summary!R$26)</f>
        <v>0</v>
      </c>
      <c r="S17" s="132">
        <f>IF(SER_hh_fech!S17=0,0,SER_hh_fech!S17/SER_summary!S$26)</f>
        <v>0</v>
      </c>
      <c r="T17" s="132">
        <f>IF(SER_hh_fech!T17=0,0,SER_hh_fech!T17/SER_summary!T$26)</f>
        <v>0</v>
      </c>
      <c r="U17" s="132">
        <f>IF(SER_hh_fech!U17=0,0,SER_hh_fech!U17/SER_summary!U$26)</f>
        <v>0</v>
      </c>
      <c r="V17" s="132">
        <f>IF(SER_hh_fech!V17=0,0,SER_hh_fech!V17/SER_summary!V$26)</f>
        <v>0</v>
      </c>
      <c r="W17" s="132">
        <f>IF(SER_hh_fech!W17=0,0,SER_hh_fech!W17/SER_summary!W$26)</f>
        <v>0</v>
      </c>
      <c r="X17" s="132">
        <f>IF(SER_hh_fech!X17=0,0,SER_hh_fech!X17/SER_summary!X$26)</f>
        <v>0</v>
      </c>
      <c r="Y17" s="132">
        <f>IF(SER_hh_fech!Y17=0,0,SER_hh_fech!Y17/SER_summary!Y$26)</f>
        <v>0</v>
      </c>
      <c r="DA17" s="156" t="s">
        <v>491</v>
      </c>
    </row>
    <row r="18" spans="1:105" ht="12" customHeight="1" x14ac:dyDescent="0.25">
      <c r="A18" s="131" t="s">
        <v>72</v>
      </c>
      <c r="B18" s="132">
        <f>IF(SER_hh_fech!B18=0,0,SER_hh_fech!B18/SER_summary!B$26)</f>
        <v>10.549943887040792</v>
      </c>
      <c r="C18" s="132">
        <f>IF(SER_hh_fech!C18=0,0,SER_hh_fech!C18/SER_summary!C$26)</f>
        <v>10.474609423830076</v>
      </c>
      <c r="D18" s="132">
        <f>IF(SER_hh_fech!D18=0,0,SER_hh_fech!D18/SER_summary!D$26)</f>
        <v>10.609581677143822</v>
      </c>
      <c r="E18" s="132">
        <f>IF(SER_hh_fech!E18=0,0,SER_hh_fech!E18/SER_summary!E$26)</f>
        <v>8.9733484166524811</v>
      </c>
      <c r="F18" s="132">
        <f>IF(SER_hh_fech!F18=0,0,SER_hh_fech!F18/SER_summary!F$26)</f>
        <v>8.4149107667178935</v>
      </c>
      <c r="G18" s="132">
        <f>IF(SER_hh_fech!G18=0,0,SER_hh_fech!G18/SER_summary!G$26)</f>
        <v>7.9562927996658335</v>
      </c>
      <c r="H18" s="132">
        <f>IF(SER_hh_fech!H18=0,0,SER_hh_fech!H18/SER_summary!H$26)</f>
        <v>8.2887799071207162</v>
      </c>
      <c r="I18" s="132">
        <f>IF(SER_hh_fech!I18=0,0,SER_hh_fech!I18/SER_summary!I$26)</f>
        <v>7.2003644017203783</v>
      </c>
      <c r="J18" s="132">
        <f>IF(SER_hh_fech!J18=0,0,SER_hh_fech!J18/SER_summary!J$26)</f>
        <v>6.6884968406623759</v>
      </c>
      <c r="K18" s="132">
        <f>IF(SER_hh_fech!K18=0,0,SER_hh_fech!K18/SER_summary!K$26)</f>
        <v>6.5587788762690646</v>
      </c>
      <c r="L18" s="132">
        <f>IF(SER_hh_fech!L18=0,0,SER_hh_fech!L18/SER_summary!L$26)</f>
        <v>8.1202836684199671</v>
      </c>
      <c r="M18" s="132">
        <f>IF(SER_hh_fech!M18=0,0,SER_hh_fech!M18/SER_summary!M$26)</f>
        <v>6.2062449458477733</v>
      </c>
      <c r="N18" s="132">
        <f>IF(SER_hh_fech!N18=0,0,SER_hh_fech!N18/SER_summary!N$26)</f>
        <v>6.5469749205354963</v>
      </c>
      <c r="O18" s="132">
        <f>IF(SER_hh_fech!O18=0,0,SER_hh_fech!O18/SER_summary!O$26)</f>
        <v>5.8476758133083084</v>
      </c>
      <c r="P18" s="132">
        <f>IF(SER_hh_fech!P18=0,0,SER_hh_fech!P18/SER_summary!P$26)</f>
        <v>6.1796665308727095</v>
      </c>
      <c r="Q18" s="132">
        <f>IF(SER_hh_fech!Q18=0,0,SER_hh_fech!Q18/SER_summary!Q$26)</f>
        <v>5.7353607488636893</v>
      </c>
      <c r="R18" s="132">
        <f>IF(SER_hh_fech!R18=0,0,SER_hh_fech!R18/SER_summary!R$26)</f>
        <v>5.2317541008745669</v>
      </c>
      <c r="S18" s="132">
        <f>IF(SER_hh_fech!S18=0,0,SER_hh_fech!S18/SER_summary!S$26)</f>
        <v>5.0331157633170749</v>
      </c>
      <c r="T18" s="132">
        <f>IF(SER_hh_fech!T18=0,0,SER_hh_fech!T18/SER_summary!T$26)</f>
        <v>5.2152655144263234</v>
      </c>
      <c r="U18" s="132">
        <f>IF(SER_hh_fech!U18=0,0,SER_hh_fech!U18/SER_summary!U$26)</f>
        <v>4.9830920771894949</v>
      </c>
      <c r="V18" s="132">
        <f>IF(SER_hh_fech!V18=0,0,SER_hh_fech!V18/SER_summary!V$26)</f>
        <v>4.7431977697972938</v>
      </c>
      <c r="W18" s="132">
        <f>IF(SER_hh_fech!W18=0,0,SER_hh_fech!W18/SER_summary!W$26)</f>
        <v>5.5174239384740549</v>
      </c>
      <c r="X18" s="132">
        <f>IF(SER_hh_fech!X18=0,0,SER_hh_fech!X18/SER_summary!X$26)</f>
        <v>4.884082944150733</v>
      </c>
      <c r="Y18" s="132">
        <f>IF(SER_hh_fech!Y18=0,0,SER_hh_fech!Y18/SER_summary!Y$26)</f>
        <v>4.7375451959433148</v>
      </c>
      <c r="DA18" s="156" t="s">
        <v>492</v>
      </c>
    </row>
    <row r="19" spans="1:105" ht="12.95" customHeight="1" x14ac:dyDescent="0.25">
      <c r="A19" s="129" t="s">
        <v>35</v>
      </c>
      <c r="B19" s="130">
        <f>IF(SER_hh_fech!B19=0,0,SER_hh_fech!B19/SER_summary!B$26)</f>
        <v>14.167597477908739</v>
      </c>
      <c r="C19" s="130">
        <f>IF(SER_hh_fech!C19=0,0,SER_hh_fech!C19/SER_summary!C$26)</f>
        <v>14.154622569779862</v>
      </c>
      <c r="D19" s="130">
        <f>IF(SER_hh_fech!D19=0,0,SER_hh_fech!D19/SER_summary!D$26)</f>
        <v>14.199945716299332</v>
      </c>
      <c r="E19" s="130">
        <f>IF(SER_hh_fech!E19=0,0,SER_hh_fech!E19/SER_summary!E$26)</f>
        <v>14.064193334482546</v>
      </c>
      <c r="F19" s="130">
        <f>IF(SER_hh_fech!F19=0,0,SER_hh_fech!F19/SER_summary!F$26)</f>
        <v>14.55905645685489</v>
      </c>
      <c r="G19" s="130">
        <f>IF(SER_hh_fech!G19=0,0,SER_hh_fech!G19/SER_summary!G$26)</f>
        <v>14.924908402254092</v>
      </c>
      <c r="H19" s="130">
        <f>IF(SER_hh_fech!H19=0,0,SER_hh_fech!H19/SER_summary!H$26)</f>
        <v>15.48443617074976</v>
      </c>
      <c r="I19" s="130">
        <f>IF(SER_hh_fech!I19=0,0,SER_hh_fech!I19/SER_summary!I$26)</f>
        <v>15.138975347605959</v>
      </c>
      <c r="J19" s="130">
        <f>IF(SER_hh_fech!J19=0,0,SER_hh_fech!J19/SER_summary!J$26)</f>
        <v>15.212346283598224</v>
      </c>
      <c r="K19" s="130">
        <f>IF(SER_hh_fech!K19=0,0,SER_hh_fech!K19/SER_summary!K$26)</f>
        <v>15.464217620678561</v>
      </c>
      <c r="L19" s="130">
        <f>IF(SER_hh_fech!L19=0,0,SER_hh_fech!L19/SER_summary!L$26)</f>
        <v>15.672522989048121</v>
      </c>
      <c r="M19" s="130">
        <f>IF(SER_hh_fech!M19=0,0,SER_hh_fech!M19/SER_summary!M$26)</f>
        <v>15.800793898758</v>
      </c>
      <c r="N19" s="130">
        <f>IF(SER_hh_fech!N19=0,0,SER_hh_fech!N19/SER_summary!N$26)</f>
        <v>15.86617682346086</v>
      </c>
      <c r="O19" s="130">
        <f>IF(SER_hh_fech!O19=0,0,SER_hh_fech!O19/SER_summary!O$26)</f>
        <v>16.019420126697121</v>
      </c>
      <c r="P19" s="130">
        <f>IF(SER_hh_fech!P19=0,0,SER_hh_fech!P19/SER_summary!P$26)</f>
        <v>15.972748178588386</v>
      </c>
      <c r="Q19" s="130">
        <f>IF(SER_hh_fech!Q19=0,0,SER_hh_fech!Q19/SER_summary!Q$26)</f>
        <v>16.010837782387114</v>
      </c>
      <c r="R19" s="130">
        <f>IF(SER_hh_fech!R19=0,0,SER_hh_fech!R19/SER_summary!R$26)</f>
        <v>15.871450013510737</v>
      </c>
      <c r="S19" s="130">
        <f>IF(SER_hh_fech!S19=0,0,SER_hh_fech!S19/SER_summary!S$26)</f>
        <v>16.244350745722613</v>
      </c>
      <c r="T19" s="130">
        <f>IF(SER_hh_fech!T19=0,0,SER_hh_fech!T19/SER_summary!T$26)</f>
        <v>15.939088492739943</v>
      </c>
      <c r="U19" s="130">
        <f>IF(SER_hh_fech!U19=0,0,SER_hh_fech!U19/SER_summary!U$26)</f>
        <v>15.944839869244072</v>
      </c>
      <c r="V19" s="130">
        <f>IF(SER_hh_fech!V19=0,0,SER_hh_fech!V19/SER_summary!V$26)</f>
        <v>13.969046776811435</v>
      </c>
      <c r="W19" s="130">
        <f>IF(SER_hh_fech!W19=0,0,SER_hh_fech!W19/SER_summary!W$26)</f>
        <v>15.249630891352417</v>
      </c>
      <c r="X19" s="130">
        <f>IF(SER_hh_fech!X19=0,0,SER_hh_fech!X19/SER_summary!X$26)</f>
        <v>15.186270318733344</v>
      </c>
      <c r="Y19" s="130">
        <f>IF(SER_hh_fech!Y19=0,0,SER_hh_fech!Y19/SER_summary!Y$26)</f>
        <v>15.386041068477834</v>
      </c>
      <c r="DA19" s="155" t="s">
        <v>493</v>
      </c>
    </row>
    <row r="20" spans="1:105" ht="12" customHeight="1" x14ac:dyDescent="0.25">
      <c r="A20" s="131" t="s">
        <v>29</v>
      </c>
      <c r="B20" s="132">
        <f>IF(SER_hh_fech!B20=0,0,SER_hh_fech!B20/SER_summary!B$26)</f>
        <v>0</v>
      </c>
      <c r="C20" s="132">
        <f>IF(SER_hh_fech!C20=0,0,SER_hh_fech!C20/SER_summary!C$26)</f>
        <v>0</v>
      </c>
      <c r="D20" s="132">
        <f>IF(SER_hh_fech!D20=0,0,SER_hh_fech!D20/SER_summary!D$26)</f>
        <v>0</v>
      </c>
      <c r="E20" s="132">
        <f>IF(SER_hh_fech!E20=0,0,SER_hh_fech!E20/SER_summary!E$26)</f>
        <v>0</v>
      </c>
      <c r="F20" s="132">
        <f>IF(SER_hh_fech!F20=0,0,SER_hh_fech!F20/SER_summary!F$26)</f>
        <v>0</v>
      </c>
      <c r="G20" s="132">
        <f>IF(SER_hh_fech!G20=0,0,SER_hh_fech!G20/SER_summary!G$26)</f>
        <v>0</v>
      </c>
      <c r="H20" s="132">
        <f>IF(SER_hh_fech!H20=0,0,SER_hh_fech!H20/SER_summary!H$26)</f>
        <v>0</v>
      </c>
      <c r="I20" s="132">
        <f>IF(SER_hh_fech!I20=0,0,SER_hh_fech!I20/SER_summary!I$26)</f>
        <v>0</v>
      </c>
      <c r="J20" s="132">
        <f>IF(SER_hh_fech!J20=0,0,SER_hh_fech!J20/SER_summary!J$26)</f>
        <v>0</v>
      </c>
      <c r="K20" s="132">
        <f>IF(SER_hh_fech!K20=0,0,SER_hh_fech!K20/SER_summary!K$26)</f>
        <v>0</v>
      </c>
      <c r="L20" s="132">
        <f>IF(SER_hh_fech!L20=0,0,SER_hh_fech!L20/SER_summary!L$26)</f>
        <v>0</v>
      </c>
      <c r="M20" s="132">
        <f>IF(SER_hh_fech!M20=0,0,SER_hh_fech!M20/SER_summary!M$26)</f>
        <v>0</v>
      </c>
      <c r="N20" s="132">
        <f>IF(SER_hh_fech!N20=0,0,SER_hh_fech!N20/SER_summary!N$26)</f>
        <v>0</v>
      </c>
      <c r="O20" s="132">
        <f>IF(SER_hh_fech!O20=0,0,SER_hh_fech!O20/SER_summary!O$26)</f>
        <v>0</v>
      </c>
      <c r="P20" s="132">
        <f>IF(SER_hh_fech!P20=0,0,SER_hh_fech!P20/SER_summary!P$26)</f>
        <v>0</v>
      </c>
      <c r="Q20" s="132">
        <f>IF(SER_hh_fech!Q20=0,0,SER_hh_fech!Q20/SER_summary!Q$26)</f>
        <v>0</v>
      </c>
      <c r="R20" s="132">
        <f>IF(SER_hh_fech!R20=0,0,SER_hh_fech!R20/SER_summary!R$26)</f>
        <v>0</v>
      </c>
      <c r="S20" s="132">
        <f>IF(SER_hh_fech!S20=0,0,SER_hh_fech!S20/SER_summary!S$26)</f>
        <v>0</v>
      </c>
      <c r="T20" s="132">
        <f>IF(SER_hh_fech!T20=0,0,SER_hh_fech!T20/SER_summary!T$26)</f>
        <v>0</v>
      </c>
      <c r="U20" s="132">
        <f>IF(SER_hh_fech!U20=0,0,SER_hh_fech!U20/SER_summary!U$26)</f>
        <v>0</v>
      </c>
      <c r="V20" s="132">
        <f>IF(SER_hh_fech!V20=0,0,SER_hh_fech!V20/SER_summary!V$26)</f>
        <v>0</v>
      </c>
      <c r="W20" s="132">
        <f>IF(SER_hh_fech!W20=0,0,SER_hh_fech!W20/SER_summary!W$26)</f>
        <v>0</v>
      </c>
      <c r="X20" s="132">
        <f>IF(SER_hh_fech!X20=0,0,SER_hh_fech!X20/SER_summary!X$26)</f>
        <v>0</v>
      </c>
      <c r="Y20" s="132">
        <f>IF(SER_hh_fech!Y20=0,0,SER_hh_fech!Y20/SER_summary!Y$26)</f>
        <v>0</v>
      </c>
      <c r="DA20" s="156" t="s">
        <v>494</v>
      </c>
    </row>
    <row r="21" spans="1:105" s="2" customFormat="1" ht="12" customHeight="1" x14ac:dyDescent="0.25">
      <c r="A21" s="131" t="s">
        <v>52</v>
      </c>
      <c r="B21" s="132">
        <f>IF(SER_hh_fech!B21=0,0,SER_hh_fech!B21/SER_summary!B$26)</f>
        <v>0</v>
      </c>
      <c r="C21" s="132">
        <f>IF(SER_hh_fech!C21=0,0,SER_hh_fech!C21/SER_summary!C$26)</f>
        <v>0</v>
      </c>
      <c r="D21" s="132">
        <f>IF(SER_hh_fech!D21=0,0,SER_hh_fech!D21/SER_summary!D$26)</f>
        <v>0</v>
      </c>
      <c r="E21" s="132">
        <f>IF(SER_hh_fech!E21=0,0,SER_hh_fech!E21/SER_summary!E$26)</f>
        <v>0</v>
      </c>
      <c r="F21" s="132">
        <f>IF(SER_hh_fech!F21=0,0,SER_hh_fech!F21/SER_summary!F$26)</f>
        <v>0</v>
      </c>
      <c r="G21" s="132">
        <f>IF(SER_hh_fech!G21=0,0,SER_hh_fech!G21/SER_summary!G$26)</f>
        <v>0</v>
      </c>
      <c r="H21" s="132">
        <f>IF(SER_hh_fech!H21=0,0,SER_hh_fech!H21/SER_summary!H$26)</f>
        <v>0</v>
      </c>
      <c r="I21" s="132">
        <f>IF(SER_hh_fech!I21=0,0,SER_hh_fech!I21/SER_summary!I$26)</f>
        <v>0</v>
      </c>
      <c r="J21" s="132">
        <f>IF(SER_hh_fech!J21=0,0,SER_hh_fech!J21/SER_summary!J$26)</f>
        <v>0</v>
      </c>
      <c r="K21" s="132">
        <f>IF(SER_hh_fech!K21=0,0,SER_hh_fech!K21/SER_summary!K$26)</f>
        <v>0</v>
      </c>
      <c r="L21" s="132">
        <f>IF(SER_hh_fech!L21=0,0,SER_hh_fech!L21/SER_summary!L$26)</f>
        <v>0</v>
      </c>
      <c r="M21" s="132">
        <f>IF(SER_hh_fech!M21=0,0,SER_hh_fech!M21/SER_summary!M$26)</f>
        <v>0</v>
      </c>
      <c r="N21" s="132">
        <f>IF(SER_hh_fech!N21=0,0,SER_hh_fech!N21/SER_summary!N$26)</f>
        <v>0</v>
      </c>
      <c r="O21" s="132">
        <f>IF(SER_hh_fech!O21=0,0,SER_hh_fech!O21/SER_summary!O$26)</f>
        <v>0</v>
      </c>
      <c r="P21" s="132">
        <f>IF(SER_hh_fech!P21=0,0,SER_hh_fech!P21/SER_summary!P$26)</f>
        <v>0</v>
      </c>
      <c r="Q21" s="132">
        <f>IF(SER_hh_fech!Q21=0,0,SER_hh_fech!Q21/SER_summary!Q$26)</f>
        <v>0</v>
      </c>
      <c r="R21" s="132">
        <f>IF(SER_hh_fech!R21=0,0,SER_hh_fech!R21/SER_summary!R$26)</f>
        <v>0</v>
      </c>
      <c r="S21" s="132">
        <f>IF(SER_hh_fech!S21=0,0,SER_hh_fech!S21/SER_summary!S$26)</f>
        <v>0</v>
      </c>
      <c r="T21" s="132">
        <f>IF(SER_hh_fech!T21=0,0,SER_hh_fech!T21/SER_summary!T$26)</f>
        <v>0</v>
      </c>
      <c r="U21" s="132">
        <f>IF(SER_hh_fech!U21=0,0,SER_hh_fech!U21/SER_summary!U$26)</f>
        <v>0</v>
      </c>
      <c r="V21" s="132">
        <f>IF(SER_hh_fech!V21=0,0,SER_hh_fech!V21/SER_summary!V$26)</f>
        <v>0</v>
      </c>
      <c r="W21" s="132">
        <f>IF(SER_hh_fech!W21=0,0,SER_hh_fech!W21/SER_summary!W$26)</f>
        <v>0</v>
      </c>
      <c r="X21" s="132">
        <f>IF(SER_hh_fech!X21=0,0,SER_hh_fech!X21/SER_summary!X$26)</f>
        <v>0</v>
      </c>
      <c r="Y21" s="132">
        <f>IF(SER_hh_fech!Y21=0,0,SER_hh_fech!Y21/SER_summary!Y$26)</f>
        <v>0</v>
      </c>
      <c r="DA21" s="156" t="s">
        <v>495</v>
      </c>
    </row>
    <row r="22" spans="1:105" ht="12" customHeight="1" x14ac:dyDescent="0.25">
      <c r="A22" s="131" t="s">
        <v>161</v>
      </c>
      <c r="B22" s="132">
        <f>IF(SER_hh_fech!B22=0,0,SER_hh_fech!B22/SER_summary!B$26)</f>
        <v>22.012104656319703</v>
      </c>
      <c r="C22" s="132">
        <f>IF(SER_hh_fech!C22=0,0,SER_hh_fech!C22/SER_summary!C$26)</f>
        <v>16.423683286970501</v>
      </c>
      <c r="D22" s="132">
        <f>IF(SER_hh_fech!D22=0,0,SER_hh_fech!D22/SER_summary!D$26)</f>
        <v>18.414098206123647</v>
      </c>
      <c r="E22" s="132">
        <f>IF(SER_hh_fech!E22=0,0,SER_hh_fech!E22/SER_summary!E$26)</f>
        <v>17.365731531966762</v>
      </c>
      <c r="F22" s="132">
        <f>IF(SER_hh_fech!F22=0,0,SER_hh_fech!F22/SER_summary!F$26)</f>
        <v>21.889277058000342</v>
      </c>
      <c r="G22" s="132">
        <f>IF(SER_hh_fech!G22=0,0,SER_hh_fech!G22/SER_summary!G$26)</f>
        <v>19.696251242621603</v>
      </c>
      <c r="H22" s="132">
        <f>IF(SER_hh_fech!H22=0,0,SER_hh_fech!H22/SER_summary!H$26)</f>
        <v>21.512009272144255</v>
      </c>
      <c r="I22" s="132">
        <f>IF(SER_hh_fech!I22=0,0,SER_hh_fech!I22/SER_summary!I$26)</f>
        <v>21.247826325167786</v>
      </c>
      <c r="J22" s="132">
        <f>IF(SER_hh_fech!J22=0,0,SER_hh_fech!J22/SER_summary!J$26)</f>
        <v>23.444866429651281</v>
      </c>
      <c r="K22" s="132">
        <f>IF(SER_hh_fech!K22=0,0,SER_hh_fech!K22/SER_summary!K$26)</f>
        <v>20.364244757798538</v>
      </c>
      <c r="L22" s="132">
        <f>IF(SER_hh_fech!L22=0,0,SER_hh_fech!L22/SER_summary!L$26)</f>
        <v>21.719276689182674</v>
      </c>
      <c r="M22" s="132">
        <f>IF(SER_hh_fech!M22=0,0,SER_hh_fech!M22/SER_summary!M$26)</f>
        <v>21.569089443709597</v>
      </c>
      <c r="N22" s="132">
        <f>IF(SER_hh_fech!N22=0,0,SER_hh_fech!N22/SER_summary!N$26)</f>
        <v>19.001882714566513</v>
      </c>
      <c r="O22" s="132">
        <f>IF(SER_hh_fech!O22=0,0,SER_hh_fech!O22/SER_summary!O$26)</f>
        <v>19.996265748080056</v>
      </c>
      <c r="P22" s="132">
        <f>IF(SER_hh_fech!P22=0,0,SER_hh_fech!P22/SER_summary!P$26)</f>
        <v>20.502357576937175</v>
      </c>
      <c r="Q22" s="132">
        <f>IF(SER_hh_fech!Q22=0,0,SER_hh_fech!Q22/SER_summary!Q$26)</f>
        <v>20.350376278659184</v>
      </c>
      <c r="R22" s="132">
        <f>IF(SER_hh_fech!R22=0,0,SER_hh_fech!R22/SER_summary!R$26)</f>
        <v>20.521332196126973</v>
      </c>
      <c r="S22" s="132">
        <f>IF(SER_hh_fech!S22=0,0,SER_hh_fech!S22/SER_summary!S$26)</f>
        <v>23.214471615763355</v>
      </c>
      <c r="T22" s="132">
        <f>IF(SER_hh_fech!T22=0,0,SER_hh_fech!T22/SER_summary!T$26)</f>
        <v>17.196564737596724</v>
      </c>
      <c r="U22" s="132">
        <f>IF(SER_hh_fech!U22=0,0,SER_hh_fech!U22/SER_summary!U$26)</f>
        <v>19.435939597223289</v>
      </c>
      <c r="V22" s="132">
        <f>IF(SER_hh_fech!V22=0,0,SER_hh_fech!V22/SER_summary!V$26)</f>
        <v>19.433912135033196</v>
      </c>
      <c r="W22" s="132">
        <f>IF(SER_hh_fech!W22=0,0,SER_hh_fech!W22/SER_summary!W$26)</f>
        <v>21.605953507243584</v>
      </c>
      <c r="X22" s="132">
        <f>IF(SER_hh_fech!X22=0,0,SER_hh_fech!X22/SER_summary!X$26)</f>
        <v>20.3918577311434</v>
      </c>
      <c r="Y22" s="132">
        <f>IF(SER_hh_fech!Y22=0,0,SER_hh_fech!Y22/SER_summary!Y$26)</f>
        <v>17.176699237406709</v>
      </c>
      <c r="DA22" s="156" t="s">
        <v>496</v>
      </c>
    </row>
    <row r="23" spans="1:105" ht="12" customHeight="1" x14ac:dyDescent="0.25">
      <c r="A23" s="131" t="s">
        <v>149</v>
      </c>
      <c r="B23" s="132">
        <f>IF(SER_hh_fech!B23=0,0,SER_hh_fech!B23/SER_summary!B$26)</f>
        <v>18.256539324212564</v>
      </c>
      <c r="C23" s="132">
        <f>IF(SER_hh_fech!C23=0,0,SER_hh_fech!C23/SER_summary!C$26)</f>
        <v>18.182693876857211</v>
      </c>
      <c r="D23" s="132">
        <f>IF(SER_hh_fech!D23=0,0,SER_hh_fech!D23/SER_summary!D$26)</f>
        <v>18.253994874790003</v>
      </c>
      <c r="E23" s="132">
        <f>IF(SER_hh_fech!E23=0,0,SER_hh_fech!E23/SER_summary!E$26)</f>
        <v>17.366461006654106</v>
      </c>
      <c r="F23" s="132">
        <f>IF(SER_hh_fech!F23=0,0,SER_hh_fech!F23/SER_summary!F$26)</f>
        <v>19.165996508760824</v>
      </c>
      <c r="G23" s="132">
        <f>IF(SER_hh_fech!G23=0,0,SER_hh_fech!G23/SER_summary!G$26)</f>
        <v>17.267020113105154</v>
      </c>
      <c r="H23" s="132">
        <f>IF(SER_hh_fech!H23=0,0,SER_hh_fech!H23/SER_summary!H$26)</f>
        <v>16.715023922686804</v>
      </c>
      <c r="I23" s="132">
        <f>IF(SER_hh_fech!I23=0,0,SER_hh_fech!I23/SER_summary!I$26)</f>
        <v>19.916523497189072</v>
      </c>
      <c r="J23" s="132">
        <f>IF(SER_hh_fech!J23=0,0,SER_hh_fech!J23/SER_summary!J$26)</f>
        <v>19.751865742491646</v>
      </c>
      <c r="K23" s="132">
        <f>IF(SER_hh_fech!K23=0,0,SER_hh_fech!K23/SER_summary!K$26)</f>
        <v>18.744557102064825</v>
      </c>
      <c r="L23" s="132">
        <f>IF(SER_hh_fech!L23=0,0,SER_hh_fech!L23/SER_summary!L$26)</f>
        <v>18.778599587800578</v>
      </c>
      <c r="M23" s="132">
        <f>IF(SER_hh_fech!M23=0,0,SER_hh_fech!M23/SER_summary!M$26)</f>
        <v>19.13936069252113</v>
      </c>
      <c r="N23" s="132">
        <f>IF(SER_hh_fech!N23=0,0,SER_hh_fech!N23/SER_summary!N$26)</f>
        <v>19.166792723883379</v>
      </c>
      <c r="O23" s="132">
        <f>IF(SER_hh_fech!O23=0,0,SER_hh_fech!O23/SER_summary!O$26)</f>
        <v>19.456685316410635</v>
      </c>
      <c r="P23" s="132">
        <f>IF(SER_hh_fech!P23=0,0,SER_hh_fech!P23/SER_summary!P$26)</f>
        <v>18.226777769937001</v>
      </c>
      <c r="Q23" s="132">
        <f>IF(SER_hh_fech!Q23=0,0,SER_hh_fech!Q23/SER_summary!Q$26)</f>
        <v>18.916969949000745</v>
      </c>
      <c r="R23" s="132">
        <f>IF(SER_hh_fech!R23=0,0,SER_hh_fech!R23/SER_summary!R$26)</f>
        <v>19.154726409251523</v>
      </c>
      <c r="S23" s="132">
        <f>IF(SER_hh_fech!S23=0,0,SER_hh_fech!S23/SER_summary!S$26)</f>
        <v>18.372813908165917</v>
      </c>
      <c r="T23" s="132">
        <f>IF(SER_hh_fech!T23=0,0,SER_hh_fech!T23/SER_summary!T$26)</f>
        <v>17.935683323405339</v>
      </c>
      <c r="U23" s="132">
        <f>IF(SER_hh_fech!U23=0,0,SER_hh_fech!U23/SER_summary!U$26)</f>
        <v>17.244949596479223</v>
      </c>
      <c r="V23" s="132">
        <f>IF(SER_hh_fech!V23=0,0,SER_hh_fech!V23/SER_summary!V$26)</f>
        <v>16.192789618037523</v>
      </c>
      <c r="W23" s="132">
        <f>IF(SER_hh_fech!W23=0,0,SER_hh_fech!W23/SER_summary!W$26)</f>
        <v>16.576724302309575</v>
      </c>
      <c r="X23" s="132">
        <f>IF(SER_hh_fech!X23=0,0,SER_hh_fech!X23/SER_summary!X$26)</f>
        <v>16.414462763116237</v>
      </c>
      <c r="Y23" s="132">
        <f>IF(SER_hh_fech!Y23=0,0,SER_hh_fech!Y23/SER_summary!Y$26)</f>
        <v>16.343264326684114</v>
      </c>
      <c r="DA23" s="156" t="s">
        <v>497</v>
      </c>
    </row>
    <row r="24" spans="1:105" ht="12" customHeight="1" x14ac:dyDescent="0.25">
      <c r="A24" s="131" t="s">
        <v>128</v>
      </c>
      <c r="B24" s="132">
        <f>IF(SER_hh_fech!B24=0,0,SER_hh_fech!B24/SER_summary!B$26)</f>
        <v>24.748811436821416</v>
      </c>
      <c r="C24" s="132">
        <f>IF(SER_hh_fech!C24=0,0,SER_hh_fech!C24/SER_summary!C$26)</f>
        <v>20.482087701281163</v>
      </c>
      <c r="D24" s="132">
        <f>IF(SER_hh_fech!D24=0,0,SER_hh_fech!D24/SER_summary!D$26)</f>
        <v>20.597818038093013</v>
      </c>
      <c r="E24" s="132">
        <f>IF(SER_hh_fech!E24=0,0,SER_hh_fech!E24/SER_summary!E$26)</f>
        <v>20.874446750202921</v>
      </c>
      <c r="F24" s="132">
        <f>IF(SER_hh_fech!F24=0,0,SER_hh_fech!F24/SER_summary!F$26)</f>
        <v>20.821061308170155</v>
      </c>
      <c r="G24" s="132">
        <f>IF(SER_hh_fech!G24=0,0,SER_hh_fech!G24/SER_summary!G$26)</f>
        <v>20.920015844791017</v>
      </c>
      <c r="H24" s="132">
        <f>IF(SER_hh_fech!H24=0,0,SER_hh_fech!H24/SER_summary!H$26)</f>
        <v>21.537865105590225</v>
      </c>
      <c r="I24" s="132">
        <f>IF(SER_hh_fech!I24=0,0,SER_hh_fech!I24/SER_summary!I$26)</f>
        <v>20.197086985331627</v>
      </c>
      <c r="J24" s="132">
        <f>IF(SER_hh_fech!J24=0,0,SER_hh_fech!J24/SER_summary!J$26)</f>
        <v>20.10522953690467</v>
      </c>
      <c r="K24" s="132">
        <f>IF(SER_hh_fech!K24=0,0,SER_hh_fech!K24/SER_summary!K$26)</f>
        <v>19.732016128861289</v>
      </c>
      <c r="L24" s="132">
        <f>IF(SER_hh_fech!L24=0,0,SER_hh_fech!L24/SER_summary!L$26)</f>
        <v>19.497318837603718</v>
      </c>
      <c r="M24" s="132">
        <f>IF(SER_hh_fech!M24=0,0,SER_hh_fech!M24/SER_summary!M$26)</f>
        <v>19.410178481213773</v>
      </c>
      <c r="N24" s="132">
        <f>IF(SER_hh_fech!N24=0,0,SER_hh_fech!N24/SER_summary!N$26)</f>
        <v>18.901584650365212</v>
      </c>
      <c r="O24" s="132">
        <f>IF(SER_hh_fech!O24=0,0,SER_hh_fech!O24/SER_summary!O$26)</f>
        <v>18.796872752708492</v>
      </c>
      <c r="P24" s="132">
        <f>IF(SER_hh_fech!P24=0,0,SER_hh_fech!P24/SER_summary!P$26)</f>
        <v>18.916709460063664</v>
      </c>
      <c r="Q24" s="132">
        <f>IF(SER_hh_fech!Q24=0,0,SER_hh_fech!Q24/SER_summary!Q$26)</f>
        <v>19.426424623393448</v>
      </c>
      <c r="R24" s="132">
        <f>IF(SER_hh_fech!R24=0,0,SER_hh_fech!R24/SER_summary!R$26)</f>
        <v>19.345076998673978</v>
      </c>
      <c r="S24" s="132">
        <f>IF(SER_hh_fech!S24=0,0,SER_hh_fech!S24/SER_summary!S$26)</f>
        <v>17.992564837558387</v>
      </c>
      <c r="T24" s="132">
        <f>IF(SER_hh_fech!T24=0,0,SER_hh_fech!T24/SER_summary!T$26)</f>
        <v>18.713352482782923</v>
      </c>
      <c r="U24" s="132">
        <f>IF(SER_hh_fech!U24=0,0,SER_hh_fech!U24/SER_summary!U$26)</f>
        <v>17.684578499767778</v>
      </c>
      <c r="V24" s="132">
        <f>IF(SER_hh_fech!V24=0,0,SER_hh_fech!V24/SER_summary!V$26)</f>
        <v>18.549712610217028</v>
      </c>
      <c r="W24" s="132">
        <f>IF(SER_hh_fech!W24=0,0,SER_hh_fech!W24/SER_summary!W$26)</f>
        <v>18.199710539935406</v>
      </c>
      <c r="X24" s="132">
        <f>IF(SER_hh_fech!X24=0,0,SER_hh_fech!X24/SER_summary!X$26)</f>
        <v>17.790954516207876</v>
      </c>
      <c r="Y24" s="132">
        <f>IF(SER_hh_fech!Y24=0,0,SER_hh_fech!Y24/SER_summary!Y$26)</f>
        <v>17.892920647299221</v>
      </c>
      <c r="DA24" s="156" t="s">
        <v>498</v>
      </c>
    </row>
    <row r="25" spans="1:105" ht="12" customHeight="1" x14ac:dyDescent="0.25">
      <c r="A25" s="131" t="s">
        <v>162</v>
      </c>
      <c r="B25" s="132">
        <f>IF(SER_hh_fech!B25=0,0,SER_hh_fech!B25/SER_summary!B$26)</f>
        <v>12.540295937973367</v>
      </c>
      <c r="C25" s="132">
        <f>IF(SER_hh_fech!C25=0,0,SER_hh_fech!C25/SER_summary!C$26)</f>
        <v>12.655786114282446</v>
      </c>
      <c r="D25" s="132">
        <f>IF(SER_hh_fech!D25=0,0,SER_hh_fech!D25/SER_summary!D$26)</f>
        <v>12.457415037562882</v>
      </c>
      <c r="E25" s="132">
        <f>IF(SER_hh_fech!E25=0,0,SER_hh_fech!E25/SER_summary!E$26)</f>
        <v>12.43754498907087</v>
      </c>
      <c r="F25" s="132">
        <f>IF(SER_hh_fech!F25=0,0,SER_hh_fech!F25/SER_summary!F$26)</f>
        <v>12.950413673028068</v>
      </c>
      <c r="G25" s="132">
        <f>IF(SER_hh_fech!G25=0,0,SER_hh_fech!G25/SER_summary!G$26)</f>
        <v>13.504432571913565</v>
      </c>
      <c r="H25" s="132">
        <f>IF(SER_hh_fech!H25=0,0,SER_hh_fech!H25/SER_summary!H$26)</f>
        <v>14.263619849459774</v>
      </c>
      <c r="I25" s="132">
        <f>IF(SER_hh_fech!I25=0,0,SER_hh_fech!I25/SER_summary!I$26)</f>
        <v>12.782055572492272</v>
      </c>
      <c r="J25" s="132">
        <f>IF(SER_hh_fech!J25=0,0,SER_hh_fech!J25/SER_summary!J$26)</f>
        <v>12.857945769499125</v>
      </c>
      <c r="K25" s="132">
        <f>IF(SER_hh_fech!K25=0,0,SER_hh_fech!K25/SER_summary!K$26)</f>
        <v>13.979564370568404</v>
      </c>
      <c r="L25" s="132">
        <f>IF(SER_hh_fech!L25=0,0,SER_hh_fech!L25/SER_summary!L$26)</f>
        <v>14.406656944930445</v>
      </c>
      <c r="M25" s="132">
        <f>IF(SER_hh_fech!M25=0,0,SER_hh_fech!M25/SER_summary!M$26)</f>
        <v>14.11368961654707</v>
      </c>
      <c r="N25" s="132">
        <f>IF(SER_hh_fech!N25=0,0,SER_hh_fech!N25/SER_summary!N$26)</f>
        <v>14.242433767255037</v>
      </c>
      <c r="O25" s="132">
        <f>IF(SER_hh_fech!O25=0,0,SER_hh_fech!O25/SER_summary!O$26)</f>
        <v>14.582376582371515</v>
      </c>
      <c r="P25" s="132">
        <f>IF(SER_hh_fech!P25=0,0,SER_hh_fech!P25/SER_summary!P$26)</f>
        <v>14.256951277967373</v>
      </c>
      <c r="Q25" s="132">
        <f>IF(SER_hh_fech!Q25=0,0,SER_hh_fech!Q25/SER_summary!Q$26)</f>
        <v>14.886055891427805</v>
      </c>
      <c r="R25" s="132">
        <f>IF(SER_hh_fech!R25=0,0,SER_hh_fech!R25/SER_summary!R$26)</f>
        <v>14.886636255879978</v>
      </c>
      <c r="S25" s="132">
        <f>IF(SER_hh_fech!S25=0,0,SER_hh_fech!S25/SER_summary!S$26)</f>
        <v>15.26300194891628</v>
      </c>
      <c r="T25" s="132">
        <f>IF(SER_hh_fech!T25=0,0,SER_hh_fech!T25/SER_summary!T$26)</f>
        <v>15.024185934327221</v>
      </c>
      <c r="U25" s="132">
        <f>IF(SER_hh_fech!U25=0,0,SER_hh_fech!U25/SER_summary!U$26)</f>
        <v>14.941253939166439</v>
      </c>
      <c r="V25" s="132">
        <f>IF(SER_hh_fech!V25=0,0,SER_hh_fech!V25/SER_summary!V$26)</f>
        <v>13.072324440364927</v>
      </c>
      <c r="W25" s="132">
        <f>IF(SER_hh_fech!W25=0,0,SER_hh_fech!W25/SER_summary!W$26)</f>
        <v>14.72045057979334</v>
      </c>
      <c r="X25" s="132">
        <f>IF(SER_hh_fech!X25=0,0,SER_hh_fech!X25/SER_summary!X$26)</f>
        <v>14.753518517625309</v>
      </c>
      <c r="Y25" s="132">
        <f>IF(SER_hh_fech!Y25=0,0,SER_hh_fech!Y25/SER_summary!Y$26)</f>
        <v>14.905273517094425</v>
      </c>
      <c r="DA25" s="156" t="s">
        <v>499</v>
      </c>
    </row>
    <row r="26" spans="1:105" ht="12" customHeight="1" x14ac:dyDescent="0.25">
      <c r="A26" s="131" t="s">
        <v>24</v>
      </c>
      <c r="B26" s="65">
        <f>IF(SER_hh_fech!B26=0,0,SER_hh_fech!B26/SER_summary!B$26)</f>
        <v>14.13394267715163</v>
      </c>
      <c r="C26" s="65">
        <f>IF(SER_hh_fech!C26=0,0,SER_hh_fech!C26/SER_summary!C$26)</f>
        <v>15.08286515054527</v>
      </c>
      <c r="D26" s="65">
        <f>IF(SER_hh_fech!D26=0,0,SER_hh_fech!D26/SER_summary!D$26)</f>
        <v>15.296382955021629</v>
      </c>
      <c r="E26" s="65">
        <f>IF(SER_hh_fech!E26=0,0,SER_hh_fech!E26/SER_summary!E$26)</f>
        <v>15.204212657045934</v>
      </c>
      <c r="F26" s="65">
        <f>IF(SER_hh_fech!F26=0,0,SER_hh_fech!F26/SER_summary!F$26)</f>
        <v>15.403868219337172</v>
      </c>
      <c r="G26" s="65">
        <f>IF(SER_hh_fech!G26=0,0,SER_hh_fech!G26/SER_summary!G$26)</f>
        <v>15.919760193018574</v>
      </c>
      <c r="H26" s="65">
        <f>IF(SER_hh_fech!H26=0,0,SER_hh_fech!H26/SER_summary!H$26)</f>
        <v>16.246282342134009</v>
      </c>
      <c r="I26" s="65">
        <f>IF(SER_hh_fech!I26=0,0,SER_hh_fech!I26/SER_summary!I$26)</f>
        <v>16.971523834330828</v>
      </c>
      <c r="J26" s="65">
        <f>IF(SER_hh_fech!J26=0,0,SER_hh_fech!J26/SER_summary!J$26)</f>
        <v>17.040697053807911</v>
      </c>
      <c r="K26" s="65">
        <f>IF(SER_hh_fech!K26=0,0,SER_hh_fech!K26/SER_summary!K$26)</f>
        <v>16.449755015666923</v>
      </c>
      <c r="L26" s="65">
        <f>IF(SER_hh_fech!L26=0,0,SER_hh_fech!L26/SER_summary!L$26)</f>
        <v>16.474983537193562</v>
      </c>
      <c r="M26" s="65">
        <f>IF(SER_hh_fech!M26=0,0,SER_hh_fech!M26/SER_summary!M$26)</f>
        <v>17.314178174179286</v>
      </c>
      <c r="N26" s="65">
        <f>IF(SER_hh_fech!N26=0,0,SER_hh_fech!N26/SER_summary!N$26)</f>
        <v>17.429648667263912</v>
      </c>
      <c r="O26" s="65">
        <f>IF(SER_hh_fech!O26=0,0,SER_hh_fech!O26/SER_summary!O$26)</f>
        <v>17.3638668930395</v>
      </c>
      <c r="P26" s="65">
        <f>IF(SER_hh_fech!P26=0,0,SER_hh_fech!P26/SER_summary!P$26)</f>
        <v>18.176706358175519</v>
      </c>
      <c r="Q26" s="65">
        <f>IF(SER_hh_fech!Q26=0,0,SER_hh_fech!Q26/SER_summary!Q$26)</f>
        <v>17.098090860222438</v>
      </c>
      <c r="R26" s="65">
        <f>IF(SER_hh_fech!R26=0,0,SER_hh_fech!R26/SER_summary!R$26)</f>
        <v>16.623761963442359</v>
      </c>
      <c r="S26" s="65">
        <f>IF(SER_hh_fech!S26=0,0,SER_hh_fech!S26/SER_summary!S$26)</f>
        <v>17.386766278247261</v>
      </c>
      <c r="T26" s="65">
        <f>IF(SER_hh_fech!T26=0,0,SER_hh_fech!T26/SER_summary!T$26)</f>
        <v>16.880867426035518</v>
      </c>
      <c r="U26" s="65">
        <f>IF(SER_hh_fech!U26=0,0,SER_hh_fech!U26/SER_summary!U$26)</f>
        <v>17.150558690024511</v>
      </c>
      <c r="V26" s="65">
        <f>IF(SER_hh_fech!V26=0,0,SER_hh_fech!V26/SER_summary!V$26)</f>
        <v>14.407467550885954</v>
      </c>
      <c r="W26" s="65">
        <f>IF(SER_hh_fech!W26=0,0,SER_hh_fech!W26/SER_summary!W$26)</f>
        <v>15.411940772247261</v>
      </c>
      <c r="X26" s="65">
        <f>IF(SER_hh_fech!X26=0,0,SER_hh_fech!X26/SER_summary!X$26)</f>
        <v>15.260765967737933</v>
      </c>
      <c r="Y26" s="65">
        <f>IF(SER_hh_fech!Y26=0,0,SER_hh_fech!Y26/SER_summary!Y$26)</f>
        <v>15.656289574370629</v>
      </c>
      <c r="DA26" s="109" t="s">
        <v>500</v>
      </c>
    </row>
    <row r="27" spans="1:105" ht="12" customHeight="1" x14ac:dyDescent="0.25">
      <c r="A27" s="144" t="s">
        <v>86</v>
      </c>
      <c r="B27" s="145">
        <f>IF(SER_hh_fech!B27=0,0,SER_hh_fech!B27/SER_summary!B$26)</f>
        <v>0</v>
      </c>
      <c r="C27" s="145">
        <f>IF(SER_hh_fech!C27=0,0,SER_hh_fech!C27/SER_summary!C$26)</f>
        <v>0</v>
      </c>
      <c r="D27" s="145">
        <f>IF(SER_hh_fech!D27=0,0,SER_hh_fech!D27/SER_summary!D$26)</f>
        <v>0</v>
      </c>
      <c r="E27" s="145">
        <f>IF(SER_hh_fech!E27=0,0,SER_hh_fech!E27/SER_summary!E$26)</f>
        <v>0</v>
      </c>
      <c r="F27" s="145">
        <f>IF(SER_hh_fech!F27=0,0,SER_hh_fech!F27/SER_summary!F$26)</f>
        <v>0</v>
      </c>
      <c r="G27" s="145">
        <f>IF(SER_hh_fech!G27=0,0,SER_hh_fech!G27/SER_summary!G$26)</f>
        <v>0</v>
      </c>
      <c r="H27" s="145">
        <f>IF(SER_hh_fech!H27=0,0,SER_hh_fech!H27/SER_summary!H$26)</f>
        <v>0</v>
      </c>
      <c r="I27" s="145">
        <f>IF(SER_hh_fech!I27=0,0,SER_hh_fech!I27/SER_summary!I$26)</f>
        <v>0</v>
      </c>
      <c r="J27" s="145">
        <f>IF(SER_hh_fech!J27=0,0,SER_hh_fech!J27/SER_summary!J$26)</f>
        <v>0</v>
      </c>
      <c r="K27" s="145">
        <f>IF(SER_hh_fech!K27=0,0,SER_hh_fech!K27/SER_summary!K$26)</f>
        <v>0</v>
      </c>
      <c r="L27" s="145">
        <f>IF(SER_hh_fech!L27=0,0,SER_hh_fech!L27/SER_summary!L$26)</f>
        <v>0</v>
      </c>
      <c r="M27" s="145">
        <f>IF(SER_hh_fech!M27=0,0,SER_hh_fech!M27/SER_summary!M$26)</f>
        <v>0</v>
      </c>
      <c r="N27" s="145">
        <f>IF(SER_hh_fech!N27=0,0,SER_hh_fech!N27/SER_summary!N$26)</f>
        <v>0</v>
      </c>
      <c r="O27" s="145">
        <f>IF(SER_hh_fech!O27=0,0,SER_hh_fech!O27/SER_summary!O$26)</f>
        <v>0</v>
      </c>
      <c r="P27" s="145">
        <f>IF(SER_hh_fech!P27=0,0,SER_hh_fech!P27/SER_summary!P$26)</f>
        <v>0</v>
      </c>
      <c r="Q27" s="145">
        <f>IF(SER_hh_fech!Q27=0,0,SER_hh_fech!Q27/SER_summary!Q$26)</f>
        <v>0</v>
      </c>
      <c r="R27" s="145">
        <f>IF(SER_hh_fech!R27=0,0,SER_hh_fech!R27/SER_summary!R$26)</f>
        <v>0</v>
      </c>
      <c r="S27" s="145">
        <f>IF(SER_hh_fech!S27=0,0,SER_hh_fech!S27/SER_summary!S$26)</f>
        <v>0</v>
      </c>
      <c r="T27" s="145">
        <f>IF(SER_hh_fech!T27=0,0,SER_hh_fech!T27/SER_summary!T$26)</f>
        <v>0</v>
      </c>
      <c r="U27" s="145">
        <f>IF(SER_hh_fech!U27=0,0,SER_hh_fech!U27/SER_summary!U$26)</f>
        <v>0</v>
      </c>
      <c r="V27" s="145">
        <f>IF(SER_hh_fech!V27=0,0,SER_hh_fech!V27/SER_summary!V$26)</f>
        <v>0</v>
      </c>
      <c r="W27" s="145">
        <f>IF(SER_hh_fech!W27=0,0,SER_hh_fech!W27/SER_summary!W$26)</f>
        <v>0</v>
      </c>
      <c r="X27" s="145">
        <f>IF(SER_hh_fech!X27=0,0,SER_hh_fech!X27/SER_summary!X$26)</f>
        <v>0</v>
      </c>
      <c r="Y27" s="145">
        <f>IF(SER_hh_fech!Y27=0,0,SER_hh_fech!Y27/SER_summary!Y$26)</f>
        <v>0</v>
      </c>
      <c r="DA27" s="158" t="s">
        <v>501</v>
      </c>
    </row>
    <row r="28" spans="1:105" ht="12" customHeight="1" x14ac:dyDescent="0.25">
      <c r="A28" s="78" t="s">
        <v>85</v>
      </c>
      <c r="B28" s="146">
        <f>IF(SER_hh_fech!B28=0,0,SER_hh_fech!B28/SER_summary!B$26)</f>
        <v>0</v>
      </c>
      <c r="C28" s="146">
        <f>IF(SER_hh_fech!C28=0,0,SER_hh_fech!C28/SER_summary!C$26)</f>
        <v>0</v>
      </c>
      <c r="D28" s="146">
        <f>IF(SER_hh_fech!D28=0,0,SER_hh_fech!D28/SER_summary!D$26)</f>
        <v>0</v>
      </c>
      <c r="E28" s="146">
        <f>IF(SER_hh_fech!E28=0,0,SER_hh_fech!E28/SER_summary!E$26)</f>
        <v>0</v>
      </c>
      <c r="F28" s="146">
        <f>IF(SER_hh_fech!F28=0,0,SER_hh_fech!F28/SER_summary!F$26)</f>
        <v>0</v>
      </c>
      <c r="G28" s="146">
        <f>IF(SER_hh_fech!G28=0,0,SER_hh_fech!G28/SER_summary!G$26)</f>
        <v>0</v>
      </c>
      <c r="H28" s="146">
        <f>IF(SER_hh_fech!H28=0,0,SER_hh_fech!H28/SER_summary!H$26)</f>
        <v>0</v>
      </c>
      <c r="I28" s="146">
        <f>IF(SER_hh_fech!I28=0,0,SER_hh_fech!I28/SER_summary!I$26)</f>
        <v>0</v>
      </c>
      <c r="J28" s="146">
        <f>IF(SER_hh_fech!J28=0,0,SER_hh_fech!J28/SER_summary!J$26)</f>
        <v>0</v>
      </c>
      <c r="K28" s="146">
        <f>IF(SER_hh_fech!K28=0,0,SER_hh_fech!K28/SER_summary!K$26)</f>
        <v>0</v>
      </c>
      <c r="L28" s="146">
        <f>IF(SER_hh_fech!L28=0,0,SER_hh_fech!L28/SER_summary!L$26)</f>
        <v>0</v>
      </c>
      <c r="M28" s="146">
        <f>IF(SER_hh_fech!M28=0,0,SER_hh_fech!M28/SER_summary!M$26)</f>
        <v>0</v>
      </c>
      <c r="N28" s="146">
        <f>IF(SER_hh_fech!N28=0,0,SER_hh_fech!N28/SER_summary!N$26)</f>
        <v>0</v>
      </c>
      <c r="O28" s="146">
        <f>IF(SER_hh_fech!O28=0,0,SER_hh_fech!O28/SER_summary!O$26)</f>
        <v>0</v>
      </c>
      <c r="P28" s="146">
        <f>IF(SER_hh_fech!P28=0,0,SER_hh_fech!P28/SER_summary!P$26)</f>
        <v>0</v>
      </c>
      <c r="Q28" s="146">
        <f>IF(SER_hh_fech!Q28=0,0,SER_hh_fech!Q28/SER_summary!Q$26)</f>
        <v>0</v>
      </c>
      <c r="R28" s="146">
        <f>IF(SER_hh_fech!R28=0,0,SER_hh_fech!R28/SER_summary!R$26)</f>
        <v>0</v>
      </c>
      <c r="S28" s="146">
        <f>IF(SER_hh_fech!S28=0,0,SER_hh_fech!S28/SER_summary!S$26)</f>
        <v>0</v>
      </c>
      <c r="T28" s="146">
        <f>IF(SER_hh_fech!T28=0,0,SER_hh_fech!T28/SER_summary!T$26)</f>
        <v>0</v>
      </c>
      <c r="U28" s="146">
        <f>IF(SER_hh_fech!U28=0,0,SER_hh_fech!U28/SER_summary!U$26)</f>
        <v>0</v>
      </c>
      <c r="V28" s="146">
        <f>IF(SER_hh_fech!V28=0,0,SER_hh_fech!V28/SER_summary!V$26)</f>
        <v>0</v>
      </c>
      <c r="W28" s="146">
        <f>IF(SER_hh_fech!W28=0,0,SER_hh_fech!W28/SER_summary!W$26)</f>
        <v>0</v>
      </c>
      <c r="X28" s="146">
        <f>IF(SER_hh_fech!X28=0,0,SER_hh_fech!X28/SER_summary!X$26)</f>
        <v>0</v>
      </c>
      <c r="Y28" s="146">
        <f>IF(SER_hh_fech!Y28=0,0,SER_hh_fech!Y28/SER_summary!Y$26)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IF(SER_hh_fech!B29=0,0,SER_hh_fech!B29/SER_summary!B$26)</f>
        <v>14.981654196533166</v>
      </c>
      <c r="C29" s="130">
        <f>IF(SER_hh_fech!C29=0,0,SER_hh_fech!C29/SER_summary!C$26)</f>
        <v>14.701818724826769</v>
      </c>
      <c r="D29" s="130">
        <f>IF(SER_hh_fech!D29=0,0,SER_hh_fech!D29/SER_summary!D$26)</f>
        <v>14.802778366158371</v>
      </c>
      <c r="E29" s="130">
        <f>IF(SER_hh_fech!E29=0,0,SER_hh_fech!E29/SER_summary!E$26)</f>
        <v>14.602551918696749</v>
      </c>
      <c r="F29" s="130">
        <f>IF(SER_hh_fech!F29=0,0,SER_hh_fech!F29/SER_summary!F$26)</f>
        <v>14.561041916369698</v>
      </c>
      <c r="G29" s="130">
        <f>IF(SER_hh_fech!G29=0,0,SER_hh_fech!G29/SER_summary!G$26)</f>
        <v>14.799039945952256</v>
      </c>
      <c r="H29" s="130">
        <f>IF(SER_hh_fech!H29=0,0,SER_hh_fech!H29/SER_summary!H$26)</f>
        <v>15.615581579045696</v>
      </c>
      <c r="I29" s="130">
        <f>IF(SER_hh_fech!I29=0,0,SER_hh_fech!I29/SER_summary!I$26)</f>
        <v>15.118840570406038</v>
      </c>
      <c r="J29" s="130">
        <f>IF(SER_hh_fech!J29=0,0,SER_hh_fech!J29/SER_summary!J$26)</f>
        <v>14.580841712370377</v>
      </c>
      <c r="K29" s="130">
        <f>IF(SER_hh_fech!K29=0,0,SER_hh_fech!K29/SER_summary!K$26)</f>
        <v>15.001924405156208</v>
      </c>
      <c r="L29" s="130">
        <f>IF(SER_hh_fech!L29=0,0,SER_hh_fech!L29/SER_summary!L$26)</f>
        <v>14.926320991034505</v>
      </c>
      <c r="M29" s="130">
        <f>IF(SER_hh_fech!M29=0,0,SER_hh_fech!M29/SER_summary!M$26)</f>
        <v>14.736534820513709</v>
      </c>
      <c r="N29" s="130">
        <f>IF(SER_hh_fech!N29=0,0,SER_hh_fech!N29/SER_summary!N$26)</f>
        <v>15.107634316273732</v>
      </c>
      <c r="O29" s="130">
        <f>IF(SER_hh_fech!O29=0,0,SER_hh_fech!O29/SER_summary!O$26)</f>
        <v>15.001656397397182</v>
      </c>
      <c r="P29" s="130">
        <f>IF(SER_hh_fech!P29=0,0,SER_hh_fech!P29/SER_summary!P$26)</f>
        <v>14.851604432909438</v>
      </c>
      <c r="Q29" s="130">
        <f>IF(SER_hh_fech!Q29=0,0,SER_hh_fech!Q29/SER_summary!Q$26)</f>
        <v>14.501347747513938</v>
      </c>
      <c r="R29" s="130">
        <f>IF(SER_hh_fech!R29=0,0,SER_hh_fech!R29/SER_summary!R$26)</f>
        <v>14.543567210301246</v>
      </c>
      <c r="S29" s="130">
        <f>IF(SER_hh_fech!S29=0,0,SER_hh_fech!S29/SER_summary!S$26)</f>
        <v>14.984500017329852</v>
      </c>
      <c r="T29" s="130">
        <f>IF(SER_hh_fech!T29=0,0,SER_hh_fech!T29/SER_summary!T$26)</f>
        <v>15.048748800806282</v>
      </c>
      <c r="U29" s="130">
        <f>IF(SER_hh_fech!U29=0,0,SER_hh_fech!U29/SER_summary!U$26)</f>
        <v>15.970586373951535</v>
      </c>
      <c r="V29" s="130">
        <f>IF(SER_hh_fech!V29=0,0,SER_hh_fech!V29/SER_summary!V$26)</f>
        <v>14.979565668699975</v>
      </c>
      <c r="W29" s="130">
        <f>IF(SER_hh_fech!W29=0,0,SER_hh_fech!W29/SER_summary!W$26)</f>
        <v>16.182463930282644</v>
      </c>
      <c r="X29" s="130">
        <f>IF(SER_hh_fech!X29=0,0,SER_hh_fech!X29/SER_summary!X$26)</f>
        <v>16.108619403707689</v>
      </c>
      <c r="Y29" s="130">
        <f>IF(SER_hh_fech!Y29=0,0,SER_hh_fech!Y29/SER_summary!Y$26)</f>
        <v>16.365896454318474</v>
      </c>
      <c r="DA29" s="155" t="s">
        <v>502</v>
      </c>
    </row>
    <row r="30" spans="1:105" ht="12" customHeight="1" x14ac:dyDescent="0.25">
      <c r="A30" s="131" t="s">
        <v>52</v>
      </c>
      <c r="B30" s="132">
        <f>IF(SER_hh_fech!B30=0,0,SER_hh_fech!B30/SER_summary!B$26)</f>
        <v>0</v>
      </c>
      <c r="C30" s="132">
        <f>IF(SER_hh_fech!C30=0,0,SER_hh_fech!C30/SER_summary!C$26)</f>
        <v>0</v>
      </c>
      <c r="D30" s="132">
        <f>IF(SER_hh_fech!D30=0,0,SER_hh_fech!D30/SER_summary!D$26)</f>
        <v>0</v>
      </c>
      <c r="E30" s="132">
        <f>IF(SER_hh_fech!E30=0,0,SER_hh_fech!E30/SER_summary!E$26)</f>
        <v>0</v>
      </c>
      <c r="F30" s="132">
        <f>IF(SER_hh_fech!F30=0,0,SER_hh_fech!F30/SER_summary!F$26)</f>
        <v>0</v>
      </c>
      <c r="G30" s="132">
        <f>IF(SER_hh_fech!G30=0,0,SER_hh_fech!G30/SER_summary!G$26)</f>
        <v>0</v>
      </c>
      <c r="H30" s="132">
        <f>IF(SER_hh_fech!H30=0,0,SER_hh_fech!H30/SER_summary!H$26)</f>
        <v>0</v>
      </c>
      <c r="I30" s="132">
        <f>IF(SER_hh_fech!I30=0,0,SER_hh_fech!I30/SER_summary!I$26)</f>
        <v>0</v>
      </c>
      <c r="J30" s="132">
        <f>IF(SER_hh_fech!J30=0,0,SER_hh_fech!J30/SER_summary!J$26)</f>
        <v>0</v>
      </c>
      <c r="K30" s="132">
        <f>IF(SER_hh_fech!K30=0,0,SER_hh_fech!K30/SER_summary!K$26)</f>
        <v>0</v>
      </c>
      <c r="L30" s="132">
        <f>IF(SER_hh_fech!L30=0,0,SER_hh_fech!L30/SER_summary!L$26)</f>
        <v>0</v>
      </c>
      <c r="M30" s="132">
        <f>IF(SER_hh_fech!M30=0,0,SER_hh_fech!M30/SER_summary!M$26)</f>
        <v>0</v>
      </c>
      <c r="N30" s="132">
        <f>IF(SER_hh_fech!N30=0,0,SER_hh_fech!N30/SER_summary!N$26)</f>
        <v>0</v>
      </c>
      <c r="O30" s="132">
        <f>IF(SER_hh_fech!O30=0,0,SER_hh_fech!O30/SER_summary!O$26)</f>
        <v>0</v>
      </c>
      <c r="P30" s="132">
        <f>IF(SER_hh_fech!P30=0,0,SER_hh_fech!P30/SER_summary!P$26)</f>
        <v>0</v>
      </c>
      <c r="Q30" s="132">
        <f>IF(SER_hh_fech!Q30=0,0,SER_hh_fech!Q30/SER_summary!Q$26)</f>
        <v>0</v>
      </c>
      <c r="R30" s="132">
        <f>IF(SER_hh_fech!R30=0,0,SER_hh_fech!R30/SER_summary!R$26)</f>
        <v>0</v>
      </c>
      <c r="S30" s="132">
        <f>IF(SER_hh_fech!S30=0,0,SER_hh_fech!S30/SER_summary!S$26)</f>
        <v>0</v>
      </c>
      <c r="T30" s="132">
        <f>IF(SER_hh_fech!T30=0,0,SER_hh_fech!T30/SER_summary!T$26)</f>
        <v>0</v>
      </c>
      <c r="U30" s="132">
        <f>IF(SER_hh_fech!U30=0,0,SER_hh_fech!U30/SER_summary!U$26)</f>
        <v>0</v>
      </c>
      <c r="V30" s="132">
        <f>IF(SER_hh_fech!V30=0,0,SER_hh_fech!V30/SER_summary!V$26)</f>
        <v>0</v>
      </c>
      <c r="W30" s="132">
        <f>IF(SER_hh_fech!W30=0,0,SER_hh_fech!W30/SER_summary!W$26)</f>
        <v>0</v>
      </c>
      <c r="X30" s="132">
        <f>IF(SER_hh_fech!X30=0,0,SER_hh_fech!X30/SER_summary!X$26)</f>
        <v>0</v>
      </c>
      <c r="Y30" s="132">
        <f>IF(SER_hh_fech!Y30=0,0,SER_hh_fech!Y30/SER_summary!Y$26)</f>
        <v>0</v>
      </c>
      <c r="DA30" s="156" t="s">
        <v>503</v>
      </c>
    </row>
    <row r="31" spans="1:105" ht="12" customHeight="1" x14ac:dyDescent="0.25">
      <c r="A31" s="131" t="s">
        <v>149</v>
      </c>
      <c r="B31" s="132">
        <f>IF(SER_hh_fech!B31=0,0,SER_hh_fech!B31/SER_summary!B$26)</f>
        <v>17.859957705075612</v>
      </c>
      <c r="C31" s="132">
        <f>IF(SER_hh_fech!C31=0,0,SER_hh_fech!C31/SER_summary!C$26)</f>
        <v>17.835489465088415</v>
      </c>
      <c r="D31" s="132">
        <f>IF(SER_hh_fech!D31=0,0,SER_hh_fech!D31/SER_summary!D$26)</f>
        <v>18.772078174850876</v>
      </c>
      <c r="E31" s="132">
        <f>IF(SER_hh_fech!E31=0,0,SER_hh_fech!E31/SER_summary!E$26)</f>
        <v>18.767713343204633</v>
      </c>
      <c r="F31" s="132">
        <f>IF(SER_hh_fech!F31=0,0,SER_hh_fech!F31/SER_summary!F$26)</f>
        <v>17.316127903799178</v>
      </c>
      <c r="G31" s="132">
        <f>IF(SER_hh_fech!G31=0,0,SER_hh_fech!G31/SER_summary!G$26)</f>
        <v>17.798652814492236</v>
      </c>
      <c r="H31" s="132">
        <f>IF(SER_hh_fech!H31=0,0,SER_hh_fech!H31/SER_summary!H$26)</f>
        <v>17.247213333512853</v>
      </c>
      <c r="I31" s="132">
        <f>IF(SER_hh_fech!I31=0,0,SER_hh_fech!I31/SER_summary!I$26)</f>
        <v>19.448856290195906</v>
      </c>
      <c r="J31" s="132">
        <f>IF(SER_hh_fech!J31=0,0,SER_hh_fech!J31/SER_summary!J$26)</f>
        <v>19.229261388594143</v>
      </c>
      <c r="K31" s="132">
        <f>IF(SER_hh_fech!K31=0,0,SER_hh_fech!K31/SER_summary!K$26)</f>
        <v>18.735092474437671</v>
      </c>
      <c r="L31" s="132">
        <f>IF(SER_hh_fech!L31=0,0,SER_hh_fech!L31/SER_summary!L$26)</f>
        <v>18.259146785227841</v>
      </c>
      <c r="M31" s="132">
        <f>IF(SER_hh_fech!M31=0,0,SER_hh_fech!M31/SER_summary!M$26)</f>
        <v>18.963567368201414</v>
      </c>
      <c r="N31" s="132">
        <f>IF(SER_hh_fech!N31=0,0,SER_hh_fech!N31/SER_summary!N$26)</f>
        <v>18.928358484962626</v>
      </c>
      <c r="O31" s="132">
        <f>IF(SER_hh_fech!O31=0,0,SER_hh_fech!O31/SER_summary!O$26)</f>
        <v>17.780398317928146</v>
      </c>
      <c r="P31" s="132">
        <f>IF(SER_hh_fech!P31=0,0,SER_hh_fech!P31/SER_summary!P$26)</f>
        <v>16.99111416031295</v>
      </c>
      <c r="Q31" s="132">
        <f>IF(SER_hh_fech!Q31=0,0,SER_hh_fech!Q31/SER_summary!Q$26)</f>
        <v>18.96643650929796</v>
      </c>
      <c r="R31" s="132">
        <f>IF(SER_hh_fech!R31=0,0,SER_hh_fech!R31/SER_summary!R$26)</f>
        <v>19.737663174664828</v>
      </c>
      <c r="S31" s="132">
        <f>IF(SER_hh_fech!S31=0,0,SER_hh_fech!S31/SER_summary!S$26)</f>
        <v>19.156850383640279</v>
      </c>
      <c r="T31" s="132">
        <f>IF(SER_hh_fech!T31=0,0,SER_hh_fech!T31/SER_summary!T$26)</f>
        <v>22.178871192488394</v>
      </c>
      <c r="U31" s="132">
        <f>IF(SER_hh_fech!U31=0,0,SER_hh_fech!U31/SER_summary!U$26)</f>
        <v>18.5205253710485</v>
      </c>
      <c r="V31" s="132">
        <f>IF(SER_hh_fech!V31=0,0,SER_hh_fech!V31/SER_summary!V$26)</f>
        <v>17.042419597497645</v>
      </c>
      <c r="W31" s="132">
        <f>IF(SER_hh_fech!W31=0,0,SER_hh_fech!W31/SER_summary!W$26)</f>
        <v>18.747035712152261</v>
      </c>
      <c r="X31" s="132">
        <f>IF(SER_hh_fech!X31=0,0,SER_hh_fech!X31/SER_summary!X$26)</f>
        <v>21.486369880151354</v>
      </c>
      <c r="Y31" s="132">
        <f>IF(SER_hh_fech!Y31=0,0,SER_hh_fech!Y31/SER_summary!Y$26)</f>
        <v>23.303556381389409</v>
      </c>
      <c r="DA31" s="156" t="s">
        <v>504</v>
      </c>
    </row>
    <row r="32" spans="1:105" ht="12" customHeight="1" x14ac:dyDescent="0.25">
      <c r="A32" s="131" t="s">
        <v>128</v>
      </c>
      <c r="B32" s="132">
        <f>IF(SER_hh_fech!B32=0,0,SER_hh_fech!B32/SER_summary!B$26)</f>
        <v>0</v>
      </c>
      <c r="C32" s="132">
        <f>IF(SER_hh_fech!C32=0,0,SER_hh_fech!C32/SER_summary!C$26)</f>
        <v>0</v>
      </c>
      <c r="D32" s="132">
        <f>IF(SER_hh_fech!D32=0,0,SER_hh_fech!D32/SER_summary!D$26)</f>
        <v>0</v>
      </c>
      <c r="E32" s="132">
        <f>IF(SER_hh_fech!E32=0,0,SER_hh_fech!E32/SER_summary!E$26)</f>
        <v>0</v>
      </c>
      <c r="F32" s="132">
        <f>IF(SER_hh_fech!F32=0,0,SER_hh_fech!F32/SER_summary!F$26)</f>
        <v>0</v>
      </c>
      <c r="G32" s="132">
        <f>IF(SER_hh_fech!G32=0,0,SER_hh_fech!G32/SER_summary!G$26)</f>
        <v>26.455921298114443</v>
      </c>
      <c r="H32" s="132">
        <f>IF(SER_hh_fech!H32=0,0,SER_hh_fech!H32/SER_summary!H$26)</f>
        <v>18.070673889240677</v>
      </c>
      <c r="I32" s="132">
        <f>IF(SER_hh_fech!I32=0,0,SER_hh_fech!I32/SER_summary!I$26)</f>
        <v>14.455234701745818</v>
      </c>
      <c r="J32" s="132">
        <f>IF(SER_hh_fech!J32=0,0,SER_hh_fech!J32/SER_summary!J$26)</f>
        <v>24.674041941843715</v>
      </c>
      <c r="K32" s="132">
        <f>IF(SER_hh_fech!K32=0,0,SER_hh_fech!K32/SER_summary!K$26)</f>
        <v>12.225940311979798</v>
      </c>
      <c r="L32" s="132">
        <f>IF(SER_hh_fech!L32=0,0,SER_hh_fech!L32/SER_summary!L$26)</f>
        <v>21.546833195788071</v>
      </c>
      <c r="M32" s="132">
        <f>IF(SER_hh_fech!M32=0,0,SER_hh_fech!M32/SER_summary!M$26)</f>
        <v>23.052838845822318</v>
      </c>
      <c r="N32" s="132">
        <f>IF(SER_hh_fech!N32=0,0,SER_hh_fech!N32/SER_summary!N$26)</f>
        <v>11.041549684928917</v>
      </c>
      <c r="O32" s="132">
        <f>IF(SER_hh_fech!O32=0,0,SER_hh_fech!O32/SER_summary!O$26)</f>
        <v>11.805811260845122</v>
      </c>
      <c r="P32" s="132">
        <f>IF(SER_hh_fech!P32=0,0,SER_hh_fech!P32/SER_summary!P$26)</f>
        <v>11.108237394228805</v>
      </c>
      <c r="Q32" s="132">
        <f>IF(SER_hh_fech!Q32=0,0,SER_hh_fech!Q32/SER_summary!Q$26)</f>
        <v>21.69352255723976</v>
      </c>
      <c r="R32" s="132">
        <f>IF(SER_hh_fech!R32=0,0,SER_hh_fech!R32/SER_summary!R$26)</f>
        <v>18.732469624596266</v>
      </c>
      <c r="S32" s="132">
        <f>IF(SER_hh_fech!S32=0,0,SER_hh_fech!S32/SER_summary!S$26)</f>
        <v>18.74366308207442</v>
      </c>
      <c r="T32" s="132">
        <f>IF(SER_hh_fech!T32=0,0,SER_hh_fech!T32/SER_summary!T$26)</f>
        <v>18.873400542801356</v>
      </c>
      <c r="U32" s="132">
        <f>IF(SER_hh_fech!U32=0,0,SER_hh_fech!U32/SER_summary!U$26)</f>
        <v>21.547193154583518</v>
      </c>
      <c r="V32" s="132">
        <f>IF(SER_hh_fech!V32=0,0,SER_hh_fech!V32/SER_summary!V$26)</f>
        <v>18.85559687637387</v>
      </c>
      <c r="W32" s="132">
        <f>IF(SER_hh_fech!W32=0,0,SER_hh_fech!W32/SER_summary!W$26)</f>
        <v>24.412544038178982</v>
      </c>
      <c r="X32" s="132">
        <f>IF(SER_hh_fech!X32=0,0,SER_hh_fech!X32/SER_summary!X$26)</f>
        <v>23.234267932317746</v>
      </c>
      <c r="Y32" s="132">
        <f>IF(SER_hh_fech!Y32=0,0,SER_hh_fech!Y32/SER_summary!Y$26)</f>
        <v>21.896530028303609</v>
      </c>
      <c r="DA32" s="156" t="s">
        <v>505</v>
      </c>
    </row>
    <row r="33" spans="1:105" ht="12" customHeight="1" x14ac:dyDescent="0.25">
      <c r="A33" s="62" t="s">
        <v>24</v>
      </c>
      <c r="B33" s="68">
        <f>IF(SER_hh_fech!B33=0,0,SER_hh_fech!B33/SER_summary!B$26)</f>
        <v>14.211285301223203</v>
      </c>
      <c r="C33" s="68">
        <f>IF(SER_hh_fech!C33=0,0,SER_hh_fech!C33/SER_summary!C$26)</f>
        <v>13.833921708228097</v>
      </c>
      <c r="D33" s="68">
        <f>IF(SER_hh_fech!D33=0,0,SER_hh_fech!D33/SER_summary!D$26)</f>
        <v>13.667939527164727</v>
      </c>
      <c r="E33" s="68">
        <f>IF(SER_hh_fech!E33=0,0,SER_hh_fech!E33/SER_summary!E$26)</f>
        <v>13.460509370542399</v>
      </c>
      <c r="F33" s="68">
        <f>IF(SER_hh_fech!F33=0,0,SER_hh_fech!F33/SER_summary!F$26)</f>
        <v>13.862570019427357</v>
      </c>
      <c r="G33" s="68">
        <f>IF(SER_hh_fech!G33=0,0,SER_hh_fech!G33/SER_summary!G$26)</f>
        <v>13.927336827375321</v>
      </c>
      <c r="H33" s="68">
        <f>IF(SER_hh_fech!H33=0,0,SER_hh_fech!H33/SER_summary!H$26)</f>
        <v>15.147564125884793</v>
      </c>
      <c r="I33" s="68">
        <f>IF(SER_hh_fech!I33=0,0,SER_hh_fech!I33/SER_summary!I$26)</f>
        <v>13.916758444561612</v>
      </c>
      <c r="J33" s="68">
        <f>IF(SER_hh_fech!J33=0,0,SER_hh_fech!J33/SER_summary!J$26)</f>
        <v>12.988902406207629</v>
      </c>
      <c r="K33" s="68">
        <f>IF(SER_hh_fech!K33=0,0,SER_hh_fech!K33/SER_summary!K$26)</f>
        <v>13.950764944818697</v>
      </c>
      <c r="L33" s="68">
        <f>IF(SER_hh_fech!L33=0,0,SER_hh_fech!L33/SER_summary!L$26)</f>
        <v>13.848032756924777</v>
      </c>
      <c r="M33" s="68">
        <f>IF(SER_hh_fech!M33=0,0,SER_hh_fech!M33/SER_summary!M$26)</f>
        <v>13.542586447193436</v>
      </c>
      <c r="N33" s="68">
        <f>IF(SER_hh_fech!N33=0,0,SER_hh_fech!N33/SER_summary!N$26)</f>
        <v>14.423663114095177</v>
      </c>
      <c r="O33" s="68">
        <f>IF(SER_hh_fech!O33=0,0,SER_hh_fech!O33/SER_summary!O$26)</f>
        <v>14.58775131983019</v>
      </c>
      <c r="P33" s="68">
        <f>IF(SER_hh_fech!P33=0,0,SER_hh_fech!P33/SER_summary!P$26)</f>
        <v>14.594669067123128</v>
      </c>
      <c r="Q33" s="68">
        <f>IF(SER_hh_fech!Q33=0,0,SER_hh_fech!Q33/SER_summary!Q$26)</f>
        <v>13.651005193880994</v>
      </c>
      <c r="R33" s="68">
        <f>IF(SER_hh_fech!R33=0,0,SER_hh_fech!R33/SER_summary!R$26)</f>
        <v>13.610891657641472</v>
      </c>
      <c r="S33" s="68">
        <f>IF(SER_hh_fech!S33=0,0,SER_hh_fech!S33/SER_summary!S$26)</f>
        <v>14.262251148791337</v>
      </c>
      <c r="T33" s="68">
        <f>IF(SER_hh_fech!T33=0,0,SER_hh_fech!T33/SER_summary!T$26)</f>
        <v>14.002327303500172</v>
      </c>
      <c r="U33" s="68">
        <f>IF(SER_hh_fech!U33=0,0,SER_hh_fech!U33/SER_summary!U$26)</f>
        <v>15.52929568521396</v>
      </c>
      <c r="V33" s="68">
        <f>IF(SER_hh_fech!V33=0,0,SER_hh_fech!V33/SER_summary!V$26)</f>
        <v>14.663998827724742</v>
      </c>
      <c r="W33" s="68">
        <f>IF(SER_hh_fech!W33=0,0,SER_hh_fech!W33/SER_summary!W$26)</f>
        <v>15.623590998803509</v>
      </c>
      <c r="X33" s="68">
        <f>IF(SER_hh_fech!X33=0,0,SER_hh_fech!X33/SER_summary!X$26)</f>
        <v>15.31203539233757</v>
      </c>
      <c r="Y33" s="68">
        <f>IF(SER_hh_fech!Y33=0,0,SER_hh_fech!Y33/SER_summary!Y$26)</f>
        <v>15.387712280677649</v>
      </c>
      <c r="DA33" s="111" t="s">
        <v>506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>
        <f>IF(SER_hh_tesh!B3=0,0,SER_hh_tesh!B3/SER_summary!B$26)</f>
        <v>100.51815653563435</v>
      </c>
      <c r="C3" s="125">
        <f>IF(SER_hh_tesh!C3=0,0,SER_hh_tesh!C3/SER_summary!C$26)</f>
        <v>98.675106512863138</v>
      </c>
      <c r="D3" s="125">
        <f>IF(SER_hh_tesh!D3=0,0,SER_hh_tesh!D3/SER_summary!D$26)</f>
        <v>96.662609521107825</v>
      </c>
      <c r="E3" s="125">
        <f>IF(SER_hh_tesh!E3=0,0,SER_hh_tesh!E3/SER_summary!E$26)</f>
        <v>96.088887626328898</v>
      </c>
      <c r="F3" s="125">
        <f>IF(SER_hh_tesh!F3=0,0,SER_hh_tesh!F3/SER_summary!F$26)</f>
        <v>95.323562532774687</v>
      </c>
      <c r="G3" s="125">
        <f>IF(SER_hh_tesh!G3=0,0,SER_hh_tesh!G3/SER_summary!G$26)</f>
        <v>92.683161970610229</v>
      </c>
      <c r="H3" s="125">
        <f>IF(SER_hh_tesh!H3=0,0,SER_hh_tesh!H3/SER_summary!H$26)</f>
        <v>97.850009883562905</v>
      </c>
      <c r="I3" s="125">
        <f>IF(SER_hh_tesh!I3=0,0,SER_hh_tesh!I3/SER_summary!I$26)</f>
        <v>91.203248616903892</v>
      </c>
      <c r="J3" s="125">
        <f>IF(SER_hh_tesh!J3=0,0,SER_hh_tesh!J3/SER_summary!J$26)</f>
        <v>82.178845779280934</v>
      </c>
      <c r="K3" s="125">
        <f>IF(SER_hh_tesh!K3=0,0,SER_hh_tesh!K3/SER_summary!K$26)</f>
        <v>80.449265611880165</v>
      </c>
      <c r="L3" s="125">
        <f>IF(SER_hh_tesh!L3=0,0,SER_hh_tesh!L3/SER_summary!L$26)</f>
        <v>82.120874784167569</v>
      </c>
      <c r="M3" s="125">
        <f>IF(SER_hh_tesh!M3=0,0,SER_hh_tesh!M3/SER_summary!M$26)</f>
        <v>76.276244961077921</v>
      </c>
      <c r="N3" s="125">
        <f>IF(SER_hh_tesh!N3=0,0,SER_hh_tesh!N3/SER_summary!N$26)</f>
        <v>81.90639949574178</v>
      </c>
      <c r="O3" s="125">
        <f>IF(SER_hh_tesh!O3=0,0,SER_hh_tesh!O3/SER_summary!O$26)</f>
        <v>75.932418226137969</v>
      </c>
      <c r="P3" s="125">
        <f>IF(SER_hh_tesh!P3=0,0,SER_hh_tesh!P3/SER_summary!P$26)</f>
        <v>73.616814872030432</v>
      </c>
      <c r="Q3" s="125">
        <f>IF(SER_hh_tesh!Q3=0,0,SER_hh_tesh!Q3/SER_summary!Q$26)</f>
        <v>70.921706641989502</v>
      </c>
      <c r="R3" s="125">
        <f>IF(SER_hh_tesh!R3=0,0,SER_hh_tesh!R3/SER_summary!R$26)</f>
        <v>75.031374029682837</v>
      </c>
      <c r="S3" s="125">
        <f>IF(SER_hh_tesh!S3=0,0,SER_hh_tesh!S3/SER_summary!S$26)</f>
        <v>80.719195251659499</v>
      </c>
      <c r="T3" s="125">
        <f>IF(SER_hh_tesh!T3=0,0,SER_hh_tesh!T3/SER_summary!T$26)</f>
        <v>84.452709171398581</v>
      </c>
      <c r="U3" s="125">
        <f>IF(SER_hh_tesh!U3=0,0,SER_hh_tesh!U3/SER_summary!U$26)</f>
        <v>80.711164114010032</v>
      </c>
      <c r="V3" s="125">
        <f>IF(SER_hh_tesh!V3=0,0,SER_hh_tesh!V3/SER_summary!V$26)</f>
        <v>73.438968290542491</v>
      </c>
      <c r="W3" s="125">
        <f>IF(SER_hh_tesh!W3=0,0,SER_hh_tesh!W3/SER_summary!W$26)</f>
        <v>87.064754734596789</v>
      </c>
      <c r="X3" s="125">
        <f>IF(SER_hh_tesh!X3=0,0,SER_hh_tesh!X3/SER_summary!X$26)</f>
        <v>83.553440770935694</v>
      </c>
      <c r="Y3" s="125">
        <f>IF(SER_hh_tesh!Y3=0,0,SER_hh_tesh!Y3/SER_summary!Y$26)</f>
        <v>82.964958994611607</v>
      </c>
      <c r="DA3" s="154" t="s">
        <v>508</v>
      </c>
    </row>
    <row r="4" spans="1:105" ht="12.95" customHeight="1" x14ac:dyDescent="0.25">
      <c r="A4" s="129" t="s">
        <v>32</v>
      </c>
      <c r="B4" s="130">
        <f>IF(SER_hh_tesh!B4=0,0,SER_hh_tesh!B4/SER_summary!B$26)</f>
        <v>80.306254363978383</v>
      </c>
      <c r="C4" s="130">
        <f>IF(SER_hh_tesh!C4=0,0,SER_hh_tesh!C4/SER_summary!C$26)</f>
        <v>78.413705773773742</v>
      </c>
      <c r="D4" s="130">
        <f>IF(SER_hh_tesh!D4=0,0,SER_hh_tesh!D4/SER_summary!D$26)</f>
        <v>76.126880549621987</v>
      </c>
      <c r="E4" s="130">
        <f>IF(SER_hh_tesh!E4=0,0,SER_hh_tesh!E4/SER_summary!E$26)</f>
        <v>75.723336710835312</v>
      </c>
      <c r="F4" s="130">
        <f>IF(SER_hh_tesh!F4=0,0,SER_hh_tesh!F4/SER_summary!F$26)</f>
        <v>74.422137692658197</v>
      </c>
      <c r="G4" s="130">
        <f>IF(SER_hh_tesh!G4=0,0,SER_hh_tesh!G4/SER_summary!G$26)</f>
        <v>71.21430860568465</v>
      </c>
      <c r="H4" s="130">
        <f>IF(SER_hh_tesh!H4=0,0,SER_hh_tesh!H4/SER_summary!H$26)</f>
        <v>75.071198125983273</v>
      </c>
      <c r="I4" s="130">
        <f>IF(SER_hh_tesh!I4=0,0,SER_hh_tesh!I4/SER_summary!I$26)</f>
        <v>69.199539759708543</v>
      </c>
      <c r="J4" s="130">
        <f>IF(SER_hh_tesh!J4=0,0,SER_hh_tesh!J4/SER_summary!J$26)</f>
        <v>60.428274583771703</v>
      </c>
      <c r="K4" s="130">
        <f>IF(SER_hh_tesh!K4=0,0,SER_hh_tesh!K4/SER_summary!K$26)</f>
        <v>57.905434316933501</v>
      </c>
      <c r="L4" s="130">
        <f>IF(SER_hh_tesh!L4=0,0,SER_hh_tesh!L4/SER_summary!L$26)</f>
        <v>58.793239393041787</v>
      </c>
      <c r="M4" s="130">
        <f>IF(SER_hh_tesh!M4=0,0,SER_hh_tesh!M4/SER_summary!M$26)</f>
        <v>53.281336059808517</v>
      </c>
      <c r="N4" s="130">
        <f>IF(SER_hh_tesh!N4=0,0,SER_hh_tesh!N4/SER_summary!N$26)</f>
        <v>58.099780583955869</v>
      </c>
      <c r="O4" s="130">
        <f>IF(SER_hh_tesh!O4=0,0,SER_hh_tesh!O4/SER_summary!O$26)</f>
        <v>51.907561368079136</v>
      </c>
      <c r="P4" s="130">
        <f>IF(SER_hh_tesh!P4=0,0,SER_hh_tesh!P4/SER_summary!P$26)</f>
        <v>49.272769637978335</v>
      </c>
      <c r="Q4" s="130">
        <f>IF(SER_hh_tesh!Q4=0,0,SER_hh_tesh!Q4/SER_summary!Q$26)</f>
        <v>46.700266684079139</v>
      </c>
      <c r="R4" s="130">
        <f>IF(SER_hh_tesh!R4=0,0,SER_hh_tesh!R4/SER_summary!R$26)</f>
        <v>50.73620312599941</v>
      </c>
      <c r="S4" s="130">
        <f>IF(SER_hh_tesh!S4=0,0,SER_hh_tesh!S4/SER_summary!S$26)</f>
        <v>55.479115928130177</v>
      </c>
      <c r="T4" s="130">
        <f>IF(SER_hh_tesh!T4=0,0,SER_hh_tesh!T4/SER_summary!T$26)</f>
        <v>58.906572200588563</v>
      </c>
      <c r="U4" s="130">
        <f>IF(SER_hh_tesh!U4=0,0,SER_hh_tesh!U4/SER_summary!U$26)</f>
        <v>53.951955395957185</v>
      </c>
      <c r="V4" s="130">
        <f>IF(SER_hh_tesh!V4=0,0,SER_hh_tesh!V4/SER_summary!V$26)</f>
        <v>48.602755497583459</v>
      </c>
      <c r="W4" s="130">
        <f>IF(SER_hh_tesh!W4=0,0,SER_hh_tesh!W4/SER_summary!W$26)</f>
        <v>59.481255128964754</v>
      </c>
      <c r="X4" s="130">
        <f>IF(SER_hh_tesh!X4=0,0,SER_hh_tesh!X4/SER_summary!X$26)</f>
        <v>56.035887546285714</v>
      </c>
      <c r="Y4" s="130">
        <f>IF(SER_hh_tesh!Y4=0,0,SER_hh_tesh!Y4/SER_summary!Y$26)</f>
        <v>54.699910890513735</v>
      </c>
      <c r="DA4" s="155" t="s">
        <v>509</v>
      </c>
    </row>
    <row r="5" spans="1:105" ht="12" customHeight="1" x14ac:dyDescent="0.25">
      <c r="A5" s="131" t="s">
        <v>29</v>
      </c>
      <c r="B5" s="132">
        <f>IF(SER_hh_tesh!B5=0,0,SER_hh_tesh!B5/SER_summary!B$26)</f>
        <v>83.600993272761301</v>
      </c>
      <c r="C5" s="132">
        <f>IF(SER_hh_tesh!C5=0,0,SER_hh_tesh!C5/SER_summary!C$26)</f>
        <v>70.535177888225917</v>
      </c>
      <c r="D5" s="132">
        <f>IF(SER_hh_tesh!D5=0,0,SER_hh_tesh!D5/SER_summary!D$26)</f>
        <v>77.626746326595878</v>
      </c>
      <c r="E5" s="132">
        <f>IF(SER_hh_tesh!E5=0,0,SER_hh_tesh!E5/SER_summary!E$26)</f>
        <v>74.653308620748717</v>
      </c>
      <c r="F5" s="132">
        <f>IF(SER_hh_tesh!F5=0,0,SER_hh_tesh!F5/SER_summary!F$26)</f>
        <v>66.898431175680074</v>
      </c>
      <c r="G5" s="132">
        <f>IF(SER_hh_tesh!G5=0,0,SER_hh_tesh!G5/SER_summary!G$26)</f>
        <v>70.23370210694948</v>
      </c>
      <c r="H5" s="132">
        <f>IF(SER_hh_tesh!H5=0,0,SER_hh_tesh!H5/SER_summary!H$26)</f>
        <v>89.943857044415537</v>
      </c>
      <c r="I5" s="132">
        <f>IF(SER_hh_tesh!I5=0,0,SER_hh_tesh!I5/SER_summary!I$26)</f>
        <v>67.088821175414168</v>
      </c>
      <c r="J5" s="132">
        <f>IF(SER_hh_tesh!J5=0,0,SER_hh_tesh!J5/SER_summary!J$26)</f>
        <v>50.046172796070707</v>
      </c>
      <c r="K5" s="132">
        <f>IF(SER_hh_tesh!K5=0,0,SER_hh_tesh!K5/SER_summary!K$26)</f>
        <v>58.763909031212378</v>
      </c>
      <c r="L5" s="132">
        <f>IF(SER_hh_tesh!L5=0,0,SER_hh_tesh!L5/SER_summary!L$26)</f>
        <v>56.748072882224335</v>
      </c>
      <c r="M5" s="132">
        <f>IF(SER_hh_tesh!M5=0,0,SER_hh_tesh!M5/SER_summary!M$26)</f>
        <v>67.60202542326391</v>
      </c>
      <c r="N5" s="132">
        <f>IF(SER_hh_tesh!N5=0,0,SER_hh_tesh!N5/SER_summary!N$26)</f>
        <v>47.615217015923527</v>
      </c>
      <c r="O5" s="132">
        <f>IF(SER_hh_tesh!O5=0,0,SER_hh_tesh!O5/SER_summary!O$26)</f>
        <v>56.533409398902279</v>
      </c>
      <c r="P5" s="132">
        <f>IF(SER_hh_tesh!P5=0,0,SER_hh_tesh!P5/SER_summary!P$26)</f>
        <v>51.683379568676969</v>
      </c>
      <c r="Q5" s="132">
        <f>IF(SER_hh_tesh!Q5=0,0,SER_hh_tesh!Q5/SER_summary!Q$26)</f>
        <v>41.149450919343721</v>
      </c>
      <c r="R5" s="132">
        <f>IF(SER_hh_tesh!R5=0,0,SER_hh_tesh!R5/SER_summary!R$26)</f>
        <v>51.575915157714284</v>
      </c>
      <c r="S5" s="132">
        <f>IF(SER_hh_tesh!S5=0,0,SER_hh_tesh!S5/SER_summary!S$26)</f>
        <v>55.663365332434758</v>
      </c>
      <c r="T5" s="132">
        <f>IF(SER_hh_tesh!T5=0,0,SER_hh_tesh!T5/SER_summary!T$26)</f>
        <v>60.769079586138233</v>
      </c>
      <c r="U5" s="132">
        <f>IF(SER_hh_tesh!U5=0,0,SER_hh_tesh!U5/SER_summary!U$26)</f>
        <v>56.493931110799984</v>
      </c>
      <c r="V5" s="132">
        <f>IF(SER_hh_tesh!V5=0,0,SER_hh_tesh!V5/SER_summary!V$26)</f>
        <v>42.876926809208321</v>
      </c>
      <c r="W5" s="132">
        <f>IF(SER_hh_tesh!W5=0,0,SER_hh_tesh!W5/SER_summary!W$26)</f>
        <v>58.28616641447563</v>
      </c>
      <c r="X5" s="132">
        <f>IF(SER_hh_tesh!X5=0,0,SER_hh_tesh!X5/SER_summary!X$26)</f>
        <v>61.403605847434257</v>
      </c>
      <c r="Y5" s="132">
        <f>IF(SER_hh_tesh!Y5=0,0,SER_hh_tesh!Y5/SER_summary!Y$26)</f>
        <v>46.614645134106524</v>
      </c>
      <c r="DA5" s="156" t="s">
        <v>510</v>
      </c>
    </row>
    <row r="6" spans="1:105" ht="12" customHeight="1" x14ac:dyDescent="0.25">
      <c r="A6" s="131" t="s">
        <v>52</v>
      </c>
      <c r="B6" s="132">
        <f>IF(SER_hh_tesh!B6=0,0,SER_hh_tesh!B6/SER_summary!B$26)</f>
        <v>0</v>
      </c>
      <c r="C6" s="132">
        <f>IF(SER_hh_tesh!C6=0,0,SER_hh_tesh!C6/SER_summary!C$26)</f>
        <v>0</v>
      </c>
      <c r="D6" s="132">
        <f>IF(SER_hh_tesh!D6=0,0,SER_hh_tesh!D6/SER_summary!D$26)</f>
        <v>0</v>
      </c>
      <c r="E6" s="132">
        <f>IF(SER_hh_tesh!E6=0,0,SER_hh_tesh!E6/SER_summary!E$26)</f>
        <v>0</v>
      </c>
      <c r="F6" s="132">
        <f>IF(SER_hh_tesh!F6=0,0,SER_hh_tesh!F6/SER_summary!F$26)</f>
        <v>0</v>
      </c>
      <c r="G6" s="132">
        <f>IF(SER_hh_tesh!G6=0,0,SER_hh_tesh!G6/SER_summary!G$26)</f>
        <v>0</v>
      </c>
      <c r="H6" s="132">
        <f>IF(SER_hh_tesh!H6=0,0,SER_hh_tesh!H6/SER_summary!H$26)</f>
        <v>0</v>
      </c>
      <c r="I6" s="132">
        <f>IF(SER_hh_tesh!I6=0,0,SER_hh_tesh!I6/SER_summary!I$26)</f>
        <v>0</v>
      </c>
      <c r="J6" s="132">
        <f>IF(SER_hh_tesh!J6=0,0,SER_hh_tesh!J6/SER_summary!J$26)</f>
        <v>0</v>
      </c>
      <c r="K6" s="132">
        <f>IF(SER_hh_tesh!K6=0,0,SER_hh_tesh!K6/SER_summary!K$26)</f>
        <v>0</v>
      </c>
      <c r="L6" s="132">
        <f>IF(SER_hh_tesh!L6=0,0,SER_hh_tesh!L6/SER_summary!L$26)</f>
        <v>0</v>
      </c>
      <c r="M6" s="132">
        <f>IF(SER_hh_tesh!M6=0,0,SER_hh_tesh!M6/SER_summary!M$26)</f>
        <v>0</v>
      </c>
      <c r="N6" s="132">
        <f>IF(SER_hh_tesh!N6=0,0,SER_hh_tesh!N6/SER_summary!N$26)</f>
        <v>0</v>
      </c>
      <c r="O6" s="132">
        <f>IF(SER_hh_tesh!O6=0,0,SER_hh_tesh!O6/SER_summary!O$26)</f>
        <v>0</v>
      </c>
      <c r="P6" s="132">
        <f>IF(SER_hh_tesh!P6=0,0,SER_hh_tesh!P6/SER_summary!P$26)</f>
        <v>0</v>
      </c>
      <c r="Q6" s="132">
        <f>IF(SER_hh_tesh!Q6=0,0,SER_hh_tesh!Q6/SER_summary!Q$26)</f>
        <v>0</v>
      </c>
      <c r="R6" s="132">
        <f>IF(SER_hh_tesh!R6=0,0,SER_hh_tesh!R6/SER_summary!R$26)</f>
        <v>0</v>
      </c>
      <c r="S6" s="132">
        <f>IF(SER_hh_tesh!S6=0,0,SER_hh_tesh!S6/SER_summary!S$26)</f>
        <v>0</v>
      </c>
      <c r="T6" s="132">
        <f>IF(SER_hh_tesh!T6=0,0,SER_hh_tesh!T6/SER_summary!T$26)</f>
        <v>0</v>
      </c>
      <c r="U6" s="132">
        <f>IF(SER_hh_tesh!U6=0,0,SER_hh_tesh!U6/SER_summary!U$26)</f>
        <v>0</v>
      </c>
      <c r="V6" s="132">
        <f>IF(SER_hh_tesh!V6=0,0,SER_hh_tesh!V6/SER_summary!V$26)</f>
        <v>0</v>
      </c>
      <c r="W6" s="132">
        <f>IF(SER_hh_tesh!W6=0,0,SER_hh_tesh!W6/SER_summary!W$26)</f>
        <v>0</v>
      </c>
      <c r="X6" s="132">
        <f>IF(SER_hh_tesh!X6=0,0,SER_hh_tesh!X6/SER_summary!X$26)</f>
        <v>0</v>
      </c>
      <c r="Y6" s="132">
        <f>IF(SER_hh_tesh!Y6=0,0,SER_hh_tesh!Y6/SER_summary!Y$26)</f>
        <v>0</v>
      </c>
      <c r="DA6" s="156" t="s">
        <v>511</v>
      </c>
    </row>
    <row r="7" spans="1:105" ht="12" customHeight="1" x14ac:dyDescent="0.25">
      <c r="A7" s="131" t="s">
        <v>161</v>
      </c>
      <c r="B7" s="132">
        <f>IF(SER_hh_tesh!B7=0,0,SER_hh_tesh!B7/SER_summary!B$26)</f>
        <v>86.245799556888983</v>
      </c>
      <c r="C7" s="132">
        <f>IF(SER_hh_tesh!C7=0,0,SER_hh_tesh!C7/SER_summary!C$26)</f>
        <v>68.717952491928713</v>
      </c>
      <c r="D7" s="132">
        <f>IF(SER_hh_tesh!D7=0,0,SER_hh_tesh!D7/SER_summary!D$26)</f>
        <v>83.530238926329673</v>
      </c>
      <c r="E7" s="132">
        <f>IF(SER_hh_tesh!E7=0,0,SER_hh_tesh!E7/SER_summary!E$26)</f>
        <v>66.060830889452063</v>
      </c>
      <c r="F7" s="132">
        <f>IF(SER_hh_tesh!F7=0,0,SER_hh_tesh!F7/SER_summary!F$26)</f>
        <v>77.142515774423174</v>
      </c>
      <c r="G7" s="132">
        <f>IF(SER_hh_tesh!G7=0,0,SER_hh_tesh!G7/SER_summary!G$26)</f>
        <v>66.118998132155738</v>
      </c>
      <c r="H7" s="132">
        <f>IF(SER_hh_tesh!H7=0,0,SER_hh_tesh!H7/SER_summary!H$26)</f>
        <v>59.023810127405689</v>
      </c>
      <c r="I7" s="132">
        <f>IF(SER_hh_tesh!I7=0,0,SER_hh_tesh!I7/SER_summary!I$26)</f>
        <v>60.37488843178096</v>
      </c>
      <c r="J7" s="132">
        <f>IF(SER_hh_tesh!J7=0,0,SER_hh_tesh!J7/SER_summary!J$26)</f>
        <v>103.13435677086369</v>
      </c>
      <c r="K7" s="132">
        <f>IF(SER_hh_tesh!K7=0,0,SER_hh_tesh!K7/SER_summary!K$26)</f>
        <v>32.687538548245527</v>
      </c>
      <c r="L7" s="132">
        <f>IF(SER_hh_tesh!L7=0,0,SER_hh_tesh!L7/SER_summary!L$26)</f>
        <v>50.42150680173193</v>
      </c>
      <c r="M7" s="132">
        <f>IF(SER_hh_tesh!M7=0,0,SER_hh_tesh!M7/SER_summary!M$26)</f>
        <v>69.094465495812571</v>
      </c>
      <c r="N7" s="132">
        <f>IF(SER_hh_tesh!N7=0,0,SER_hh_tesh!N7/SER_summary!N$26)</f>
        <v>44.97209993389199</v>
      </c>
      <c r="O7" s="132">
        <f>IF(SER_hh_tesh!O7=0,0,SER_hh_tesh!O7/SER_summary!O$26)</f>
        <v>47.675191394010739</v>
      </c>
      <c r="P7" s="132">
        <f>IF(SER_hh_tesh!P7=0,0,SER_hh_tesh!P7/SER_summary!P$26)</f>
        <v>67.687196774735995</v>
      </c>
      <c r="Q7" s="132">
        <f>IF(SER_hh_tesh!Q7=0,0,SER_hh_tesh!Q7/SER_summary!Q$26)</f>
        <v>36.749848124832852</v>
      </c>
      <c r="R7" s="132">
        <f>IF(SER_hh_tesh!R7=0,0,SER_hh_tesh!R7/SER_summary!R$26)</f>
        <v>44.033702037991659</v>
      </c>
      <c r="S7" s="132">
        <f>IF(SER_hh_tesh!S7=0,0,SER_hh_tesh!S7/SER_summary!S$26)</f>
        <v>58.561343375079943</v>
      </c>
      <c r="T7" s="132">
        <f>IF(SER_hh_tesh!T7=0,0,SER_hh_tesh!T7/SER_summary!T$26)</f>
        <v>44.918833406031631</v>
      </c>
      <c r="U7" s="132">
        <f>IF(SER_hh_tesh!U7=0,0,SER_hh_tesh!U7/SER_summary!U$26)</f>
        <v>52.158531903938851</v>
      </c>
      <c r="V7" s="132">
        <f>IF(SER_hh_tesh!V7=0,0,SER_hh_tesh!V7/SER_summary!V$26)</f>
        <v>53.369594984020303</v>
      </c>
      <c r="W7" s="132">
        <f>IF(SER_hh_tesh!W7=0,0,SER_hh_tesh!W7/SER_summary!W$26)</f>
        <v>56.101341512263851</v>
      </c>
      <c r="X7" s="132">
        <f>IF(SER_hh_tesh!X7=0,0,SER_hh_tesh!X7/SER_summary!X$26)</f>
        <v>47.054724856568832</v>
      </c>
      <c r="Y7" s="132">
        <f>IF(SER_hh_tesh!Y7=0,0,SER_hh_tesh!Y7/SER_summary!Y$26)</f>
        <v>62.089497551725842</v>
      </c>
      <c r="DA7" s="156" t="s">
        <v>512</v>
      </c>
    </row>
    <row r="8" spans="1:105" ht="12" customHeight="1" x14ac:dyDescent="0.25">
      <c r="A8" s="131" t="s">
        <v>73</v>
      </c>
      <c r="B8" s="132">
        <f>IF(SER_hh_tesh!B8=0,0,SER_hh_tesh!B8/SER_summary!B$26)</f>
        <v>0</v>
      </c>
      <c r="C8" s="132">
        <f>IF(SER_hh_tesh!C8=0,0,SER_hh_tesh!C8/SER_summary!C$26)</f>
        <v>0</v>
      </c>
      <c r="D8" s="132">
        <f>IF(SER_hh_tesh!D8=0,0,SER_hh_tesh!D8/SER_summary!D$26)</f>
        <v>0</v>
      </c>
      <c r="E8" s="132">
        <f>IF(SER_hh_tesh!E8=0,0,SER_hh_tesh!E8/SER_summary!E$26)</f>
        <v>0</v>
      </c>
      <c r="F8" s="132">
        <f>IF(SER_hh_tesh!F8=0,0,SER_hh_tesh!F8/SER_summary!F$26)</f>
        <v>0</v>
      </c>
      <c r="G8" s="132">
        <f>IF(SER_hh_tesh!G8=0,0,SER_hh_tesh!G8/SER_summary!G$26)</f>
        <v>0</v>
      </c>
      <c r="H8" s="132">
        <f>IF(SER_hh_tesh!H8=0,0,SER_hh_tesh!H8/SER_summary!H$26)</f>
        <v>0</v>
      </c>
      <c r="I8" s="132">
        <f>IF(SER_hh_tesh!I8=0,0,SER_hh_tesh!I8/SER_summary!I$26)</f>
        <v>0</v>
      </c>
      <c r="J8" s="132">
        <f>IF(SER_hh_tesh!J8=0,0,SER_hh_tesh!J8/SER_summary!J$26)</f>
        <v>0</v>
      </c>
      <c r="K8" s="132">
        <f>IF(SER_hh_tesh!K8=0,0,SER_hh_tesh!K8/SER_summary!K$26)</f>
        <v>0</v>
      </c>
      <c r="L8" s="132">
        <f>IF(SER_hh_tesh!L8=0,0,SER_hh_tesh!L8/SER_summary!L$26)</f>
        <v>0</v>
      </c>
      <c r="M8" s="132">
        <f>IF(SER_hh_tesh!M8=0,0,SER_hh_tesh!M8/SER_summary!M$26)</f>
        <v>0</v>
      </c>
      <c r="N8" s="132">
        <f>IF(SER_hh_tesh!N8=0,0,SER_hh_tesh!N8/SER_summary!N$26)</f>
        <v>0</v>
      </c>
      <c r="O8" s="132">
        <f>IF(SER_hh_tesh!O8=0,0,SER_hh_tesh!O8/SER_summary!O$26)</f>
        <v>0</v>
      </c>
      <c r="P8" s="132">
        <f>IF(SER_hh_tesh!P8=0,0,SER_hh_tesh!P8/SER_summary!P$26)</f>
        <v>0</v>
      </c>
      <c r="Q8" s="132">
        <f>IF(SER_hh_tesh!Q8=0,0,SER_hh_tesh!Q8/SER_summary!Q$26)</f>
        <v>0</v>
      </c>
      <c r="R8" s="132">
        <f>IF(SER_hh_tesh!R8=0,0,SER_hh_tesh!R8/SER_summary!R$26)</f>
        <v>0</v>
      </c>
      <c r="S8" s="132">
        <f>IF(SER_hh_tesh!S8=0,0,SER_hh_tesh!S8/SER_summary!S$26)</f>
        <v>0</v>
      </c>
      <c r="T8" s="132">
        <f>IF(SER_hh_tesh!T8=0,0,SER_hh_tesh!T8/SER_summary!T$26)</f>
        <v>0</v>
      </c>
      <c r="U8" s="132">
        <f>IF(SER_hh_tesh!U8=0,0,SER_hh_tesh!U8/SER_summary!U$26)</f>
        <v>0</v>
      </c>
      <c r="V8" s="132">
        <f>IF(SER_hh_tesh!V8=0,0,SER_hh_tesh!V8/SER_summary!V$26)</f>
        <v>0</v>
      </c>
      <c r="W8" s="132">
        <f>IF(SER_hh_tesh!W8=0,0,SER_hh_tesh!W8/SER_summary!W$26)</f>
        <v>0</v>
      </c>
      <c r="X8" s="132">
        <f>IF(SER_hh_tesh!X8=0,0,SER_hh_tesh!X8/SER_summary!X$26)</f>
        <v>0</v>
      </c>
      <c r="Y8" s="132">
        <f>IF(SER_hh_tesh!Y8=0,0,SER_hh_tesh!Y8/SER_summary!Y$26)</f>
        <v>0</v>
      </c>
      <c r="DA8" s="156" t="s">
        <v>513</v>
      </c>
    </row>
    <row r="9" spans="1:105" ht="12" customHeight="1" x14ac:dyDescent="0.25">
      <c r="A9" s="131" t="s">
        <v>78</v>
      </c>
      <c r="B9" s="132">
        <f>IF(SER_hh_tesh!B9=0,0,SER_hh_tesh!B9/SER_summary!B$26)</f>
        <v>75.054471833753681</v>
      </c>
      <c r="C9" s="132">
        <f>IF(SER_hh_tesh!C9=0,0,SER_hh_tesh!C9/SER_summary!C$26)</f>
        <v>74.976913031650412</v>
      </c>
      <c r="D9" s="132">
        <f>IF(SER_hh_tesh!D9=0,0,SER_hh_tesh!D9/SER_summary!D$26)</f>
        <v>74.520039827478328</v>
      </c>
      <c r="E9" s="132">
        <f>IF(SER_hh_tesh!E9=0,0,SER_hh_tesh!E9/SER_summary!E$26)</f>
        <v>67.326206445458553</v>
      </c>
      <c r="F9" s="132">
        <f>IF(SER_hh_tesh!F9=0,0,SER_hh_tesh!F9/SER_summary!F$26)</f>
        <v>80.766289263705744</v>
      </c>
      <c r="G9" s="132">
        <f>IF(SER_hh_tesh!G9=0,0,SER_hh_tesh!G9/SER_summary!G$26)</f>
        <v>68.619083458054305</v>
      </c>
      <c r="H9" s="132">
        <f>IF(SER_hh_tesh!H9=0,0,SER_hh_tesh!H9/SER_summary!H$26)</f>
        <v>64.668405847702033</v>
      </c>
      <c r="I9" s="132">
        <f>IF(SER_hh_tesh!I9=0,0,SER_hh_tesh!I9/SER_summary!I$26)</f>
        <v>74.624842808574954</v>
      </c>
      <c r="J9" s="132">
        <f>IF(SER_hh_tesh!J9=0,0,SER_hh_tesh!J9/SER_summary!J$26)</f>
        <v>62.829626814566581</v>
      </c>
      <c r="K9" s="132">
        <f>IF(SER_hh_tesh!K9=0,0,SER_hh_tesh!K9/SER_summary!K$26)</f>
        <v>53.961459118549584</v>
      </c>
      <c r="L9" s="132">
        <f>IF(SER_hh_tesh!L9=0,0,SER_hh_tesh!L9/SER_summary!L$26)</f>
        <v>59.388024668264222</v>
      </c>
      <c r="M9" s="132">
        <f>IF(SER_hh_tesh!M9=0,0,SER_hh_tesh!M9/SER_summary!M$26)</f>
        <v>51.347866182158747</v>
      </c>
      <c r="N9" s="132">
        <f>IF(SER_hh_tesh!N9=0,0,SER_hh_tesh!N9/SER_summary!N$26)</f>
        <v>54.746881439046305</v>
      </c>
      <c r="O9" s="132">
        <f>IF(SER_hh_tesh!O9=0,0,SER_hh_tesh!O9/SER_summary!O$26)</f>
        <v>53.359492731520234</v>
      </c>
      <c r="P9" s="132">
        <f>IF(SER_hh_tesh!P9=0,0,SER_hh_tesh!P9/SER_summary!P$26)</f>
        <v>45.363551887337984</v>
      </c>
      <c r="Q9" s="132">
        <f>IF(SER_hh_tesh!Q9=0,0,SER_hh_tesh!Q9/SER_summary!Q$26)</f>
        <v>48.34415053204102</v>
      </c>
      <c r="R9" s="132">
        <f>IF(SER_hh_tesh!R9=0,0,SER_hh_tesh!R9/SER_summary!R$26)</f>
        <v>50.805472991414106</v>
      </c>
      <c r="S9" s="132">
        <f>IF(SER_hh_tesh!S9=0,0,SER_hh_tesh!S9/SER_summary!S$26)</f>
        <v>53.270845762241201</v>
      </c>
      <c r="T9" s="132">
        <f>IF(SER_hh_tesh!T9=0,0,SER_hh_tesh!T9/SER_summary!T$26)</f>
        <v>54.99631611100645</v>
      </c>
      <c r="U9" s="132">
        <f>IF(SER_hh_tesh!U9=0,0,SER_hh_tesh!U9/SER_summary!U$26)</f>
        <v>54.697457287990474</v>
      </c>
      <c r="V9" s="132">
        <f>IF(SER_hh_tesh!V9=0,0,SER_hh_tesh!V9/SER_summary!V$26)</f>
        <v>54.074921516217941</v>
      </c>
      <c r="W9" s="132">
        <f>IF(SER_hh_tesh!W9=0,0,SER_hh_tesh!W9/SER_summary!W$26)</f>
        <v>54.259831571780708</v>
      </c>
      <c r="X9" s="132">
        <f>IF(SER_hh_tesh!X9=0,0,SER_hh_tesh!X9/SER_summary!X$26)</f>
        <v>49.20548245037682</v>
      </c>
      <c r="Y9" s="132">
        <f>IF(SER_hh_tesh!Y9=0,0,SER_hh_tesh!Y9/SER_summary!Y$26)</f>
        <v>58.798310361297652</v>
      </c>
      <c r="DA9" s="156" t="s">
        <v>514</v>
      </c>
    </row>
    <row r="10" spans="1:105" ht="12" customHeight="1" x14ac:dyDescent="0.25">
      <c r="A10" s="131" t="s">
        <v>128</v>
      </c>
      <c r="B10" s="132">
        <f>IF(SER_hh_tesh!B10=0,0,SER_hh_tesh!B10/SER_summary!B$26)</f>
        <v>78.957881602454904</v>
      </c>
      <c r="C10" s="132">
        <f>IF(SER_hh_tesh!C10=0,0,SER_hh_tesh!C10/SER_summary!C$26)</f>
        <v>77.724978048029783</v>
      </c>
      <c r="D10" s="132">
        <f>IF(SER_hh_tesh!D10=0,0,SER_hh_tesh!D10/SER_summary!D$26)</f>
        <v>79.700700470032317</v>
      </c>
      <c r="E10" s="132">
        <f>IF(SER_hh_tesh!E10=0,0,SER_hh_tesh!E10/SER_summary!E$26)</f>
        <v>72.613878370067852</v>
      </c>
      <c r="F10" s="132">
        <f>IF(SER_hh_tesh!F10=0,0,SER_hh_tesh!F10/SER_summary!F$26)</f>
        <v>70.749421953828218</v>
      </c>
      <c r="G10" s="132">
        <f>IF(SER_hh_tesh!G10=0,0,SER_hh_tesh!G10/SER_summary!G$26)</f>
        <v>71.875305488889168</v>
      </c>
      <c r="H10" s="132">
        <f>IF(SER_hh_tesh!H10=0,0,SER_hh_tesh!H10/SER_summary!H$26)</f>
        <v>70.84452566314296</v>
      </c>
      <c r="I10" s="132">
        <f>IF(SER_hh_tesh!I10=0,0,SER_hh_tesh!I10/SER_summary!I$26)</f>
        <v>64.760722846740649</v>
      </c>
      <c r="J10" s="132">
        <f>IF(SER_hh_tesh!J10=0,0,SER_hh_tesh!J10/SER_summary!J$26)</f>
        <v>62.541155577977229</v>
      </c>
      <c r="K10" s="132">
        <f>IF(SER_hh_tesh!K10=0,0,SER_hh_tesh!K10/SER_summary!K$26)</f>
        <v>57.812778710031502</v>
      </c>
      <c r="L10" s="132">
        <f>IF(SER_hh_tesh!L10=0,0,SER_hh_tesh!L10/SER_summary!L$26)</f>
        <v>54.87009567346</v>
      </c>
      <c r="M10" s="132">
        <f>IF(SER_hh_tesh!M10=0,0,SER_hh_tesh!M10/SER_summary!M$26)</f>
        <v>55.069063094202292</v>
      </c>
      <c r="N10" s="132">
        <f>IF(SER_hh_tesh!N10=0,0,SER_hh_tesh!N10/SER_summary!N$26)</f>
        <v>55.119100517148091</v>
      </c>
      <c r="O10" s="132">
        <f>IF(SER_hh_tesh!O10=0,0,SER_hh_tesh!O10/SER_summary!O$26)</f>
        <v>53.850681982929309</v>
      </c>
      <c r="P10" s="132">
        <f>IF(SER_hh_tesh!P10=0,0,SER_hh_tesh!P10/SER_summary!P$26)</f>
        <v>49.608063376586571</v>
      </c>
      <c r="Q10" s="132">
        <f>IF(SER_hh_tesh!Q10=0,0,SER_hh_tesh!Q10/SER_summary!Q$26)</f>
        <v>48.314018751289325</v>
      </c>
      <c r="R10" s="132">
        <f>IF(SER_hh_tesh!R10=0,0,SER_hh_tesh!R10/SER_summary!R$26)</f>
        <v>52.967623683583241</v>
      </c>
      <c r="S10" s="132">
        <f>IF(SER_hh_tesh!S10=0,0,SER_hh_tesh!S10/SER_summary!S$26)</f>
        <v>51.134936498961494</v>
      </c>
      <c r="T10" s="132">
        <f>IF(SER_hh_tesh!T10=0,0,SER_hh_tesh!T10/SER_summary!T$26)</f>
        <v>54.531451470918945</v>
      </c>
      <c r="U10" s="132">
        <f>IF(SER_hh_tesh!U10=0,0,SER_hh_tesh!U10/SER_summary!U$26)</f>
        <v>52.352567419257895</v>
      </c>
      <c r="V10" s="132">
        <f>IF(SER_hh_tesh!V10=0,0,SER_hh_tesh!V10/SER_summary!V$26)</f>
        <v>57.886785291304541</v>
      </c>
      <c r="W10" s="132">
        <f>IF(SER_hh_tesh!W10=0,0,SER_hh_tesh!W10/SER_summary!W$26)</f>
        <v>55.212069109648176</v>
      </c>
      <c r="X10" s="132">
        <f>IF(SER_hh_tesh!X10=0,0,SER_hh_tesh!X10/SER_summary!X$26)</f>
        <v>52.535730282478916</v>
      </c>
      <c r="Y10" s="132">
        <f>IF(SER_hh_tesh!Y10=0,0,SER_hh_tesh!Y10/SER_summary!Y$26)</f>
        <v>56.04376419234648</v>
      </c>
      <c r="DA10" s="156" t="s">
        <v>515</v>
      </c>
    </row>
    <row r="11" spans="1:105" ht="12" customHeight="1" x14ac:dyDescent="0.25">
      <c r="A11" s="131" t="s">
        <v>25</v>
      </c>
      <c r="B11" s="132">
        <f>IF(SER_hh_tesh!B11=0,0,SER_hh_tesh!B11/SER_summary!B$26)</f>
        <v>0</v>
      </c>
      <c r="C11" s="132">
        <f>IF(SER_hh_tesh!C11=0,0,SER_hh_tesh!C11/SER_summary!C$26)</f>
        <v>0</v>
      </c>
      <c r="D11" s="132">
        <f>IF(SER_hh_tesh!D11=0,0,SER_hh_tesh!D11/SER_summary!D$26)</f>
        <v>0</v>
      </c>
      <c r="E11" s="132">
        <f>IF(SER_hh_tesh!E11=0,0,SER_hh_tesh!E11/SER_summary!E$26)</f>
        <v>0</v>
      </c>
      <c r="F11" s="132">
        <f>IF(SER_hh_tesh!F11=0,0,SER_hh_tesh!F11/SER_summary!F$26)</f>
        <v>0</v>
      </c>
      <c r="G11" s="132">
        <f>IF(SER_hh_tesh!G11=0,0,SER_hh_tesh!G11/SER_summary!G$26)</f>
        <v>0</v>
      </c>
      <c r="H11" s="132">
        <f>IF(SER_hh_tesh!H11=0,0,SER_hh_tesh!H11/SER_summary!H$26)</f>
        <v>0</v>
      </c>
      <c r="I11" s="132">
        <f>IF(SER_hh_tesh!I11=0,0,SER_hh_tesh!I11/SER_summary!I$26)</f>
        <v>0</v>
      </c>
      <c r="J11" s="132">
        <f>IF(SER_hh_tesh!J11=0,0,SER_hh_tesh!J11/SER_summary!J$26)</f>
        <v>0</v>
      </c>
      <c r="K11" s="132">
        <f>IF(SER_hh_tesh!K11=0,0,SER_hh_tesh!K11/SER_summary!K$26)</f>
        <v>0</v>
      </c>
      <c r="L11" s="132">
        <f>IF(SER_hh_tesh!L11=0,0,SER_hh_tesh!L11/SER_summary!L$26)</f>
        <v>0</v>
      </c>
      <c r="M11" s="132">
        <f>IF(SER_hh_tesh!M11=0,0,SER_hh_tesh!M11/SER_summary!M$26)</f>
        <v>0</v>
      </c>
      <c r="N11" s="132">
        <f>IF(SER_hh_tesh!N11=0,0,SER_hh_tesh!N11/SER_summary!N$26)</f>
        <v>0</v>
      </c>
      <c r="O11" s="132">
        <f>IF(SER_hh_tesh!O11=0,0,SER_hh_tesh!O11/SER_summary!O$26)</f>
        <v>0</v>
      </c>
      <c r="P11" s="132">
        <f>IF(SER_hh_tesh!P11=0,0,SER_hh_tesh!P11/SER_summary!P$26)</f>
        <v>0</v>
      </c>
      <c r="Q11" s="132">
        <f>IF(SER_hh_tesh!Q11=0,0,SER_hh_tesh!Q11/SER_summary!Q$26)</f>
        <v>0</v>
      </c>
      <c r="R11" s="132">
        <f>IF(SER_hh_tesh!R11=0,0,SER_hh_tesh!R11/SER_summary!R$26)</f>
        <v>0</v>
      </c>
      <c r="S11" s="132">
        <f>IF(SER_hh_tesh!S11=0,0,SER_hh_tesh!S11/SER_summary!S$26)</f>
        <v>0</v>
      </c>
      <c r="T11" s="132">
        <f>IF(SER_hh_tesh!T11=0,0,SER_hh_tesh!T11/SER_summary!T$26)</f>
        <v>0</v>
      </c>
      <c r="U11" s="132">
        <f>IF(SER_hh_tesh!U11=0,0,SER_hh_tesh!U11/SER_summary!U$26)</f>
        <v>0</v>
      </c>
      <c r="V11" s="132">
        <f>IF(SER_hh_tesh!V11=0,0,SER_hh_tesh!V11/SER_summary!V$26)</f>
        <v>0</v>
      </c>
      <c r="W11" s="132">
        <f>IF(SER_hh_tesh!W11=0,0,SER_hh_tesh!W11/SER_summary!W$26)</f>
        <v>0</v>
      </c>
      <c r="X11" s="132">
        <f>IF(SER_hh_tesh!X11=0,0,SER_hh_tesh!X11/SER_summary!X$26)</f>
        <v>0</v>
      </c>
      <c r="Y11" s="132">
        <f>IF(SER_hh_tesh!Y11=0,0,SER_hh_tesh!Y11/SER_summary!Y$26)</f>
        <v>0</v>
      </c>
      <c r="DA11" s="156" t="s">
        <v>516</v>
      </c>
    </row>
    <row r="12" spans="1:105" ht="12" customHeight="1" x14ac:dyDescent="0.25">
      <c r="A12" s="131" t="s">
        <v>162</v>
      </c>
      <c r="B12" s="132">
        <f>IF(SER_hh_tesh!B12=0,0,SER_hh_tesh!B12/SER_summary!B$26)</f>
        <v>79.511901373624227</v>
      </c>
      <c r="C12" s="132">
        <f>IF(SER_hh_tesh!C12=0,0,SER_hh_tesh!C12/SER_summary!C$26)</f>
        <v>79.63096421307948</v>
      </c>
      <c r="D12" s="132">
        <f>IF(SER_hh_tesh!D12=0,0,SER_hh_tesh!D12/SER_summary!D$26)</f>
        <v>75.948307972718965</v>
      </c>
      <c r="E12" s="132">
        <f>IF(SER_hh_tesh!E12=0,0,SER_hh_tesh!E12/SER_summary!E$26)</f>
        <v>75.813899460288141</v>
      </c>
      <c r="F12" s="132">
        <f>IF(SER_hh_tesh!F12=0,0,SER_hh_tesh!F12/SER_summary!F$26)</f>
        <v>74.035183814033729</v>
      </c>
      <c r="G12" s="132">
        <f>IF(SER_hh_tesh!G12=0,0,SER_hh_tesh!G12/SER_summary!G$26)</f>
        <v>70.734492007931436</v>
      </c>
      <c r="H12" s="132">
        <f>IF(SER_hh_tesh!H12=0,0,SER_hh_tesh!H12/SER_summary!H$26)</f>
        <v>74.734670483332053</v>
      </c>
      <c r="I12" s="132">
        <f>IF(SER_hh_tesh!I12=0,0,SER_hh_tesh!I12/SER_summary!I$26)</f>
        <v>69.021909788051587</v>
      </c>
      <c r="J12" s="132">
        <f>IF(SER_hh_tesh!J12=0,0,SER_hh_tesh!J12/SER_summary!J$26)</f>
        <v>54.569304390942669</v>
      </c>
      <c r="K12" s="132">
        <f>IF(SER_hh_tesh!K12=0,0,SER_hh_tesh!K12/SER_summary!K$26)</f>
        <v>59.101070081502691</v>
      </c>
      <c r="L12" s="132">
        <f>IF(SER_hh_tesh!L12=0,0,SER_hh_tesh!L12/SER_summary!L$26)</f>
        <v>62.164895609863521</v>
      </c>
      <c r="M12" s="132">
        <f>IF(SER_hh_tesh!M12=0,0,SER_hh_tesh!M12/SER_summary!M$26)</f>
        <v>49.195305922153928</v>
      </c>
      <c r="N12" s="132">
        <f>IF(SER_hh_tesh!N12=0,0,SER_hh_tesh!N12/SER_summary!N$26)</f>
        <v>59.815962311575397</v>
      </c>
      <c r="O12" s="132">
        <f>IF(SER_hh_tesh!O12=0,0,SER_hh_tesh!O12/SER_summary!O$26)</f>
        <v>49.941958926964674</v>
      </c>
      <c r="P12" s="132">
        <f>IF(SER_hh_tesh!P12=0,0,SER_hh_tesh!P12/SER_summary!P$26)</f>
        <v>48.308496667638579</v>
      </c>
      <c r="Q12" s="132">
        <f>IF(SER_hh_tesh!Q12=0,0,SER_hh_tesh!Q12/SER_summary!Q$26)</f>
        <v>48.876535296273843</v>
      </c>
      <c r="R12" s="132">
        <f>IF(SER_hh_tesh!R12=0,0,SER_hh_tesh!R12/SER_summary!R$26)</f>
        <v>48.370099197320272</v>
      </c>
      <c r="S12" s="132">
        <f>IF(SER_hh_tesh!S12=0,0,SER_hh_tesh!S12/SER_summary!S$26)</f>
        <v>57.568552977969894</v>
      </c>
      <c r="T12" s="132">
        <f>IF(SER_hh_tesh!T12=0,0,SER_hh_tesh!T12/SER_summary!T$26)</f>
        <v>59.315663810600689</v>
      </c>
      <c r="U12" s="132">
        <f>IF(SER_hh_tesh!U12=0,0,SER_hh_tesh!U12/SER_summary!U$26)</f>
        <v>51.579356116463849</v>
      </c>
      <c r="V12" s="132">
        <f>IF(SER_hh_tesh!V12=0,0,SER_hh_tesh!V12/SER_summary!V$26)</f>
        <v>46.521397864943815</v>
      </c>
      <c r="W12" s="132">
        <f>IF(SER_hh_tesh!W12=0,0,SER_hh_tesh!W12/SER_summary!W$26)</f>
        <v>61.064781009701733</v>
      </c>
      <c r="X12" s="132">
        <f>IF(SER_hh_tesh!X12=0,0,SER_hh_tesh!X12/SER_summary!X$26)</f>
        <v>56.781019907980792</v>
      </c>
      <c r="Y12" s="132">
        <f>IF(SER_hh_tesh!Y12=0,0,SER_hh_tesh!Y12/SER_summary!Y$26)</f>
        <v>54.090734012436805</v>
      </c>
      <c r="DA12" s="156" t="s">
        <v>517</v>
      </c>
    </row>
    <row r="13" spans="1:105" ht="12" customHeight="1" x14ac:dyDescent="0.25">
      <c r="A13" s="131" t="s">
        <v>77</v>
      </c>
      <c r="B13" s="132">
        <f>IF(SER_hh_tesh!B13=0,0,SER_hh_tesh!B13/SER_summary!B$26)</f>
        <v>65.418972667165534</v>
      </c>
      <c r="C13" s="132">
        <f>IF(SER_hh_tesh!C13=0,0,SER_hh_tesh!C13/SER_summary!C$26)</f>
        <v>76.632178636929567</v>
      </c>
      <c r="D13" s="132">
        <f>IF(SER_hh_tesh!D13=0,0,SER_hh_tesh!D13/SER_summary!D$26)</f>
        <v>60.531044920898978</v>
      </c>
      <c r="E13" s="132">
        <f>IF(SER_hh_tesh!E13=0,0,SER_hh_tesh!E13/SER_summary!E$26)</f>
        <v>74.727465508789777</v>
      </c>
      <c r="F13" s="132">
        <f>IF(SER_hh_tesh!F13=0,0,SER_hh_tesh!F13/SER_summary!F$26)</f>
        <v>70.924428652053734</v>
      </c>
      <c r="G13" s="132">
        <f>IF(SER_hh_tesh!G13=0,0,SER_hh_tesh!G13/SER_summary!G$26)</f>
        <v>72.692604663235841</v>
      </c>
      <c r="H13" s="132">
        <f>IF(SER_hh_tesh!H13=0,0,SER_hh_tesh!H13/SER_summary!H$26)</f>
        <v>65.199539447630244</v>
      </c>
      <c r="I13" s="132">
        <f>IF(SER_hh_tesh!I13=0,0,SER_hh_tesh!I13/SER_summary!I$26)</f>
        <v>56.151184272863517</v>
      </c>
      <c r="J13" s="132">
        <f>IF(SER_hh_tesh!J13=0,0,SER_hh_tesh!J13/SER_summary!J$26)</f>
        <v>67.605487158914229</v>
      </c>
      <c r="K13" s="132">
        <f>IF(SER_hh_tesh!K13=0,0,SER_hh_tesh!K13/SER_summary!K$26)</f>
        <v>55.066956849412186</v>
      </c>
      <c r="L13" s="132">
        <f>IF(SER_hh_tesh!L13=0,0,SER_hh_tesh!L13/SER_summary!L$26)</f>
        <v>43.629477000121184</v>
      </c>
      <c r="M13" s="132">
        <f>IF(SER_hh_tesh!M13=0,0,SER_hh_tesh!M13/SER_summary!M$26)</f>
        <v>50.826003913031606</v>
      </c>
      <c r="N13" s="132">
        <f>IF(SER_hh_tesh!N13=0,0,SER_hh_tesh!N13/SER_summary!N$26)</f>
        <v>50.33467269720672</v>
      </c>
      <c r="O13" s="132">
        <f>IF(SER_hh_tesh!O13=0,0,SER_hh_tesh!O13/SER_summary!O$26)</f>
        <v>46.573419193139436</v>
      </c>
      <c r="P13" s="132">
        <f>IF(SER_hh_tesh!P13=0,0,SER_hh_tesh!P13/SER_summary!P$26)</f>
        <v>54.519634641840831</v>
      </c>
      <c r="Q13" s="132">
        <f>IF(SER_hh_tesh!Q13=0,0,SER_hh_tesh!Q13/SER_summary!Q$26)</f>
        <v>51.211381040636041</v>
      </c>
      <c r="R13" s="132">
        <f>IF(SER_hh_tesh!R13=0,0,SER_hh_tesh!R13/SER_summary!R$26)</f>
        <v>52.095401177999449</v>
      </c>
      <c r="S13" s="132">
        <f>IF(SER_hh_tesh!S13=0,0,SER_hh_tesh!S13/SER_summary!S$26)</f>
        <v>54.022181038668606</v>
      </c>
      <c r="T13" s="132">
        <f>IF(SER_hh_tesh!T13=0,0,SER_hh_tesh!T13/SER_summary!T$26)</f>
        <v>56.222460898471546</v>
      </c>
      <c r="U13" s="132">
        <f>IF(SER_hh_tesh!U13=0,0,SER_hh_tesh!U13/SER_summary!U$26)</f>
        <v>50.633336384216584</v>
      </c>
      <c r="V13" s="132">
        <f>IF(SER_hh_tesh!V13=0,0,SER_hh_tesh!V13/SER_summary!V$26)</f>
        <v>40.797983560854384</v>
      </c>
      <c r="W13" s="132">
        <f>IF(SER_hh_tesh!W13=0,0,SER_hh_tesh!W13/SER_summary!W$26)</f>
        <v>60.342184196092205</v>
      </c>
      <c r="X13" s="132">
        <f>IF(SER_hh_tesh!X13=0,0,SER_hh_tesh!X13/SER_summary!X$26)</f>
        <v>51.838717967777391</v>
      </c>
      <c r="Y13" s="132">
        <f>IF(SER_hh_tesh!Y13=0,0,SER_hh_tesh!Y13/SER_summary!Y$26)</f>
        <v>61.391617749378135</v>
      </c>
      <c r="DA13" s="156" t="s">
        <v>518</v>
      </c>
    </row>
    <row r="14" spans="1:105" ht="12" customHeight="1" x14ac:dyDescent="0.25">
      <c r="A14" s="60" t="s">
        <v>76</v>
      </c>
      <c r="B14" s="65">
        <f>IF(SER_hh_tesh!B14=0,0,SER_hh_tesh!B14/SER_summary!B$26)</f>
        <v>77.287887377780308</v>
      </c>
      <c r="C14" s="65">
        <f>IF(SER_hh_tesh!C14=0,0,SER_hh_tesh!C14/SER_summary!C$26)</f>
        <v>80.416254432452135</v>
      </c>
      <c r="D14" s="65">
        <f>IF(SER_hh_tesh!D14=0,0,SER_hh_tesh!D14/SER_summary!D$26)</f>
        <v>66.611149754625401</v>
      </c>
      <c r="E14" s="65">
        <f>IF(SER_hh_tesh!E14=0,0,SER_hh_tesh!E14/SER_summary!E$26)</f>
        <v>81.545410208244704</v>
      </c>
      <c r="F14" s="65">
        <f>IF(SER_hh_tesh!F14=0,0,SER_hh_tesh!F14/SER_summary!F$26)</f>
        <v>77.032399098773965</v>
      </c>
      <c r="G14" s="65">
        <f>IF(SER_hh_tesh!G14=0,0,SER_hh_tesh!G14/SER_summary!G$26)</f>
        <v>73.186642831971341</v>
      </c>
      <c r="H14" s="65">
        <f>IF(SER_hh_tesh!H14=0,0,SER_hh_tesh!H14/SER_summary!H$26)</f>
        <v>68.789326736830276</v>
      </c>
      <c r="I14" s="65">
        <f>IF(SER_hh_tesh!I14=0,0,SER_hh_tesh!I14/SER_summary!I$26)</f>
        <v>66.605053154157886</v>
      </c>
      <c r="J14" s="65">
        <f>IF(SER_hh_tesh!J14=0,0,SER_hh_tesh!J14/SER_summary!J$26)</f>
        <v>93.220844834399045</v>
      </c>
      <c r="K14" s="65">
        <f>IF(SER_hh_tesh!K14=0,0,SER_hh_tesh!K14/SER_summary!K$26)</f>
        <v>52.760953786747343</v>
      </c>
      <c r="L14" s="65">
        <f>IF(SER_hh_tesh!L14=0,0,SER_hh_tesh!L14/SER_summary!L$26)</f>
        <v>33.973739353607058</v>
      </c>
      <c r="M14" s="65">
        <f>IF(SER_hh_tesh!M14=0,0,SER_hh_tesh!M14/SER_summary!M$26)</f>
        <v>54.114588548740919</v>
      </c>
      <c r="N14" s="65">
        <f>IF(SER_hh_tesh!N14=0,0,SER_hh_tesh!N14/SER_summary!N$26)</f>
        <v>71.132780636585622</v>
      </c>
      <c r="O14" s="65">
        <f>IF(SER_hh_tesh!O14=0,0,SER_hh_tesh!O14/SER_summary!O$26)</f>
        <v>49.666066628181028</v>
      </c>
      <c r="P14" s="65">
        <f>IF(SER_hh_tesh!P14=0,0,SER_hh_tesh!P14/SER_summary!P$26)</f>
        <v>53.643943729740137</v>
      </c>
      <c r="Q14" s="65">
        <f>IF(SER_hh_tesh!Q14=0,0,SER_hh_tesh!Q14/SER_summary!Q$26)</f>
        <v>25.089669750044504</v>
      </c>
      <c r="R14" s="65">
        <f>IF(SER_hh_tesh!R14=0,0,SER_hh_tesh!R14/SER_summary!R$26)</f>
        <v>63.286327865312714</v>
      </c>
      <c r="S14" s="65">
        <f>IF(SER_hh_tesh!S14=0,0,SER_hh_tesh!S14/SER_summary!S$26)</f>
        <v>41.168365401728337</v>
      </c>
      <c r="T14" s="65">
        <f>IF(SER_hh_tesh!T14=0,0,SER_hh_tesh!T14/SER_summary!T$26)</f>
        <v>62.180259156440648</v>
      </c>
      <c r="U14" s="65">
        <f>IF(SER_hh_tesh!U14=0,0,SER_hh_tesh!U14/SER_summary!U$26)</f>
        <v>62.126504391505229</v>
      </c>
      <c r="V14" s="65">
        <f>IF(SER_hh_tesh!V14=0,0,SER_hh_tesh!V14/SER_summary!V$26)</f>
        <v>46.126242902517319</v>
      </c>
      <c r="W14" s="65">
        <f>IF(SER_hh_tesh!W14=0,0,SER_hh_tesh!W14/SER_summary!W$26)</f>
        <v>61.72552910582391</v>
      </c>
      <c r="X14" s="65">
        <f>IF(SER_hh_tesh!X14=0,0,SER_hh_tesh!X14/SER_summary!X$26)</f>
        <v>65.543771607272618</v>
      </c>
      <c r="Y14" s="65">
        <f>IF(SER_hh_tesh!Y14=0,0,SER_hh_tesh!Y14/SER_summary!Y$26)</f>
        <v>39.46250854491462</v>
      </c>
      <c r="DA14" s="109" t="s">
        <v>519</v>
      </c>
    </row>
    <row r="15" spans="1:105" ht="12" customHeight="1" x14ac:dyDescent="0.25">
      <c r="A15" s="133" t="s">
        <v>80</v>
      </c>
      <c r="B15" s="134">
        <f>IF(SER_hh_tesh!B15=0,0,SER_hh_tesh!B15/SER_summary!B$26)</f>
        <v>0.61538779217954498</v>
      </c>
      <c r="C15" s="134">
        <f>IF(SER_hh_tesh!C15=0,0,SER_hh_tesh!C15/SER_summary!C$26)</f>
        <v>0.56742251941818922</v>
      </c>
      <c r="D15" s="134">
        <f>IF(SER_hh_tesh!D15=0,0,SER_hh_tesh!D15/SER_summary!D$26)</f>
        <v>0.56825455949750292</v>
      </c>
      <c r="E15" s="134">
        <f>IF(SER_hh_tesh!E15=0,0,SER_hh_tesh!E15/SER_summary!E$26)</f>
        <v>0.52544711438327918</v>
      </c>
      <c r="F15" s="134">
        <f>IF(SER_hh_tesh!F15=0,0,SER_hh_tesh!F15/SER_summary!F$26)</f>
        <v>0.53516330259261347</v>
      </c>
      <c r="G15" s="134">
        <f>IF(SER_hh_tesh!G15=0,0,SER_hh_tesh!G15/SER_summary!G$26)</f>
        <v>0.49940140031683294</v>
      </c>
      <c r="H15" s="134">
        <f>IF(SER_hh_tesh!H15=0,0,SER_hh_tesh!H15/SER_summary!H$26)</f>
        <v>0.52885599905220959</v>
      </c>
      <c r="I15" s="134">
        <f>IF(SER_hh_tesh!I15=0,0,SER_hh_tesh!I15/SER_summary!I$26)</f>
        <v>0.49128409115260202</v>
      </c>
      <c r="J15" s="134">
        <f>IF(SER_hh_tesh!J15=0,0,SER_hh_tesh!J15/SER_summary!J$26)</f>
        <v>0.40694311895923074</v>
      </c>
      <c r="K15" s="134">
        <f>IF(SER_hh_tesh!K15=0,0,SER_hh_tesh!K15/SER_summary!K$26)</f>
        <v>0.39490168399775455</v>
      </c>
      <c r="L15" s="134">
        <f>IF(SER_hh_tesh!L15=0,0,SER_hh_tesh!L15/SER_summary!L$26)</f>
        <v>0.41085766603294555</v>
      </c>
      <c r="M15" s="134">
        <f>IF(SER_hh_tesh!M15=0,0,SER_hh_tesh!M15/SER_summary!M$26)</f>
        <v>0.37282141027285304</v>
      </c>
      <c r="N15" s="134">
        <f>IF(SER_hh_tesh!N15=0,0,SER_hh_tesh!N15/SER_summary!N$26)</f>
        <v>0.38077716770553821</v>
      </c>
      <c r="O15" s="134">
        <f>IF(SER_hh_tesh!O15=0,0,SER_hh_tesh!O15/SER_summary!O$26)</f>
        <v>0.36722182457032798</v>
      </c>
      <c r="P15" s="134">
        <f>IF(SER_hh_tesh!P15=0,0,SER_hh_tesh!P15/SER_summary!P$26)</f>
        <v>0.33670489067310261</v>
      </c>
      <c r="Q15" s="134">
        <f>IF(SER_hh_tesh!Q15=0,0,SER_hh_tesh!Q15/SER_summary!Q$26)</f>
        <v>0.33161758803672908</v>
      </c>
      <c r="R15" s="134">
        <f>IF(SER_hh_tesh!R15=0,0,SER_hh_tesh!R15/SER_summary!R$26)</f>
        <v>0.35155937435267642</v>
      </c>
      <c r="S15" s="134">
        <f>IF(SER_hh_tesh!S15=0,0,SER_hh_tesh!S15/SER_summary!S$26)</f>
        <v>0.38510146528593614</v>
      </c>
      <c r="T15" s="134">
        <f>IF(SER_hh_tesh!T15=0,0,SER_hh_tesh!T15/SER_summary!T$26)</f>
        <v>0.40528889878663105</v>
      </c>
      <c r="U15" s="134">
        <f>IF(SER_hh_tesh!U15=0,0,SER_hh_tesh!U15/SER_summary!U$26)</f>
        <v>0.38855498436964941</v>
      </c>
      <c r="V15" s="134">
        <f>IF(SER_hh_tesh!V15=0,0,SER_hh_tesh!V15/SER_summary!V$26)</f>
        <v>0.36350943298601496</v>
      </c>
      <c r="W15" s="134">
        <f>IF(SER_hh_tesh!W15=0,0,SER_hh_tesh!W15/SER_summary!W$26)</f>
        <v>0.41889359301879886</v>
      </c>
      <c r="X15" s="134">
        <f>IF(SER_hh_tesh!X15=0,0,SER_hh_tesh!X15/SER_summary!X$26)</f>
        <v>0.40038449962794692</v>
      </c>
      <c r="Y15" s="134">
        <f>IF(SER_hh_tesh!Y15=0,0,SER_hh_tesh!Y15/SER_summary!Y$26)</f>
        <v>0.43875185568878106</v>
      </c>
      <c r="DA15" s="157" t="s">
        <v>520</v>
      </c>
    </row>
    <row r="16" spans="1:105" ht="12.95" customHeight="1" x14ac:dyDescent="0.25">
      <c r="A16" s="129" t="s">
        <v>74</v>
      </c>
      <c r="B16" s="130">
        <f>IF(SER_hh_tesh!B16=0,0,SER_hh_tesh!B16/SER_summary!B$26)</f>
        <v>20.791843034265007</v>
      </c>
      <c r="C16" s="130">
        <f>IF(SER_hh_tesh!C16=0,0,SER_hh_tesh!C16/SER_summary!C$26)</f>
        <v>21.81656117677505</v>
      </c>
      <c r="D16" s="130">
        <f>IF(SER_hh_tesh!D16=0,0,SER_hh_tesh!D16/SER_summary!D$26)</f>
        <v>23.447485558231463</v>
      </c>
      <c r="E16" s="130">
        <f>IF(SER_hh_tesh!E16=0,0,SER_hh_tesh!E16/SER_summary!E$26)</f>
        <v>21.028435786731571</v>
      </c>
      <c r="F16" s="130">
        <f>IF(SER_hh_tesh!F16=0,0,SER_hh_tesh!F16/SER_summary!F$26)</f>
        <v>20.911506966007749</v>
      </c>
      <c r="G16" s="130">
        <f>IF(SER_hh_tesh!G16=0,0,SER_hh_tesh!G16/SER_summary!G$26)</f>
        <v>20.955840161615534</v>
      </c>
      <c r="H16" s="130">
        <f>IF(SER_hh_tesh!H16=0,0,SER_hh_tesh!H16/SER_summary!H$26)</f>
        <v>23.144122171285858</v>
      </c>
      <c r="I16" s="130">
        <f>IF(SER_hh_tesh!I16=0,0,SER_hh_tesh!I16/SER_summary!I$26)</f>
        <v>21.352658870271274</v>
      </c>
      <c r="J16" s="130">
        <f>IF(SER_hh_tesh!J16=0,0,SER_hh_tesh!J16/SER_summary!J$26)</f>
        <v>21.040816580469588</v>
      </c>
      <c r="K16" s="130">
        <f>IF(SER_hh_tesh!K16=0,0,SER_hh_tesh!K16/SER_summary!K$26)</f>
        <v>21.087379414399535</v>
      </c>
      <c r="L16" s="130">
        <f>IF(SER_hh_tesh!L16=0,0,SER_hh_tesh!L16/SER_summary!L$26)</f>
        <v>26.816821190095499</v>
      </c>
      <c r="M16" s="130">
        <f>IF(SER_hh_tesh!M16=0,0,SER_hh_tesh!M16/SER_summary!M$26)</f>
        <v>21.295392359931736</v>
      </c>
      <c r="N16" s="130">
        <f>IF(SER_hh_tesh!N16=0,0,SER_hh_tesh!N16/SER_summary!N$26)</f>
        <v>23.333421715217458</v>
      </c>
      <c r="O16" s="130">
        <f>IF(SER_hh_tesh!O16=0,0,SER_hh_tesh!O16/SER_summary!O$26)</f>
        <v>21.713341980410718</v>
      </c>
      <c r="P16" s="130">
        <f>IF(SER_hh_tesh!P16=0,0,SER_hh_tesh!P16/SER_summary!P$26)</f>
        <v>23.988578101514282</v>
      </c>
      <c r="Q16" s="130">
        <f>IF(SER_hh_tesh!Q16=0,0,SER_hh_tesh!Q16/SER_summary!Q$26)</f>
        <v>23.255230450905319</v>
      </c>
      <c r="R16" s="130">
        <f>IF(SER_hh_tesh!R16=0,0,SER_hh_tesh!R16/SER_summary!R$26)</f>
        <v>22.094763895270098</v>
      </c>
      <c r="S16" s="130">
        <f>IF(SER_hh_tesh!S16=0,0,SER_hh_tesh!S16/SER_summary!S$26)</f>
        <v>21.990701959365868</v>
      </c>
      <c r="T16" s="130">
        <f>IF(SER_hh_tesh!T16=0,0,SER_hh_tesh!T16/SER_summary!T$26)</f>
        <v>23.42651471051499</v>
      </c>
      <c r="U16" s="130">
        <f>IF(SER_hh_tesh!U16=0,0,SER_hh_tesh!U16/SER_summary!U$26)</f>
        <v>22.838348827280409</v>
      </c>
      <c r="V16" s="130">
        <f>IF(SER_hh_tesh!V16=0,0,SER_hh_tesh!V16/SER_summary!V$26)</f>
        <v>22.113675449454391</v>
      </c>
      <c r="W16" s="130">
        <f>IF(SER_hh_tesh!W16=0,0,SER_hh_tesh!W16/SER_summary!W$26)</f>
        <v>26.109745578229081</v>
      </c>
      <c r="X16" s="130">
        <f>IF(SER_hh_tesh!X16=0,0,SER_hh_tesh!X16/SER_summary!X$26)</f>
        <v>23.394672285891243</v>
      </c>
      <c r="Y16" s="130">
        <f>IF(SER_hh_tesh!Y16=0,0,SER_hh_tesh!Y16/SER_summary!Y$26)</f>
        <v>22.943260833818933</v>
      </c>
      <c r="DA16" s="155" t="s">
        <v>521</v>
      </c>
    </row>
    <row r="17" spans="1:105" ht="12.95" customHeight="1" x14ac:dyDescent="0.25">
      <c r="A17" s="131" t="s">
        <v>73</v>
      </c>
      <c r="B17" s="132">
        <f>IF(SER_hh_tesh!B17=0,0,SER_hh_tesh!B17/SER_summary!B$26)</f>
        <v>0</v>
      </c>
      <c r="C17" s="132">
        <f>IF(SER_hh_tesh!C17=0,0,SER_hh_tesh!C17/SER_summary!C$26)</f>
        <v>0</v>
      </c>
      <c r="D17" s="132">
        <f>IF(SER_hh_tesh!D17=0,0,SER_hh_tesh!D17/SER_summary!D$26)</f>
        <v>0</v>
      </c>
      <c r="E17" s="132">
        <f>IF(SER_hh_tesh!E17=0,0,SER_hh_tesh!E17/SER_summary!E$26)</f>
        <v>0</v>
      </c>
      <c r="F17" s="132">
        <f>IF(SER_hh_tesh!F17=0,0,SER_hh_tesh!F17/SER_summary!F$26)</f>
        <v>0</v>
      </c>
      <c r="G17" s="132">
        <f>IF(SER_hh_tesh!G17=0,0,SER_hh_tesh!G17/SER_summary!G$26)</f>
        <v>0</v>
      </c>
      <c r="H17" s="132">
        <f>IF(SER_hh_tesh!H17=0,0,SER_hh_tesh!H17/SER_summary!H$26)</f>
        <v>0</v>
      </c>
      <c r="I17" s="132">
        <f>IF(SER_hh_tesh!I17=0,0,SER_hh_tesh!I17/SER_summary!I$26)</f>
        <v>0</v>
      </c>
      <c r="J17" s="132">
        <f>IF(SER_hh_tesh!J17=0,0,SER_hh_tesh!J17/SER_summary!J$26)</f>
        <v>0</v>
      </c>
      <c r="K17" s="132">
        <f>IF(SER_hh_tesh!K17=0,0,SER_hh_tesh!K17/SER_summary!K$26)</f>
        <v>0</v>
      </c>
      <c r="L17" s="132">
        <f>IF(SER_hh_tesh!L17=0,0,SER_hh_tesh!L17/SER_summary!L$26)</f>
        <v>0</v>
      </c>
      <c r="M17" s="132">
        <f>IF(SER_hh_tesh!M17=0,0,SER_hh_tesh!M17/SER_summary!M$26)</f>
        <v>0</v>
      </c>
      <c r="N17" s="132">
        <f>IF(SER_hh_tesh!N17=0,0,SER_hh_tesh!N17/SER_summary!N$26)</f>
        <v>0</v>
      </c>
      <c r="O17" s="132">
        <f>IF(SER_hh_tesh!O17=0,0,SER_hh_tesh!O17/SER_summary!O$26)</f>
        <v>0</v>
      </c>
      <c r="P17" s="132">
        <f>IF(SER_hh_tesh!P17=0,0,SER_hh_tesh!P17/SER_summary!P$26)</f>
        <v>0</v>
      </c>
      <c r="Q17" s="132">
        <f>IF(SER_hh_tesh!Q17=0,0,SER_hh_tesh!Q17/SER_summary!Q$26)</f>
        <v>0</v>
      </c>
      <c r="R17" s="132">
        <f>IF(SER_hh_tesh!R17=0,0,SER_hh_tesh!R17/SER_summary!R$26)</f>
        <v>0</v>
      </c>
      <c r="S17" s="132">
        <f>IF(SER_hh_tesh!S17=0,0,SER_hh_tesh!S17/SER_summary!S$26)</f>
        <v>0</v>
      </c>
      <c r="T17" s="132">
        <f>IF(SER_hh_tesh!T17=0,0,SER_hh_tesh!T17/SER_summary!T$26)</f>
        <v>0</v>
      </c>
      <c r="U17" s="132">
        <f>IF(SER_hh_tesh!U17=0,0,SER_hh_tesh!U17/SER_summary!U$26)</f>
        <v>0</v>
      </c>
      <c r="V17" s="132">
        <f>IF(SER_hh_tesh!V17=0,0,SER_hh_tesh!V17/SER_summary!V$26)</f>
        <v>0</v>
      </c>
      <c r="W17" s="132">
        <f>IF(SER_hh_tesh!W17=0,0,SER_hh_tesh!W17/SER_summary!W$26)</f>
        <v>0</v>
      </c>
      <c r="X17" s="132">
        <f>IF(SER_hh_tesh!X17=0,0,SER_hh_tesh!X17/SER_summary!X$26)</f>
        <v>0</v>
      </c>
      <c r="Y17" s="132">
        <f>IF(SER_hh_tesh!Y17=0,0,SER_hh_tesh!Y17/SER_summary!Y$26)</f>
        <v>0</v>
      </c>
      <c r="DA17" s="156" t="s">
        <v>522</v>
      </c>
    </row>
    <row r="18" spans="1:105" ht="12" customHeight="1" x14ac:dyDescent="0.25">
      <c r="A18" s="131" t="s">
        <v>72</v>
      </c>
      <c r="B18" s="132">
        <f>IF(SER_hh_tesh!B18=0,0,SER_hh_tesh!B18/SER_summary!B$26)</f>
        <v>20.791843034265007</v>
      </c>
      <c r="C18" s="132">
        <f>IF(SER_hh_tesh!C18=0,0,SER_hh_tesh!C18/SER_summary!C$26)</f>
        <v>21.81656117677505</v>
      </c>
      <c r="D18" s="132">
        <f>IF(SER_hh_tesh!D18=0,0,SER_hh_tesh!D18/SER_summary!D$26)</f>
        <v>23.447485558231463</v>
      </c>
      <c r="E18" s="132">
        <f>IF(SER_hh_tesh!E18=0,0,SER_hh_tesh!E18/SER_summary!E$26)</f>
        <v>21.028435786731571</v>
      </c>
      <c r="F18" s="132">
        <f>IF(SER_hh_tesh!F18=0,0,SER_hh_tesh!F18/SER_summary!F$26)</f>
        <v>20.911506966007749</v>
      </c>
      <c r="G18" s="132">
        <f>IF(SER_hh_tesh!G18=0,0,SER_hh_tesh!G18/SER_summary!G$26)</f>
        <v>20.955840161615534</v>
      </c>
      <c r="H18" s="132">
        <f>IF(SER_hh_tesh!H18=0,0,SER_hh_tesh!H18/SER_summary!H$26)</f>
        <v>23.144122171285858</v>
      </c>
      <c r="I18" s="132">
        <f>IF(SER_hh_tesh!I18=0,0,SER_hh_tesh!I18/SER_summary!I$26)</f>
        <v>21.352658870271274</v>
      </c>
      <c r="J18" s="132">
        <f>IF(SER_hh_tesh!J18=0,0,SER_hh_tesh!J18/SER_summary!J$26)</f>
        <v>21.040816580469588</v>
      </c>
      <c r="K18" s="132">
        <f>IF(SER_hh_tesh!K18=0,0,SER_hh_tesh!K18/SER_summary!K$26)</f>
        <v>21.087379414399535</v>
      </c>
      <c r="L18" s="132">
        <f>IF(SER_hh_tesh!L18=0,0,SER_hh_tesh!L18/SER_summary!L$26)</f>
        <v>26.816821190095499</v>
      </c>
      <c r="M18" s="132">
        <f>IF(SER_hh_tesh!M18=0,0,SER_hh_tesh!M18/SER_summary!M$26)</f>
        <v>21.295392359931736</v>
      </c>
      <c r="N18" s="132">
        <f>IF(SER_hh_tesh!N18=0,0,SER_hh_tesh!N18/SER_summary!N$26)</f>
        <v>23.333421715217458</v>
      </c>
      <c r="O18" s="132">
        <f>IF(SER_hh_tesh!O18=0,0,SER_hh_tesh!O18/SER_summary!O$26)</f>
        <v>21.713341980410718</v>
      </c>
      <c r="P18" s="132">
        <f>IF(SER_hh_tesh!P18=0,0,SER_hh_tesh!P18/SER_summary!P$26)</f>
        <v>23.988578101514282</v>
      </c>
      <c r="Q18" s="132">
        <f>IF(SER_hh_tesh!Q18=0,0,SER_hh_tesh!Q18/SER_summary!Q$26)</f>
        <v>23.255230450905319</v>
      </c>
      <c r="R18" s="132">
        <f>IF(SER_hh_tesh!R18=0,0,SER_hh_tesh!R18/SER_summary!R$26)</f>
        <v>22.094763895270098</v>
      </c>
      <c r="S18" s="132">
        <f>IF(SER_hh_tesh!S18=0,0,SER_hh_tesh!S18/SER_summary!S$26)</f>
        <v>21.990701959365868</v>
      </c>
      <c r="T18" s="132">
        <f>IF(SER_hh_tesh!T18=0,0,SER_hh_tesh!T18/SER_summary!T$26)</f>
        <v>23.42651471051499</v>
      </c>
      <c r="U18" s="132">
        <f>IF(SER_hh_tesh!U18=0,0,SER_hh_tesh!U18/SER_summary!U$26)</f>
        <v>22.838348827280409</v>
      </c>
      <c r="V18" s="132">
        <f>IF(SER_hh_tesh!V18=0,0,SER_hh_tesh!V18/SER_summary!V$26)</f>
        <v>22.113675449454391</v>
      </c>
      <c r="W18" s="132">
        <f>IF(SER_hh_tesh!W18=0,0,SER_hh_tesh!W18/SER_summary!W$26)</f>
        <v>26.109745578229081</v>
      </c>
      <c r="X18" s="132">
        <f>IF(SER_hh_tesh!X18=0,0,SER_hh_tesh!X18/SER_summary!X$26)</f>
        <v>23.394672285891243</v>
      </c>
      <c r="Y18" s="132">
        <f>IF(SER_hh_tesh!Y18=0,0,SER_hh_tesh!Y18/SER_summary!Y$26)</f>
        <v>22.943260833818933</v>
      </c>
      <c r="DA18" s="156" t="s">
        <v>523</v>
      </c>
    </row>
    <row r="19" spans="1:105" ht="12.95" customHeight="1" x14ac:dyDescent="0.25">
      <c r="A19" s="129" t="s">
        <v>35</v>
      </c>
      <c r="B19" s="130">
        <f>IF(SER_hh_tesh!B19=0,0,SER_hh_tesh!B19/SER_summary!B$26)</f>
        <v>8.9404839783240639</v>
      </c>
      <c r="C19" s="130">
        <f>IF(SER_hh_tesh!C19=0,0,SER_hh_tesh!C19/SER_summary!C$26)</f>
        <v>9.0701833915132557</v>
      </c>
      <c r="D19" s="130">
        <f>IF(SER_hh_tesh!D19=0,0,SER_hh_tesh!D19/SER_summary!D$26)</f>
        <v>9.1270146598743587</v>
      </c>
      <c r="E19" s="130">
        <f>IF(SER_hh_tesh!E19=0,0,SER_hh_tesh!E19/SER_summary!E$26)</f>
        <v>9.1316460811216373</v>
      </c>
      <c r="F19" s="130">
        <f>IF(SER_hh_tesh!F19=0,0,SER_hh_tesh!F19/SER_summary!F$26)</f>
        <v>9.5072171024652707</v>
      </c>
      <c r="G19" s="130">
        <f>IF(SER_hh_tesh!G19=0,0,SER_hh_tesh!G19/SER_summary!G$26)</f>
        <v>9.8379411716119289</v>
      </c>
      <c r="H19" s="130">
        <f>IF(SER_hh_tesh!H19=0,0,SER_hh_tesh!H19/SER_summary!H$26)</f>
        <v>10.2596114385387</v>
      </c>
      <c r="I19" s="130">
        <f>IF(SER_hh_tesh!I19=0,0,SER_hh_tesh!I19/SER_summary!I$26)</f>
        <v>10.015181777220983</v>
      </c>
      <c r="J19" s="130">
        <f>IF(SER_hh_tesh!J19=0,0,SER_hh_tesh!J19/SER_summary!J$26)</f>
        <v>10.122982517669463</v>
      </c>
      <c r="K19" s="130">
        <f>IF(SER_hh_tesh!K19=0,0,SER_hh_tesh!K19/SER_summary!K$26)</f>
        <v>10.413756670090876</v>
      </c>
      <c r="L19" s="130">
        <f>IF(SER_hh_tesh!L19=0,0,SER_hh_tesh!L19/SER_summary!L$26)</f>
        <v>10.654890196249625</v>
      </c>
      <c r="M19" s="130">
        <f>IF(SER_hh_tesh!M19=0,0,SER_hh_tesh!M19/SER_summary!M$26)</f>
        <v>10.813038124160576</v>
      </c>
      <c r="N19" s="130">
        <f>IF(SER_hh_tesh!N19=0,0,SER_hh_tesh!N19/SER_summary!N$26)</f>
        <v>10.966040592839509</v>
      </c>
      <c r="O19" s="130">
        <f>IF(SER_hh_tesh!O19=0,0,SER_hh_tesh!O19/SER_summary!O$26)</f>
        <v>11.207116950093136</v>
      </c>
      <c r="P19" s="130">
        <f>IF(SER_hh_tesh!P19=0,0,SER_hh_tesh!P19/SER_summary!P$26)</f>
        <v>11.246437182700873</v>
      </c>
      <c r="Q19" s="130">
        <f>IF(SER_hh_tesh!Q19=0,0,SER_hh_tesh!Q19/SER_summary!Q$26)</f>
        <v>11.420825132661987</v>
      </c>
      <c r="R19" s="130">
        <f>IF(SER_hh_tesh!R19=0,0,SER_hh_tesh!R19/SER_summary!R$26)</f>
        <v>11.458739347974923</v>
      </c>
      <c r="S19" s="130">
        <f>IF(SER_hh_tesh!S19=0,0,SER_hh_tesh!S19/SER_summary!S$26)</f>
        <v>11.903250426957456</v>
      </c>
      <c r="T19" s="130">
        <f>IF(SER_hh_tesh!T19=0,0,SER_hh_tesh!T19/SER_summary!T$26)</f>
        <v>11.856461674607244</v>
      </c>
      <c r="U19" s="130">
        <f>IF(SER_hh_tesh!U19=0,0,SER_hh_tesh!U19/SER_summary!U$26)</f>
        <v>12.04354180601802</v>
      </c>
      <c r="V19" s="130">
        <f>IF(SER_hh_tesh!V19=0,0,SER_hh_tesh!V19/SER_summary!V$26)</f>
        <v>10.705468321045943</v>
      </c>
      <c r="W19" s="130">
        <f>IF(SER_hh_tesh!W19=0,0,SER_hh_tesh!W19/SER_summary!W$26)</f>
        <v>11.902680621442975</v>
      </c>
      <c r="X19" s="130">
        <f>IF(SER_hh_tesh!X19=0,0,SER_hh_tesh!X19/SER_summary!X$26)</f>
        <v>12.050705305439299</v>
      </c>
      <c r="Y19" s="130">
        <f>IF(SER_hh_tesh!Y19=0,0,SER_hh_tesh!Y19/SER_summary!Y$26)</f>
        <v>12.414117717636925</v>
      </c>
      <c r="DA19" s="155" t="s">
        <v>524</v>
      </c>
    </row>
    <row r="20" spans="1:105" ht="12" customHeight="1" x14ac:dyDescent="0.25">
      <c r="A20" s="131" t="s">
        <v>29</v>
      </c>
      <c r="B20" s="132">
        <f>IF(SER_hh_tesh!B20=0,0,SER_hh_tesh!B20/SER_summary!B$26)</f>
        <v>0</v>
      </c>
      <c r="C20" s="132">
        <f>IF(SER_hh_tesh!C20=0,0,SER_hh_tesh!C20/SER_summary!C$26)</f>
        <v>0</v>
      </c>
      <c r="D20" s="132">
        <f>IF(SER_hh_tesh!D20=0,0,SER_hh_tesh!D20/SER_summary!D$26)</f>
        <v>0</v>
      </c>
      <c r="E20" s="132">
        <f>IF(SER_hh_tesh!E20=0,0,SER_hh_tesh!E20/SER_summary!E$26)</f>
        <v>0</v>
      </c>
      <c r="F20" s="132">
        <f>IF(SER_hh_tesh!F20=0,0,SER_hh_tesh!F20/SER_summary!F$26)</f>
        <v>0</v>
      </c>
      <c r="G20" s="132">
        <f>IF(SER_hh_tesh!G20=0,0,SER_hh_tesh!G20/SER_summary!G$26)</f>
        <v>0</v>
      </c>
      <c r="H20" s="132">
        <f>IF(SER_hh_tesh!H20=0,0,SER_hh_tesh!H20/SER_summary!H$26)</f>
        <v>0</v>
      </c>
      <c r="I20" s="132">
        <f>IF(SER_hh_tesh!I20=0,0,SER_hh_tesh!I20/SER_summary!I$26)</f>
        <v>0</v>
      </c>
      <c r="J20" s="132">
        <f>IF(SER_hh_tesh!J20=0,0,SER_hh_tesh!J20/SER_summary!J$26)</f>
        <v>0</v>
      </c>
      <c r="K20" s="132">
        <f>IF(SER_hh_tesh!K20=0,0,SER_hh_tesh!K20/SER_summary!K$26)</f>
        <v>0</v>
      </c>
      <c r="L20" s="132">
        <f>IF(SER_hh_tesh!L20=0,0,SER_hh_tesh!L20/SER_summary!L$26)</f>
        <v>0</v>
      </c>
      <c r="M20" s="132">
        <f>IF(SER_hh_tesh!M20=0,0,SER_hh_tesh!M20/SER_summary!M$26)</f>
        <v>0</v>
      </c>
      <c r="N20" s="132">
        <f>IF(SER_hh_tesh!N20=0,0,SER_hh_tesh!N20/SER_summary!N$26)</f>
        <v>0</v>
      </c>
      <c r="O20" s="132">
        <f>IF(SER_hh_tesh!O20=0,0,SER_hh_tesh!O20/SER_summary!O$26)</f>
        <v>0</v>
      </c>
      <c r="P20" s="132">
        <f>IF(SER_hh_tesh!P20=0,0,SER_hh_tesh!P20/SER_summary!P$26)</f>
        <v>0</v>
      </c>
      <c r="Q20" s="132">
        <f>IF(SER_hh_tesh!Q20=0,0,SER_hh_tesh!Q20/SER_summary!Q$26)</f>
        <v>0</v>
      </c>
      <c r="R20" s="132">
        <f>IF(SER_hh_tesh!R20=0,0,SER_hh_tesh!R20/SER_summary!R$26)</f>
        <v>0</v>
      </c>
      <c r="S20" s="132">
        <f>IF(SER_hh_tesh!S20=0,0,SER_hh_tesh!S20/SER_summary!S$26)</f>
        <v>0</v>
      </c>
      <c r="T20" s="132">
        <f>IF(SER_hh_tesh!T20=0,0,SER_hh_tesh!T20/SER_summary!T$26)</f>
        <v>0</v>
      </c>
      <c r="U20" s="132">
        <f>IF(SER_hh_tesh!U20=0,0,SER_hh_tesh!U20/SER_summary!U$26)</f>
        <v>0</v>
      </c>
      <c r="V20" s="132">
        <f>IF(SER_hh_tesh!V20=0,0,SER_hh_tesh!V20/SER_summary!V$26)</f>
        <v>0</v>
      </c>
      <c r="W20" s="132">
        <f>IF(SER_hh_tesh!W20=0,0,SER_hh_tesh!W20/SER_summary!W$26)</f>
        <v>0</v>
      </c>
      <c r="X20" s="132">
        <f>IF(SER_hh_tesh!X20=0,0,SER_hh_tesh!X20/SER_summary!X$26)</f>
        <v>0</v>
      </c>
      <c r="Y20" s="132">
        <f>IF(SER_hh_tesh!Y20=0,0,SER_hh_tesh!Y20/SER_summary!Y$26)</f>
        <v>0</v>
      </c>
      <c r="DA20" s="156" t="s">
        <v>525</v>
      </c>
    </row>
    <row r="21" spans="1:105" s="2" customFormat="1" ht="12" customHeight="1" x14ac:dyDescent="0.25">
      <c r="A21" s="131" t="s">
        <v>52</v>
      </c>
      <c r="B21" s="132">
        <f>IF(SER_hh_tesh!B21=0,0,SER_hh_tesh!B21/SER_summary!B$26)</f>
        <v>0</v>
      </c>
      <c r="C21" s="132">
        <f>IF(SER_hh_tesh!C21=0,0,SER_hh_tesh!C21/SER_summary!C$26)</f>
        <v>0</v>
      </c>
      <c r="D21" s="132">
        <f>IF(SER_hh_tesh!D21=0,0,SER_hh_tesh!D21/SER_summary!D$26)</f>
        <v>0</v>
      </c>
      <c r="E21" s="132">
        <f>IF(SER_hh_tesh!E21=0,0,SER_hh_tesh!E21/SER_summary!E$26)</f>
        <v>0</v>
      </c>
      <c r="F21" s="132">
        <f>IF(SER_hh_tesh!F21=0,0,SER_hh_tesh!F21/SER_summary!F$26)</f>
        <v>0</v>
      </c>
      <c r="G21" s="132">
        <f>IF(SER_hh_tesh!G21=0,0,SER_hh_tesh!G21/SER_summary!G$26)</f>
        <v>0</v>
      </c>
      <c r="H21" s="132">
        <f>IF(SER_hh_tesh!H21=0,0,SER_hh_tesh!H21/SER_summary!H$26)</f>
        <v>0</v>
      </c>
      <c r="I21" s="132">
        <f>IF(SER_hh_tesh!I21=0,0,SER_hh_tesh!I21/SER_summary!I$26)</f>
        <v>0</v>
      </c>
      <c r="J21" s="132">
        <f>IF(SER_hh_tesh!J21=0,0,SER_hh_tesh!J21/SER_summary!J$26)</f>
        <v>0</v>
      </c>
      <c r="K21" s="132">
        <f>IF(SER_hh_tesh!K21=0,0,SER_hh_tesh!K21/SER_summary!K$26)</f>
        <v>0</v>
      </c>
      <c r="L21" s="132">
        <f>IF(SER_hh_tesh!L21=0,0,SER_hh_tesh!L21/SER_summary!L$26)</f>
        <v>0</v>
      </c>
      <c r="M21" s="132">
        <f>IF(SER_hh_tesh!M21=0,0,SER_hh_tesh!M21/SER_summary!M$26)</f>
        <v>0</v>
      </c>
      <c r="N21" s="132">
        <f>IF(SER_hh_tesh!N21=0,0,SER_hh_tesh!N21/SER_summary!N$26)</f>
        <v>0</v>
      </c>
      <c r="O21" s="132">
        <f>IF(SER_hh_tesh!O21=0,0,SER_hh_tesh!O21/SER_summary!O$26)</f>
        <v>0</v>
      </c>
      <c r="P21" s="132">
        <f>IF(SER_hh_tesh!P21=0,0,SER_hh_tesh!P21/SER_summary!P$26)</f>
        <v>0</v>
      </c>
      <c r="Q21" s="132">
        <f>IF(SER_hh_tesh!Q21=0,0,SER_hh_tesh!Q21/SER_summary!Q$26)</f>
        <v>0</v>
      </c>
      <c r="R21" s="132">
        <f>IF(SER_hh_tesh!R21=0,0,SER_hh_tesh!R21/SER_summary!R$26)</f>
        <v>0</v>
      </c>
      <c r="S21" s="132">
        <f>IF(SER_hh_tesh!S21=0,0,SER_hh_tesh!S21/SER_summary!S$26)</f>
        <v>0</v>
      </c>
      <c r="T21" s="132">
        <f>IF(SER_hh_tesh!T21=0,0,SER_hh_tesh!T21/SER_summary!T$26)</f>
        <v>0</v>
      </c>
      <c r="U21" s="132">
        <f>IF(SER_hh_tesh!U21=0,0,SER_hh_tesh!U21/SER_summary!U$26)</f>
        <v>0</v>
      </c>
      <c r="V21" s="132">
        <f>IF(SER_hh_tesh!V21=0,0,SER_hh_tesh!V21/SER_summary!V$26)</f>
        <v>0</v>
      </c>
      <c r="W21" s="132">
        <f>IF(SER_hh_tesh!W21=0,0,SER_hh_tesh!W21/SER_summary!W$26)</f>
        <v>0</v>
      </c>
      <c r="X21" s="132">
        <f>IF(SER_hh_tesh!X21=0,0,SER_hh_tesh!X21/SER_summary!X$26)</f>
        <v>0</v>
      </c>
      <c r="Y21" s="132">
        <f>IF(SER_hh_tesh!Y21=0,0,SER_hh_tesh!Y21/SER_summary!Y$26)</f>
        <v>0</v>
      </c>
      <c r="DA21" s="156" t="s">
        <v>526</v>
      </c>
    </row>
    <row r="22" spans="1:105" ht="12" customHeight="1" x14ac:dyDescent="0.25">
      <c r="A22" s="131" t="s">
        <v>161</v>
      </c>
      <c r="B22" s="132">
        <f>IF(SER_hh_tesh!B22=0,0,SER_hh_tesh!B22/SER_summary!B$26)</f>
        <v>10.413002408409723</v>
      </c>
      <c r="C22" s="132">
        <f>IF(SER_hh_tesh!C22=0,0,SER_hh_tesh!C22/SER_summary!C$26)</f>
        <v>7.7693549205019945</v>
      </c>
      <c r="D22" s="132">
        <f>IF(SER_hh_tesh!D22=0,0,SER_hh_tesh!D22/SER_summary!D$26)</f>
        <v>8.7109366397641672</v>
      </c>
      <c r="E22" s="132">
        <f>IF(SER_hh_tesh!E22=0,0,SER_hh_tesh!E22/SER_summary!E$26)</f>
        <v>8.2149983879097253</v>
      </c>
      <c r="F22" s="132">
        <f>IF(SER_hh_tesh!F22=0,0,SER_hh_tesh!F22/SER_summary!F$26)</f>
        <v>10.354897829266195</v>
      </c>
      <c r="G22" s="132">
        <f>IF(SER_hh_tesh!G22=0,0,SER_hh_tesh!G22/SER_summary!G$26)</f>
        <v>9.3174694027805351</v>
      </c>
      <c r="H22" s="132">
        <f>IF(SER_hh_tesh!H22=0,0,SER_hh_tesh!H22/SER_summary!H$26)</f>
        <v>10.176428281530017</v>
      </c>
      <c r="I22" s="132">
        <f>IF(SER_hh_tesh!I22=0,0,SER_hh_tesh!I22/SER_summary!I$26)</f>
        <v>10.051454422552069</v>
      </c>
      <c r="J22" s="132">
        <f>IF(SER_hh_tesh!J22=0,0,SER_hh_tesh!J22/SER_summary!J$26)</f>
        <v>11.090781840650235</v>
      </c>
      <c r="K22" s="132">
        <f>IF(SER_hh_tesh!K22=0,0,SER_hh_tesh!K22/SER_summary!K$26)</f>
        <v>9.6562484990463577</v>
      </c>
      <c r="L22" s="132">
        <f>IF(SER_hh_tesh!L22=0,0,SER_hh_tesh!L22/SER_summary!L$26)</f>
        <v>10.425593822861014</v>
      </c>
      <c r="M22" s="132">
        <f>IF(SER_hh_tesh!M22=0,0,SER_hh_tesh!M22/SER_summary!M$26)</f>
        <v>10.609355703873291</v>
      </c>
      <c r="N22" s="132">
        <f>IF(SER_hh_tesh!N22=0,0,SER_hh_tesh!N22/SER_summary!N$26)</f>
        <v>9.84140805789532</v>
      </c>
      <c r="O22" s="132">
        <f>IF(SER_hh_tesh!O22=0,0,SER_hh_tesh!O22/SER_summary!O$26)</f>
        <v>11.129156819560281</v>
      </c>
      <c r="P22" s="132">
        <f>IF(SER_hh_tesh!P22=0,0,SER_hh_tesh!P22/SER_summary!P$26)</f>
        <v>11.412573413614139</v>
      </c>
      <c r="Q22" s="132">
        <f>IF(SER_hh_tesh!Q22=0,0,SER_hh_tesh!Q22/SER_summary!Q$26)</f>
        <v>11.352835961527434</v>
      </c>
      <c r="R22" s="132">
        <f>IF(SER_hh_tesh!R22=0,0,SER_hh_tesh!R22/SER_summary!R$26)</f>
        <v>11.452602487206741</v>
      </c>
      <c r="S22" s="132">
        <f>IF(SER_hh_tesh!S22=0,0,SER_hh_tesh!S22/SER_summary!S$26)</f>
        <v>12.970685235228849</v>
      </c>
      <c r="T22" s="132">
        <f>IF(SER_hh_tesh!T22=0,0,SER_hh_tesh!T22/SER_summary!T$26)</f>
        <v>9.621189275788554</v>
      </c>
      <c r="U22" s="132">
        <f>IF(SER_hh_tesh!U22=0,0,SER_hh_tesh!U22/SER_summary!U$26)</f>
        <v>11.257648804062043</v>
      </c>
      <c r="V22" s="132">
        <f>IF(SER_hh_tesh!V22=0,0,SER_hh_tesh!V22/SER_summary!V$26)</f>
        <v>11.700002493287947</v>
      </c>
      <c r="W22" s="132">
        <f>IF(SER_hh_tesh!W22=0,0,SER_hh_tesh!W22/SER_summary!W$26)</f>
        <v>13.2949492961544</v>
      </c>
      <c r="X22" s="132">
        <f>IF(SER_hh_tesh!X22=0,0,SER_hh_tesh!X22/SER_summary!X$26)</f>
        <v>12.635741258521694</v>
      </c>
      <c r="Y22" s="132">
        <f>IF(SER_hh_tesh!Y22=0,0,SER_hh_tesh!Y22/SER_summary!Y$26)</f>
        <v>10.745324130745548</v>
      </c>
      <c r="DA22" s="156" t="s">
        <v>527</v>
      </c>
    </row>
    <row r="23" spans="1:105" ht="12" customHeight="1" x14ac:dyDescent="0.25">
      <c r="A23" s="131" t="s">
        <v>149</v>
      </c>
      <c r="B23" s="132">
        <f>IF(SER_hh_tesh!B23=0,0,SER_hh_tesh!B23/SER_summary!B$26)</f>
        <v>8.8304393361963474</v>
      </c>
      <c r="C23" s="132">
        <f>IF(SER_hh_tesh!C23=0,0,SER_hh_tesh!C23/SER_summary!C$26)</f>
        <v>8.8939637177445476</v>
      </c>
      <c r="D23" s="132">
        <f>IF(SER_hh_tesh!D23=0,0,SER_hh_tesh!D23/SER_summary!D$26)</f>
        <v>9.0734383841102346</v>
      </c>
      <c r="E23" s="132">
        <f>IF(SER_hh_tesh!E23=0,0,SER_hh_tesh!E23/SER_summary!E$26)</f>
        <v>8.7675809149725836</v>
      </c>
      <c r="F23" s="132">
        <f>IF(SER_hh_tesh!F23=0,0,SER_hh_tesh!F23/SER_summary!F$26)</f>
        <v>9.8474065975828289</v>
      </c>
      <c r="G23" s="132">
        <f>IF(SER_hh_tesh!G23=0,0,SER_hh_tesh!G23/SER_summary!G$26)</f>
        <v>9.037832439934343</v>
      </c>
      <c r="H23" s="132">
        <f>IF(SER_hh_tesh!H23=0,0,SER_hh_tesh!H23/SER_summary!H$26)</f>
        <v>8.9353398892025151</v>
      </c>
      <c r="I23" s="132">
        <f>IF(SER_hh_tesh!I23=0,0,SER_hh_tesh!I23/SER_summary!I$26)</f>
        <v>10.869486313490368</v>
      </c>
      <c r="J23" s="132">
        <f>IF(SER_hh_tesh!J23=0,0,SER_hh_tesh!J23/SER_summary!J$26)</f>
        <v>10.931333052854434</v>
      </c>
      <c r="K23" s="132">
        <f>IF(SER_hh_tesh!K23=0,0,SER_hh_tesh!K23/SER_summary!K$26)</f>
        <v>10.473366614826038</v>
      </c>
      <c r="L23" s="132">
        <f>IF(SER_hh_tesh!L23=0,0,SER_hh_tesh!L23/SER_summary!L$26)</f>
        <v>10.573112517611712</v>
      </c>
      <c r="M23" s="132">
        <f>IF(SER_hh_tesh!M23=0,0,SER_hh_tesh!M23/SER_summary!M$26)</f>
        <v>10.870262116512137</v>
      </c>
      <c r="N23" s="132">
        <f>IF(SER_hh_tesh!N23=0,0,SER_hh_tesh!N23/SER_summary!N$26)</f>
        <v>10.999385778072442</v>
      </c>
      <c r="O23" s="132">
        <f>IF(SER_hh_tesh!O23=0,0,SER_hh_tesh!O23/SER_summary!O$26)</f>
        <v>11.307635637759416</v>
      </c>
      <c r="P23" s="132">
        <f>IF(SER_hh_tesh!P23=0,0,SER_hh_tesh!P23/SER_summary!P$26)</f>
        <v>10.700107465202109</v>
      </c>
      <c r="Q23" s="132">
        <f>IF(SER_hh_tesh!Q23=0,0,SER_hh_tesh!Q23/SER_summary!Q$26)</f>
        <v>11.335731683438476</v>
      </c>
      <c r="R23" s="132">
        <f>IF(SER_hh_tesh!R23=0,0,SER_hh_tesh!R23/SER_summary!R$26)</f>
        <v>11.788468961885959</v>
      </c>
      <c r="S23" s="132">
        <f>IF(SER_hh_tesh!S23=0,0,SER_hh_tesh!S23/SER_summary!S$26)</f>
        <v>11.634638691569947</v>
      </c>
      <c r="T23" s="132">
        <f>IF(SER_hh_tesh!T23=0,0,SER_hh_tesh!T23/SER_summary!T$26)</f>
        <v>11.752703095406689</v>
      </c>
      <c r="U23" s="132">
        <f>IF(SER_hh_tesh!U23=0,0,SER_hh_tesh!U23/SER_summary!U$26)</f>
        <v>11.685116849683601</v>
      </c>
      <c r="V23" s="132">
        <f>IF(SER_hh_tesh!V23=0,0,SER_hh_tesh!V23/SER_summary!V$26)</f>
        <v>11.360768521578462</v>
      </c>
      <c r="W23" s="132">
        <f>IF(SER_hh_tesh!W23=0,0,SER_hh_tesh!W23/SER_summary!W$26)</f>
        <v>11.952305127440381</v>
      </c>
      <c r="X23" s="132">
        <f>IF(SER_hh_tesh!X23=0,0,SER_hh_tesh!X23/SER_summary!X$26)</f>
        <v>12.134369163642134</v>
      </c>
      <c r="Y23" s="132">
        <f>IF(SER_hh_tesh!Y23=0,0,SER_hh_tesh!Y23/SER_summary!Y$26)</f>
        <v>12.335272585347667</v>
      </c>
      <c r="DA23" s="156" t="s">
        <v>528</v>
      </c>
    </row>
    <row r="24" spans="1:105" ht="12" customHeight="1" x14ac:dyDescent="0.25">
      <c r="A24" s="131" t="s">
        <v>128</v>
      </c>
      <c r="B24" s="132">
        <f>IF(SER_hh_tesh!B24=0,0,SER_hh_tesh!B24/SER_summary!B$26)</f>
        <v>10.218901958095371</v>
      </c>
      <c r="C24" s="132">
        <f>IF(SER_hh_tesh!C24=0,0,SER_hh_tesh!C24/SER_summary!C$26)</f>
        <v>8.6695748683227354</v>
      </c>
      <c r="D24" s="132">
        <f>IF(SER_hh_tesh!D24=0,0,SER_hh_tesh!D24/SER_summary!D$26)</f>
        <v>8.9029911542930105</v>
      </c>
      <c r="E24" s="132">
        <f>IF(SER_hh_tesh!E24=0,0,SER_hh_tesh!E24/SER_summary!E$26)</f>
        <v>9.2426585312987193</v>
      </c>
      <c r="F24" s="132">
        <f>IF(SER_hh_tesh!F24=0,0,SER_hh_tesh!F24/SER_summary!F$26)</f>
        <v>9.4718919384689926</v>
      </c>
      <c r="G24" s="132">
        <f>IF(SER_hh_tesh!G24=0,0,SER_hh_tesh!G24/SER_summary!G$26)</f>
        <v>9.7844111441152197</v>
      </c>
      <c r="H24" s="132">
        <f>IF(SER_hh_tesh!H24=0,0,SER_hh_tesh!H24/SER_summary!H$26)</f>
        <v>10.366005408584124</v>
      </c>
      <c r="I24" s="132">
        <f>IF(SER_hh_tesh!I24=0,0,SER_hh_tesh!I24/SER_summary!I$26)</f>
        <v>9.9946764391980913</v>
      </c>
      <c r="J24" s="132">
        <f>IF(SER_hh_tesh!J24=0,0,SER_hh_tesh!J24/SER_summary!J$26)</f>
        <v>10.238853730934204</v>
      </c>
      <c r="K24" s="132">
        <f>IF(SER_hh_tesh!K24=0,0,SER_hh_tesh!K24/SER_summary!K$26)</f>
        <v>10.344326861843122</v>
      </c>
      <c r="L24" s="132">
        <f>IF(SER_hh_tesh!L24=0,0,SER_hh_tesh!L24/SER_summary!L$26)</f>
        <v>10.549181602337963</v>
      </c>
      <c r="M24" s="132">
        <f>IF(SER_hh_tesh!M24=0,0,SER_hh_tesh!M24/SER_summary!M$26)</f>
        <v>10.866949191389327</v>
      </c>
      <c r="N24" s="132">
        <f>IF(SER_hh_tesh!N24=0,0,SER_hh_tesh!N24/SER_summary!N$26)</f>
        <v>10.96755801362788</v>
      </c>
      <c r="O24" s="132">
        <f>IF(SER_hh_tesh!O24=0,0,SER_hh_tesh!O24/SER_summary!O$26)</f>
        <v>11.254833377748168</v>
      </c>
      <c r="P24" s="132">
        <f>IF(SER_hh_tesh!P24=0,0,SER_hh_tesh!P24/SER_summary!P$26)</f>
        <v>11.420341260383495</v>
      </c>
      <c r="Q24" s="132">
        <f>IF(SER_hh_tesh!Q24=0,0,SER_hh_tesh!Q24/SER_summary!Q$26)</f>
        <v>11.817045521956732</v>
      </c>
      <c r="R24" s="132">
        <f>IF(SER_hh_tesh!R24=0,0,SER_hh_tesh!R24/SER_summary!R$26)</f>
        <v>11.857279707695811</v>
      </c>
      <c r="S24" s="132">
        <f>IF(SER_hh_tesh!S24=0,0,SER_hh_tesh!S24/SER_summary!S$26)</f>
        <v>11.121476284067077</v>
      </c>
      <c r="T24" s="132">
        <f>IF(SER_hh_tesh!T24=0,0,SER_hh_tesh!T24/SER_summary!T$26)</f>
        <v>11.739524070922791</v>
      </c>
      <c r="U24" s="132">
        <f>IF(SER_hh_tesh!U24=0,0,SER_hh_tesh!U24/SER_summary!U$26)</f>
        <v>11.293351562292125</v>
      </c>
      <c r="V24" s="132">
        <f>IF(SER_hh_tesh!V24=0,0,SER_hh_tesh!V24/SER_summary!V$26)</f>
        <v>12.084309836314951</v>
      </c>
      <c r="W24" s="132">
        <f>IF(SER_hh_tesh!W24=0,0,SER_hh_tesh!W24/SER_summary!W$26)</f>
        <v>12.08622739857999</v>
      </c>
      <c r="X24" s="132">
        <f>IF(SER_hh_tesh!X24=0,0,SER_hh_tesh!X24/SER_summary!X$26)</f>
        <v>12.039736153667098</v>
      </c>
      <c r="Y24" s="132">
        <f>IF(SER_hh_tesh!Y24=0,0,SER_hh_tesh!Y24/SER_summary!Y$26)</f>
        <v>12.320669509170065</v>
      </c>
      <c r="DA24" s="156" t="s">
        <v>529</v>
      </c>
    </row>
    <row r="25" spans="1:105" ht="12" customHeight="1" x14ac:dyDescent="0.25">
      <c r="A25" s="131" t="s">
        <v>162</v>
      </c>
      <c r="B25" s="132">
        <f>IF(SER_hh_tesh!B25=0,0,SER_hh_tesh!B25/SER_summary!B$26)</f>
        <v>9.0513356320238163</v>
      </c>
      <c r="C25" s="132">
        <f>IF(SER_hh_tesh!C25=0,0,SER_hh_tesh!C25/SER_summary!C$26)</f>
        <v>9.1717309968910854</v>
      </c>
      <c r="D25" s="132">
        <f>IF(SER_hh_tesh!D25=0,0,SER_hh_tesh!D25/SER_summary!D$26)</f>
        <v>9.0625987637260987</v>
      </c>
      <c r="E25" s="132">
        <f>IF(SER_hh_tesh!E25=0,0,SER_hh_tesh!E25/SER_summary!E$26)</f>
        <v>9.0977285912514816</v>
      </c>
      <c r="F25" s="132">
        <f>IF(SER_hh_tesh!F25=0,0,SER_hh_tesh!F25/SER_summary!F$26)</f>
        <v>9.517861521581592</v>
      </c>
      <c r="G25" s="132">
        <f>IF(SER_hh_tesh!G25=0,0,SER_hh_tesh!G25/SER_summary!G$26)</f>
        <v>9.9713347960149701</v>
      </c>
      <c r="H25" s="132">
        <f>IF(SER_hh_tesh!H25=0,0,SER_hh_tesh!H25/SER_summary!H$26)</f>
        <v>10.572407097958427</v>
      </c>
      <c r="I25" s="132">
        <f>IF(SER_hh_tesh!I25=0,0,SER_hh_tesh!I25/SER_summary!I$26)</f>
        <v>9.5313501604416206</v>
      </c>
      <c r="J25" s="132">
        <f>IF(SER_hh_tesh!J25=0,0,SER_hh_tesh!J25/SER_summary!J$26)</f>
        <v>9.6333522576905022</v>
      </c>
      <c r="K25" s="132">
        <f>IF(SER_hh_tesh!K25=0,0,SER_hh_tesh!K25/SER_summary!K$26)</f>
        <v>10.512643998668846</v>
      </c>
      <c r="L25" s="132">
        <f>IF(SER_hh_tesh!L25=0,0,SER_hh_tesh!L25/SER_summary!L$26)</f>
        <v>10.887902892090237</v>
      </c>
      <c r="M25" s="132">
        <f>IF(SER_hh_tesh!M25=0,0,SER_hh_tesh!M25/SER_summary!M$26)</f>
        <v>10.728421944918169</v>
      </c>
      <c r="N25" s="132">
        <f>IF(SER_hh_tesh!N25=0,0,SER_hh_tesh!N25/SER_summary!N$26)</f>
        <v>10.891106079532817</v>
      </c>
      <c r="O25" s="132">
        <f>IF(SER_hh_tesh!O25=0,0,SER_hh_tesh!O25/SER_summary!O$26)</f>
        <v>11.226974239713483</v>
      </c>
      <c r="P25" s="132">
        <f>IF(SER_hh_tesh!P25=0,0,SER_hh_tesh!P25/SER_summary!P$26)</f>
        <v>11.029348567083474</v>
      </c>
      <c r="Q25" s="132">
        <f>IF(SER_hh_tesh!Q25=0,0,SER_hh_tesh!Q25/SER_summary!Q$26)</f>
        <v>11.584601460421821</v>
      </c>
      <c r="R25" s="132">
        <f>IF(SER_hh_tesh!R25=0,0,SER_hh_tesh!R25/SER_summary!R$26)</f>
        <v>11.659837165507176</v>
      </c>
      <c r="S25" s="132">
        <f>IF(SER_hh_tesh!S25=0,0,SER_hh_tesh!S25/SER_summary!S$26)</f>
        <v>12.040548550311348</v>
      </c>
      <c r="T25" s="132">
        <f>IF(SER_hh_tesh!T25=0,0,SER_hh_tesh!T25/SER_summary!T$26)</f>
        <v>11.929714049970903</v>
      </c>
      <c r="U25" s="132">
        <f>IF(SER_hh_tesh!U25=0,0,SER_hh_tesh!U25/SER_summary!U$26)</f>
        <v>11.945269102805367</v>
      </c>
      <c r="V25" s="132">
        <f>IF(SER_hh_tesh!V25=0,0,SER_hh_tesh!V25/SER_summary!V$26)</f>
        <v>10.526588495964637</v>
      </c>
      <c r="W25" s="132">
        <f>IF(SER_hh_tesh!W25=0,0,SER_hh_tesh!W25/SER_summary!W$26)</f>
        <v>11.951091042339142</v>
      </c>
      <c r="X25" s="132">
        <f>IF(SER_hh_tesh!X25=0,0,SER_hh_tesh!X25/SER_summary!X$26)</f>
        <v>12.07908872302648</v>
      </c>
      <c r="Y25" s="132">
        <f>IF(SER_hh_tesh!Y25=0,0,SER_hh_tesh!Y25/SER_summary!Y$26)</f>
        <v>12.312994571680338</v>
      </c>
      <c r="DA25" s="156" t="s">
        <v>530</v>
      </c>
    </row>
    <row r="26" spans="1:105" ht="12" customHeight="1" x14ac:dyDescent="0.25">
      <c r="A26" s="131" t="s">
        <v>24</v>
      </c>
      <c r="B26" s="65">
        <f>IF(SER_hh_tesh!B26=0,0,SER_hh_tesh!B26/SER_summary!B$26)</f>
        <v>8.4839180284457356</v>
      </c>
      <c r="C26" s="65">
        <f>IF(SER_hh_tesh!C26=0,0,SER_hh_tesh!C26/SER_summary!C$26)</f>
        <v>9.0939924011376423</v>
      </c>
      <c r="D26" s="65">
        <f>IF(SER_hh_tesh!D26=0,0,SER_hh_tesh!D26/SER_summary!D$26)</f>
        <v>9.269444586443722</v>
      </c>
      <c r="E26" s="65">
        <f>IF(SER_hh_tesh!E26=0,0,SER_hh_tesh!E26/SER_summary!E$26)</f>
        <v>9.2558706963377002</v>
      </c>
      <c r="F26" s="65">
        <f>IF(SER_hh_tesh!F26=0,0,SER_hh_tesh!F26/SER_summary!F$26)</f>
        <v>9.4162236669964052</v>
      </c>
      <c r="G26" s="65">
        <f>IF(SER_hh_tesh!G26=0,0,SER_hh_tesh!G26/SER_summary!G$26)</f>
        <v>9.7771100175633538</v>
      </c>
      <c r="H26" s="65">
        <f>IF(SER_hh_tesh!H26=0,0,SER_hh_tesh!H26/SER_summary!H$26)</f>
        <v>10.021308224950104</v>
      </c>
      <c r="I26" s="65">
        <f>IF(SER_hh_tesh!I26=0,0,SER_hh_tesh!I26/SER_summary!I$26)</f>
        <v>10.530968759978085</v>
      </c>
      <c r="J26" s="65">
        <f>IF(SER_hh_tesh!J26=0,0,SER_hh_tesh!J26/SER_summary!J$26)</f>
        <v>10.618046148833093</v>
      </c>
      <c r="K26" s="65">
        <f>IF(SER_hh_tesh!K26=0,0,SER_hh_tesh!K26/SER_summary!K$26)</f>
        <v>10.285505003934995</v>
      </c>
      <c r="L26" s="65">
        <f>IF(SER_hh_tesh!L26=0,0,SER_hh_tesh!L26/SER_summary!L$26)</f>
        <v>10.341054645089512</v>
      </c>
      <c r="M26" s="65">
        <f>IF(SER_hh_tesh!M26=0,0,SER_hh_tesh!M26/SER_summary!M$26)</f>
        <v>10.9302689607735</v>
      </c>
      <c r="N26" s="65">
        <f>IF(SER_hh_tesh!N26=0,0,SER_hh_tesh!N26/SER_summary!N$26)</f>
        <v>11.09262922050805</v>
      </c>
      <c r="O26" s="65">
        <f>IF(SER_hh_tesh!O26=0,0,SER_hh_tesh!O26/SER_summary!O$26)</f>
        <v>11.150142695760627</v>
      </c>
      <c r="P26" s="65">
        <f>IF(SER_hh_tesh!P26=0,0,SER_hh_tesh!P26/SER_summary!P$26)</f>
        <v>11.728582405425417</v>
      </c>
      <c r="Q26" s="65">
        <f>IF(SER_hh_tesh!Q26=0,0,SER_hh_tesh!Q26/SER_summary!Q$26)</f>
        <v>11.087406428770041</v>
      </c>
      <c r="R26" s="65">
        <f>IF(SER_hh_tesh!R26=0,0,SER_hh_tesh!R26/SER_summary!R$26)</f>
        <v>10.932719326140319</v>
      </c>
      <c r="S26" s="65">
        <f>IF(SER_hh_tesh!S26=0,0,SER_hh_tesh!S26/SER_summary!S$26)</f>
        <v>11.751435865921906</v>
      </c>
      <c r="T26" s="65">
        <f>IF(SER_hh_tesh!T26=0,0,SER_hh_tesh!T26/SER_summary!T$26)</f>
        <v>11.787110249196305</v>
      </c>
      <c r="U26" s="65">
        <f>IF(SER_hh_tesh!U26=0,0,SER_hh_tesh!U26/SER_summary!U$26)</f>
        <v>12.373907590042528</v>
      </c>
      <c r="V26" s="65">
        <f>IF(SER_hh_tesh!V26=0,0,SER_hh_tesh!V26/SER_summary!V$26)</f>
        <v>10.703160853578119</v>
      </c>
      <c r="W26" s="65">
        <f>IF(SER_hh_tesh!W26=0,0,SER_hh_tesh!W26/SER_summary!W$26)</f>
        <v>11.777427528981651</v>
      </c>
      <c r="X26" s="65">
        <f>IF(SER_hh_tesh!X26=0,0,SER_hh_tesh!X26/SER_summary!X$26)</f>
        <v>11.976336200439469</v>
      </c>
      <c r="Y26" s="65">
        <f>IF(SER_hh_tesh!Y26=0,0,SER_hh_tesh!Y26/SER_summary!Y$26)</f>
        <v>12.609242830099053</v>
      </c>
      <c r="DA26" s="109" t="s">
        <v>531</v>
      </c>
    </row>
    <row r="27" spans="1:105" ht="12" customHeight="1" x14ac:dyDescent="0.25">
      <c r="A27" s="144" t="s">
        <v>86</v>
      </c>
      <c r="B27" s="145">
        <f>IF(SER_hh_tesh!B27=0,0,SER_hh_tesh!B27/SER_summary!B$26)</f>
        <v>0</v>
      </c>
      <c r="C27" s="145">
        <f>IF(SER_hh_tesh!C27=0,0,SER_hh_tesh!C27/SER_summary!C$26)</f>
        <v>0</v>
      </c>
      <c r="D27" s="145">
        <f>IF(SER_hh_tesh!D27=0,0,SER_hh_tesh!D27/SER_summary!D$26)</f>
        <v>0</v>
      </c>
      <c r="E27" s="145">
        <f>IF(SER_hh_tesh!E27=0,0,SER_hh_tesh!E27/SER_summary!E$26)</f>
        <v>0</v>
      </c>
      <c r="F27" s="145">
        <f>IF(SER_hh_tesh!F27=0,0,SER_hh_tesh!F27/SER_summary!F$26)</f>
        <v>0</v>
      </c>
      <c r="G27" s="145">
        <f>IF(SER_hh_tesh!G27=0,0,SER_hh_tesh!G27/SER_summary!G$26)</f>
        <v>0</v>
      </c>
      <c r="H27" s="145">
        <f>IF(SER_hh_tesh!H27=0,0,SER_hh_tesh!H27/SER_summary!H$26)</f>
        <v>0</v>
      </c>
      <c r="I27" s="145">
        <f>IF(SER_hh_tesh!I27=0,0,SER_hh_tesh!I27/SER_summary!I$26)</f>
        <v>0</v>
      </c>
      <c r="J27" s="145">
        <f>IF(SER_hh_tesh!J27=0,0,SER_hh_tesh!J27/SER_summary!J$26)</f>
        <v>0</v>
      </c>
      <c r="K27" s="145">
        <f>IF(SER_hh_tesh!K27=0,0,SER_hh_tesh!K27/SER_summary!K$26)</f>
        <v>0</v>
      </c>
      <c r="L27" s="145">
        <f>IF(SER_hh_tesh!L27=0,0,SER_hh_tesh!L27/SER_summary!L$26)</f>
        <v>0</v>
      </c>
      <c r="M27" s="145">
        <f>IF(SER_hh_tesh!M27=0,0,SER_hh_tesh!M27/SER_summary!M$26)</f>
        <v>0</v>
      </c>
      <c r="N27" s="145">
        <f>IF(SER_hh_tesh!N27=0,0,SER_hh_tesh!N27/SER_summary!N$26)</f>
        <v>0</v>
      </c>
      <c r="O27" s="145">
        <f>IF(SER_hh_tesh!O27=0,0,SER_hh_tesh!O27/SER_summary!O$26)</f>
        <v>0</v>
      </c>
      <c r="P27" s="145">
        <f>IF(SER_hh_tesh!P27=0,0,SER_hh_tesh!P27/SER_summary!P$26)</f>
        <v>0</v>
      </c>
      <c r="Q27" s="145">
        <f>IF(SER_hh_tesh!Q27=0,0,SER_hh_tesh!Q27/SER_summary!Q$26)</f>
        <v>0</v>
      </c>
      <c r="R27" s="145">
        <f>IF(SER_hh_tesh!R27=0,0,SER_hh_tesh!R27/SER_summary!R$26)</f>
        <v>0</v>
      </c>
      <c r="S27" s="145">
        <f>IF(SER_hh_tesh!S27=0,0,SER_hh_tesh!S27/SER_summary!S$26)</f>
        <v>0</v>
      </c>
      <c r="T27" s="145">
        <f>IF(SER_hh_tesh!T27=0,0,SER_hh_tesh!T27/SER_summary!T$26)</f>
        <v>0</v>
      </c>
      <c r="U27" s="145">
        <f>IF(SER_hh_tesh!U27=0,0,SER_hh_tesh!U27/SER_summary!U$26)</f>
        <v>0</v>
      </c>
      <c r="V27" s="145">
        <f>IF(SER_hh_tesh!V27=0,0,SER_hh_tesh!V27/SER_summary!V$26)</f>
        <v>0</v>
      </c>
      <c r="W27" s="145">
        <f>IF(SER_hh_tesh!W27=0,0,SER_hh_tesh!W27/SER_summary!W$26)</f>
        <v>0</v>
      </c>
      <c r="X27" s="145">
        <f>IF(SER_hh_tesh!X27=0,0,SER_hh_tesh!X27/SER_summary!X$26)</f>
        <v>0</v>
      </c>
      <c r="Y27" s="145">
        <f>IF(SER_hh_tesh!Y27=0,0,SER_hh_tesh!Y27/SER_summary!Y$26)</f>
        <v>0</v>
      </c>
      <c r="DA27" s="158" t="s">
        <v>532</v>
      </c>
    </row>
    <row r="28" spans="1:105" ht="12" customHeight="1" x14ac:dyDescent="0.25">
      <c r="A28" s="78" t="s">
        <v>85</v>
      </c>
      <c r="B28" s="146">
        <f>IF(SER_hh_tesh!B28=0,0,SER_hh_tesh!B28/SER_summary!B$26)</f>
        <v>0</v>
      </c>
      <c r="C28" s="146">
        <f>IF(SER_hh_tesh!C28=0,0,SER_hh_tesh!C28/SER_summary!C$26)</f>
        <v>0</v>
      </c>
      <c r="D28" s="146">
        <f>IF(SER_hh_tesh!D28=0,0,SER_hh_tesh!D28/SER_summary!D$26)</f>
        <v>0</v>
      </c>
      <c r="E28" s="146">
        <f>IF(SER_hh_tesh!E28=0,0,SER_hh_tesh!E28/SER_summary!E$26)</f>
        <v>0</v>
      </c>
      <c r="F28" s="146">
        <f>IF(SER_hh_tesh!F28=0,0,SER_hh_tesh!F28/SER_summary!F$26)</f>
        <v>0</v>
      </c>
      <c r="G28" s="146">
        <f>IF(SER_hh_tesh!G28=0,0,SER_hh_tesh!G28/SER_summary!G$26)</f>
        <v>0</v>
      </c>
      <c r="H28" s="146">
        <f>IF(SER_hh_tesh!H28=0,0,SER_hh_tesh!H28/SER_summary!H$26)</f>
        <v>0</v>
      </c>
      <c r="I28" s="146">
        <f>IF(SER_hh_tesh!I28=0,0,SER_hh_tesh!I28/SER_summary!I$26)</f>
        <v>0</v>
      </c>
      <c r="J28" s="146">
        <f>IF(SER_hh_tesh!J28=0,0,SER_hh_tesh!J28/SER_summary!J$26)</f>
        <v>0</v>
      </c>
      <c r="K28" s="146">
        <f>IF(SER_hh_tesh!K28=0,0,SER_hh_tesh!K28/SER_summary!K$26)</f>
        <v>0</v>
      </c>
      <c r="L28" s="146">
        <f>IF(SER_hh_tesh!L28=0,0,SER_hh_tesh!L28/SER_summary!L$26)</f>
        <v>0</v>
      </c>
      <c r="M28" s="146">
        <f>IF(SER_hh_tesh!M28=0,0,SER_hh_tesh!M28/SER_summary!M$26)</f>
        <v>0</v>
      </c>
      <c r="N28" s="146">
        <f>IF(SER_hh_tesh!N28=0,0,SER_hh_tesh!N28/SER_summary!N$26)</f>
        <v>0</v>
      </c>
      <c r="O28" s="146">
        <f>IF(SER_hh_tesh!O28=0,0,SER_hh_tesh!O28/SER_summary!O$26)</f>
        <v>0</v>
      </c>
      <c r="P28" s="146">
        <f>IF(SER_hh_tesh!P28=0,0,SER_hh_tesh!P28/SER_summary!P$26)</f>
        <v>0</v>
      </c>
      <c r="Q28" s="146">
        <f>IF(SER_hh_tesh!Q28=0,0,SER_hh_tesh!Q28/SER_summary!Q$26)</f>
        <v>0</v>
      </c>
      <c r="R28" s="146">
        <f>IF(SER_hh_tesh!R28=0,0,SER_hh_tesh!R28/SER_summary!R$26)</f>
        <v>0</v>
      </c>
      <c r="S28" s="146">
        <f>IF(SER_hh_tesh!S28=0,0,SER_hh_tesh!S28/SER_summary!S$26)</f>
        <v>0</v>
      </c>
      <c r="T28" s="146">
        <f>IF(SER_hh_tesh!T28=0,0,SER_hh_tesh!T28/SER_summary!T$26)</f>
        <v>0</v>
      </c>
      <c r="U28" s="146">
        <f>IF(SER_hh_tesh!U28=0,0,SER_hh_tesh!U28/SER_summary!U$26)</f>
        <v>0</v>
      </c>
      <c r="V28" s="146">
        <f>IF(SER_hh_tesh!V28=0,0,SER_hh_tesh!V28/SER_summary!V$26)</f>
        <v>0</v>
      </c>
      <c r="W28" s="146">
        <f>IF(SER_hh_tesh!W28=0,0,SER_hh_tesh!W28/SER_summary!W$26)</f>
        <v>0</v>
      </c>
      <c r="X28" s="146">
        <f>IF(SER_hh_tesh!X28=0,0,SER_hh_tesh!X28/SER_summary!X$26)</f>
        <v>0</v>
      </c>
      <c r="Y28" s="146">
        <f>IF(SER_hh_tesh!Y28=0,0,SER_hh_tesh!Y28/SER_summary!Y$26)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IF(SER_hh_tesh!B29=0,0,SER_hh_tesh!B29/SER_summary!B$26)</f>
        <v>10.26354392620445</v>
      </c>
      <c r="C29" s="130">
        <f>IF(SER_hh_tesh!C29=0,0,SER_hh_tesh!C29/SER_summary!C$26)</f>
        <v>10.065597909104984</v>
      </c>
      <c r="D29" s="130">
        <f>IF(SER_hh_tesh!D29=0,0,SER_hh_tesh!D29/SER_summary!D$26)</f>
        <v>10.111060842162754</v>
      </c>
      <c r="E29" s="130">
        <f>IF(SER_hh_tesh!E29=0,0,SER_hh_tesh!E29/SER_summary!E$26)</f>
        <v>10.015697764762002</v>
      </c>
      <c r="F29" s="130">
        <f>IF(SER_hh_tesh!F29=0,0,SER_hh_tesh!F29/SER_summary!F$26)</f>
        <v>10.105227480638669</v>
      </c>
      <c r="G29" s="130">
        <f>IF(SER_hh_tesh!G29=0,0,SER_hh_tesh!G29/SER_summary!G$26)</f>
        <v>10.263304008784383</v>
      </c>
      <c r="H29" s="130">
        <f>IF(SER_hh_tesh!H29=0,0,SER_hh_tesh!H29/SER_summary!H$26)</f>
        <v>10.888406233117857</v>
      </c>
      <c r="I29" s="130">
        <f>IF(SER_hh_tesh!I29=0,0,SER_hh_tesh!I29/SER_summary!I$26)</f>
        <v>10.444857860107334</v>
      </c>
      <c r="J29" s="130">
        <f>IF(SER_hh_tesh!J29=0,0,SER_hh_tesh!J29/SER_summary!J$26)</f>
        <v>10.012658106095191</v>
      </c>
      <c r="K29" s="130">
        <f>IF(SER_hh_tesh!K29=0,0,SER_hh_tesh!K29/SER_summary!K$26)</f>
        <v>10.403332791588781</v>
      </c>
      <c r="L29" s="130">
        <f>IF(SER_hh_tesh!L29=0,0,SER_hh_tesh!L29/SER_summary!L$26)</f>
        <v>10.398632562043266</v>
      </c>
      <c r="M29" s="130">
        <f>IF(SER_hh_tesh!M29=0,0,SER_hh_tesh!M29/SER_summary!M$26)</f>
        <v>10.320669611959033</v>
      </c>
      <c r="N29" s="130">
        <f>IF(SER_hh_tesh!N29=0,0,SER_hh_tesh!N29/SER_summary!N$26)</f>
        <v>10.746523764871752</v>
      </c>
      <c r="O29" s="130">
        <f>IF(SER_hh_tesh!O29=0,0,SER_hh_tesh!O29/SER_summary!O$26)</f>
        <v>10.808647522187552</v>
      </c>
      <c r="P29" s="130">
        <f>IF(SER_hh_tesh!P29=0,0,SER_hh_tesh!P29/SER_summary!P$26)</f>
        <v>10.800153686069219</v>
      </c>
      <c r="Q29" s="130">
        <f>IF(SER_hh_tesh!Q29=0,0,SER_hh_tesh!Q29/SER_summary!Q$26)</f>
        <v>10.493889390763234</v>
      </c>
      <c r="R29" s="130">
        <f>IF(SER_hh_tesh!R29=0,0,SER_hh_tesh!R29/SER_summary!R$26)</f>
        <v>10.563452755206207</v>
      </c>
      <c r="S29" s="130">
        <f>IF(SER_hh_tesh!S29=0,0,SER_hh_tesh!S29/SER_summary!S$26)</f>
        <v>11.03043264841741</v>
      </c>
      <c r="T29" s="130">
        <f>IF(SER_hh_tesh!T29=0,0,SER_hh_tesh!T29/SER_summary!T$26)</f>
        <v>11.167553000556811</v>
      </c>
      <c r="U29" s="130">
        <f>IF(SER_hh_tesh!U29=0,0,SER_hh_tesh!U29/SER_summary!U$26)</f>
        <v>12.192160396663416</v>
      </c>
      <c r="V29" s="130">
        <f>IF(SER_hh_tesh!V29=0,0,SER_hh_tesh!V29/SER_summary!V$26)</f>
        <v>11.625760567062306</v>
      </c>
      <c r="W29" s="130">
        <f>IF(SER_hh_tesh!W29=0,0,SER_hh_tesh!W29/SER_summary!W$26)</f>
        <v>12.652984400000937</v>
      </c>
      <c r="X29" s="130">
        <f>IF(SER_hh_tesh!X29=0,0,SER_hh_tesh!X29/SER_summary!X$26)</f>
        <v>12.663187571666013</v>
      </c>
      <c r="Y29" s="130">
        <f>IF(SER_hh_tesh!Y29=0,0,SER_hh_tesh!Y29/SER_summary!Y$26)</f>
        <v>12.942954971424449</v>
      </c>
      <c r="DA29" s="155" t="s">
        <v>533</v>
      </c>
    </row>
    <row r="30" spans="1:105" ht="12" customHeight="1" x14ac:dyDescent="0.25">
      <c r="A30" s="131" t="s">
        <v>52</v>
      </c>
      <c r="B30" s="132">
        <f>IF(SER_hh_tesh!B30=0,0,SER_hh_tesh!B30/SER_summary!B$26)</f>
        <v>0</v>
      </c>
      <c r="C30" s="132">
        <f>IF(SER_hh_tesh!C30=0,0,SER_hh_tesh!C30/SER_summary!C$26)</f>
        <v>0</v>
      </c>
      <c r="D30" s="132">
        <f>IF(SER_hh_tesh!D30=0,0,SER_hh_tesh!D30/SER_summary!D$26)</f>
        <v>0</v>
      </c>
      <c r="E30" s="132">
        <f>IF(SER_hh_tesh!E30=0,0,SER_hh_tesh!E30/SER_summary!E$26)</f>
        <v>0</v>
      </c>
      <c r="F30" s="132">
        <f>IF(SER_hh_tesh!F30=0,0,SER_hh_tesh!F30/SER_summary!F$26)</f>
        <v>0</v>
      </c>
      <c r="G30" s="132">
        <f>IF(SER_hh_tesh!G30=0,0,SER_hh_tesh!G30/SER_summary!G$26)</f>
        <v>0</v>
      </c>
      <c r="H30" s="132">
        <f>IF(SER_hh_tesh!H30=0,0,SER_hh_tesh!H30/SER_summary!H$26)</f>
        <v>0</v>
      </c>
      <c r="I30" s="132">
        <f>IF(SER_hh_tesh!I30=0,0,SER_hh_tesh!I30/SER_summary!I$26)</f>
        <v>0</v>
      </c>
      <c r="J30" s="132">
        <f>IF(SER_hh_tesh!J30=0,0,SER_hh_tesh!J30/SER_summary!J$26)</f>
        <v>0</v>
      </c>
      <c r="K30" s="132">
        <f>IF(SER_hh_tesh!K30=0,0,SER_hh_tesh!K30/SER_summary!K$26)</f>
        <v>0</v>
      </c>
      <c r="L30" s="132">
        <f>IF(SER_hh_tesh!L30=0,0,SER_hh_tesh!L30/SER_summary!L$26)</f>
        <v>0</v>
      </c>
      <c r="M30" s="132">
        <f>IF(SER_hh_tesh!M30=0,0,SER_hh_tesh!M30/SER_summary!M$26)</f>
        <v>0</v>
      </c>
      <c r="N30" s="132">
        <f>IF(SER_hh_tesh!N30=0,0,SER_hh_tesh!N30/SER_summary!N$26)</f>
        <v>0</v>
      </c>
      <c r="O30" s="132">
        <f>IF(SER_hh_tesh!O30=0,0,SER_hh_tesh!O30/SER_summary!O$26)</f>
        <v>0</v>
      </c>
      <c r="P30" s="132">
        <f>IF(SER_hh_tesh!P30=0,0,SER_hh_tesh!P30/SER_summary!P$26)</f>
        <v>0</v>
      </c>
      <c r="Q30" s="132">
        <f>IF(SER_hh_tesh!Q30=0,0,SER_hh_tesh!Q30/SER_summary!Q$26)</f>
        <v>0</v>
      </c>
      <c r="R30" s="132">
        <f>IF(SER_hh_tesh!R30=0,0,SER_hh_tesh!R30/SER_summary!R$26)</f>
        <v>0</v>
      </c>
      <c r="S30" s="132">
        <f>IF(SER_hh_tesh!S30=0,0,SER_hh_tesh!S30/SER_summary!S$26)</f>
        <v>0</v>
      </c>
      <c r="T30" s="132">
        <f>IF(SER_hh_tesh!T30=0,0,SER_hh_tesh!T30/SER_summary!T$26)</f>
        <v>0</v>
      </c>
      <c r="U30" s="132">
        <f>IF(SER_hh_tesh!U30=0,0,SER_hh_tesh!U30/SER_summary!U$26)</f>
        <v>0</v>
      </c>
      <c r="V30" s="132">
        <f>IF(SER_hh_tesh!V30=0,0,SER_hh_tesh!V30/SER_summary!V$26)</f>
        <v>0</v>
      </c>
      <c r="W30" s="132">
        <f>IF(SER_hh_tesh!W30=0,0,SER_hh_tesh!W30/SER_summary!W$26)</f>
        <v>0</v>
      </c>
      <c r="X30" s="132">
        <f>IF(SER_hh_tesh!X30=0,0,SER_hh_tesh!X30/SER_summary!X$26)</f>
        <v>0</v>
      </c>
      <c r="Y30" s="132">
        <f>IF(SER_hh_tesh!Y30=0,0,SER_hh_tesh!Y30/SER_summary!Y$26)</f>
        <v>0</v>
      </c>
      <c r="DA30" s="156" t="s">
        <v>534</v>
      </c>
    </row>
    <row r="31" spans="1:105" ht="12" customHeight="1" x14ac:dyDescent="0.25">
      <c r="A31" s="131" t="s">
        <v>149</v>
      </c>
      <c r="B31" s="132">
        <f>IF(SER_hh_tesh!B31=0,0,SER_hh_tesh!B31/SER_summary!B$26)</f>
        <v>9.9494879355635479</v>
      </c>
      <c r="C31" s="132">
        <f>IF(SER_hh_tesh!C31=0,0,SER_hh_tesh!C31/SER_summary!C$26)</f>
        <v>9.9545675184165603</v>
      </c>
      <c r="D31" s="132">
        <f>IF(SER_hh_tesh!D31=0,0,SER_hh_tesh!D31/SER_summary!D$26)</f>
        <v>10.497625877039683</v>
      </c>
      <c r="E31" s="132">
        <f>IF(SER_hh_tesh!E31=0,0,SER_hh_tesh!E31/SER_summary!E$26)</f>
        <v>10.512211213351593</v>
      </c>
      <c r="F31" s="132">
        <f>IF(SER_hh_tesh!F31=0,0,SER_hh_tesh!F31/SER_summary!F$26)</f>
        <v>9.7118246738766221</v>
      </c>
      <c r="G31" s="132">
        <f>IF(SER_hh_tesh!G31=0,0,SER_hh_tesh!G31/SER_summary!G$26)</f>
        <v>10.001058284715523</v>
      </c>
      <c r="H31" s="132">
        <f>IF(SER_hh_tesh!H31=0,0,SER_hh_tesh!H31/SER_summary!H$26)</f>
        <v>9.7127972423271665</v>
      </c>
      <c r="I31" s="132">
        <f>IF(SER_hh_tesh!I31=0,0,SER_hh_tesh!I31/SER_summary!I$26)</f>
        <v>10.981251909158395</v>
      </c>
      <c r="J31" s="132">
        <f>IF(SER_hh_tesh!J31=0,0,SER_hh_tesh!J31/SER_summary!J$26)</f>
        <v>10.879749164665892</v>
      </c>
      <c r="K31" s="132">
        <f>IF(SER_hh_tesh!K31=0,0,SER_hh_tesh!K31/SER_summary!K$26)</f>
        <v>10.618154863681031</v>
      </c>
      <c r="L31" s="132">
        <f>IF(SER_hh_tesh!L31=0,0,SER_hh_tesh!L31/SER_summary!L$26)</f>
        <v>10.358826753294695</v>
      </c>
      <c r="M31" s="132">
        <f>IF(SER_hh_tesh!M31=0,0,SER_hh_tesh!M31/SER_summary!M$26)</f>
        <v>10.76117813343355</v>
      </c>
      <c r="N31" s="132">
        <f>IF(SER_hh_tesh!N31=0,0,SER_hh_tesh!N31/SER_summary!N$26)</f>
        <v>10.744976736484816</v>
      </c>
      <c r="O31" s="132">
        <f>IF(SER_hh_tesh!O31=0,0,SER_hh_tesh!O31/SER_summary!O$26)</f>
        <v>10.098513125397353</v>
      </c>
      <c r="P31" s="132">
        <f>IF(SER_hh_tesh!P31=0,0,SER_hh_tesh!P31/SER_summary!P$26)</f>
        <v>9.658526827594681</v>
      </c>
      <c r="Q31" s="132">
        <f>IF(SER_hh_tesh!Q31=0,0,SER_hh_tesh!Q31/SER_summary!Q$26)</f>
        <v>10.804601625271665</v>
      </c>
      <c r="R31" s="132">
        <f>IF(SER_hh_tesh!R31=0,0,SER_hh_tesh!R31/SER_summary!R$26)</f>
        <v>11.286563523986764</v>
      </c>
      <c r="S31" s="132">
        <f>IF(SER_hh_tesh!S31=0,0,SER_hh_tesh!S31/SER_summary!S$26)</f>
        <v>11.004669736518542</v>
      </c>
      <c r="T31" s="132">
        <f>IF(SER_hh_tesh!T31=0,0,SER_hh_tesh!T31/SER_summary!T$26)</f>
        <v>12.808962342459662</v>
      </c>
      <c r="U31" s="132">
        <f>IF(SER_hh_tesh!U31=0,0,SER_hh_tesh!U31/SER_summary!U$26)</f>
        <v>10.730344391703053</v>
      </c>
      <c r="V31" s="132">
        <f>IF(SER_hh_tesh!V31=0,0,SER_hh_tesh!V31/SER_summary!V$26)</f>
        <v>9.899105809317712</v>
      </c>
      <c r="W31" s="132">
        <f>IF(SER_hh_tesh!W31=0,0,SER_hh_tesh!W31/SER_summary!W$26)</f>
        <v>10.92266919460949</v>
      </c>
      <c r="X31" s="132">
        <f>IF(SER_hh_tesh!X31=0,0,SER_hh_tesh!X31/SER_summary!X$26)</f>
        <v>12.638189085530597</v>
      </c>
      <c r="Y31" s="132">
        <f>IF(SER_hh_tesh!Y31=0,0,SER_hh_tesh!Y31/SER_summary!Y$26)</f>
        <v>13.840877675105739</v>
      </c>
      <c r="DA31" s="156" t="s">
        <v>535</v>
      </c>
    </row>
    <row r="32" spans="1:105" ht="12" customHeight="1" x14ac:dyDescent="0.25">
      <c r="A32" s="131" t="s">
        <v>128</v>
      </c>
      <c r="B32" s="132">
        <f>IF(SER_hh_tesh!B32=0,0,SER_hh_tesh!B32/SER_summary!B$26)</f>
        <v>0</v>
      </c>
      <c r="C32" s="132">
        <f>IF(SER_hh_tesh!C32=0,0,SER_hh_tesh!C32/SER_summary!C$26)</f>
        <v>0</v>
      </c>
      <c r="D32" s="132">
        <f>IF(SER_hh_tesh!D32=0,0,SER_hh_tesh!D32/SER_summary!D$26)</f>
        <v>0</v>
      </c>
      <c r="E32" s="132">
        <f>IF(SER_hh_tesh!E32=0,0,SER_hh_tesh!E32/SER_summary!E$26)</f>
        <v>0</v>
      </c>
      <c r="F32" s="132">
        <f>IF(SER_hh_tesh!F32=0,0,SER_hh_tesh!F32/SER_summary!F$26)</f>
        <v>0</v>
      </c>
      <c r="G32" s="132">
        <f>IF(SER_hh_tesh!G32=0,0,SER_hh_tesh!G32/SER_summary!G$26)</f>
        <v>14.942746138245685</v>
      </c>
      <c r="H32" s="132">
        <f>IF(SER_hh_tesh!H32=0,0,SER_hh_tesh!H32/SER_summary!H$26)</f>
        <v>10.2082331143092</v>
      </c>
      <c r="I32" s="132">
        <f>IF(SER_hh_tesh!I32=0,0,SER_hh_tesh!I32/SER_summary!I$26)</f>
        <v>8.1672381991229237</v>
      </c>
      <c r="J32" s="132">
        <f>IF(SER_hh_tesh!J32=0,0,SER_hh_tesh!J32/SER_summary!J$26)</f>
        <v>13.94497541333376</v>
      </c>
      <c r="K32" s="132">
        <f>IF(SER_hh_tesh!K32=0,0,SER_hh_tesh!K32/SER_summary!K$26)</f>
        <v>6.9099411044050409</v>
      </c>
      <c r="L32" s="132">
        <f>IF(SER_hh_tesh!L32=0,0,SER_hh_tesh!L32/SER_summary!L$26)</f>
        <v>12.181150978532933</v>
      </c>
      <c r="M32" s="132">
        <f>IF(SER_hh_tesh!M32=0,0,SER_hh_tesh!M32/SER_summary!M$26)</f>
        <v>13.032788560664107</v>
      </c>
      <c r="N32" s="132">
        <f>IF(SER_hh_tesh!N32=0,0,SER_hh_tesh!N32/SER_summary!N$26)</f>
        <v>6.2431909750739552</v>
      </c>
      <c r="O32" s="132">
        <f>IF(SER_hh_tesh!O32=0,0,SER_hh_tesh!O32/SER_summary!O$26)</f>
        <v>6.6756443658579272</v>
      </c>
      <c r="P32" s="132">
        <f>IF(SER_hh_tesh!P32=0,0,SER_hh_tesh!P32/SER_summary!P$26)</f>
        <v>6.2837312738061168</v>
      </c>
      <c r="Q32" s="132">
        <f>IF(SER_hh_tesh!Q32=0,0,SER_hh_tesh!Q32/SER_summary!Q$26)</f>
        <v>12.278803829111057</v>
      </c>
      <c r="R32" s="132">
        <f>IF(SER_hh_tesh!R32=0,0,SER_hh_tesh!R32/SER_summary!R$26)</f>
        <v>10.623158527312519</v>
      </c>
      <c r="S32" s="132">
        <f>IF(SER_hh_tesh!S32=0,0,SER_hh_tesh!S32/SER_summary!S$26)</f>
        <v>10.662483030734537</v>
      </c>
      <c r="T32" s="132">
        <f>IF(SER_hh_tesh!T32=0,0,SER_hh_tesh!T32/SER_summary!T$26)</f>
        <v>10.767355166823094</v>
      </c>
      <c r="U32" s="132">
        <f>IF(SER_hh_tesh!U32=0,0,SER_hh_tesh!U32/SER_summary!U$26)</f>
        <v>12.33814508237694</v>
      </c>
      <c r="V32" s="132">
        <f>IF(SER_hh_tesh!V32=0,0,SER_hh_tesh!V32/SER_summary!V$26)</f>
        <v>10.831370281939121</v>
      </c>
      <c r="W32" s="132">
        <f>IF(SER_hh_tesh!W32=0,0,SER_hh_tesh!W32/SER_summary!W$26)</f>
        <v>14.059461309117182</v>
      </c>
      <c r="X32" s="132">
        <f>IF(SER_hh_tesh!X32=0,0,SER_hh_tesh!X32/SER_summary!X$26)</f>
        <v>13.397784927528766</v>
      </c>
      <c r="Y32" s="132">
        <f>IF(SER_hh_tesh!Y32=0,0,SER_hh_tesh!Y32/SER_summary!Y$26)</f>
        <v>12.639188624707106</v>
      </c>
      <c r="DA32" s="156" t="s">
        <v>536</v>
      </c>
    </row>
    <row r="33" spans="1:105" ht="12" customHeight="1" x14ac:dyDescent="0.25">
      <c r="A33" s="62" t="s">
        <v>24</v>
      </c>
      <c r="B33" s="68">
        <f>IF(SER_hh_tesh!B33=0,0,SER_hh_tesh!B33/SER_summary!B$26)</f>
        <v>10.34760002586783</v>
      </c>
      <c r="C33" s="68">
        <f>IF(SER_hh_tesh!C33=0,0,SER_hh_tesh!C33/SER_summary!C$26)</f>
        <v>10.096348729091332</v>
      </c>
      <c r="D33" s="68">
        <f>IF(SER_hh_tesh!D33=0,0,SER_hh_tesh!D33/SER_summary!D$26)</f>
        <v>10.000540338164901</v>
      </c>
      <c r="E33" s="68">
        <f>IF(SER_hh_tesh!E33=0,0,SER_hh_tesh!E33/SER_summary!E$26)</f>
        <v>9.8795591074020059</v>
      </c>
      <c r="F33" s="68">
        <f>IF(SER_hh_tesh!F33=0,0,SER_hh_tesh!F33/SER_summary!F$26)</f>
        <v>10.204963316817743</v>
      </c>
      <c r="G33" s="68">
        <f>IF(SER_hh_tesh!G33=0,0,SER_hh_tesh!G33/SER_summary!G$26)</f>
        <v>10.280815808152134</v>
      </c>
      <c r="H33" s="68">
        <f>IF(SER_hh_tesh!H33=0,0,SER_hh_tesh!H33/SER_summary!H$26)</f>
        <v>11.20960185267076</v>
      </c>
      <c r="I33" s="68">
        <f>IF(SER_hh_tesh!I33=0,0,SER_hh_tesh!I33/SER_summary!I$26)</f>
        <v>10.333025249023068</v>
      </c>
      <c r="J33" s="68">
        <f>IF(SER_hh_tesh!J33=0,0,SER_hh_tesh!J33/SER_summary!J$26)</f>
        <v>9.6711238122895118</v>
      </c>
      <c r="K33" s="68">
        <f>IF(SER_hh_tesh!K33=0,0,SER_hh_tesh!K33/SER_summary!K$26)</f>
        <v>10.416332993986048</v>
      </c>
      <c r="L33" s="68">
        <f>IF(SER_hh_tesh!L33=0,0,SER_hh_tesh!L33/SER_summary!L$26)</f>
        <v>10.366080199851265</v>
      </c>
      <c r="M33" s="68">
        <f>IF(SER_hh_tesh!M33=0,0,SER_hh_tesh!M33/SER_summary!M$26)</f>
        <v>10.156206029606032</v>
      </c>
      <c r="N33" s="68">
        <f>IF(SER_hh_tesh!N33=0,0,SER_hh_tesh!N33/SER_summary!N$26)</f>
        <v>10.844845007242887</v>
      </c>
      <c r="O33" s="68">
        <f>IF(SER_hh_tesh!O33=0,0,SER_hh_tesh!O33/SER_summary!O$26)</f>
        <v>11.011259549547317</v>
      </c>
      <c r="P33" s="68">
        <f>IF(SER_hh_tesh!P33=0,0,SER_hh_tesh!P33/SER_summary!P$26)</f>
        <v>11.068684125108755</v>
      </c>
      <c r="Q33" s="68">
        <f>IF(SER_hh_tesh!Q33=0,0,SER_hh_tesh!Q33/SER_summary!Q$26)</f>
        <v>10.408329818981787</v>
      </c>
      <c r="R33" s="68">
        <f>IF(SER_hh_tesh!R33=0,0,SER_hh_tesh!R33/SER_summary!R$26)</f>
        <v>10.446037536915407</v>
      </c>
      <c r="S33" s="68">
        <f>IF(SER_hh_tesh!S33=0,0,SER_hh_tesh!S33/SER_summary!S$26)</f>
        <v>11.044157073077452</v>
      </c>
      <c r="T33" s="68">
        <f>IF(SER_hh_tesh!T33=0,0,SER_hh_tesh!T33/SER_summary!T$26)</f>
        <v>10.964526566411765</v>
      </c>
      <c r="U33" s="68">
        <f>IF(SER_hh_tesh!U33=0,0,SER_hh_tesh!U33/SER_summary!U$26)</f>
        <v>12.33195236792969</v>
      </c>
      <c r="V33" s="68">
        <f>IF(SER_hh_tesh!V33=0,0,SER_hh_tesh!V33/SER_summary!V$26)</f>
        <v>11.796511642207058</v>
      </c>
      <c r="W33" s="68">
        <f>IF(SER_hh_tesh!W33=0,0,SER_hh_tesh!W33/SER_summary!W$26)</f>
        <v>12.725586579215078</v>
      </c>
      <c r="X33" s="68">
        <f>IF(SER_hh_tesh!X33=0,0,SER_hh_tesh!X33/SER_summary!X$26)</f>
        <v>12.632315237161853</v>
      </c>
      <c r="Y33" s="68">
        <f>IF(SER_hh_tesh!Y33=0,0,SER_hh_tesh!Y33/SER_summary!Y$26)</f>
        <v>12.863495728649294</v>
      </c>
      <c r="DA33" s="111" t="s">
        <v>537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>
        <f>IF(SER_hh_emih!B3=0,0,SER_hh_emih!B3/SER_summary!B$26)</f>
        <v>11.911650651458325</v>
      </c>
      <c r="C3" s="125">
        <f>IF(SER_hh_emih!C3=0,0,SER_hh_emih!C3/SER_summary!C$26)</f>
        <v>9.8387206507601359</v>
      </c>
      <c r="D3" s="125">
        <f>IF(SER_hh_emih!D3=0,0,SER_hh_emih!D3/SER_summary!D$26)</f>
        <v>10.708953163194284</v>
      </c>
      <c r="E3" s="125">
        <f>IF(SER_hh_emih!E3=0,0,SER_hh_emih!E3/SER_summary!E$26)</f>
        <v>9.6618800415953228</v>
      </c>
      <c r="F3" s="125">
        <f>IF(SER_hh_emih!F3=0,0,SER_hh_emih!F3/SER_summary!F$26)</f>
        <v>9.9170212501066555</v>
      </c>
      <c r="G3" s="125">
        <f>IF(SER_hh_emih!G3=0,0,SER_hh_emih!G3/SER_summary!G$26)</f>
        <v>9.8564090498106367</v>
      </c>
      <c r="H3" s="125">
        <f>IF(SER_hh_emih!H3=0,0,SER_hh_emih!H3/SER_summary!H$26)</f>
        <v>11.517016774637234</v>
      </c>
      <c r="I3" s="125">
        <f>IF(SER_hh_emih!I3=0,0,SER_hh_emih!I3/SER_summary!I$26)</f>
        <v>9.8935196905125142</v>
      </c>
      <c r="J3" s="125">
        <f>IF(SER_hh_emih!J3=0,0,SER_hh_emih!J3/SER_summary!J$26)</f>
        <v>8.3260330968575946</v>
      </c>
      <c r="K3" s="125">
        <f>IF(SER_hh_emih!K3=0,0,SER_hh_emih!K3/SER_summary!K$26)</f>
        <v>8.4007798733340113</v>
      </c>
      <c r="L3" s="125">
        <f>IF(SER_hh_emih!L3=0,0,SER_hh_emih!L3/SER_summary!L$26)</f>
        <v>8.6935028177155917</v>
      </c>
      <c r="M3" s="125">
        <f>IF(SER_hh_emih!M3=0,0,SER_hh_emih!M3/SER_summary!M$26)</f>
        <v>9.1083524176676534</v>
      </c>
      <c r="N3" s="125">
        <f>IF(SER_hh_emih!N3=0,0,SER_hh_emih!N3/SER_summary!N$26)</f>
        <v>7.4552343812507162</v>
      </c>
      <c r="O3" s="125">
        <f>IF(SER_hh_emih!O3=0,0,SER_hh_emih!O3/SER_summary!O$26)</f>
        <v>7.989665480836484</v>
      </c>
      <c r="P3" s="125">
        <f>IF(SER_hh_emih!P3=0,0,SER_hh_emih!P3/SER_summary!P$26)</f>
        <v>6.9029252412048701</v>
      </c>
      <c r="Q3" s="125">
        <f>IF(SER_hh_emih!Q3=0,0,SER_hh_emih!Q3/SER_summary!Q$26)</f>
        <v>6.1400237846948604</v>
      </c>
      <c r="R3" s="125">
        <f>IF(SER_hh_emih!R3=0,0,SER_hh_emih!R3/SER_summary!R$26)</f>
        <v>6.9131207911979669</v>
      </c>
      <c r="S3" s="125">
        <f>IF(SER_hh_emih!S3=0,0,SER_hh_emih!S3/SER_summary!S$26)</f>
        <v>7.1853659816915654</v>
      </c>
      <c r="T3" s="125">
        <f>IF(SER_hh_emih!T3=0,0,SER_hh_emih!T3/SER_summary!T$26)</f>
        <v>7.4411870419302675</v>
      </c>
      <c r="U3" s="125">
        <f>IF(SER_hh_emih!U3=0,0,SER_hh_emih!U3/SER_summary!U$26)</f>
        <v>6.8331424338805951</v>
      </c>
      <c r="V3" s="125">
        <f>IF(SER_hh_emih!V3=0,0,SER_hh_emih!V3/SER_summary!V$26)</f>
        <v>5.6485582430772077</v>
      </c>
      <c r="W3" s="125">
        <f>IF(SER_hh_emih!W3=0,0,SER_hh_emih!W3/SER_summary!W$26)</f>
        <v>6.2600191648969599</v>
      </c>
      <c r="X3" s="125">
        <f>IF(SER_hh_emih!X3=0,0,SER_hh_emih!X3/SER_summary!X$26)</f>
        <v>6.1723666765709408</v>
      </c>
      <c r="Y3" s="125">
        <f>IF(SER_hh_emih!Y3=0,0,SER_hh_emih!Y3/SER_summary!Y$26)</f>
        <v>6.4080264211261895</v>
      </c>
      <c r="DA3" s="154" t="s">
        <v>539</v>
      </c>
    </row>
    <row r="4" spans="1:105" ht="12.95" customHeight="1" x14ac:dyDescent="0.25">
      <c r="A4" s="129" t="s">
        <v>32</v>
      </c>
      <c r="B4" s="130">
        <f>IF(SER_hh_emih!B4=0,0,SER_hh_emih!B4/SER_summary!B$26)</f>
        <v>10.757811883460084</v>
      </c>
      <c r="C4" s="130">
        <f>IF(SER_hh_emih!C4=0,0,SER_hh_emih!C4/SER_summary!C$26)</f>
        <v>8.7777868079990231</v>
      </c>
      <c r="D4" s="130">
        <f>IF(SER_hh_emih!D4=0,0,SER_hh_emih!D4/SER_summary!D$26)</f>
        <v>9.6151231780090516</v>
      </c>
      <c r="E4" s="130">
        <f>IF(SER_hh_emih!E4=0,0,SER_hh_emih!E4/SER_summary!E$26)</f>
        <v>8.6325396401081687</v>
      </c>
      <c r="F4" s="130">
        <f>IF(SER_hh_emih!F4=0,0,SER_hh_emih!F4/SER_summary!F$26)</f>
        <v>8.9437968367251575</v>
      </c>
      <c r="G4" s="130">
        <f>IF(SER_hh_emih!G4=0,0,SER_hh_emih!G4/SER_summary!G$26)</f>
        <v>8.9078900888729748</v>
      </c>
      <c r="H4" s="130">
        <f>IF(SER_hh_emih!H4=0,0,SER_hh_emih!H4/SER_summary!H$26)</f>
        <v>10.541295191085295</v>
      </c>
      <c r="I4" s="130">
        <f>IF(SER_hh_emih!I4=0,0,SER_hh_emih!I4/SER_summary!I$26)</f>
        <v>8.7370497230354438</v>
      </c>
      <c r="J4" s="130">
        <f>IF(SER_hh_emih!J4=0,0,SER_hh_emih!J4/SER_summary!J$26)</f>
        <v>7.131725695049572</v>
      </c>
      <c r="K4" s="130">
        <f>IF(SER_hh_emih!K4=0,0,SER_hh_emih!K4/SER_summary!K$26)</f>
        <v>7.2472427814888025</v>
      </c>
      <c r="L4" s="130">
        <f>IF(SER_hh_emih!L4=0,0,SER_hh_emih!L4/SER_summary!L$26)</f>
        <v>7.6218291270020844</v>
      </c>
      <c r="M4" s="130">
        <f>IF(SER_hh_emih!M4=0,0,SER_hh_emih!M4/SER_summary!M$26)</f>
        <v>8.1013254522746774</v>
      </c>
      <c r="N4" s="130">
        <f>IF(SER_hh_emih!N4=0,0,SER_hh_emih!N4/SER_summary!N$26)</f>
        <v>6.5502133036990591</v>
      </c>
      <c r="O4" s="130">
        <f>IF(SER_hh_emih!O4=0,0,SER_hh_emih!O4/SER_summary!O$26)</f>
        <v>7.197255358661085</v>
      </c>
      <c r="P4" s="130">
        <f>IF(SER_hh_emih!P4=0,0,SER_hh_emih!P4/SER_summary!P$26)</f>
        <v>6.2227804344723507</v>
      </c>
      <c r="Q4" s="130">
        <f>IF(SER_hh_emih!Q4=0,0,SER_hh_emih!Q4/SER_summary!Q$26)</f>
        <v>5.3834297239665894</v>
      </c>
      <c r="R4" s="130">
        <f>IF(SER_hh_emih!R4=0,0,SER_hh_emih!R4/SER_summary!R$26)</f>
        <v>6.1198915787412238</v>
      </c>
      <c r="S4" s="130">
        <f>IF(SER_hh_emih!S4=0,0,SER_hh_emih!S4/SER_summary!S$26)</f>
        <v>6.4315094264729824</v>
      </c>
      <c r="T4" s="130">
        <f>IF(SER_hh_emih!T4=0,0,SER_hh_emih!T4/SER_summary!T$26)</f>
        <v>6.6697906852287856</v>
      </c>
      <c r="U4" s="130">
        <f>IF(SER_hh_emih!U4=0,0,SER_hh_emih!U4/SER_summary!U$26)</f>
        <v>6.2186968439868568</v>
      </c>
      <c r="V4" s="130">
        <f>IF(SER_hh_emih!V4=0,0,SER_hh_emih!V4/SER_summary!V$26)</f>
        <v>5.1021822664696082</v>
      </c>
      <c r="W4" s="130">
        <f>IF(SER_hh_emih!W4=0,0,SER_hh_emih!W4/SER_summary!W$26)</f>
        <v>5.6922902868217937</v>
      </c>
      <c r="X4" s="130">
        <f>IF(SER_hh_emih!X4=0,0,SER_hh_emih!X4/SER_summary!X$26)</f>
        <v>5.5385123464241373</v>
      </c>
      <c r="Y4" s="130">
        <f>IF(SER_hh_emih!Y4=0,0,SER_hh_emih!Y4/SER_summary!Y$26)</f>
        <v>5.6959319980756167</v>
      </c>
      <c r="DA4" s="155" t="s">
        <v>540</v>
      </c>
    </row>
    <row r="5" spans="1:105" ht="12" customHeight="1" x14ac:dyDescent="0.25">
      <c r="A5" s="131" t="s">
        <v>29</v>
      </c>
      <c r="B5" s="132">
        <f>IF(SER_hh_emih!B5=0,0,SER_hh_emih!B5/SER_summary!B$26)</f>
        <v>58.654793689167825</v>
      </c>
      <c r="C5" s="132">
        <f>IF(SER_hh_emih!C5=0,0,SER_hh_emih!C5/SER_summary!C$26)</f>
        <v>49.102069494107113</v>
      </c>
      <c r="D5" s="132">
        <f>IF(SER_hh_emih!D5=0,0,SER_hh_emih!D5/SER_summary!D$26)</f>
        <v>52.877665368460931</v>
      </c>
      <c r="E5" s="132">
        <f>IF(SER_hh_emih!E5=0,0,SER_hh_emih!E5/SER_summary!E$26)</f>
        <v>49.897117831850096</v>
      </c>
      <c r="F5" s="132">
        <f>IF(SER_hh_emih!F5=0,0,SER_hh_emih!F5/SER_summary!F$26)</f>
        <v>43.754930788564636</v>
      </c>
      <c r="G5" s="132">
        <f>IF(SER_hh_emih!G5=0,0,SER_hh_emih!G5/SER_summary!G$26)</f>
        <v>44.899015090242713</v>
      </c>
      <c r="H5" s="132">
        <f>IF(SER_hh_emih!H5=0,0,SER_hh_emih!H5/SER_summary!H$26)</f>
        <v>56.52734645113172</v>
      </c>
      <c r="I5" s="132">
        <f>IF(SER_hh_emih!I5=0,0,SER_hh_emih!I5/SER_summary!I$26)</f>
        <v>41.708277671984639</v>
      </c>
      <c r="J5" s="132">
        <f>IF(SER_hh_emih!J5=0,0,SER_hh_emih!J5/SER_summary!J$26)</f>
        <v>30.768004338415327</v>
      </c>
      <c r="K5" s="132">
        <f>IF(SER_hh_emih!K5=0,0,SER_hh_emih!K5/SER_summary!K$26)</f>
        <v>35.394039354619473</v>
      </c>
      <c r="L5" s="132">
        <f>IF(SER_hh_emih!L5=0,0,SER_hh_emih!L5/SER_summary!L$26)</f>
        <v>33.671079132150005</v>
      </c>
      <c r="M5" s="132">
        <f>IF(SER_hh_emih!M5=0,0,SER_hh_emih!M5/SER_summary!M$26)</f>
        <v>39.280930609087143</v>
      </c>
      <c r="N5" s="132">
        <f>IF(SER_hh_emih!N5=0,0,SER_hh_emih!N5/SER_summary!N$26)</f>
        <v>27.544029349819613</v>
      </c>
      <c r="O5" s="132">
        <f>IF(SER_hh_emih!O5=0,0,SER_hh_emih!O5/SER_summary!O$26)</f>
        <v>32.187860206555854</v>
      </c>
      <c r="P5" s="132">
        <f>IF(SER_hh_emih!P5=0,0,SER_hh_emih!P5/SER_summary!P$26)</f>
        <v>29.412360632589294</v>
      </c>
      <c r="Q5" s="132">
        <f>IF(SER_hh_emih!Q5=0,0,SER_hh_emih!Q5/SER_summary!Q$26)</f>
        <v>23.284468574544039</v>
      </c>
      <c r="R5" s="132">
        <f>IF(SER_hh_emih!R5=0,0,SER_hh_emih!R5/SER_summary!R$26)</f>
        <v>28.9299980668284</v>
      </c>
      <c r="S5" s="132">
        <f>IF(SER_hh_emih!S5=0,0,SER_hh_emih!S5/SER_summary!S$26)</f>
        <v>30.880530141348505</v>
      </c>
      <c r="T5" s="132">
        <f>IF(SER_hh_emih!T5=0,0,SER_hh_emih!T5/SER_summary!T$26)</f>
        <v>33.351235349196834</v>
      </c>
      <c r="U5" s="132">
        <f>IF(SER_hh_emih!U5=0,0,SER_hh_emih!U5/SER_summary!U$26)</f>
        <v>30.642925953213226</v>
      </c>
      <c r="V5" s="132">
        <f>IF(SER_hh_emih!V5=0,0,SER_hh_emih!V5/SER_summary!V$26)</f>
        <v>23.067290771091287</v>
      </c>
      <c r="W5" s="132">
        <f>IF(SER_hh_emih!W5=0,0,SER_hh_emih!W5/SER_summary!W$26)</f>
        <v>30.929573880631768</v>
      </c>
      <c r="X5" s="132">
        <f>IF(SER_hh_emih!X5=0,0,SER_hh_emih!X5/SER_summary!X$26)</f>
        <v>32.410514671804918</v>
      </c>
      <c r="Y5" s="132">
        <f>IF(SER_hh_emih!Y5=0,0,SER_hh_emih!Y5/SER_summary!Y$26)</f>
        <v>24.633162003747941</v>
      </c>
      <c r="DA5" s="156" t="s">
        <v>541</v>
      </c>
    </row>
    <row r="6" spans="1:105" ht="12" customHeight="1" x14ac:dyDescent="0.25">
      <c r="A6" s="131" t="s">
        <v>52</v>
      </c>
      <c r="B6" s="132">
        <f>IF(SER_hh_emih!B6=0,0,SER_hh_emih!B6/SER_summary!B$26)</f>
        <v>0</v>
      </c>
      <c r="C6" s="132">
        <f>IF(SER_hh_emih!C6=0,0,SER_hh_emih!C6/SER_summary!C$26)</f>
        <v>0</v>
      </c>
      <c r="D6" s="132">
        <f>IF(SER_hh_emih!D6=0,0,SER_hh_emih!D6/SER_summary!D$26)</f>
        <v>0</v>
      </c>
      <c r="E6" s="132">
        <f>IF(SER_hh_emih!E6=0,0,SER_hh_emih!E6/SER_summary!E$26)</f>
        <v>0</v>
      </c>
      <c r="F6" s="132">
        <f>IF(SER_hh_emih!F6=0,0,SER_hh_emih!F6/SER_summary!F$26)</f>
        <v>0</v>
      </c>
      <c r="G6" s="132">
        <f>IF(SER_hh_emih!G6=0,0,SER_hh_emih!G6/SER_summary!G$26)</f>
        <v>0</v>
      </c>
      <c r="H6" s="132">
        <f>IF(SER_hh_emih!H6=0,0,SER_hh_emih!H6/SER_summary!H$26)</f>
        <v>0</v>
      </c>
      <c r="I6" s="132">
        <f>IF(SER_hh_emih!I6=0,0,SER_hh_emih!I6/SER_summary!I$26)</f>
        <v>0</v>
      </c>
      <c r="J6" s="132">
        <f>IF(SER_hh_emih!J6=0,0,SER_hh_emih!J6/SER_summary!J$26)</f>
        <v>0</v>
      </c>
      <c r="K6" s="132">
        <f>IF(SER_hh_emih!K6=0,0,SER_hh_emih!K6/SER_summary!K$26)</f>
        <v>0</v>
      </c>
      <c r="L6" s="132">
        <f>IF(SER_hh_emih!L6=0,0,SER_hh_emih!L6/SER_summary!L$26)</f>
        <v>0</v>
      </c>
      <c r="M6" s="132">
        <f>IF(SER_hh_emih!M6=0,0,SER_hh_emih!M6/SER_summary!M$26)</f>
        <v>0</v>
      </c>
      <c r="N6" s="132">
        <f>IF(SER_hh_emih!N6=0,0,SER_hh_emih!N6/SER_summary!N$26)</f>
        <v>0</v>
      </c>
      <c r="O6" s="132">
        <f>IF(SER_hh_emih!O6=0,0,SER_hh_emih!O6/SER_summary!O$26)</f>
        <v>0</v>
      </c>
      <c r="P6" s="132">
        <f>IF(SER_hh_emih!P6=0,0,SER_hh_emih!P6/SER_summary!P$26)</f>
        <v>0</v>
      </c>
      <c r="Q6" s="132">
        <f>IF(SER_hh_emih!Q6=0,0,SER_hh_emih!Q6/SER_summary!Q$26)</f>
        <v>0</v>
      </c>
      <c r="R6" s="132">
        <f>IF(SER_hh_emih!R6=0,0,SER_hh_emih!R6/SER_summary!R$26)</f>
        <v>0</v>
      </c>
      <c r="S6" s="132">
        <f>IF(SER_hh_emih!S6=0,0,SER_hh_emih!S6/SER_summary!S$26)</f>
        <v>0</v>
      </c>
      <c r="T6" s="132">
        <f>IF(SER_hh_emih!T6=0,0,SER_hh_emih!T6/SER_summary!T$26)</f>
        <v>0</v>
      </c>
      <c r="U6" s="132">
        <f>IF(SER_hh_emih!U6=0,0,SER_hh_emih!U6/SER_summary!U$26)</f>
        <v>0</v>
      </c>
      <c r="V6" s="132">
        <f>IF(SER_hh_emih!V6=0,0,SER_hh_emih!V6/SER_summary!V$26)</f>
        <v>0</v>
      </c>
      <c r="W6" s="132">
        <f>IF(SER_hh_emih!W6=0,0,SER_hh_emih!W6/SER_summary!W$26)</f>
        <v>0</v>
      </c>
      <c r="X6" s="132">
        <f>IF(SER_hh_emih!X6=0,0,SER_hh_emih!X6/SER_summary!X$26)</f>
        <v>0</v>
      </c>
      <c r="Y6" s="132">
        <f>IF(SER_hh_emih!Y6=0,0,SER_hh_emih!Y6/SER_summary!Y$26)</f>
        <v>0</v>
      </c>
      <c r="DA6" s="156" t="s">
        <v>542</v>
      </c>
    </row>
    <row r="7" spans="1:105" ht="12" customHeight="1" x14ac:dyDescent="0.25">
      <c r="A7" s="131" t="s">
        <v>161</v>
      </c>
      <c r="B7" s="132">
        <f>IF(SER_hh_emih!B7=0,0,SER_hh_emih!B7/SER_summary!B$26)</f>
        <v>54.998027151828865</v>
      </c>
      <c r="C7" s="132">
        <f>IF(SER_hh_emih!C7=0,0,SER_hh_emih!C7/SER_summary!C$26)</f>
        <v>43.401338420308136</v>
      </c>
      <c r="D7" s="132">
        <f>IF(SER_hh_emih!D7=0,0,SER_hh_emih!D7/SER_summary!D$26)</f>
        <v>52.509723123152973</v>
      </c>
      <c r="E7" s="132">
        <f>IF(SER_hh_emih!E7=0,0,SER_hh_emih!E7/SER_summary!E$26)</f>
        <v>42.309210937026045</v>
      </c>
      <c r="F7" s="132">
        <f>IF(SER_hh_emih!F7=0,0,SER_hh_emih!F7/SER_summary!F$26)</f>
        <v>48.48192203338813</v>
      </c>
      <c r="G7" s="132">
        <f>IF(SER_hh_emih!G7=0,0,SER_hh_emih!G7/SER_summary!G$26)</f>
        <v>41.605117929450103</v>
      </c>
      <c r="H7" s="132">
        <f>IF(SER_hh_emih!H7=0,0,SER_hh_emih!H7/SER_summary!H$26)</f>
        <v>37.126848252063269</v>
      </c>
      <c r="I7" s="132">
        <f>IF(SER_hh_emih!I7=0,0,SER_hh_emih!I7/SER_summary!I$26)</f>
        <v>38.41872529509439</v>
      </c>
      <c r="J7" s="132">
        <f>IF(SER_hh_emih!J7=0,0,SER_hh_emih!J7/SER_summary!J$26)</f>
        <v>64.453516921374032</v>
      </c>
      <c r="K7" s="132">
        <f>IF(SER_hh_emih!K7=0,0,SER_hh_emih!K7/SER_summary!K$26)</f>
        <v>20.151928588156782</v>
      </c>
      <c r="L7" s="132">
        <f>IF(SER_hh_emih!L7=0,0,SER_hh_emih!L7/SER_summary!L$26)</f>
        <v>29.747383429976949</v>
      </c>
      <c r="M7" s="132">
        <f>IF(SER_hh_emih!M7=0,0,SER_hh_emih!M7/SER_summary!M$26)</f>
        <v>38.576622673815642</v>
      </c>
      <c r="N7" s="132">
        <f>IF(SER_hh_emih!N7=0,0,SER_hh_emih!N7/SER_summary!N$26)</f>
        <v>23.455894559499978</v>
      </c>
      <c r="O7" s="132">
        <f>IF(SER_hh_emih!O7=0,0,SER_hh_emih!O7/SER_summary!O$26)</f>
        <v>23.29264526779091</v>
      </c>
      <c r="P7" s="132">
        <f>IF(SER_hh_emih!P7=0,0,SER_hh_emih!P7/SER_summary!P$26)</f>
        <v>33.060957199503356</v>
      </c>
      <c r="Q7" s="132">
        <f>IF(SER_hh_emih!Q7=0,0,SER_hh_emih!Q7/SER_summary!Q$26)</f>
        <v>17.949496257652523</v>
      </c>
      <c r="R7" s="132">
        <f>IF(SER_hh_emih!R7=0,0,SER_hh_emih!R7/SER_summary!R$26)</f>
        <v>21.507103029561502</v>
      </c>
      <c r="S7" s="132">
        <f>IF(SER_hh_emih!S7=0,0,SER_hh_emih!S7/SER_summary!S$26)</f>
        <v>28.166855027824223</v>
      </c>
      <c r="T7" s="132">
        <f>IF(SER_hh_emih!T7=0,0,SER_hh_emih!T7/SER_summary!T$26)</f>
        <v>21.44935168096913</v>
      </c>
      <c r="U7" s="132">
        <f>IF(SER_hh_emih!U7=0,0,SER_hh_emih!U7/SER_summary!U$26)</f>
        <v>24.478524294166206</v>
      </c>
      <c r="V7" s="132">
        <f>IF(SER_hh_emih!V7=0,0,SER_hh_emih!V7/SER_summary!V$26)</f>
        <v>24.580409075863038</v>
      </c>
      <c r="W7" s="132">
        <f>IF(SER_hh_emih!W7=0,0,SER_hh_emih!W7/SER_summary!W$26)</f>
        <v>25.360622230576034</v>
      </c>
      <c r="X7" s="132">
        <f>IF(SER_hh_emih!X7=0,0,SER_hh_emih!X7/SER_summary!X$26)</f>
        <v>20.851138348842614</v>
      </c>
      <c r="Y7" s="132">
        <f>IF(SER_hh_emih!Y7=0,0,SER_hh_emih!Y7/SER_summary!Y$26)</f>
        <v>26.390859522353114</v>
      </c>
      <c r="DA7" s="156" t="s">
        <v>543</v>
      </c>
    </row>
    <row r="8" spans="1:105" ht="12" customHeight="1" x14ac:dyDescent="0.25">
      <c r="A8" s="131" t="s">
        <v>73</v>
      </c>
      <c r="B8" s="132">
        <f>IF(SER_hh_emih!B8=0,0,SER_hh_emih!B8/SER_summary!B$26)</f>
        <v>0</v>
      </c>
      <c r="C8" s="132">
        <f>IF(SER_hh_emih!C8=0,0,SER_hh_emih!C8/SER_summary!C$26)</f>
        <v>0</v>
      </c>
      <c r="D8" s="132">
        <f>IF(SER_hh_emih!D8=0,0,SER_hh_emih!D8/SER_summary!D$26)</f>
        <v>0</v>
      </c>
      <c r="E8" s="132">
        <f>IF(SER_hh_emih!E8=0,0,SER_hh_emih!E8/SER_summary!E$26)</f>
        <v>0</v>
      </c>
      <c r="F8" s="132">
        <f>IF(SER_hh_emih!F8=0,0,SER_hh_emih!F8/SER_summary!F$26)</f>
        <v>0</v>
      </c>
      <c r="G8" s="132">
        <f>IF(SER_hh_emih!G8=0,0,SER_hh_emih!G8/SER_summary!G$26)</f>
        <v>0</v>
      </c>
      <c r="H8" s="132">
        <f>IF(SER_hh_emih!H8=0,0,SER_hh_emih!H8/SER_summary!H$26)</f>
        <v>0</v>
      </c>
      <c r="I8" s="132">
        <f>IF(SER_hh_emih!I8=0,0,SER_hh_emih!I8/SER_summary!I$26)</f>
        <v>0</v>
      </c>
      <c r="J8" s="132">
        <f>IF(SER_hh_emih!J8=0,0,SER_hh_emih!J8/SER_summary!J$26)</f>
        <v>0</v>
      </c>
      <c r="K8" s="132">
        <f>IF(SER_hh_emih!K8=0,0,SER_hh_emih!K8/SER_summary!K$26)</f>
        <v>0</v>
      </c>
      <c r="L8" s="132">
        <f>IF(SER_hh_emih!L8=0,0,SER_hh_emih!L8/SER_summary!L$26)</f>
        <v>0</v>
      </c>
      <c r="M8" s="132">
        <f>IF(SER_hh_emih!M8=0,0,SER_hh_emih!M8/SER_summary!M$26)</f>
        <v>0</v>
      </c>
      <c r="N8" s="132">
        <f>IF(SER_hh_emih!N8=0,0,SER_hh_emih!N8/SER_summary!N$26)</f>
        <v>0</v>
      </c>
      <c r="O8" s="132">
        <f>IF(SER_hh_emih!O8=0,0,SER_hh_emih!O8/SER_summary!O$26)</f>
        <v>0</v>
      </c>
      <c r="P8" s="132">
        <f>IF(SER_hh_emih!P8=0,0,SER_hh_emih!P8/SER_summary!P$26)</f>
        <v>0</v>
      </c>
      <c r="Q8" s="132">
        <f>IF(SER_hh_emih!Q8=0,0,SER_hh_emih!Q8/SER_summary!Q$26)</f>
        <v>0</v>
      </c>
      <c r="R8" s="132">
        <f>IF(SER_hh_emih!R8=0,0,SER_hh_emih!R8/SER_summary!R$26)</f>
        <v>0</v>
      </c>
      <c r="S8" s="132">
        <f>IF(SER_hh_emih!S8=0,0,SER_hh_emih!S8/SER_summary!S$26)</f>
        <v>0</v>
      </c>
      <c r="T8" s="132">
        <f>IF(SER_hh_emih!T8=0,0,SER_hh_emih!T8/SER_summary!T$26)</f>
        <v>0</v>
      </c>
      <c r="U8" s="132">
        <f>IF(SER_hh_emih!U8=0,0,SER_hh_emih!U8/SER_summary!U$26)</f>
        <v>0</v>
      </c>
      <c r="V8" s="132">
        <f>IF(SER_hh_emih!V8=0,0,SER_hh_emih!V8/SER_summary!V$26)</f>
        <v>0</v>
      </c>
      <c r="W8" s="132">
        <f>IF(SER_hh_emih!W8=0,0,SER_hh_emih!W8/SER_summary!W$26)</f>
        <v>0</v>
      </c>
      <c r="X8" s="132">
        <f>IF(SER_hh_emih!X8=0,0,SER_hh_emih!X8/SER_summary!X$26)</f>
        <v>0</v>
      </c>
      <c r="Y8" s="132">
        <f>IF(SER_hh_emih!Y8=0,0,SER_hh_emih!Y8/SER_summary!Y$26)</f>
        <v>0</v>
      </c>
      <c r="DA8" s="156" t="s">
        <v>544</v>
      </c>
    </row>
    <row r="9" spans="1:105" ht="12" customHeight="1" x14ac:dyDescent="0.25">
      <c r="A9" s="131" t="s">
        <v>78</v>
      </c>
      <c r="B9" s="132">
        <f>IF(SER_hh_emih!B9=0,0,SER_hh_emih!B9/SER_summary!B$26)</f>
        <v>33.151944075904552</v>
      </c>
      <c r="C9" s="132">
        <f>IF(SER_hh_emih!C9=0,0,SER_hh_emih!C9/SER_summary!C$26)</f>
        <v>32.577078026842408</v>
      </c>
      <c r="D9" s="132">
        <f>IF(SER_hh_emih!D9=0,0,SER_hh_emih!D9/SER_summary!D$26)</f>
        <v>31.076984301515512</v>
      </c>
      <c r="E9" s="132">
        <f>IF(SER_hh_emih!E9=0,0,SER_hh_emih!E9/SER_summary!E$26)</f>
        <v>27.563612703506152</v>
      </c>
      <c r="F9" s="132">
        <f>IF(SER_hh_emih!F9=0,0,SER_hh_emih!F9/SER_summary!F$26)</f>
        <v>33.103497316061649</v>
      </c>
      <c r="G9" s="132">
        <f>IF(SER_hh_emih!G9=0,0,SER_hh_emih!G9/SER_summary!G$26)</f>
        <v>27.661923704974868</v>
      </c>
      <c r="H9" s="132">
        <f>IF(SER_hh_emih!H9=0,0,SER_hh_emih!H9/SER_summary!H$26)</f>
        <v>25.754029212961306</v>
      </c>
      <c r="I9" s="132">
        <f>IF(SER_hh_emih!I9=0,0,SER_hh_emih!I9/SER_summary!I$26)</f>
        <v>29.408668668338759</v>
      </c>
      <c r="J9" s="132">
        <f>IF(SER_hh_emih!J9=0,0,SER_hh_emih!J9/SER_summary!J$26)</f>
        <v>24.489798400142824</v>
      </c>
      <c r="K9" s="132">
        <f>IF(SER_hh_emih!K9=0,0,SER_hh_emih!K9/SER_summary!K$26)</f>
        <v>20.728739322323271</v>
      </c>
      <c r="L9" s="132">
        <f>IF(SER_hh_emih!L9=0,0,SER_hh_emih!L9/SER_summary!L$26)</f>
        <v>22.520556674544565</v>
      </c>
      <c r="M9" s="132">
        <f>IF(SER_hh_emih!M9=0,0,SER_hh_emih!M9/SER_summary!M$26)</f>
        <v>19.159351876071543</v>
      </c>
      <c r="N9" s="132">
        <f>IF(SER_hh_emih!N9=0,0,SER_hh_emih!N9/SER_summary!N$26)</f>
        <v>20.195867065378589</v>
      </c>
      <c r="O9" s="132">
        <f>IF(SER_hh_emih!O9=0,0,SER_hh_emih!O9/SER_summary!O$26)</f>
        <v>19.212902694816552</v>
      </c>
      <c r="P9" s="132">
        <f>IF(SER_hh_emih!P9=0,0,SER_hh_emih!P9/SER_summary!P$26)</f>
        <v>15.321437280619778</v>
      </c>
      <c r="Q9" s="132">
        <f>IF(SER_hh_emih!Q9=0,0,SER_hh_emih!Q9/SER_summary!Q$26)</f>
        <v>16.025251739342348</v>
      </c>
      <c r="R9" s="132">
        <f>IF(SER_hh_emih!R9=0,0,SER_hh_emih!R9/SER_summary!R$26)</f>
        <v>16.387763700314451</v>
      </c>
      <c r="S9" s="132">
        <f>IF(SER_hh_emih!S9=0,0,SER_hh_emih!S9/SER_summary!S$26)</f>
        <v>16.91964772142342</v>
      </c>
      <c r="T9" s="132">
        <f>IF(SER_hh_emih!T9=0,0,SER_hh_emih!T9/SER_summary!T$26)</f>
        <v>17.034062449659128</v>
      </c>
      <c r="U9" s="132">
        <f>IF(SER_hh_emih!U9=0,0,SER_hh_emih!U9/SER_summary!U$26)</f>
        <v>16.482710707628833</v>
      </c>
      <c r="V9" s="132">
        <f>IF(SER_hh_emih!V9=0,0,SER_hh_emih!V9/SER_summary!V$26)</f>
        <v>15.944945690753913</v>
      </c>
      <c r="W9" s="132">
        <f>IF(SER_hh_emih!W9=0,0,SER_hh_emih!W9/SER_summary!W$26)</f>
        <v>15.411116762807591</v>
      </c>
      <c r="X9" s="132">
        <f>IF(SER_hh_emih!X9=0,0,SER_hh_emih!X9/SER_summary!X$26)</f>
        <v>13.637406760486078</v>
      </c>
      <c r="Y9" s="132">
        <f>IF(SER_hh_emih!Y9=0,0,SER_hh_emih!Y9/SER_summary!Y$26)</f>
        <v>16.172100946342702</v>
      </c>
      <c r="DA9" s="156" t="s">
        <v>545</v>
      </c>
    </row>
    <row r="10" spans="1:105" ht="12" customHeight="1" x14ac:dyDescent="0.25">
      <c r="A10" s="131" t="s">
        <v>128</v>
      </c>
      <c r="B10" s="132">
        <f>IF(SER_hh_emih!B10=0,0,SER_hh_emih!B10/SER_summary!B$26)</f>
        <v>0</v>
      </c>
      <c r="C10" s="132">
        <f>IF(SER_hh_emih!C10=0,0,SER_hh_emih!C10/SER_summary!C$26)</f>
        <v>0</v>
      </c>
      <c r="D10" s="132">
        <f>IF(SER_hh_emih!D10=0,0,SER_hh_emih!D10/SER_summary!D$26)</f>
        <v>0</v>
      </c>
      <c r="E10" s="132">
        <f>IF(SER_hh_emih!E10=0,0,SER_hh_emih!E10/SER_summary!E$26)</f>
        <v>0</v>
      </c>
      <c r="F10" s="132">
        <f>IF(SER_hh_emih!F10=0,0,SER_hh_emih!F10/SER_summary!F$26)</f>
        <v>0</v>
      </c>
      <c r="G10" s="132">
        <f>IF(SER_hh_emih!G10=0,0,SER_hh_emih!G10/SER_summary!G$26)</f>
        <v>0</v>
      </c>
      <c r="H10" s="132">
        <f>IF(SER_hh_emih!H10=0,0,SER_hh_emih!H10/SER_summary!H$26)</f>
        <v>0</v>
      </c>
      <c r="I10" s="132">
        <f>IF(SER_hh_emih!I10=0,0,SER_hh_emih!I10/SER_summary!I$26)</f>
        <v>0</v>
      </c>
      <c r="J10" s="132">
        <f>IF(SER_hh_emih!J10=0,0,SER_hh_emih!J10/SER_summary!J$26)</f>
        <v>0</v>
      </c>
      <c r="K10" s="132">
        <f>IF(SER_hh_emih!K10=0,0,SER_hh_emih!K10/SER_summary!K$26)</f>
        <v>0</v>
      </c>
      <c r="L10" s="132">
        <f>IF(SER_hh_emih!L10=0,0,SER_hh_emih!L10/SER_summary!L$26)</f>
        <v>0</v>
      </c>
      <c r="M10" s="132">
        <f>IF(SER_hh_emih!M10=0,0,SER_hh_emih!M10/SER_summary!M$26)</f>
        <v>0</v>
      </c>
      <c r="N10" s="132">
        <f>IF(SER_hh_emih!N10=0,0,SER_hh_emih!N10/SER_summary!N$26)</f>
        <v>0</v>
      </c>
      <c r="O10" s="132">
        <f>IF(SER_hh_emih!O10=0,0,SER_hh_emih!O10/SER_summary!O$26)</f>
        <v>0</v>
      </c>
      <c r="P10" s="132">
        <f>IF(SER_hh_emih!P10=0,0,SER_hh_emih!P10/SER_summary!P$26)</f>
        <v>0</v>
      </c>
      <c r="Q10" s="132">
        <f>IF(SER_hh_emih!Q10=0,0,SER_hh_emih!Q10/SER_summary!Q$26)</f>
        <v>0</v>
      </c>
      <c r="R10" s="132">
        <f>IF(SER_hh_emih!R10=0,0,SER_hh_emih!R10/SER_summary!R$26)</f>
        <v>0</v>
      </c>
      <c r="S10" s="132">
        <f>IF(SER_hh_emih!S10=0,0,SER_hh_emih!S10/SER_summary!S$26)</f>
        <v>0</v>
      </c>
      <c r="T10" s="132">
        <f>IF(SER_hh_emih!T10=0,0,SER_hh_emih!T10/SER_summary!T$26)</f>
        <v>0</v>
      </c>
      <c r="U10" s="132">
        <f>IF(SER_hh_emih!U10=0,0,SER_hh_emih!U10/SER_summary!U$26)</f>
        <v>0</v>
      </c>
      <c r="V10" s="132">
        <f>IF(SER_hh_emih!V10=0,0,SER_hh_emih!V10/SER_summary!V$26)</f>
        <v>0</v>
      </c>
      <c r="W10" s="132">
        <f>IF(SER_hh_emih!W10=0,0,SER_hh_emih!W10/SER_summary!W$26)</f>
        <v>0</v>
      </c>
      <c r="X10" s="132">
        <f>IF(SER_hh_emih!X10=0,0,SER_hh_emih!X10/SER_summary!X$26)</f>
        <v>0</v>
      </c>
      <c r="Y10" s="132">
        <f>IF(SER_hh_emih!Y10=0,0,SER_hh_emih!Y10/SER_summary!Y$26)</f>
        <v>0</v>
      </c>
      <c r="DA10" s="156" t="s">
        <v>546</v>
      </c>
    </row>
    <row r="11" spans="1:105" ht="12" customHeight="1" x14ac:dyDescent="0.25">
      <c r="A11" s="131" t="s">
        <v>25</v>
      </c>
      <c r="B11" s="132">
        <f>IF(SER_hh_emih!B11=0,0,SER_hh_emih!B11/SER_summary!B$26)</f>
        <v>0</v>
      </c>
      <c r="C11" s="132">
        <f>IF(SER_hh_emih!C11=0,0,SER_hh_emih!C11/SER_summary!C$26)</f>
        <v>0</v>
      </c>
      <c r="D11" s="132">
        <f>IF(SER_hh_emih!D11=0,0,SER_hh_emih!D11/SER_summary!D$26)</f>
        <v>0</v>
      </c>
      <c r="E11" s="132">
        <f>IF(SER_hh_emih!E11=0,0,SER_hh_emih!E11/SER_summary!E$26)</f>
        <v>0</v>
      </c>
      <c r="F11" s="132">
        <f>IF(SER_hh_emih!F11=0,0,SER_hh_emih!F11/SER_summary!F$26)</f>
        <v>0</v>
      </c>
      <c r="G11" s="132">
        <f>IF(SER_hh_emih!G11=0,0,SER_hh_emih!G11/SER_summary!G$26)</f>
        <v>0</v>
      </c>
      <c r="H11" s="132">
        <f>IF(SER_hh_emih!H11=0,0,SER_hh_emih!H11/SER_summary!H$26)</f>
        <v>0</v>
      </c>
      <c r="I11" s="132">
        <f>IF(SER_hh_emih!I11=0,0,SER_hh_emih!I11/SER_summary!I$26)</f>
        <v>0</v>
      </c>
      <c r="J11" s="132">
        <f>IF(SER_hh_emih!J11=0,0,SER_hh_emih!J11/SER_summary!J$26)</f>
        <v>0</v>
      </c>
      <c r="K11" s="132">
        <f>IF(SER_hh_emih!K11=0,0,SER_hh_emih!K11/SER_summary!K$26)</f>
        <v>0</v>
      </c>
      <c r="L11" s="132">
        <f>IF(SER_hh_emih!L11=0,0,SER_hh_emih!L11/SER_summary!L$26)</f>
        <v>0</v>
      </c>
      <c r="M11" s="132">
        <f>IF(SER_hh_emih!M11=0,0,SER_hh_emih!M11/SER_summary!M$26)</f>
        <v>0</v>
      </c>
      <c r="N11" s="132">
        <f>IF(SER_hh_emih!N11=0,0,SER_hh_emih!N11/SER_summary!N$26)</f>
        <v>0</v>
      </c>
      <c r="O11" s="132">
        <f>IF(SER_hh_emih!O11=0,0,SER_hh_emih!O11/SER_summary!O$26)</f>
        <v>0</v>
      </c>
      <c r="P11" s="132">
        <f>IF(SER_hh_emih!P11=0,0,SER_hh_emih!P11/SER_summary!P$26)</f>
        <v>0</v>
      </c>
      <c r="Q11" s="132">
        <f>IF(SER_hh_emih!Q11=0,0,SER_hh_emih!Q11/SER_summary!Q$26)</f>
        <v>0</v>
      </c>
      <c r="R11" s="132">
        <f>IF(SER_hh_emih!R11=0,0,SER_hh_emih!R11/SER_summary!R$26)</f>
        <v>0</v>
      </c>
      <c r="S11" s="132">
        <f>IF(SER_hh_emih!S11=0,0,SER_hh_emih!S11/SER_summary!S$26)</f>
        <v>0</v>
      </c>
      <c r="T11" s="132">
        <f>IF(SER_hh_emih!T11=0,0,SER_hh_emih!T11/SER_summary!T$26)</f>
        <v>0</v>
      </c>
      <c r="U11" s="132">
        <f>IF(SER_hh_emih!U11=0,0,SER_hh_emih!U11/SER_summary!U$26)</f>
        <v>0</v>
      </c>
      <c r="V11" s="132">
        <f>IF(SER_hh_emih!V11=0,0,SER_hh_emih!V11/SER_summary!V$26)</f>
        <v>0</v>
      </c>
      <c r="W11" s="132">
        <f>IF(SER_hh_emih!W11=0,0,SER_hh_emih!W11/SER_summary!W$26)</f>
        <v>0</v>
      </c>
      <c r="X11" s="132">
        <f>IF(SER_hh_emih!X11=0,0,SER_hh_emih!X11/SER_summary!X$26)</f>
        <v>0</v>
      </c>
      <c r="Y11" s="132">
        <f>IF(SER_hh_emih!Y11=0,0,SER_hh_emih!Y11/SER_summary!Y$26)</f>
        <v>0</v>
      </c>
      <c r="DA11" s="156" t="s">
        <v>547</v>
      </c>
    </row>
    <row r="12" spans="1:105" ht="12" customHeight="1" x14ac:dyDescent="0.25">
      <c r="A12" s="131" t="s">
        <v>162</v>
      </c>
      <c r="B12" s="132">
        <f>IF(SER_hh_emih!B12=0,0,SER_hh_emih!B12/SER_summary!B$26)</f>
        <v>0</v>
      </c>
      <c r="C12" s="132">
        <f>IF(SER_hh_emih!C12=0,0,SER_hh_emih!C12/SER_summary!C$26)</f>
        <v>0</v>
      </c>
      <c r="D12" s="132">
        <f>IF(SER_hh_emih!D12=0,0,SER_hh_emih!D12/SER_summary!D$26)</f>
        <v>0</v>
      </c>
      <c r="E12" s="132">
        <f>IF(SER_hh_emih!E12=0,0,SER_hh_emih!E12/SER_summary!E$26)</f>
        <v>0</v>
      </c>
      <c r="F12" s="132">
        <f>IF(SER_hh_emih!F12=0,0,SER_hh_emih!F12/SER_summary!F$26)</f>
        <v>0</v>
      </c>
      <c r="G12" s="132">
        <f>IF(SER_hh_emih!G12=0,0,SER_hh_emih!G12/SER_summary!G$26)</f>
        <v>0</v>
      </c>
      <c r="H12" s="132">
        <f>IF(SER_hh_emih!H12=0,0,SER_hh_emih!H12/SER_summary!H$26)</f>
        <v>0</v>
      </c>
      <c r="I12" s="132">
        <f>IF(SER_hh_emih!I12=0,0,SER_hh_emih!I12/SER_summary!I$26)</f>
        <v>0</v>
      </c>
      <c r="J12" s="132">
        <f>IF(SER_hh_emih!J12=0,0,SER_hh_emih!J12/SER_summary!J$26)</f>
        <v>0</v>
      </c>
      <c r="K12" s="132">
        <f>IF(SER_hh_emih!K12=0,0,SER_hh_emih!K12/SER_summary!K$26)</f>
        <v>0</v>
      </c>
      <c r="L12" s="132">
        <f>IF(SER_hh_emih!L12=0,0,SER_hh_emih!L12/SER_summary!L$26)</f>
        <v>0</v>
      </c>
      <c r="M12" s="132">
        <f>IF(SER_hh_emih!M12=0,0,SER_hh_emih!M12/SER_summary!M$26)</f>
        <v>0</v>
      </c>
      <c r="N12" s="132">
        <f>IF(SER_hh_emih!N12=0,0,SER_hh_emih!N12/SER_summary!N$26)</f>
        <v>0</v>
      </c>
      <c r="O12" s="132">
        <f>IF(SER_hh_emih!O12=0,0,SER_hh_emih!O12/SER_summary!O$26)</f>
        <v>0</v>
      </c>
      <c r="P12" s="132">
        <f>IF(SER_hh_emih!P12=0,0,SER_hh_emih!P12/SER_summary!P$26)</f>
        <v>0</v>
      </c>
      <c r="Q12" s="132">
        <f>IF(SER_hh_emih!Q12=0,0,SER_hh_emih!Q12/SER_summary!Q$26)</f>
        <v>0</v>
      </c>
      <c r="R12" s="132">
        <f>IF(SER_hh_emih!R12=0,0,SER_hh_emih!R12/SER_summary!R$26)</f>
        <v>0</v>
      </c>
      <c r="S12" s="132">
        <f>IF(SER_hh_emih!S12=0,0,SER_hh_emih!S12/SER_summary!S$26)</f>
        <v>0</v>
      </c>
      <c r="T12" s="132">
        <f>IF(SER_hh_emih!T12=0,0,SER_hh_emih!T12/SER_summary!T$26)</f>
        <v>0</v>
      </c>
      <c r="U12" s="132">
        <f>IF(SER_hh_emih!U12=0,0,SER_hh_emih!U12/SER_summary!U$26)</f>
        <v>0</v>
      </c>
      <c r="V12" s="132">
        <f>IF(SER_hh_emih!V12=0,0,SER_hh_emih!V12/SER_summary!V$26)</f>
        <v>0</v>
      </c>
      <c r="W12" s="132">
        <f>IF(SER_hh_emih!W12=0,0,SER_hh_emih!W12/SER_summary!W$26)</f>
        <v>0</v>
      </c>
      <c r="X12" s="132">
        <f>IF(SER_hh_emih!X12=0,0,SER_hh_emih!X12/SER_summary!X$26)</f>
        <v>0</v>
      </c>
      <c r="Y12" s="132">
        <f>IF(SER_hh_emih!Y12=0,0,SER_hh_emih!Y12/SER_summary!Y$26)</f>
        <v>0</v>
      </c>
      <c r="DA12" s="156" t="s">
        <v>548</v>
      </c>
    </row>
    <row r="13" spans="1:105" ht="12" customHeight="1" x14ac:dyDescent="0.25">
      <c r="A13" s="131" t="s">
        <v>77</v>
      </c>
      <c r="B13" s="132">
        <f>IF(SER_hh_emih!B13=0,0,SER_hh_emih!B13/SER_summary!B$26)</f>
        <v>0</v>
      </c>
      <c r="C13" s="132">
        <f>IF(SER_hh_emih!C13=0,0,SER_hh_emih!C13/SER_summary!C$26)</f>
        <v>0</v>
      </c>
      <c r="D13" s="132">
        <f>IF(SER_hh_emih!D13=0,0,SER_hh_emih!D13/SER_summary!D$26)</f>
        <v>0</v>
      </c>
      <c r="E13" s="132">
        <f>IF(SER_hh_emih!E13=0,0,SER_hh_emih!E13/SER_summary!E$26)</f>
        <v>0</v>
      </c>
      <c r="F13" s="132">
        <f>IF(SER_hh_emih!F13=0,0,SER_hh_emih!F13/SER_summary!F$26)</f>
        <v>0</v>
      </c>
      <c r="G13" s="132">
        <f>IF(SER_hh_emih!G13=0,0,SER_hh_emih!G13/SER_summary!G$26)</f>
        <v>0</v>
      </c>
      <c r="H13" s="132">
        <f>IF(SER_hh_emih!H13=0,0,SER_hh_emih!H13/SER_summary!H$26)</f>
        <v>0</v>
      </c>
      <c r="I13" s="132">
        <f>IF(SER_hh_emih!I13=0,0,SER_hh_emih!I13/SER_summary!I$26)</f>
        <v>0</v>
      </c>
      <c r="J13" s="132">
        <f>IF(SER_hh_emih!J13=0,0,SER_hh_emih!J13/SER_summary!J$26)</f>
        <v>0</v>
      </c>
      <c r="K13" s="132">
        <f>IF(SER_hh_emih!K13=0,0,SER_hh_emih!K13/SER_summary!K$26)</f>
        <v>0</v>
      </c>
      <c r="L13" s="132">
        <f>IF(SER_hh_emih!L13=0,0,SER_hh_emih!L13/SER_summary!L$26)</f>
        <v>0</v>
      </c>
      <c r="M13" s="132">
        <f>IF(SER_hh_emih!M13=0,0,SER_hh_emih!M13/SER_summary!M$26)</f>
        <v>0</v>
      </c>
      <c r="N13" s="132">
        <f>IF(SER_hh_emih!N13=0,0,SER_hh_emih!N13/SER_summary!N$26)</f>
        <v>0</v>
      </c>
      <c r="O13" s="132">
        <f>IF(SER_hh_emih!O13=0,0,SER_hh_emih!O13/SER_summary!O$26)</f>
        <v>0</v>
      </c>
      <c r="P13" s="132">
        <f>IF(SER_hh_emih!P13=0,0,SER_hh_emih!P13/SER_summary!P$26)</f>
        <v>0</v>
      </c>
      <c r="Q13" s="132">
        <f>IF(SER_hh_emih!Q13=0,0,SER_hh_emih!Q13/SER_summary!Q$26)</f>
        <v>0</v>
      </c>
      <c r="R13" s="132">
        <f>IF(SER_hh_emih!R13=0,0,SER_hh_emih!R13/SER_summary!R$26)</f>
        <v>0</v>
      </c>
      <c r="S13" s="132">
        <f>IF(SER_hh_emih!S13=0,0,SER_hh_emih!S13/SER_summary!S$26)</f>
        <v>0</v>
      </c>
      <c r="T13" s="132">
        <f>IF(SER_hh_emih!T13=0,0,SER_hh_emih!T13/SER_summary!T$26)</f>
        <v>0</v>
      </c>
      <c r="U13" s="132">
        <f>IF(SER_hh_emih!U13=0,0,SER_hh_emih!U13/SER_summary!U$26)</f>
        <v>0</v>
      </c>
      <c r="V13" s="132">
        <f>IF(SER_hh_emih!V13=0,0,SER_hh_emih!V13/SER_summary!V$26)</f>
        <v>0</v>
      </c>
      <c r="W13" s="132">
        <f>IF(SER_hh_emih!W13=0,0,SER_hh_emih!W13/SER_summary!W$26)</f>
        <v>0</v>
      </c>
      <c r="X13" s="132">
        <f>IF(SER_hh_emih!X13=0,0,SER_hh_emih!X13/SER_summary!X$26)</f>
        <v>0</v>
      </c>
      <c r="Y13" s="132">
        <f>IF(SER_hh_emih!Y13=0,0,SER_hh_emih!Y13/SER_summary!Y$26)</f>
        <v>0</v>
      </c>
      <c r="DA13" s="156" t="s">
        <v>549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X14" s="65">
        <f>IF(SER_hh_emih!X14=0,0,SER_hh_emih!X14/SER_summary!X$26)</f>
        <v>0</v>
      </c>
      <c r="Y14" s="65">
        <f>IF(SER_hh_emih!Y14=0,0,SER_hh_emih!Y14/SER_summary!Y$26)</f>
        <v>0</v>
      </c>
      <c r="DA14" s="109" t="s">
        <v>550</v>
      </c>
    </row>
    <row r="15" spans="1:105" ht="12" customHeight="1" x14ac:dyDescent="0.25">
      <c r="A15" s="133" t="s">
        <v>80</v>
      </c>
      <c r="B15" s="134">
        <f>IF(SER_hh_emih!B15=0,0,SER_hh_emih!B15/SER_summary!B$26)</f>
        <v>0</v>
      </c>
      <c r="C15" s="134">
        <f>IF(SER_hh_emih!C15=0,0,SER_hh_emih!C15/SER_summary!C$26)</f>
        <v>0</v>
      </c>
      <c r="D15" s="134">
        <f>IF(SER_hh_emih!D15=0,0,SER_hh_emih!D15/SER_summary!D$26)</f>
        <v>0</v>
      </c>
      <c r="E15" s="134">
        <f>IF(SER_hh_emih!E15=0,0,SER_hh_emih!E15/SER_summary!E$26)</f>
        <v>0</v>
      </c>
      <c r="F15" s="134">
        <f>IF(SER_hh_emih!F15=0,0,SER_hh_emih!F15/SER_summary!F$26)</f>
        <v>0</v>
      </c>
      <c r="G15" s="134">
        <f>IF(SER_hh_emih!G15=0,0,SER_hh_emih!G15/SER_summary!G$26)</f>
        <v>0</v>
      </c>
      <c r="H15" s="134">
        <f>IF(SER_hh_emih!H15=0,0,SER_hh_emih!H15/SER_summary!H$26)</f>
        <v>0</v>
      </c>
      <c r="I15" s="134">
        <f>IF(SER_hh_emih!I15=0,0,SER_hh_emih!I15/SER_summary!I$26)</f>
        <v>0</v>
      </c>
      <c r="J15" s="134">
        <f>IF(SER_hh_emih!J15=0,0,SER_hh_emih!J15/SER_summary!J$26)</f>
        <v>0</v>
      </c>
      <c r="K15" s="134">
        <f>IF(SER_hh_emih!K15=0,0,SER_hh_emih!K15/SER_summary!K$26)</f>
        <v>0</v>
      </c>
      <c r="L15" s="134">
        <f>IF(SER_hh_emih!L15=0,0,SER_hh_emih!L15/SER_summary!L$26)</f>
        <v>0</v>
      </c>
      <c r="M15" s="134">
        <f>IF(SER_hh_emih!M15=0,0,SER_hh_emih!M15/SER_summary!M$26)</f>
        <v>0</v>
      </c>
      <c r="N15" s="134">
        <f>IF(SER_hh_emih!N15=0,0,SER_hh_emih!N15/SER_summary!N$26)</f>
        <v>0</v>
      </c>
      <c r="O15" s="134">
        <f>IF(SER_hh_emih!O15=0,0,SER_hh_emih!O15/SER_summary!O$26)</f>
        <v>0</v>
      </c>
      <c r="P15" s="134">
        <f>IF(SER_hh_emih!P15=0,0,SER_hh_emih!P15/SER_summary!P$26)</f>
        <v>0</v>
      </c>
      <c r="Q15" s="134">
        <f>IF(SER_hh_emih!Q15=0,0,SER_hh_emih!Q15/SER_summary!Q$26)</f>
        <v>0</v>
      </c>
      <c r="R15" s="134">
        <f>IF(SER_hh_emih!R15=0,0,SER_hh_emih!R15/SER_summary!R$26)</f>
        <v>0</v>
      </c>
      <c r="S15" s="134">
        <f>IF(SER_hh_emih!S15=0,0,SER_hh_emih!S15/SER_summary!S$26)</f>
        <v>0</v>
      </c>
      <c r="T15" s="134">
        <f>IF(SER_hh_emih!T15=0,0,SER_hh_emih!T15/SER_summary!T$26)</f>
        <v>0</v>
      </c>
      <c r="U15" s="134">
        <f>IF(SER_hh_emih!U15=0,0,SER_hh_emih!U15/SER_summary!U$26)</f>
        <v>0</v>
      </c>
      <c r="V15" s="134">
        <f>IF(SER_hh_emih!V15=0,0,SER_hh_emih!V15/SER_summary!V$26)</f>
        <v>0</v>
      </c>
      <c r="W15" s="134">
        <f>IF(SER_hh_emih!W15=0,0,SER_hh_emih!W15/SER_summary!W$26)</f>
        <v>0</v>
      </c>
      <c r="X15" s="134">
        <f>IF(SER_hh_emih!X15=0,0,SER_hh_emih!X15/SER_summary!X$26)</f>
        <v>0</v>
      </c>
      <c r="Y15" s="134">
        <f>IF(SER_hh_emih!Y15=0,0,SER_hh_emih!Y15/SER_summary!Y$26)</f>
        <v>0</v>
      </c>
      <c r="DA15" s="157" t="s">
        <v>551</v>
      </c>
    </row>
    <row r="16" spans="1:105" ht="12.95" customHeight="1" x14ac:dyDescent="0.25">
      <c r="A16" s="129" t="s">
        <v>74</v>
      </c>
      <c r="B16" s="130">
        <f>IF(SER_hh_emih!B16=0,0,SER_hh_emih!B16/SER_summary!B$26)</f>
        <v>0</v>
      </c>
      <c r="C16" s="130">
        <f>IF(SER_hh_emih!C16=0,0,SER_hh_emih!C16/SER_summary!C$26)</f>
        <v>0</v>
      </c>
      <c r="D16" s="130">
        <f>IF(SER_hh_emih!D16=0,0,SER_hh_emih!D16/SER_summary!D$26)</f>
        <v>0</v>
      </c>
      <c r="E16" s="130">
        <f>IF(SER_hh_emih!E16=0,0,SER_hh_emih!E16/SER_summary!E$26)</f>
        <v>0</v>
      </c>
      <c r="F16" s="130">
        <f>IF(SER_hh_emih!F16=0,0,SER_hh_emih!F16/SER_summary!F$26)</f>
        <v>0</v>
      </c>
      <c r="G16" s="130">
        <f>IF(SER_hh_emih!G16=0,0,SER_hh_emih!G16/SER_summary!G$26)</f>
        <v>0</v>
      </c>
      <c r="H16" s="130">
        <f>IF(SER_hh_emih!H16=0,0,SER_hh_emih!H16/SER_summary!H$26)</f>
        <v>0</v>
      </c>
      <c r="I16" s="130">
        <f>IF(SER_hh_emih!I16=0,0,SER_hh_emih!I16/SER_summary!I$26)</f>
        <v>0</v>
      </c>
      <c r="J16" s="130">
        <f>IF(SER_hh_emih!J16=0,0,SER_hh_emih!J16/SER_summary!J$26)</f>
        <v>0</v>
      </c>
      <c r="K16" s="130">
        <f>IF(SER_hh_emih!K16=0,0,SER_hh_emih!K16/SER_summary!K$26)</f>
        <v>0</v>
      </c>
      <c r="L16" s="130">
        <f>IF(SER_hh_emih!L16=0,0,SER_hh_emih!L16/SER_summary!L$26)</f>
        <v>0</v>
      </c>
      <c r="M16" s="130">
        <f>IF(SER_hh_emih!M16=0,0,SER_hh_emih!M16/SER_summary!M$26)</f>
        <v>0</v>
      </c>
      <c r="N16" s="130">
        <f>IF(SER_hh_emih!N16=0,0,SER_hh_emih!N16/SER_summary!N$26)</f>
        <v>0</v>
      </c>
      <c r="O16" s="130">
        <f>IF(SER_hh_emih!O16=0,0,SER_hh_emih!O16/SER_summary!O$26)</f>
        <v>0</v>
      </c>
      <c r="P16" s="130">
        <f>IF(SER_hh_emih!P16=0,0,SER_hh_emih!P16/SER_summary!P$26)</f>
        <v>0</v>
      </c>
      <c r="Q16" s="130">
        <f>IF(SER_hh_emih!Q16=0,0,SER_hh_emih!Q16/SER_summary!Q$26)</f>
        <v>0</v>
      </c>
      <c r="R16" s="130">
        <f>IF(SER_hh_emih!R16=0,0,SER_hh_emih!R16/SER_summary!R$26)</f>
        <v>0</v>
      </c>
      <c r="S16" s="130">
        <f>IF(SER_hh_emih!S16=0,0,SER_hh_emih!S16/SER_summary!S$26)</f>
        <v>0</v>
      </c>
      <c r="T16" s="130">
        <f>IF(SER_hh_emih!T16=0,0,SER_hh_emih!T16/SER_summary!T$26)</f>
        <v>0</v>
      </c>
      <c r="U16" s="130">
        <f>IF(SER_hh_emih!U16=0,0,SER_hh_emih!U16/SER_summary!U$26)</f>
        <v>0</v>
      </c>
      <c r="V16" s="130">
        <f>IF(SER_hh_emih!V16=0,0,SER_hh_emih!V16/SER_summary!V$26)</f>
        <v>0</v>
      </c>
      <c r="W16" s="130">
        <f>IF(SER_hh_emih!W16=0,0,SER_hh_emih!W16/SER_summary!W$26)</f>
        <v>0</v>
      </c>
      <c r="X16" s="130">
        <f>IF(SER_hh_emih!X16=0,0,SER_hh_emih!X16/SER_summary!X$26)</f>
        <v>0</v>
      </c>
      <c r="Y16" s="130">
        <f>IF(SER_hh_emih!Y16=0,0,SER_hh_emih!Y16/SER_summary!Y$26)</f>
        <v>0</v>
      </c>
      <c r="DA16" s="155" t="s">
        <v>552</v>
      </c>
    </row>
    <row r="17" spans="1:105" ht="12.95" customHeight="1" x14ac:dyDescent="0.25">
      <c r="A17" s="131" t="s">
        <v>73</v>
      </c>
      <c r="B17" s="132">
        <f>IF(SER_hh_emih!B17=0,0,SER_hh_emih!B17/SER_summary!B$26)</f>
        <v>0</v>
      </c>
      <c r="C17" s="132">
        <f>IF(SER_hh_emih!C17=0,0,SER_hh_emih!C17/SER_summary!C$26)</f>
        <v>0</v>
      </c>
      <c r="D17" s="132">
        <f>IF(SER_hh_emih!D17=0,0,SER_hh_emih!D17/SER_summary!D$26)</f>
        <v>0</v>
      </c>
      <c r="E17" s="132">
        <f>IF(SER_hh_emih!E17=0,0,SER_hh_emih!E17/SER_summary!E$26)</f>
        <v>0</v>
      </c>
      <c r="F17" s="132">
        <f>IF(SER_hh_emih!F17=0,0,SER_hh_emih!F17/SER_summary!F$26)</f>
        <v>0</v>
      </c>
      <c r="G17" s="132">
        <f>IF(SER_hh_emih!G17=0,0,SER_hh_emih!G17/SER_summary!G$26)</f>
        <v>0</v>
      </c>
      <c r="H17" s="132">
        <f>IF(SER_hh_emih!H17=0,0,SER_hh_emih!H17/SER_summary!H$26)</f>
        <v>0</v>
      </c>
      <c r="I17" s="132">
        <f>IF(SER_hh_emih!I17=0,0,SER_hh_emih!I17/SER_summary!I$26)</f>
        <v>0</v>
      </c>
      <c r="J17" s="132">
        <f>IF(SER_hh_emih!J17=0,0,SER_hh_emih!J17/SER_summary!J$26)</f>
        <v>0</v>
      </c>
      <c r="K17" s="132">
        <f>IF(SER_hh_emih!K17=0,0,SER_hh_emih!K17/SER_summary!K$26)</f>
        <v>0</v>
      </c>
      <c r="L17" s="132">
        <f>IF(SER_hh_emih!L17=0,0,SER_hh_emih!L17/SER_summary!L$26)</f>
        <v>0</v>
      </c>
      <c r="M17" s="132">
        <f>IF(SER_hh_emih!M17=0,0,SER_hh_emih!M17/SER_summary!M$26)</f>
        <v>0</v>
      </c>
      <c r="N17" s="132">
        <f>IF(SER_hh_emih!N17=0,0,SER_hh_emih!N17/SER_summary!N$26)</f>
        <v>0</v>
      </c>
      <c r="O17" s="132">
        <f>IF(SER_hh_emih!O17=0,0,SER_hh_emih!O17/SER_summary!O$26)</f>
        <v>0</v>
      </c>
      <c r="P17" s="132">
        <f>IF(SER_hh_emih!P17=0,0,SER_hh_emih!P17/SER_summary!P$26)</f>
        <v>0</v>
      </c>
      <c r="Q17" s="132">
        <f>IF(SER_hh_emih!Q17=0,0,SER_hh_emih!Q17/SER_summary!Q$26)</f>
        <v>0</v>
      </c>
      <c r="R17" s="132">
        <f>IF(SER_hh_emih!R17=0,0,SER_hh_emih!R17/SER_summary!R$26)</f>
        <v>0</v>
      </c>
      <c r="S17" s="132">
        <f>IF(SER_hh_emih!S17=0,0,SER_hh_emih!S17/SER_summary!S$26)</f>
        <v>0</v>
      </c>
      <c r="T17" s="132">
        <f>IF(SER_hh_emih!T17=0,0,SER_hh_emih!T17/SER_summary!T$26)</f>
        <v>0</v>
      </c>
      <c r="U17" s="132">
        <f>IF(SER_hh_emih!U17=0,0,SER_hh_emih!U17/SER_summary!U$26)</f>
        <v>0</v>
      </c>
      <c r="V17" s="132">
        <f>IF(SER_hh_emih!V17=0,0,SER_hh_emih!V17/SER_summary!V$26)</f>
        <v>0</v>
      </c>
      <c r="W17" s="132">
        <f>IF(SER_hh_emih!W17=0,0,SER_hh_emih!W17/SER_summary!W$26)</f>
        <v>0</v>
      </c>
      <c r="X17" s="132">
        <f>IF(SER_hh_emih!X17=0,0,SER_hh_emih!X17/SER_summary!X$26)</f>
        <v>0</v>
      </c>
      <c r="Y17" s="132">
        <f>IF(SER_hh_emih!Y17=0,0,SER_hh_emih!Y17/SER_summary!Y$26)</f>
        <v>0</v>
      </c>
      <c r="DA17" s="156" t="s">
        <v>553</v>
      </c>
    </row>
    <row r="18" spans="1:105" ht="12" customHeight="1" x14ac:dyDescent="0.25">
      <c r="A18" s="131" t="s">
        <v>72</v>
      </c>
      <c r="B18" s="132">
        <f>IF(SER_hh_emih!B18=0,0,SER_hh_emih!B18/SER_summary!B$26)</f>
        <v>0</v>
      </c>
      <c r="C18" s="132">
        <f>IF(SER_hh_emih!C18=0,0,SER_hh_emih!C18/SER_summary!C$26)</f>
        <v>0</v>
      </c>
      <c r="D18" s="132">
        <f>IF(SER_hh_emih!D18=0,0,SER_hh_emih!D18/SER_summary!D$26)</f>
        <v>0</v>
      </c>
      <c r="E18" s="132">
        <f>IF(SER_hh_emih!E18=0,0,SER_hh_emih!E18/SER_summary!E$26)</f>
        <v>0</v>
      </c>
      <c r="F18" s="132">
        <f>IF(SER_hh_emih!F18=0,0,SER_hh_emih!F18/SER_summary!F$26)</f>
        <v>0</v>
      </c>
      <c r="G18" s="132">
        <f>IF(SER_hh_emih!G18=0,0,SER_hh_emih!G18/SER_summary!G$26)</f>
        <v>0</v>
      </c>
      <c r="H18" s="132">
        <f>IF(SER_hh_emih!H18=0,0,SER_hh_emih!H18/SER_summary!H$26)</f>
        <v>0</v>
      </c>
      <c r="I18" s="132">
        <f>IF(SER_hh_emih!I18=0,0,SER_hh_emih!I18/SER_summary!I$26)</f>
        <v>0</v>
      </c>
      <c r="J18" s="132">
        <f>IF(SER_hh_emih!J18=0,0,SER_hh_emih!J18/SER_summary!J$26)</f>
        <v>0</v>
      </c>
      <c r="K18" s="132">
        <f>IF(SER_hh_emih!K18=0,0,SER_hh_emih!K18/SER_summary!K$26)</f>
        <v>0</v>
      </c>
      <c r="L18" s="132">
        <f>IF(SER_hh_emih!L18=0,0,SER_hh_emih!L18/SER_summary!L$26)</f>
        <v>0</v>
      </c>
      <c r="M18" s="132">
        <f>IF(SER_hh_emih!M18=0,0,SER_hh_emih!M18/SER_summary!M$26)</f>
        <v>0</v>
      </c>
      <c r="N18" s="132">
        <f>IF(SER_hh_emih!N18=0,0,SER_hh_emih!N18/SER_summary!N$26)</f>
        <v>0</v>
      </c>
      <c r="O18" s="132">
        <f>IF(SER_hh_emih!O18=0,0,SER_hh_emih!O18/SER_summary!O$26)</f>
        <v>0</v>
      </c>
      <c r="P18" s="132">
        <f>IF(SER_hh_emih!P18=0,0,SER_hh_emih!P18/SER_summary!P$26)</f>
        <v>0</v>
      </c>
      <c r="Q18" s="132">
        <f>IF(SER_hh_emih!Q18=0,0,SER_hh_emih!Q18/SER_summary!Q$26)</f>
        <v>0</v>
      </c>
      <c r="R18" s="132">
        <f>IF(SER_hh_emih!R18=0,0,SER_hh_emih!R18/SER_summary!R$26)</f>
        <v>0</v>
      </c>
      <c r="S18" s="132">
        <f>IF(SER_hh_emih!S18=0,0,SER_hh_emih!S18/SER_summary!S$26)</f>
        <v>0</v>
      </c>
      <c r="T18" s="132">
        <f>IF(SER_hh_emih!T18=0,0,SER_hh_emih!T18/SER_summary!T$26)</f>
        <v>0</v>
      </c>
      <c r="U18" s="132">
        <f>IF(SER_hh_emih!U18=0,0,SER_hh_emih!U18/SER_summary!U$26)</f>
        <v>0</v>
      </c>
      <c r="V18" s="132">
        <f>IF(SER_hh_emih!V18=0,0,SER_hh_emih!V18/SER_summary!V$26)</f>
        <v>0</v>
      </c>
      <c r="W18" s="132">
        <f>IF(SER_hh_emih!W18=0,0,SER_hh_emih!W18/SER_summary!W$26)</f>
        <v>0</v>
      </c>
      <c r="X18" s="132">
        <f>IF(SER_hh_emih!X18=0,0,SER_hh_emih!X18/SER_summary!X$26)</f>
        <v>0</v>
      </c>
      <c r="Y18" s="132">
        <f>IF(SER_hh_emih!Y18=0,0,SER_hh_emih!Y18/SER_summary!Y$26)</f>
        <v>0</v>
      </c>
      <c r="DA18" s="156" t="s">
        <v>554</v>
      </c>
    </row>
    <row r="19" spans="1:105" ht="12.95" customHeight="1" x14ac:dyDescent="0.25">
      <c r="A19" s="129" t="s">
        <v>35</v>
      </c>
      <c r="B19" s="130">
        <f>IF(SER_hh_emih!B19=0,0,SER_hh_emih!B19/SER_summary!B$26)</f>
        <v>0.39226907045179765</v>
      </c>
      <c r="C19" s="130">
        <f>IF(SER_hh_emih!C19=0,0,SER_hh_emih!C19/SER_summary!C$26)</f>
        <v>0.27968674895027995</v>
      </c>
      <c r="D19" s="130">
        <f>IF(SER_hh_emih!D19=0,0,SER_hh_emih!D19/SER_summary!D$26)</f>
        <v>0.26832537211151619</v>
      </c>
      <c r="E19" s="130">
        <f>IF(SER_hh_emih!E19=0,0,SER_hh_emih!E19/SER_summary!E$26)</f>
        <v>0.23226953355614305</v>
      </c>
      <c r="F19" s="130">
        <f>IF(SER_hh_emih!F19=0,0,SER_hh_emih!F19/SER_summary!F$26)</f>
        <v>0.27013819239565434</v>
      </c>
      <c r="G19" s="130">
        <f>IF(SER_hh_emih!G19=0,0,SER_hh_emih!G19/SER_summary!G$26)</f>
        <v>0.24183045724871391</v>
      </c>
      <c r="H19" s="130">
        <f>IF(SER_hh_emih!H19=0,0,SER_hh_emih!H19/SER_summary!H$26)</f>
        <v>0.26327322434178635</v>
      </c>
      <c r="I19" s="130">
        <f>IF(SER_hh_emih!I19=0,0,SER_hh_emih!I19/SER_summary!I$26)</f>
        <v>0.31630980678118803</v>
      </c>
      <c r="J19" s="130">
        <f>IF(SER_hh_emih!J19=0,0,SER_hh_emih!J19/SER_summary!J$26)</f>
        <v>0.33418698059723229</v>
      </c>
      <c r="K19" s="130">
        <f>IF(SER_hh_emih!K19=0,0,SER_hh_emih!K19/SER_summary!K$26)</f>
        <v>0.31616974034451878</v>
      </c>
      <c r="L19" s="130">
        <f>IF(SER_hh_emih!L19=0,0,SER_hh_emih!L19/SER_summary!L$26)</f>
        <v>0.31028509398918991</v>
      </c>
      <c r="M19" s="130">
        <f>IF(SER_hh_emih!M19=0,0,SER_hh_emih!M19/SER_summary!M$26)</f>
        <v>0.30175740047335231</v>
      </c>
      <c r="N19" s="130">
        <f>IF(SER_hh_emih!N19=0,0,SER_hh_emih!N19/SER_summary!N$26)</f>
        <v>0.29184294492920765</v>
      </c>
      <c r="O19" s="130">
        <f>IF(SER_hh_emih!O19=0,0,SER_hh_emih!O19/SER_summary!O$26)</f>
        <v>0.2921123474305537</v>
      </c>
      <c r="P19" s="130">
        <f>IF(SER_hh_emih!P19=0,0,SER_hh_emih!P19/SER_summary!P$26)</f>
        <v>0.2612625908530673</v>
      </c>
      <c r="Q19" s="130">
        <f>IF(SER_hh_emih!Q19=0,0,SER_hh_emih!Q19/SER_summary!Q$26)</f>
        <v>0.28022903193564463</v>
      </c>
      <c r="R19" s="130">
        <f>IF(SER_hh_emih!R19=0,0,SER_hh_emih!R19/SER_summary!R$26)</f>
        <v>0.29334448024519544</v>
      </c>
      <c r="S19" s="130">
        <f>IF(SER_hh_emih!S19=0,0,SER_hh_emih!S19/SER_summary!S$26)</f>
        <v>0.29571115269999831</v>
      </c>
      <c r="T19" s="130">
        <f>IF(SER_hh_emih!T19=0,0,SER_hh_emih!T19/SER_summary!T$26)</f>
        <v>0.29756709233407691</v>
      </c>
      <c r="U19" s="130">
        <f>IF(SER_hh_emih!U19=0,0,SER_hh_emih!U19/SER_summary!U$26)</f>
        <v>0.30734612095353159</v>
      </c>
      <c r="V19" s="130">
        <f>IF(SER_hh_emih!V19=0,0,SER_hh_emih!V19/SER_summary!V$26)</f>
        <v>0.31198916562285439</v>
      </c>
      <c r="W19" s="130">
        <f>IF(SER_hh_emih!W19=0,0,SER_hh_emih!W19/SER_summary!W$26)</f>
        <v>0.32523033686779995</v>
      </c>
      <c r="X19" s="130">
        <f>IF(SER_hh_emih!X19=0,0,SER_hh_emih!X19/SER_summary!X$26)</f>
        <v>0.32034230066418873</v>
      </c>
      <c r="Y19" s="130">
        <f>IF(SER_hh_emih!Y19=0,0,SER_hh_emih!Y19/SER_summary!Y$26)</f>
        <v>0.31273347088331105</v>
      </c>
      <c r="DA19" s="155" t="s">
        <v>555</v>
      </c>
    </row>
    <row r="20" spans="1:105" ht="12" customHeight="1" x14ac:dyDescent="0.25">
      <c r="A20" s="131" t="s">
        <v>29</v>
      </c>
      <c r="B20" s="132">
        <f>IF(SER_hh_emih!B20=0,0,SER_hh_emih!B20/SER_summary!B$26)</f>
        <v>0</v>
      </c>
      <c r="C20" s="132">
        <f>IF(SER_hh_emih!C20=0,0,SER_hh_emih!C20/SER_summary!C$26)</f>
        <v>0</v>
      </c>
      <c r="D20" s="132">
        <f>IF(SER_hh_emih!D20=0,0,SER_hh_emih!D20/SER_summary!D$26)</f>
        <v>0</v>
      </c>
      <c r="E20" s="132">
        <f>IF(SER_hh_emih!E20=0,0,SER_hh_emih!E20/SER_summary!E$26)</f>
        <v>0</v>
      </c>
      <c r="F20" s="132">
        <f>IF(SER_hh_emih!F20=0,0,SER_hh_emih!F20/SER_summary!F$26)</f>
        <v>0</v>
      </c>
      <c r="G20" s="132">
        <f>IF(SER_hh_emih!G20=0,0,SER_hh_emih!G20/SER_summary!G$26)</f>
        <v>0</v>
      </c>
      <c r="H20" s="132">
        <f>IF(SER_hh_emih!H20=0,0,SER_hh_emih!H20/SER_summary!H$26)</f>
        <v>0</v>
      </c>
      <c r="I20" s="132">
        <f>IF(SER_hh_emih!I20=0,0,SER_hh_emih!I20/SER_summary!I$26)</f>
        <v>0</v>
      </c>
      <c r="J20" s="132">
        <f>IF(SER_hh_emih!J20=0,0,SER_hh_emih!J20/SER_summary!J$26)</f>
        <v>0</v>
      </c>
      <c r="K20" s="132">
        <f>IF(SER_hh_emih!K20=0,0,SER_hh_emih!K20/SER_summary!K$26)</f>
        <v>0</v>
      </c>
      <c r="L20" s="132">
        <f>IF(SER_hh_emih!L20=0,0,SER_hh_emih!L20/SER_summary!L$26)</f>
        <v>0</v>
      </c>
      <c r="M20" s="132">
        <f>IF(SER_hh_emih!M20=0,0,SER_hh_emih!M20/SER_summary!M$26)</f>
        <v>0</v>
      </c>
      <c r="N20" s="132">
        <f>IF(SER_hh_emih!N20=0,0,SER_hh_emih!N20/SER_summary!N$26)</f>
        <v>0</v>
      </c>
      <c r="O20" s="132">
        <f>IF(SER_hh_emih!O20=0,0,SER_hh_emih!O20/SER_summary!O$26)</f>
        <v>0</v>
      </c>
      <c r="P20" s="132">
        <f>IF(SER_hh_emih!P20=0,0,SER_hh_emih!P20/SER_summary!P$26)</f>
        <v>0</v>
      </c>
      <c r="Q20" s="132">
        <f>IF(SER_hh_emih!Q20=0,0,SER_hh_emih!Q20/SER_summary!Q$26)</f>
        <v>0</v>
      </c>
      <c r="R20" s="132">
        <f>IF(SER_hh_emih!R20=0,0,SER_hh_emih!R20/SER_summary!R$26)</f>
        <v>0</v>
      </c>
      <c r="S20" s="132">
        <f>IF(SER_hh_emih!S20=0,0,SER_hh_emih!S20/SER_summary!S$26)</f>
        <v>0</v>
      </c>
      <c r="T20" s="132">
        <f>IF(SER_hh_emih!T20=0,0,SER_hh_emih!T20/SER_summary!T$26)</f>
        <v>0</v>
      </c>
      <c r="U20" s="132">
        <f>IF(SER_hh_emih!U20=0,0,SER_hh_emih!U20/SER_summary!U$26)</f>
        <v>0</v>
      </c>
      <c r="V20" s="132">
        <f>IF(SER_hh_emih!V20=0,0,SER_hh_emih!V20/SER_summary!V$26)</f>
        <v>0</v>
      </c>
      <c r="W20" s="132">
        <f>IF(SER_hh_emih!W20=0,0,SER_hh_emih!W20/SER_summary!W$26)</f>
        <v>0</v>
      </c>
      <c r="X20" s="132">
        <f>IF(SER_hh_emih!X20=0,0,SER_hh_emih!X20/SER_summary!X$26)</f>
        <v>0</v>
      </c>
      <c r="Y20" s="132">
        <f>IF(SER_hh_emih!Y20=0,0,SER_hh_emih!Y20/SER_summary!Y$26)</f>
        <v>0</v>
      </c>
      <c r="DA20" s="156" t="s">
        <v>556</v>
      </c>
    </row>
    <row r="21" spans="1:105" s="2" customFormat="1" ht="12" customHeight="1" x14ac:dyDescent="0.25">
      <c r="A21" s="131" t="s">
        <v>52</v>
      </c>
      <c r="B21" s="132">
        <f>IF(SER_hh_emih!B21=0,0,SER_hh_emih!B21/SER_summary!B$26)</f>
        <v>0</v>
      </c>
      <c r="C21" s="132">
        <f>IF(SER_hh_emih!C21=0,0,SER_hh_emih!C21/SER_summary!C$26)</f>
        <v>0</v>
      </c>
      <c r="D21" s="132">
        <f>IF(SER_hh_emih!D21=0,0,SER_hh_emih!D21/SER_summary!D$26)</f>
        <v>0</v>
      </c>
      <c r="E21" s="132">
        <f>IF(SER_hh_emih!E21=0,0,SER_hh_emih!E21/SER_summary!E$26)</f>
        <v>0</v>
      </c>
      <c r="F21" s="132">
        <f>IF(SER_hh_emih!F21=0,0,SER_hh_emih!F21/SER_summary!F$26)</f>
        <v>0</v>
      </c>
      <c r="G21" s="132">
        <f>IF(SER_hh_emih!G21=0,0,SER_hh_emih!G21/SER_summary!G$26)</f>
        <v>0</v>
      </c>
      <c r="H21" s="132">
        <f>IF(SER_hh_emih!H21=0,0,SER_hh_emih!H21/SER_summary!H$26)</f>
        <v>0</v>
      </c>
      <c r="I21" s="132">
        <f>IF(SER_hh_emih!I21=0,0,SER_hh_emih!I21/SER_summary!I$26)</f>
        <v>0</v>
      </c>
      <c r="J21" s="132">
        <f>IF(SER_hh_emih!J21=0,0,SER_hh_emih!J21/SER_summary!J$26)</f>
        <v>0</v>
      </c>
      <c r="K21" s="132">
        <f>IF(SER_hh_emih!K21=0,0,SER_hh_emih!K21/SER_summary!K$26)</f>
        <v>0</v>
      </c>
      <c r="L21" s="132">
        <f>IF(SER_hh_emih!L21=0,0,SER_hh_emih!L21/SER_summary!L$26)</f>
        <v>0</v>
      </c>
      <c r="M21" s="132">
        <f>IF(SER_hh_emih!M21=0,0,SER_hh_emih!M21/SER_summary!M$26)</f>
        <v>0</v>
      </c>
      <c r="N21" s="132">
        <f>IF(SER_hh_emih!N21=0,0,SER_hh_emih!N21/SER_summary!N$26)</f>
        <v>0</v>
      </c>
      <c r="O21" s="132">
        <f>IF(SER_hh_emih!O21=0,0,SER_hh_emih!O21/SER_summary!O$26)</f>
        <v>0</v>
      </c>
      <c r="P21" s="132">
        <f>IF(SER_hh_emih!P21=0,0,SER_hh_emih!P21/SER_summary!P$26)</f>
        <v>0</v>
      </c>
      <c r="Q21" s="132">
        <f>IF(SER_hh_emih!Q21=0,0,SER_hh_emih!Q21/SER_summary!Q$26)</f>
        <v>0</v>
      </c>
      <c r="R21" s="132">
        <f>IF(SER_hh_emih!R21=0,0,SER_hh_emih!R21/SER_summary!R$26)</f>
        <v>0</v>
      </c>
      <c r="S21" s="132">
        <f>IF(SER_hh_emih!S21=0,0,SER_hh_emih!S21/SER_summary!S$26)</f>
        <v>0</v>
      </c>
      <c r="T21" s="132">
        <f>IF(SER_hh_emih!T21=0,0,SER_hh_emih!T21/SER_summary!T$26)</f>
        <v>0</v>
      </c>
      <c r="U21" s="132">
        <f>IF(SER_hh_emih!U21=0,0,SER_hh_emih!U21/SER_summary!U$26)</f>
        <v>0</v>
      </c>
      <c r="V21" s="132">
        <f>IF(SER_hh_emih!V21=0,0,SER_hh_emih!V21/SER_summary!V$26)</f>
        <v>0</v>
      </c>
      <c r="W21" s="132">
        <f>IF(SER_hh_emih!W21=0,0,SER_hh_emih!W21/SER_summary!W$26)</f>
        <v>0</v>
      </c>
      <c r="X21" s="132">
        <f>IF(SER_hh_emih!X21=0,0,SER_hh_emih!X21/SER_summary!X$26)</f>
        <v>0</v>
      </c>
      <c r="Y21" s="132">
        <f>IF(SER_hh_emih!Y21=0,0,SER_hh_emih!Y21/SER_summary!Y$26)</f>
        <v>0</v>
      </c>
      <c r="DA21" s="156" t="s">
        <v>557</v>
      </c>
    </row>
    <row r="22" spans="1:105" ht="12" customHeight="1" x14ac:dyDescent="0.25">
      <c r="A22" s="131" t="s">
        <v>161</v>
      </c>
      <c r="B22" s="132">
        <f>IF(SER_hh_emih!B22=0,0,SER_hh_emih!B22/SER_summary!B$26)</f>
        <v>5.9377292805038477</v>
      </c>
      <c r="C22" s="132">
        <f>IF(SER_hh_emih!C22=0,0,SER_hh_emih!C22/SER_summary!C$26)</f>
        <v>4.3878638028719612</v>
      </c>
      <c r="D22" s="132">
        <f>IF(SER_hh_emih!D22=0,0,SER_hh_emih!D22/SER_summary!D$26)</f>
        <v>4.896616878228528</v>
      </c>
      <c r="E22" s="132">
        <f>IF(SER_hh_emih!E22=0,0,SER_hh_emih!E22/SER_summary!E$26)</f>
        <v>4.7047184907839066</v>
      </c>
      <c r="F22" s="132">
        <f>IF(SER_hh_emih!F22=0,0,SER_hh_emih!F22/SER_summary!F$26)</f>
        <v>5.8192513315869672</v>
      </c>
      <c r="G22" s="132">
        <f>IF(SER_hh_emih!G22=0,0,SER_hh_emih!G22/SER_summary!G$26)</f>
        <v>5.2426846323688618</v>
      </c>
      <c r="H22" s="132">
        <f>IF(SER_hh_emih!H22=0,0,SER_hh_emih!H22/SER_summary!H$26)</f>
        <v>5.7238927026868742</v>
      </c>
      <c r="I22" s="132">
        <f>IF(SER_hh_emih!I22=0,0,SER_hh_emih!I22/SER_summary!I$26)</f>
        <v>5.7194041136635372</v>
      </c>
      <c r="J22" s="132">
        <f>IF(SER_hh_emih!J22=0,0,SER_hh_emih!J22/SER_summary!J$26)</f>
        <v>6.2510277488547166</v>
      </c>
      <c r="K22" s="132">
        <f>IF(SER_hh_emih!K22=0,0,SER_hh_emih!K22/SER_summary!K$26)</f>
        <v>5.5091620917368918</v>
      </c>
      <c r="L22" s="132">
        <f>IF(SER_hh_emih!L22=0,0,SER_hh_emih!L22/SER_summary!L$26)</f>
        <v>5.8545599202230125</v>
      </c>
      <c r="M22" s="132">
        <f>IF(SER_hh_emih!M22=0,0,SER_hh_emih!M22/SER_summary!M$26)</f>
        <v>5.8018271379457707</v>
      </c>
      <c r="N22" s="132">
        <f>IF(SER_hh_emih!N22=0,0,SER_hh_emih!N22/SER_summary!N$26)</f>
        <v>5.068942232937764</v>
      </c>
      <c r="O22" s="132">
        <f>IF(SER_hh_emih!O22=0,0,SER_hh_emih!O22/SER_summary!O$26)</f>
        <v>5.3342038509578353</v>
      </c>
      <c r="P22" s="132">
        <f>IF(SER_hh_emih!P22=0,0,SER_hh_emih!P22/SER_summary!P$26)</f>
        <v>5.469208907223762</v>
      </c>
      <c r="Q22" s="132">
        <f>IF(SER_hh_emih!Q22=0,0,SER_hh_emih!Q22/SER_summary!Q$26)</f>
        <v>5.4286663760951255</v>
      </c>
      <c r="R22" s="132">
        <f>IF(SER_hh_emih!R22=0,0,SER_hh_emih!R22/SER_summary!R$26)</f>
        <v>5.4742705766388315</v>
      </c>
      <c r="S22" s="132">
        <f>IF(SER_hh_emih!S22=0,0,SER_hh_emih!S22/SER_summary!S$26)</f>
        <v>6.0983187908416454</v>
      </c>
      <c r="T22" s="132">
        <f>IF(SER_hh_emih!T22=0,0,SER_hh_emih!T22/SER_summary!T$26)</f>
        <v>4.4848858397173927</v>
      </c>
      <c r="U22" s="132">
        <f>IF(SER_hh_emih!U22=0,0,SER_hh_emih!U22/SER_summary!U$26)</f>
        <v>5.1012881306597384</v>
      </c>
      <c r="V22" s="132">
        <f>IF(SER_hh_emih!V22=0,0,SER_hh_emih!V22/SER_summary!V$26)</f>
        <v>5.1107495333833093</v>
      </c>
      <c r="W22" s="132">
        <f>IF(SER_hh_emih!W22=0,0,SER_hh_emih!W22/SER_summary!W$26)</f>
        <v>5.6872470618650937</v>
      </c>
      <c r="X22" s="132">
        <f>IF(SER_hh_emih!X22=0,0,SER_hh_emih!X22/SER_summary!X$26)</f>
        <v>5.3656073077292792</v>
      </c>
      <c r="Y22" s="132">
        <f>IF(SER_hh_emih!Y22=0,0,SER_hh_emih!Y22/SER_summary!Y$26)</f>
        <v>4.5017222980149985</v>
      </c>
      <c r="DA22" s="156" t="s">
        <v>558</v>
      </c>
    </row>
    <row r="23" spans="1:105" ht="12" customHeight="1" x14ac:dyDescent="0.25">
      <c r="A23" s="131" t="s">
        <v>149</v>
      </c>
      <c r="B23" s="132">
        <f>IF(SER_hh_emih!B23=0,0,SER_hh_emih!B23/SER_summary!B$26)</f>
        <v>3.6870906819179701</v>
      </c>
      <c r="C23" s="132">
        <f>IF(SER_hh_emih!C23=0,0,SER_hh_emih!C23/SER_summary!C$26)</f>
        <v>3.6721768553700835</v>
      </c>
      <c r="D23" s="132">
        <f>IF(SER_hh_emih!D23=0,0,SER_hh_emih!D23/SER_summary!D$26)</f>
        <v>3.6103835922966132</v>
      </c>
      <c r="E23" s="132">
        <f>IF(SER_hh_emih!E23=0,0,SER_hh_emih!E23/SER_summary!E$26)</f>
        <v>3.4275231394452708</v>
      </c>
      <c r="F23" s="132">
        <f>IF(SER_hh_emih!F23=0,0,SER_hh_emih!F23/SER_summary!F$26)</f>
        <v>3.8477514367921413</v>
      </c>
      <c r="G23" s="132">
        <f>IF(SER_hh_emih!G23=0,0,SER_hh_emih!G23/SER_summary!G$26)</f>
        <v>3.4497792315785349</v>
      </c>
      <c r="H23" s="132">
        <f>IF(SER_hh_emih!H23=0,0,SER_hh_emih!H23/SER_summary!H$26)</f>
        <v>3.3372650679738984</v>
      </c>
      <c r="I23" s="132">
        <f>IF(SER_hh_emih!I23=0,0,SER_hh_emih!I23/SER_summary!I$26)</f>
        <v>3.9827019628214302</v>
      </c>
      <c r="J23" s="132">
        <f>IF(SER_hh_emih!J23=0,0,SER_hh_emih!J23/SER_summary!J$26)</f>
        <v>3.9410728823434091</v>
      </c>
      <c r="K23" s="132">
        <f>IF(SER_hh_emih!K23=0,0,SER_hh_emih!K23/SER_summary!K$26)</f>
        <v>3.7114776859940317</v>
      </c>
      <c r="L23" s="132">
        <f>IF(SER_hh_emih!L23=0,0,SER_hh_emih!L23/SER_summary!L$26)</f>
        <v>3.6993815570888384</v>
      </c>
      <c r="M23" s="132">
        <f>IF(SER_hh_emih!M23=0,0,SER_hh_emih!M23/SER_summary!M$26)</f>
        <v>3.7449266027428894</v>
      </c>
      <c r="N23" s="132">
        <f>IF(SER_hh_emih!N23=0,0,SER_hh_emih!N23/SER_summary!N$26)</f>
        <v>3.7588174198327691</v>
      </c>
      <c r="O23" s="132">
        <f>IF(SER_hh_emih!O23=0,0,SER_hh_emih!O23/SER_summary!O$26)</f>
        <v>3.8029954050320818</v>
      </c>
      <c r="P23" s="132">
        <f>IF(SER_hh_emih!P23=0,0,SER_hh_emih!P23/SER_summary!P$26)</f>
        <v>3.3993477385648423</v>
      </c>
      <c r="Q23" s="132">
        <f>IF(SER_hh_emih!Q23=0,0,SER_hh_emih!Q23/SER_summary!Q$26)</f>
        <v>3.5566454800644034</v>
      </c>
      <c r="R23" s="132">
        <f>IF(SER_hh_emih!R23=0,0,SER_hh_emih!R23/SER_summary!R$26)</f>
        <v>3.5811021582301619</v>
      </c>
      <c r="S23" s="132">
        <f>IF(SER_hh_emih!S23=0,0,SER_hh_emih!S23/SER_summary!S$26)</f>
        <v>3.4698392104926112</v>
      </c>
      <c r="T23" s="132">
        <f>IF(SER_hh_emih!T23=0,0,SER_hh_emih!T23/SER_summary!T$26)</f>
        <v>3.3969984021131774</v>
      </c>
      <c r="U23" s="132">
        <f>IF(SER_hh_emih!U23=0,0,SER_hh_emih!U23/SER_summary!U$26)</f>
        <v>3.2718022615074784</v>
      </c>
      <c r="V23" s="132">
        <f>IF(SER_hh_emih!V23=0,0,SER_hh_emih!V23/SER_summary!V$26)</f>
        <v>3.0644740686639156</v>
      </c>
      <c r="W23" s="132">
        <f>IF(SER_hh_emih!W23=0,0,SER_hh_emih!W23/SER_summary!W$26)</f>
        <v>3.1014691777933341</v>
      </c>
      <c r="X23" s="132">
        <f>IF(SER_hh_emih!X23=0,0,SER_hh_emih!X23/SER_summary!X$26)</f>
        <v>3.0692208110188801</v>
      </c>
      <c r="Y23" s="132">
        <f>IF(SER_hh_emih!Y23=0,0,SER_hh_emih!Y23/SER_summary!Y$26)</f>
        <v>3.0940321581039139</v>
      </c>
      <c r="DA23" s="156" t="s">
        <v>559</v>
      </c>
    </row>
    <row r="24" spans="1:105" ht="12" customHeight="1" x14ac:dyDescent="0.25">
      <c r="A24" s="131" t="s">
        <v>128</v>
      </c>
      <c r="B24" s="132">
        <f>IF(SER_hh_emih!B24=0,0,SER_hh_emih!B24/SER_summary!B$26)</f>
        <v>0</v>
      </c>
      <c r="C24" s="132">
        <f>IF(SER_hh_emih!C24=0,0,SER_hh_emih!C24/SER_summary!C$26)</f>
        <v>0</v>
      </c>
      <c r="D24" s="132">
        <f>IF(SER_hh_emih!D24=0,0,SER_hh_emih!D24/SER_summary!D$26)</f>
        <v>0</v>
      </c>
      <c r="E24" s="132">
        <f>IF(SER_hh_emih!E24=0,0,SER_hh_emih!E24/SER_summary!E$26)</f>
        <v>0</v>
      </c>
      <c r="F24" s="132">
        <f>IF(SER_hh_emih!F24=0,0,SER_hh_emih!F24/SER_summary!F$26)</f>
        <v>0</v>
      </c>
      <c r="G24" s="132">
        <f>IF(SER_hh_emih!G24=0,0,SER_hh_emih!G24/SER_summary!G$26)</f>
        <v>0</v>
      </c>
      <c r="H24" s="132">
        <f>IF(SER_hh_emih!H24=0,0,SER_hh_emih!H24/SER_summary!H$26)</f>
        <v>0</v>
      </c>
      <c r="I24" s="132">
        <f>IF(SER_hh_emih!I24=0,0,SER_hh_emih!I24/SER_summary!I$26)</f>
        <v>0</v>
      </c>
      <c r="J24" s="132">
        <f>IF(SER_hh_emih!J24=0,0,SER_hh_emih!J24/SER_summary!J$26)</f>
        <v>0</v>
      </c>
      <c r="K24" s="132">
        <f>IF(SER_hh_emih!K24=0,0,SER_hh_emih!K24/SER_summary!K$26)</f>
        <v>0</v>
      </c>
      <c r="L24" s="132">
        <f>IF(SER_hh_emih!L24=0,0,SER_hh_emih!L24/SER_summary!L$26)</f>
        <v>0</v>
      </c>
      <c r="M24" s="132">
        <f>IF(SER_hh_emih!M24=0,0,SER_hh_emih!M24/SER_summary!M$26)</f>
        <v>0</v>
      </c>
      <c r="N24" s="132">
        <f>IF(SER_hh_emih!N24=0,0,SER_hh_emih!N24/SER_summary!N$26)</f>
        <v>0</v>
      </c>
      <c r="O24" s="132">
        <f>IF(SER_hh_emih!O24=0,0,SER_hh_emih!O24/SER_summary!O$26)</f>
        <v>0</v>
      </c>
      <c r="P24" s="132">
        <f>IF(SER_hh_emih!P24=0,0,SER_hh_emih!P24/SER_summary!P$26)</f>
        <v>0</v>
      </c>
      <c r="Q24" s="132">
        <f>IF(SER_hh_emih!Q24=0,0,SER_hh_emih!Q24/SER_summary!Q$26)</f>
        <v>0</v>
      </c>
      <c r="R24" s="132">
        <f>IF(SER_hh_emih!R24=0,0,SER_hh_emih!R24/SER_summary!R$26)</f>
        <v>0</v>
      </c>
      <c r="S24" s="132">
        <f>IF(SER_hh_emih!S24=0,0,SER_hh_emih!S24/SER_summary!S$26)</f>
        <v>0</v>
      </c>
      <c r="T24" s="132">
        <f>IF(SER_hh_emih!T24=0,0,SER_hh_emih!T24/SER_summary!T$26)</f>
        <v>0</v>
      </c>
      <c r="U24" s="132">
        <f>IF(SER_hh_emih!U24=0,0,SER_hh_emih!U24/SER_summary!U$26)</f>
        <v>0</v>
      </c>
      <c r="V24" s="132">
        <f>IF(SER_hh_emih!V24=0,0,SER_hh_emih!V24/SER_summary!V$26)</f>
        <v>0</v>
      </c>
      <c r="W24" s="132">
        <f>IF(SER_hh_emih!W24=0,0,SER_hh_emih!W24/SER_summary!W$26)</f>
        <v>0</v>
      </c>
      <c r="X24" s="132">
        <f>IF(SER_hh_emih!X24=0,0,SER_hh_emih!X24/SER_summary!X$26)</f>
        <v>0</v>
      </c>
      <c r="Y24" s="132">
        <f>IF(SER_hh_emih!Y24=0,0,SER_hh_emih!Y24/SER_summary!Y$26)</f>
        <v>0</v>
      </c>
      <c r="DA24" s="156" t="s">
        <v>560</v>
      </c>
    </row>
    <row r="25" spans="1:105" ht="12" customHeight="1" x14ac:dyDescent="0.25">
      <c r="A25" s="131" t="s">
        <v>162</v>
      </c>
      <c r="B25" s="132">
        <f>IF(SER_hh_emih!B25=0,0,SER_hh_emih!B25/SER_summary!B$26)</f>
        <v>0</v>
      </c>
      <c r="C25" s="132">
        <f>IF(SER_hh_emih!C25=0,0,SER_hh_emih!C25/SER_summary!C$26)</f>
        <v>0</v>
      </c>
      <c r="D25" s="132">
        <f>IF(SER_hh_emih!D25=0,0,SER_hh_emih!D25/SER_summary!D$26)</f>
        <v>0</v>
      </c>
      <c r="E25" s="132">
        <f>IF(SER_hh_emih!E25=0,0,SER_hh_emih!E25/SER_summary!E$26)</f>
        <v>0</v>
      </c>
      <c r="F25" s="132">
        <f>IF(SER_hh_emih!F25=0,0,SER_hh_emih!F25/SER_summary!F$26)</f>
        <v>0</v>
      </c>
      <c r="G25" s="132">
        <f>IF(SER_hh_emih!G25=0,0,SER_hh_emih!G25/SER_summary!G$26)</f>
        <v>0</v>
      </c>
      <c r="H25" s="132">
        <f>IF(SER_hh_emih!H25=0,0,SER_hh_emih!H25/SER_summary!H$26)</f>
        <v>0</v>
      </c>
      <c r="I25" s="132">
        <f>IF(SER_hh_emih!I25=0,0,SER_hh_emih!I25/SER_summary!I$26)</f>
        <v>0</v>
      </c>
      <c r="J25" s="132">
        <f>IF(SER_hh_emih!J25=0,0,SER_hh_emih!J25/SER_summary!J$26)</f>
        <v>0</v>
      </c>
      <c r="K25" s="132">
        <f>IF(SER_hh_emih!K25=0,0,SER_hh_emih!K25/SER_summary!K$26)</f>
        <v>0</v>
      </c>
      <c r="L25" s="132">
        <f>IF(SER_hh_emih!L25=0,0,SER_hh_emih!L25/SER_summary!L$26)</f>
        <v>0</v>
      </c>
      <c r="M25" s="132">
        <f>IF(SER_hh_emih!M25=0,0,SER_hh_emih!M25/SER_summary!M$26)</f>
        <v>0</v>
      </c>
      <c r="N25" s="132">
        <f>IF(SER_hh_emih!N25=0,0,SER_hh_emih!N25/SER_summary!N$26)</f>
        <v>0</v>
      </c>
      <c r="O25" s="132">
        <f>IF(SER_hh_emih!O25=0,0,SER_hh_emih!O25/SER_summary!O$26)</f>
        <v>0</v>
      </c>
      <c r="P25" s="132">
        <f>IF(SER_hh_emih!P25=0,0,SER_hh_emih!P25/SER_summary!P$26)</f>
        <v>0</v>
      </c>
      <c r="Q25" s="132">
        <f>IF(SER_hh_emih!Q25=0,0,SER_hh_emih!Q25/SER_summary!Q$26)</f>
        <v>0</v>
      </c>
      <c r="R25" s="132">
        <f>IF(SER_hh_emih!R25=0,0,SER_hh_emih!R25/SER_summary!R$26)</f>
        <v>0</v>
      </c>
      <c r="S25" s="132">
        <f>IF(SER_hh_emih!S25=0,0,SER_hh_emih!S25/SER_summary!S$26)</f>
        <v>0</v>
      </c>
      <c r="T25" s="132">
        <f>IF(SER_hh_emih!T25=0,0,SER_hh_emih!T25/SER_summary!T$26)</f>
        <v>0</v>
      </c>
      <c r="U25" s="132">
        <f>IF(SER_hh_emih!U25=0,0,SER_hh_emih!U25/SER_summary!U$26)</f>
        <v>0</v>
      </c>
      <c r="V25" s="132">
        <f>IF(SER_hh_emih!V25=0,0,SER_hh_emih!V25/SER_summary!V$26)</f>
        <v>0</v>
      </c>
      <c r="W25" s="132">
        <f>IF(SER_hh_emih!W25=0,0,SER_hh_emih!W25/SER_summary!W$26)</f>
        <v>0</v>
      </c>
      <c r="X25" s="132">
        <f>IF(SER_hh_emih!X25=0,0,SER_hh_emih!X25/SER_summary!X$26)</f>
        <v>0</v>
      </c>
      <c r="Y25" s="132">
        <f>IF(SER_hh_emih!Y25=0,0,SER_hh_emih!Y25/SER_summary!Y$26)</f>
        <v>0</v>
      </c>
      <c r="DA25" s="156" t="s">
        <v>561</v>
      </c>
    </row>
    <row r="26" spans="1:105" ht="12" customHeight="1" x14ac:dyDescent="0.25">
      <c r="A26" s="131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X26" s="65">
        <f>IF(SER_hh_emih!X26=0,0,SER_hh_emih!X26/SER_summary!X$26)</f>
        <v>0</v>
      </c>
      <c r="Y26" s="65">
        <f>IF(SER_hh_emih!Y26=0,0,SER_hh_emih!Y26/SER_summary!Y$26)</f>
        <v>0</v>
      </c>
      <c r="DA26" s="109" t="s">
        <v>562</v>
      </c>
    </row>
    <row r="27" spans="1:105" ht="12" customHeight="1" x14ac:dyDescent="0.25">
      <c r="A27" s="144" t="s">
        <v>86</v>
      </c>
      <c r="B27" s="145">
        <f>IF(SER_hh_emih!B27=0,0,SER_hh_emih!B27/SER_summary!B$26)</f>
        <v>0</v>
      </c>
      <c r="C27" s="145">
        <f>IF(SER_hh_emih!C27=0,0,SER_hh_emih!C27/SER_summary!C$26)</f>
        <v>0</v>
      </c>
      <c r="D27" s="145">
        <f>IF(SER_hh_emih!D27=0,0,SER_hh_emih!D27/SER_summary!D$26)</f>
        <v>0</v>
      </c>
      <c r="E27" s="145">
        <f>IF(SER_hh_emih!E27=0,0,SER_hh_emih!E27/SER_summary!E$26)</f>
        <v>0</v>
      </c>
      <c r="F27" s="145">
        <f>IF(SER_hh_emih!F27=0,0,SER_hh_emih!F27/SER_summary!F$26)</f>
        <v>0</v>
      </c>
      <c r="G27" s="145">
        <f>IF(SER_hh_emih!G27=0,0,SER_hh_emih!G27/SER_summary!G$26)</f>
        <v>0</v>
      </c>
      <c r="H27" s="145">
        <f>IF(SER_hh_emih!H27=0,0,SER_hh_emih!H27/SER_summary!H$26)</f>
        <v>0</v>
      </c>
      <c r="I27" s="145">
        <f>IF(SER_hh_emih!I27=0,0,SER_hh_emih!I27/SER_summary!I$26)</f>
        <v>0</v>
      </c>
      <c r="J27" s="145">
        <f>IF(SER_hh_emih!J27=0,0,SER_hh_emih!J27/SER_summary!J$26)</f>
        <v>0</v>
      </c>
      <c r="K27" s="145">
        <f>IF(SER_hh_emih!K27=0,0,SER_hh_emih!K27/SER_summary!K$26)</f>
        <v>0</v>
      </c>
      <c r="L27" s="145">
        <f>IF(SER_hh_emih!L27=0,0,SER_hh_emih!L27/SER_summary!L$26)</f>
        <v>0</v>
      </c>
      <c r="M27" s="145">
        <f>IF(SER_hh_emih!M27=0,0,SER_hh_emih!M27/SER_summary!M$26)</f>
        <v>0</v>
      </c>
      <c r="N27" s="145">
        <f>IF(SER_hh_emih!N27=0,0,SER_hh_emih!N27/SER_summary!N$26)</f>
        <v>0</v>
      </c>
      <c r="O27" s="145">
        <f>IF(SER_hh_emih!O27=0,0,SER_hh_emih!O27/SER_summary!O$26)</f>
        <v>0</v>
      </c>
      <c r="P27" s="145">
        <f>IF(SER_hh_emih!P27=0,0,SER_hh_emih!P27/SER_summary!P$26)</f>
        <v>0</v>
      </c>
      <c r="Q27" s="145">
        <f>IF(SER_hh_emih!Q27=0,0,SER_hh_emih!Q27/SER_summary!Q$26)</f>
        <v>0</v>
      </c>
      <c r="R27" s="145">
        <f>IF(SER_hh_emih!R27=0,0,SER_hh_emih!R27/SER_summary!R$26)</f>
        <v>0</v>
      </c>
      <c r="S27" s="145">
        <f>IF(SER_hh_emih!S27=0,0,SER_hh_emih!S27/SER_summary!S$26)</f>
        <v>0</v>
      </c>
      <c r="T27" s="145">
        <f>IF(SER_hh_emih!T27=0,0,SER_hh_emih!T27/SER_summary!T$26)</f>
        <v>0</v>
      </c>
      <c r="U27" s="145">
        <f>IF(SER_hh_emih!U27=0,0,SER_hh_emih!U27/SER_summary!U$26)</f>
        <v>0</v>
      </c>
      <c r="V27" s="145">
        <f>IF(SER_hh_emih!V27=0,0,SER_hh_emih!V27/SER_summary!V$26)</f>
        <v>0</v>
      </c>
      <c r="W27" s="145">
        <f>IF(SER_hh_emih!W27=0,0,SER_hh_emih!W27/SER_summary!W$26)</f>
        <v>0</v>
      </c>
      <c r="X27" s="145">
        <f>IF(SER_hh_emih!X27=0,0,SER_hh_emih!X27/SER_summary!X$26)</f>
        <v>0</v>
      </c>
      <c r="Y27" s="145">
        <f>IF(SER_hh_emih!Y27=0,0,SER_hh_emih!Y27/SER_summary!Y$26)</f>
        <v>0</v>
      </c>
      <c r="DA27" s="158" t="s">
        <v>563</v>
      </c>
    </row>
    <row r="28" spans="1:105" ht="12" customHeight="1" x14ac:dyDescent="0.25">
      <c r="A28" s="78" t="s">
        <v>85</v>
      </c>
      <c r="B28" s="146">
        <f>IF(SER_hh_emih!B28=0,0,SER_hh_emih!B28/SER_summary!B$26)</f>
        <v>0</v>
      </c>
      <c r="C28" s="146">
        <f>IF(SER_hh_emih!C28=0,0,SER_hh_emih!C28/SER_summary!C$26)</f>
        <v>0</v>
      </c>
      <c r="D28" s="146">
        <f>IF(SER_hh_emih!D28=0,0,SER_hh_emih!D28/SER_summary!D$26)</f>
        <v>0</v>
      </c>
      <c r="E28" s="146">
        <f>IF(SER_hh_emih!E28=0,0,SER_hh_emih!E28/SER_summary!E$26)</f>
        <v>0</v>
      </c>
      <c r="F28" s="146">
        <f>IF(SER_hh_emih!F28=0,0,SER_hh_emih!F28/SER_summary!F$26)</f>
        <v>0</v>
      </c>
      <c r="G28" s="146">
        <f>IF(SER_hh_emih!G28=0,0,SER_hh_emih!G28/SER_summary!G$26)</f>
        <v>0</v>
      </c>
      <c r="H28" s="146">
        <f>IF(SER_hh_emih!H28=0,0,SER_hh_emih!H28/SER_summary!H$26)</f>
        <v>0</v>
      </c>
      <c r="I28" s="146">
        <f>IF(SER_hh_emih!I28=0,0,SER_hh_emih!I28/SER_summary!I$26)</f>
        <v>0</v>
      </c>
      <c r="J28" s="146">
        <f>IF(SER_hh_emih!J28=0,0,SER_hh_emih!J28/SER_summary!J$26)</f>
        <v>0</v>
      </c>
      <c r="K28" s="146">
        <f>IF(SER_hh_emih!K28=0,0,SER_hh_emih!K28/SER_summary!K$26)</f>
        <v>0</v>
      </c>
      <c r="L28" s="146">
        <f>IF(SER_hh_emih!L28=0,0,SER_hh_emih!L28/SER_summary!L$26)</f>
        <v>0</v>
      </c>
      <c r="M28" s="146">
        <f>IF(SER_hh_emih!M28=0,0,SER_hh_emih!M28/SER_summary!M$26)</f>
        <v>0</v>
      </c>
      <c r="N28" s="146">
        <f>IF(SER_hh_emih!N28=0,0,SER_hh_emih!N28/SER_summary!N$26)</f>
        <v>0</v>
      </c>
      <c r="O28" s="146">
        <f>IF(SER_hh_emih!O28=0,0,SER_hh_emih!O28/SER_summary!O$26)</f>
        <v>0</v>
      </c>
      <c r="P28" s="146">
        <f>IF(SER_hh_emih!P28=0,0,SER_hh_emih!P28/SER_summary!P$26)</f>
        <v>0</v>
      </c>
      <c r="Q28" s="146">
        <f>IF(SER_hh_emih!Q28=0,0,SER_hh_emih!Q28/SER_summary!Q$26)</f>
        <v>0</v>
      </c>
      <c r="R28" s="146">
        <f>IF(SER_hh_emih!R28=0,0,SER_hh_emih!R28/SER_summary!R$26)</f>
        <v>0</v>
      </c>
      <c r="S28" s="146">
        <f>IF(SER_hh_emih!S28=0,0,SER_hh_emih!S28/SER_summary!S$26)</f>
        <v>0</v>
      </c>
      <c r="T28" s="146">
        <f>IF(SER_hh_emih!T28=0,0,SER_hh_emih!T28/SER_summary!T$26)</f>
        <v>0</v>
      </c>
      <c r="U28" s="146">
        <f>IF(SER_hh_emih!U28=0,0,SER_hh_emih!U28/SER_summary!U$26)</f>
        <v>0</v>
      </c>
      <c r="V28" s="146">
        <f>IF(SER_hh_emih!V28=0,0,SER_hh_emih!V28/SER_summary!V$26)</f>
        <v>0</v>
      </c>
      <c r="W28" s="146">
        <f>IF(SER_hh_emih!W28=0,0,SER_hh_emih!W28/SER_summary!W$26)</f>
        <v>0</v>
      </c>
      <c r="X28" s="146">
        <f>IF(SER_hh_emih!X28=0,0,SER_hh_emih!X28/SER_summary!X$26)</f>
        <v>0</v>
      </c>
      <c r="Y28" s="146">
        <f>IF(SER_hh_emih!Y28=0,0,SER_hh_emih!Y28/SER_summary!Y$26)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IF(SER_hh_emih!B29=0,0,SER_hh_emih!B29/SER_summary!B$26)</f>
        <v>0.76156969754644166</v>
      </c>
      <c r="C29" s="130">
        <f>IF(SER_hh_emih!C29=0,0,SER_hh_emih!C29/SER_summary!C$26)</f>
        <v>0.78124709381083302</v>
      </c>
      <c r="D29" s="130">
        <f>IF(SER_hh_emih!D29=0,0,SER_hh_emih!D29/SER_summary!D$26)</f>
        <v>0.8255046130737147</v>
      </c>
      <c r="E29" s="130">
        <f>IF(SER_hh_emih!E29=0,0,SER_hh_emih!E29/SER_summary!E$26)</f>
        <v>0.79707086793101134</v>
      </c>
      <c r="F29" s="130">
        <f>IF(SER_hh_emih!F29=0,0,SER_hh_emih!F29/SER_summary!F$26)</f>
        <v>0.70308622098584339</v>
      </c>
      <c r="G29" s="130">
        <f>IF(SER_hh_emih!G29=0,0,SER_hh_emih!G29/SER_summary!G$26)</f>
        <v>0.70668850368894742</v>
      </c>
      <c r="H29" s="130">
        <f>IF(SER_hh_emih!H29=0,0,SER_hh_emih!H29/SER_summary!H$26)</f>
        <v>0.71244835921014982</v>
      </c>
      <c r="I29" s="130">
        <f>IF(SER_hh_emih!I29=0,0,SER_hh_emih!I29/SER_summary!I$26)</f>
        <v>0.84016016069588395</v>
      </c>
      <c r="J29" s="130">
        <f>IF(SER_hh_emih!J29=0,0,SER_hh_emih!J29/SER_summary!J$26)</f>
        <v>0.86012042121078947</v>
      </c>
      <c r="K29" s="130">
        <f>IF(SER_hh_emih!K29=0,0,SER_hh_emih!K29/SER_summary!K$26)</f>
        <v>0.83736735150069108</v>
      </c>
      <c r="L29" s="130">
        <f>IF(SER_hh_emih!L29=0,0,SER_hh_emih!L29/SER_summary!L$26)</f>
        <v>0.76138859672431636</v>
      </c>
      <c r="M29" s="130">
        <f>IF(SER_hh_emih!M29=0,0,SER_hh_emih!M29/SER_summary!M$26)</f>
        <v>0.70526956491962189</v>
      </c>
      <c r="N29" s="130">
        <f>IF(SER_hh_emih!N29=0,0,SER_hh_emih!N29/SER_summary!N$26)</f>
        <v>0.61317813262244936</v>
      </c>
      <c r="O29" s="130">
        <f>IF(SER_hh_emih!O29=0,0,SER_hh_emih!O29/SER_summary!O$26)</f>
        <v>0.50029777474484716</v>
      </c>
      <c r="P29" s="130">
        <f>IF(SER_hh_emih!P29=0,0,SER_hh_emih!P29/SER_summary!P$26)</f>
        <v>0.41888221587945434</v>
      </c>
      <c r="Q29" s="130">
        <f>IF(SER_hh_emih!Q29=0,0,SER_hh_emih!Q29/SER_summary!Q$26)</f>
        <v>0.47636502879262688</v>
      </c>
      <c r="R29" s="130">
        <f>IF(SER_hh_emih!R29=0,0,SER_hh_emih!R29/SER_summary!R$26)</f>
        <v>0.49988473221154789</v>
      </c>
      <c r="S29" s="130">
        <f>IF(SER_hh_emih!S29=0,0,SER_hh_emih!S29/SER_summary!S$26)</f>
        <v>0.45814540251858404</v>
      </c>
      <c r="T29" s="130">
        <f>IF(SER_hh_emih!T29=0,0,SER_hh_emih!T29/SER_summary!T$26)</f>
        <v>0.47382926436740441</v>
      </c>
      <c r="U29" s="130">
        <f>IF(SER_hh_emih!U29=0,0,SER_hh_emih!U29/SER_summary!U$26)</f>
        <v>0.30709946894020551</v>
      </c>
      <c r="V29" s="130">
        <f>IF(SER_hh_emih!V29=0,0,SER_hh_emih!V29/SER_summary!V$26)</f>
        <v>0.23438681098474398</v>
      </c>
      <c r="W29" s="130">
        <f>IF(SER_hh_emih!W29=0,0,SER_hh_emih!W29/SER_summary!W$26)</f>
        <v>0.24249854120736541</v>
      </c>
      <c r="X29" s="130">
        <f>IF(SER_hh_emih!X29=0,0,SER_hh_emih!X29/SER_summary!X$26)</f>
        <v>0.31351202948261481</v>
      </c>
      <c r="Y29" s="130">
        <f>IF(SER_hh_emih!Y29=0,0,SER_hh_emih!Y29/SER_summary!Y$26)</f>
        <v>0.39936095216726075</v>
      </c>
      <c r="DA29" s="155" t="s">
        <v>564</v>
      </c>
    </row>
    <row r="30" spans="1:105" ht="12" customHeight="1" x14ac:dyDescent="0.25">
      <c r="A30" s="131" t="s">
        <v>52</v>
      </c>
      <c r="B30" s="132">
        <f>IF(SER_hh_emih!B30=0,0,SER_hh_emih!B30/SER_summary!B$26)</f>
        <v>0</v>
      </c>
      <c r="C30" s="132">
        <f>IF(SER_hh_emih!C30=0,0,SER_hh_emih!C30/SER_summary!C$26)</f>
        <v>0</v>
      </c>
      <c r="D30" s="132">
        <f>IF(SER_hh_emih!D30=0,0,SER_hh_emih!D30/SER_summary!D$26)</f>
        <v>0</v>
      </c>
      <c r="E30" s="132">
        <f>IF(SER_hh_emih!E30=0,0,SER_hh_emih!E30/SER_summary!E$26)</f>
        <v>0</v>
      </c>
      <c r="F30" s="132">
        <f>IF(SER_hh_emih!F30=0,0,SER_hh_emih!F30/SER_summary!F$26)</f>
        <v>0</v>
      </c>
      <c r="G30" s="132">
        <f>IF(SER_hh_emih!G30=0,0,SER_hh_emih!G30/SER_summary!G$26)</f>
        <v>0</v>
      </c>
      <c r="H30" s="132">
        <f>IF(SER_hh_emih!H30=0,0,SER_hh_emih!H30/SER_summary!H$26)</f>
        <v>0</v>
      </c>
      <c r="I30" s="132">
        <f>IF(SER_hh_emih!I30=0,0,SER_hh_emih!I30/SER_summary!I$26)</f>
        <v>0</v>
      </c>
      <c r="J30" s="132">
        <f>IF(SER_hh_emih!J30=0,0,SER_hh_emih!J30/SER_summary!J$26)</f>
        <v>0</v>
      </c>
      <c r="K30" s="132">
        <f>IF(SER_hh_emih!K30=0,0,SER_hh_emih!K30/SER_summary!K$26)</f>
        <v>0</v>
      </c>
      <c r="L30" s="132">
        <f>IF(SER_hh_emih!L30=0,0,SER_hh_emih!L30/SER_summary!L$26)</f>
        <v>0</v>
      </c>
      <c r="M30" s="132">
        <f>IF(SER_hh_emih!M30=0,0,SER_hh_emih!M30/SER_summary!M$26)</f>
        <v>0</v>
      </c>
      <c r="N30" s="132">
        <f>IF(SER_hh_emih!N30=0,0,SER_hh_emih!N30/SER_summary!N$26)</f>
        <v>0</v>
      </c>
      <c r="O30" s="132">
        <f>IF(SER_hh_emih!O30=0,0,SER_hh_emih!O30/SER_summary!O$26)</f>
        <v>0</v>
      </c>
      <c r="P30" s="132">
        <f>IF(SER_hh_emih!P30=0,0,SER_hh_emih!P30/SER_summary!P$26)</f>
        <v>0</v>
      </c>
      <c r="Q30" s="132">
        <f>IF(SER_hh_emih!Q30=0,0,SER_hh_emih!Q30/SER_summary!Q$26)</f>
        <v>0</v>
      </c>
      <c r="R30" s="132">
        <f>IF(SER_hh_emih!R30=0,0,SER_hh_emih!R30/SER_summary!R$26)</f>
        <v>0</v>
      </c>
      <c r="S30" s="132">
        <f>IF(SER_hh_emih!S30=0,0,SER_hh_emih!S30/SER_summary!S$26)</f>
        <v>0</v>
      </c>
      <c r="T30" s="132">
        <f>IF(SER_hh_emih!T30=0,0,SER_hh_emih!T30/SER_summary!T$26)</f>
        <v>0</v>
      </c>
      <c r="U30" s="132">
        <f>IF(SER_hh_emih!U30=0,0,SER_hh_emih!U30/SER_summary!U$26)</f>
        <v>0</v>
      </c>
      <c r="V30" s="132">
        <f>IF(SER_hh_emih!V30=0,0,SER_hh_emih!V30/SER_summary!V$26)</f>
        <v>0</v>
      </c>
      <c r="W30" s="132">
        <f>IF(SER_hh_emih!W30=0,0,SER_hh_emih!W30/SER_summary!W$26)</f>
        <v>0</v>
      </c>
      <c r="X30" s="132">
        <f>IF(SER_hh_emih!X30=0,0,SER_hh_emih!X30/SER_summary!X$26)</f>
        <v>0</v>
      </c>
      <c r="Y30" s="132">
        <f>IF(SER_hh_emih!Y30=0,0,SER_hh_emih!Y30/SER_summary!Y$26)</f>
        <v>0</v>
      </c>
      <c r="DA30" s="156" t="s">
        <v>565</v>
      </c>
    </row>
    <row r="31" spans="1:105" ht="12" customHeight="1" x14ac:dyDescent="0.25">
      <c r="A31" s="131" t="s">
        <v>149</v>
      </c>
      <c r="B31" s="132">
        <f>IF(SER_hh_emih!B31=0,0,SER_hh_emih!B31/SER_summary!B$26)</f>
        <v>3.6069970581170718</v>
      </c>
      <c r="C31" s="132">
        <f>IF(SER_hh_emih!C31=0,0,SER_hh_emih!C31/SER_summary!C$26)</f>
        <v>3.6020554523692558</v>
      </c>
      <c r="D31" s="132">
        <f>IF(SER_hh_emih!D31=0,0,SER_hh_emih!D31/SER_summary!D$26)</f>
        <v>3.7128531864217833</v>
      </c>
      <c r="E31" s="132">
        <f>IF(SER_hh_emih!E31=0,0,SER_hh_emih!E31/SER_summary!E$26)</f>
        <v>3.7040806260793313</v>
      </c>
      <c r="F31" s="132">
        <f>IF(SER_hh_emih!F31=0,0,SER_hh_emih!F31/SER_summary!F$26)</f>
        <v>3.4763731690686619</v>
      </c>
      <c r="G31" s="132">
        <f>IF(SER_hh_emih!G31=0,0,SER_hh_emih!G31/SER_summary!G$26)</f>
        <v>3.5559941684964103</v>
      </c>
      <c r="H31" s="132">
        <f>IF(SER_hh_emih!H31=0,0,SER_hh_emih!H31/SER_summary!H$26)</f>
        <v>3.4435202033844305</v>
      </c>
      <c r="I31" s="132">
        <f>IF(SER_hh_emih!I31=0,0,SER_hh_emih!I31/SER_summary!I$26)</f>
        <v>3.8891826745027744</v>
      </c>
      <c r="J31" s="132">
        <f>IF(SER_hh_emih!J31=0,0,SER_hh_emih!J31/SER_summary!J$26)</f>
        <v>3.8367980824742904</v>
      </c>
      <c r="K31" s="132">
        <f>IF(SER_hh_emih!K31=0,0,SER_hh_emih!K31/SER_summary!K$26)</f>
        <v>3.7096036617611232</v>
      </c>
      <c r="L31" s="132">
        <f>IF(SER_hh_emih!L31=0,0,SER_hh_emih!L31/SER_summary!L$26)</f>
        <v>3.5970494258438603</v>
      </c>
      <c r="M31" s="132">
        <f>IF(SER_hh_emih!M31=0,0,SER_hh_emih!M31/SER_summary!M$26)</f>
        <v>3.7105297852417309</v>
      </c>
      <c r="N31" s="132">
        <f>IF(SER_hh_emih!N31=0,0,SER_hh_emih!N31/SER_summary!N$26)</f>
        <v>3.7120578610661572</v>
      </c>
      <c r="O31" s="132">
        <f>IF(SER_hh_emih!O31=0,0,SER_hh_emih!O31/SER_summary!O$26)</f>
        <v>3.4753490639892406</v>
      </c>
      <c r="P31" s="132">
        <f>IF(SER_hh_emih!P31=0,0,SER_hh_emih!P31/SER_summary!P$26)</f>
        <v>3.1688928358924375</v>
      </c>
      <c r="Q31" s="132">
        <f>IF(SER_hh_emih!Q31=0,0,SER_hh_emih!Q31/SER_summary!Q$26)</f>
        <v>3.5659458605465706</v>
      </c>
      <c r="R31" s="132">
        <f>IF(SER_hh_emih!R31=0,0,SER_hh_emih!R31/SER_summary!R$26)</f>
        <v>3.6900860227934804</v>
      </c>
      <c r="S31" s="132">
        <f>IF(SER_hh_emih!S31=0,0,SER_hh_emih!S31/SER_summary!S$26)</f>
        <v>3.6179101874619168</v>
      </c>
      <c r="T31" s="132">
        <f>IF(SER_hh_emih!T31=0,0,SER_hh_emih!T31/SER_summary!T$26)</f>
        <v>4.2006534483823845</v>
      </c>
      <c r="U31" s="132">
        <f>IF(SER_hh_emih!U31=0,0,SER_hh_emih!U31/SER_summary!U$26)</f>
        <v>3.5138111859529273</v>
      </c>
      <c r="V31" s="132">
        <f>IF(SER_hh_emih!V31=0,0,SER_hh_emih!V31/SER_summary!V$26)</f>
        <v>3.2252659458778772</v>
      </c>
      <c r="W31" s="132">
        <f>IF(SER_hh_emih!W31=0,0,SER_hh_emih!W31/SER_summary!W$26)</f>
        <v>3.5075297372310308</v>
      </c>
      <c r="X31" s="132">
        <f>IF(SER_hh_emih!X31=0,0,SER_hh_emih!X31/SER_summary!X$26)</f>
        <v>4.0175797734661929</v>
      </c>
      <c r="Y31" s="132">
        <f>IF(SER_hh_emih!Y31=0,0,SER_hh_emih!Y31/SER_summary!Y$26)</f>
        <v>4.4117228603152183</v>
      </c>
      <c r="DA31" s="156" t="s">
        <v>566</v>
      </c>
    </row>
    <row r="32" spans="1:105" ht="12" customHeight="1" x14ac:dyDescent="0.25">
      <c r="A32" s="131" t="s">
        <v>128</v>
      </c>
      <c r="B32" s="132">
        <f>IF(SER_hh_emih!B32=0,0,SER_hh_emih!B32/SER_summary!B$26)</f>
        <v>0</v>
      </c>
      <c r="C32" s="132">
        <f>IF(SER_hh_emih!C32=0,0,SER_hh_emih!C32/SER_summary!C$26)</f>
        <v>0</v>
      </c>
      <c r="D32" s="132">
        <f>IF(SER_hh_emih!D32=0,0,SER_hh_emih!D32/SER_summary!D$26)</f>
        <v>0</v>
      </c>
      <c r="E32" s="132">
        <f>IF(SER_hh_emih!E32=0,0,SER_hh_emih!E32/SER_summary!E$26)</f>
        <v>0</v>
      </c>
      <c r="F32" s="132">
        <f>IF(SER_hh_emih!F32=0,0,SER_hh_emih!F32/SER_summary!F$26)</f>
        <v>0</v>
      </c>
      <c r="G32" s="132">
        <f>IF(SER_hh_emih!G32=0,0,SER_hh_emih!G32/SER_summary!G$26)</f>
        <v>0</v>
      </c>
      <c r="H32" s="132">
        <f>IF(SER_hh_emih!H32=0,0,SER_hh_emih!H32/SER_summary!H$26)</f>
        <v>0</v>
      </c>
      <c r="I32" s="132">
        <f>IF(SER_hh_emih!I32=0,0,SER_hh_emih!I32/SER_summary!I$26)</f>
        <v>0</v>
      </c>
      <c r="J32" s="132">
        <f>IF(SER_hh_emih!J32=0,0,SER_hh_emih!J32/SER_summary!J$26)</f>
        <v>0</v>
      </c>
      <c r="K32" s="132">
        <f>IF(SER_hh_emih!K32=0,0,SER_hh_emih!K32/SER_summary!K$26)</f>
        <v>0</v>
      </c>
      <c r="L32" s="132">
        <f>IF(SER_hh_emih!L32=0,0,SER_hh_emih!L32/SER_summary!L$26)</f>
        <v>0</v>
      </c>
      <c r="M32" s="132">
        <f>IF(SER_hh_emih!M32=0,0,SER_hh_emih!M32/SER_summary!M$26)</f>
        <v>0</v>
      </c>
      <c r="N32" s="132">
        <f>IF(SER_hh_emih!N32=0,0,SER_hh_emih!N32/SER_summary!N$26)</f>
        <v>0</v>
      </c>
      <c r="O32" s="132">
        <f>IF(SER_hh_emih!O32=0,0,SER_hh_emih!O32/SER_summary!O$26)</f>
        <v>0</v>
      </c>
      <c r="P32" s="132">
        <f>IF(SER_hh_emih!P32=0,0,SER_hh_emih!P32/SER_summary!P$26)</f>
        <v>0</v>
      </c>
      <c r="Q32" s="132">
        <f>IF(SER_hh_emih!Q32=0,0,SER_hh_emih!Q32/SER_summary!Q$26)</f>
        <v>0</v>
      </c>
      <c r="R32" s="132">
        <f>IF(SER_hh_emih!R32=0,0,SER_hh_emih!R32/SER_summary!R$26)</f>
        <v>0</v>
      </c>
      <c r="S32" s="132">
        <f>IF(SER_hh_emih!S32=0,0,SER_hh_emih!S32/SER_summary!S$26)</f>
        <v>0</v>
      </c>
      <c r="T32" s="132">
        <f>IF(SER_hh_emih!T32=0,0,SER_hh_emih!T32/SER_summary!T$26)</f>
        <v>0</v>
      </c>
      <c r="U32" s="132">
        <f>IF(SER_hh_emih!U32=0,0,SER_hh_emih!U32/SER_summary!U$26)</f>
        <v>0</v>
      </c>
      <c r="V32" s="132">
        <f>IF(SER_hh_emih!V32=0,0,SER_hh_emih!V32/SER_summary!V$26)</f>
        <v>0</v>
      </c>
      <c r="W32" s="132">
        <f>IF(SER_hh_emih!W32=0,0,SER_hh_emih!W32/SER_summary!W$26)</f>
        <v>0</v>
      </c>
      <c r="X32" s="132">
        <f>IF(SER_hh_emih!X32=0,0,SER_hh_emih!X32/SER_summary!X$26)</f>
        <v>0</v>
      </c>
      <c r="Y32" s="132">
        <f>IF(SER_hh_emih!Y32=0,0,SER_hh_emih!Y32/SER_summary!Y$26)</f>
        <v>0</v>
      </c>
      <c r="DA32" s="156" t="s">
        <v>567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X33" s="68">
        <f>IF(SER_hh_emih!X33=0,0,SER_hh_emih!X33/SER_summary!X$26)</f>
        <v>0</v>
      </c>
      <c r="Y33" s="68">
        <f>IF(SER_hh_emih!Y33=0,0,SER_hh_emih!Y33/SER_summary!Y$26)</f>
        <v>0</v>
      </c>
      <c r="DA33" s="111" t="s">
        <v>568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/>
      <c r="C3" s="124">
        <f t="shared" ref="C3:Y3" si="0">C4</f>
        <v>1430.4073603229247</v>
      </c>
      <c r="D3" s="124">
        <f t="shared" si="0"/>
        <v>1692.9520181609764</v>
      </c>
      <c r="E3" s="124">
        <f t="shared" si="0"/>
        <v>2500.4577777075992</v>
      </c>
      <c r="F3" s="124">
        <f t="shared" si="0"/>
        <v>2128.6431703628045</v>
      </c>
      <c r="G3" s="124">
        <f t="shared" si="0"/>
        <v>2368.6040275337491</v>
      </c>
      <c r="H3" s="124">
        <f t="shared" si="0"/>
        <v>1719.7985081907289</v>
      </c>
      <c r="I3" s="124">
        <f t="shared" si="0"/>
        <v>4367.4557708359407</v>
      </c>
      <c r="J3" s="124">
        <f t="shared" si="0"/>
        <v>2149.7718337600868</v>
      </c>
      <c r="K3" s="124">
        <f t="shared" si="0"/>
        <v>186.57951958380119</v>
      </c>
      <c r="L3" s="124">
        <f t="shared" si="0"/>
        <v>608.79466196254907</v>
      </c>
      <c r="M3" s="124">
        <f t="shared" si="0"/>
        <v>1155.6559257884701</v>
      </c>
      <c r="N3" s="124">
        <f t="shared" si="0"/>
        <v>660.80570255669875</v>
      </c>
      <c r="O3" s="124">
        <f t="shared" si="0"/>
        <v>796.349430246427</v>
      </c>
      <c r="P3" s="124">
        <f t="shared" si="0"/>
        <v>1035.23277246927</v>
      </c>
      <c r="Q3" s="124">
        <f t="shared" si="0"/>
        <v>586.96904591365785</v>
      </c>
      <c r="R3" s="124">
        <f t="shared" si="0"/>
        <v>621.70006661046079</v>
      </c>
      <c r="S3" s="124">
        <f t="shared" si="0"/>
        <v>679.63803024878348</v>
      </c>
      <c r="T3" s="124">
        <f t="shared" si="0"/>
        <v>622.34654654599422</v>
      </c>
      <c r="U3" s="124">
        <f t="shared" si="0"/>
        <v>531.79432110721928</v>
      </c>
      <c r="V3" s="124">
        <f t="shared" si="0"/>
        <v>424.3214299297706</v>
      </c>
      <c r="W3" s="124">
        <f t="shared" si="0"/>
        <v>339.16559761725426</v>
      </c>
      <c r="X3" s="124">
        <f t="shared" si="0"/>
        <v>269.92660676224682</v>
      </c>
      <c r="Y3" s="124">
        <f t="shared" si="0"/>
        <v>266.15065898421085</v>
      </c>
      <c r="DA3" s="168" t="s">
        <v>570</v>
      </c>
    </row>
    <row r="4" spans="1:105" ht="12.95" customHeight="1" x14ac:dyDescent="0.25">
      <c r="A4" s="129" t="s">
        <v>32</v>
      </c>
      <c r="B4" s="139"/>
      <c r="C4" s="139">
        <f t="shared" ref="C4:Q4" si="1">SUM(C5:C14)</f>
        <v>1430.4073603229247</v>
      </c>
      <c r="D4" s="139">
        <f t="shared" si="1"/>
        <v>1692.9520181609764</v>
      </c>
      <c r="E4" s="139">
        <f t="shared" si="1"/>
        <v>2500.4577777075992</v>
      </c>
      <c r="F4" s="139">
        <f t="shared" si="1"/>
        <v>2128.6431703628045</v>
      </c>
      <c r="G4" s="139">
        <f t="shared" si="1"/>
        <v>2368.6040275337491</v>
      </c>
      <c r="H4" s="139">
        <f t="shared" si="1"/>
        <v>1719.7985081907289</v>
      </c>
      <c r="I4" s="139">
        <f t="shared" si="1"/>
        <v>4367.4557708359407</v>
      </c>
      <c r="J4" s="139">
        <f t="shared" si="1"/>
        <v>2149.7718337600868</v>
      </c>
      <c r="K4" s="139">
        <f t="shared" si="1"/>
        <v>186.57951958380119</v>
      </c>
      <c r="L4" s="139">
        <f t="shared" si="1"/>
        <v>608.79466196254907</v>
      </c>
      <c r="M4" s="139">
        <f t="shared" si="1"/>
        <v>1155.6559257884701</v>
      </c>
      <c r="N4" s="139">
        <f t="shared" si="1"/>
        <v>660.80570255669875</v>
      </c>
      <c r="O4" s="139">
        <f t="shared" si="1"/>
        <v>796.349430246427</v>
      </c>
      <c r="P4" s="139">
        <f t="shared" si="1"/>
        <v>1035.23277246927</v>
      </c>
      <c r="Q4" s="139">
        <f t="shared" si="1"/>
        <v>586.96904591365785</v>
      </c>
      <c r="R4" s="139">
        <f t="shared" ref="R4:W4" si="2">SUM(R5:R14)</f>
        <v>621.70006661046079</v>
      </c>
      <c r="S4" s="139">
        <f t="shared" si="2"/>
        <v>679.63803024878348</v>
      </c>
      <c r="T4" s="139">
        <f t="shared" si="2"/>
        <v>622.34654654599422</v>
      </c>
      <c r="U4" s="139">
        <f t="shared" si="2"/>
        <v>531.79432110721928</v>
      </c>
      <c r="V4" s="139">
        <f t="shared" si="2"/>
        <v>424.3214299297706</v>
      </c>
      <c r="W4" s="139">
        <f t="shared" si="2"/>
        <v>339.16559761725426</v>
      </c>
      <c r="X4" s="139">
        <f t="shared" ref="X4:Y4" si="3">SUM(X5:X14)</f>
        <v>269.92660676224682</v>
      </c>
      <c r="Y4" s="139">
        <f t="shared" si="3"/>
        <v>266.15065898421085</v>
      </c>
      <c r="DA4" s="169" t="s">
        <v>571</v>
      </c>
    </row>
    <row r="5" spans="1:105" ht="12" customHeight="1" x14ac:dyDescent="0.25">
      <c r="A5" s="131" t="s">
        <v>29</v>
      </c>
      <c r="B5" s="140"/>
      <c r="C5" s="140">
        <v>88.460771963740839</v>
      </c>
      <c r="D5" s="140">
        <v>243.42916763960199</v>
      </c>
      <c r="E5" s="140">
        <v>280.76176395462153</v>
      </c>
      <c r="F5" s="140">
        <v>373.78922742619562</v>
      </c>
      <c r="G5" s="140">
        <v>464.70423797373059</v>
      </c>
      <c r="H5" s="140">
        <v>268.15379431964794</v>
      </c>
      <c r="I5" s="140">
        <v>322.63680421589589</v>
      </c>
      <c r="J5" s="140">
        <v>232.28937647569956</v>
      </c>
      <c r="K5" s="140">
        <v>42.726432986287755</v>
      </c>
      <c r="L5" s="140">
        <v>111.46258517899693</v>
      </c>
      <c r="M5" s="140">
        <v>139.0462025293032</v>
      </c>
      <c r="N5" s="140">
        <v>82.110863472186693</v>
      </c>
      <c r="O5" s="140">
        <v>85.199112596681147</v>
      </c>
      <c r="P5" s="140">
        <v>6.289428584400838</v>
      </c>
      <c r="Q5" s="140">
        <v>0</v>
      </c>
      <c r="R5" s="140">
        <v>53.443556674108606</v>
      </c>
      <c r="S5" s="140">
        <v>57.699742439246982</v>
      </c>
      <c r="T5" s="140">
        <v>52.887234193599781</v>
      </c>
      <c r="U5" s="140">
        <v>16.394917257490956</v>
      </c>
      <c r="V5" s="140">
        <v>1.0486171378681797</v>
      </c>
      <c r="W5" s="140">
        <v>14.570207684742845</v>
      </c>
      <c r="X5" s="140">
        <v>16.907223450793246</v>
      </c>
      <c r="Y5" s="140">
        <v>0</v>
      </c>
      <c r="DA5" s="170" t="s">
        <v>572</v>
      </c>
    </row>
    <row r="6" spans="1:105" ht="12" customHeight="1" x14ac:dyDescent="0.25">
      <c r="A6" s="131" t="s">
        <v>52</v>
      </c>
      <c r="B6" s="140"/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573</v>
      </c>
    </row>
    <row r="7" spans="1:105" ht="12" customHeight="1" x14ac:dyDescent="0.25">
      <c r="A7" s="131" t="s">
        <v>161</v>
      </c>
      <c r="B7" s="140"/>
      <c r="C7" s="140">
        <v>0</v>
      </c>
      <c r="D7" s="140">
        <v>0</v>
      </c>
      <c r="E7" s="140">
        <v>0</v>
      </c>
      <c r="F7" s="140">
        <v>0</v>
      </c>
      <c r="G7" s="140">
        <v>0</v>
      </c>
      <c r="H7" s="140">
        <v>0</v>
      </c>
      <c r="I7" s="140">
        <v>0</v>
      </c>
      <c r="J7" s="140">
        <v>10.798637337625445</v>
      </c>
      <c r="K7" s="140">
        <v>3.6628244316014502</v>
      </c>
      <c r="L7" s="140">
        <v>11.654086877501715</v>
      </c>
      <c r="M7" s="140">
        <v>26.149019683443782</v>
      </c>
      <c r="N7" s="140">
        <v>12.529291172089319</v>
      </c>
      <c r="O7" s="140">
        <v>14.66675166234787</v>
      </c>
      <c r="P7" s="140">
        <v>0</v>
      </c>
      <c r="Q7" s="140">
        <v>0</v>
      </c>
      <c r="R7" s="140">
        <v>0</v>
      </c>
      <c r="S7" s="140">
        <v>0</v>
      </c>
      <c r="T7" s="140">
        <v>0</v>
      </c>
      <c r="U7" s="140">
        <v>3.6751532538595839</v>
      </c>
      <c r="V7" s="140">
        <v>3.2886309921646704</v>
      </c>
      <c r="W7" s="140">
        <v>2.9902092627479329</v>
      </c>
      <c r="X7" s="140">
        <v>2.4916111428090764</v>
      </c>
      <c r="Y7" s="140">
        <v>5.3778414915831272</v>
      </c>
      <c r="DA7" s="170" t="s">
        <v>574</v>
      </c>
    </row>
    <row r="8" spans="1:105" ht="12" customHeight="1" x14ac:dyDescent="0.25">
      <c r="A8" s="131" t="s">
        <v>73</v>
      </c>
      <c r="B8" s="140"/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DA8" s="170" t="s">
        <v>575</v>
      </c>
    </row>
    <row r="9" spans="1:105" ht="12" customHeight="1" x14ac:dyDescent="0.25">
      <c r="A9" s="131" t="s">
        <v>78</v>
      </c>
      <c r="B9" s="140"/>
      <c r="C9" s="140">
        <v>129.53524464969428</v>
      </c>
      <c r="D9" s="140">
        <v>219.31241474935658</v>
      </c>
      <c r="E9" s="140">
        <v>270.5139660398666</v>
      </c>
      <c r="F9" s="140">
        <v>319.96039131184318</v>
      </c>
      <c r="G9" s="140">
        <v>284.61119778164817</v>
      </c>
      <c r="H9" s="140">
        <v>278.51278044112848</v>
      </c>
      <c r="I9" s="140">
        <v>551.5412855277599</v>
      </c>
      <c r="J9" s="140">
        <v>278.50240723137983</v>
      </c>
      <c r="K9" s="140">
        <v>21.880730799310697</v>
      </c>
      <c r="L9" s="140">
        <v>62.860808750707712</v>
      </c>
      <c r="M9" s="140">
        <v>128.14012754380212</v>
      </c>
      <c r="N9" s="140">
        <v>101.35458603362585</v>
      </c>
      <c r="O9" s="140">
        <v>174.63495807777397</v>
      </c>
      <c r="P9" s="140">
        <v>242.45275105410084</v>
      </c>
      <c r="Q9" s="140">
        <v>189.79519208480548</v>
      </c>
      <c r="R9" s="140">
        <v>122.94010093912911</v>
      </c>
      <c r="S9" s="140">
        <v>128.51528388835973</v>
      </c>
      <c r="T9" s="140">
        <v>145.45840552445748</v>
      </c>
      <c r="U9" s="140">
        <v>149.10779618279813</v>
      </c>
      <c r="V9" s="140">
        <v>59.696433338904214</v>
      </c>
      <c r="W9" s="140">
        <v>108.13304183854005</v>
      </c>
      <c r="X9" s="140">
        <v>99.423636188595793</v>
      </c>
      <c r="Y9" s="140">
        <v>87.758202397564588</v>
      </c>
      <c r="DA9" s="170" t="s">
        <v>576</v>
      </c>
    </row>
    <row r="10" spans="1:105" ht="12" customHeight="1" x14ac:dyDescent="0.25">
      <c r="A10" s="131" t="s">
        <v>128</v>
      </c>
      <c r="B10" s="140"/>
      <c r="C10" s="140">
        <v>94.608767238578295</v>
      </c>
      <c r="D10" s="140">
        <v>46.625552927065989</v>
      </c>
      <c r="E10" s="140">
        <v>26.700702459161967</v>
      </c>
      <c r="F10" s="140">
        <v>42.467022716253979</v>
      </c>
      <c r="G10" s="140">
        <v>84.26218400610243</v>
      </c>
      <c r="H10" s="140">
        <v>101.47181355417592</v>
      </c>
      <c r="I10" s="140">
        <v>227.83247498999629</v>
      </c>
      <c r="J10" s="140">
        <v>206.56921203283699</v>
      </c>
      <c r="K10" s="140">
        <v>26.253372815084191</v>
      </c>
      <c r="L10" s="140">
        <v>63.481101321912327</v>
      </c>
      <c r="M10" s="140">
        <v>159.10461314575917</v>
      </c>
      <c r="N10" s="140">
        <v>85.065825463079122</v>
      </c>
      <c r="O10" s="140">
        <v>115.32640290595204</v>
      </c>
      <c r="P10" s="140">
        <v>83.852664300071794</v>
      </c>
      <c r="Q10" s="140">
        <v>23.63701103287039</v>
      </c>
      <c r="R10" s="140">
        <v>0</v>
      </c>
      <c r="S10" s="140">
        <v>0</v>
      </c>
      <c r="T10" s="140">
        <v>0</v>
      </c>
      <c r="U10" s="140">
        <v>22.825828542150905</v>
      </c>
      <c r="V10" s="140">
        <v>17.852684229179577</v>
      </c>
      <c r="W10" s="140">
        <v>28.743728355147937</v>
      </c>
      <c r="X10" s="140">
        <v>20.424948686342145</v>
      </c>
      <c r="Y10" s="140">
        <v>22.0784934320241</v>
      </c>
      <c r="DA10" s="170" t="s">
        <v>577</v>
      </c>
    </row>
    <row r="11" spans="1:105" ht="12" customHeight="1" x14ac:dyDescent="0.25">
      <c r="A11" s="131" t="s">
        <v>25</v>
      </c>
      <c r="B11" s="140"/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DA11" s="170" t="s">
        <v>578</v>
      </c>
    </row>
    <row r="12" spans="1:105" ht="12" customHeight="1" x14ac:dyDescent="0.25">
      <c r="A12" s="131" t="s">
        <v>162</v>
      </c>
      <c r="B12" s="140"/>
      <c r="C12" s="140">
        <v>986.76865070370991</v>
      </c>
      <c r="D12" s="140">
        <v>880.04694891718361</v>
      </c>
      <c r="E12" s="140">
        <v>1463.6887625353263</v>
      </c>
      <c r="F12" s="140">
        <v>1078.4967799678366</v>
      </c>
      <c r="G12" s="140">
        <v>1265.2968965961488</v>
      </c>
      <c r="H12" s="140">
        <v>806.31797215862184</v>
      </c>
      <c r="I12" s="140">
        <v>3017.9499261662918</v>
      </c>
      <c r="J12" s="140">
        <v>1324.0991026675654</v>
      </c>
      <c r="K12" s="140">
        <v>91.16380823941671</v>
      </c>
      <c r="L12" s="140">
        <v>356.01268615885283</v>
      </c>
      <c r="M12" s="140">
        <v>690.94083699912824</v>
      </c>
      <c r="N12" s="140">
        <v>321.81174546861592</v>
      </c>
      <c r="O12" s="140">
        <v>380.80249421829865</v>
      </c>
      <c r="P12" s="140">
        <v>663.95935607972888</v>
      </c>
      <c r="Q12" s="140">
        <v>348.22725260517893</v>
      </c>
      <c r="R12" s="140">
        <v>358.84757872346574</v>
      </c>
      <c r="S12" s="140">
        <v>408.85211047169344</v>
      </c>
      <c r="T12" s="140">
        <v>253.58522739540334</v>
      </c>
      <c r="U12" s="140">
        <v>231.30277373507951</v>
      </c>
      <c r="V12" s="140">
        <v>287.87662796378032</v>
      </c>
      <c r="W12" s="140">
        <v>158.20960422590923</v>
      </c>
      <c r="X12" s="140">
        <v>112.48818089330608</v>
      </c>
      <c r="Y12" s="140">
        <v>135.79258738427802</v>
      </c>
      <c r="DA12" s="170" t="s">
        <v>579</v>
      </c>
    </row>
    <row r="13" spans="1:105" ht="12" customHeight="1" x14ac:dyDescent="0.25">
      <c r="A13" s="131" t="s">
        <v>77</v>
      </c>
      <c r="B13" s="140"/>
      <c r="C13" s="140">
        <v>0.33761230097869666</v>
      </c>
      <c r="D13" s="140">
        <v>0.9774738042225859</v>
      </c>
      <c r="E13" s="140">
        <v>1.5953605756336211</v>
      </c>
      <c r="F13" s="140">
        <v>1.6787414986114371</v>
      </c>
      <c r="G13" s="140">
        <v>2.153579308943907</v>
      </c>
      <c r="H13" s="140">
        <v>2.6445493747899915</v>
      </c>
      <c r="I13" s="140">
        <v>5.8653243194441647</v>
      </c>
      <c r="J13" s="140">
        <v>6.0051477947099849</v>
      </c>
      <c r="K13" s="140">
        <v>0.89235031210037574</v>
      </c>
      <c r="L13" s="140">
        <v>3.323393674577575</v>
      </c>
      <c r="M13" s="140">
        <v>12.275125887033415</v>
      </c>
      <c r="N13" s="140">
        <v>11.495785394644452</v>
      </c>
      <c r="O13" s="140">
        <v>19.224043743889403</v>
      </c>
      <c r="P13" s="140">
        <v>38.678572450967629</v>
      </c>
      <c r="Q13" s="140">
        <v>13.771834098833748</v>
      </c>
      <c r="R13" s="140">
        <v>4.8344764470726345</v>
      </c>
      <c r="S13" s="140">
        <v>1.2035829144308554</v>
      </c>
      <c r="T13" s="140">
        <v>2.550653368910484</v>
      </c>
      <c r="U13" s="140">
        <v>8.7837034919891508</v>
      </c>
      <c r="V13" s="140">
        <v>12.684033298338536</v>
      </c>
      <c r="W13" s="140">
        <v>20.483623840734072</v>
      </c>
      <c r="X13" s="140">
        <v>18.191006400400532</v>
      </c>
      <c r="Y13" s="140">
        <v>15.143534278761019</v>
      </c>
      <c r="DA13" s="170" t="s">
        <v>580</v>
      </c>
    </row>
    <row r="14" spans="1:105" ht="12" customHeight="1" x14ac:dyDescent="0.25">
      <c r="A14" s="60" t="s">
        <v>76</v>
      </c>
      <c r="B14" s="141"/>
      <c r="C14" s="141">
        <v>130.69631346622251</v>
      </c>
      <c r="D14" s="141">
        <v>302.56046012354579</v>
      </c>
      <c r="E14" s="141">
        <v>457.19722214298906</v>
      </c>
      <c r="F14" s="141">
        <v>312.25100744206344</v>
      </c>
      <c r="G14" s="141">
        <v>267.57593186717548</v>
      </c>
      <c r="H14" s="141">
        <v>262.69759834236476</v>
      </c>
      <c r="I14" s="141">
        <v>241.62995561655248</v>
      </c>
      <c r="J14" s="141">
        <v>91.507950220269933</v>
      </c>
      <c r="K14" s="141">
        <v>0</v>
      </c>
      <c r="L14" s="141">
        <v>0</v>
      </c>
      <c r="M14" s="141">
        <v>0</v>
      </c>
      <c r="N14" s="141">
        <v>46.437605552457391</v>
      </c>
      <c r="O14" s="141">
        <v>6.495667041483892</v>
      </c>
      <c r="P14" s="141">
        <v>0</v>
      </c>
      <c r="Q14" s="141">
        <v>11.537756091969298</v>
      </c>
      <c r="R14" s="141">
        <v>81.634353826684645</v>
      </c>
      <c r="S14" s="141">
        <v>83.367310535052354</v>
      </c>
      <c r="T14" s="141">
        <v>167.86502606362302</v>
      </c>
      <c r="U14" s="141">
        <v>99.704148643851013</v>
      </c>
      <c r="V14" s="141">
        <v>41.87440296953509</v>
      </c>
      <c r="W14" s="141">
        <v>6.0351824094322106</v>
      </c>
      <c r="X14" s="141">
        <v>0</v>
      </c>
      <c r="Y14" s="141">
        <v>0</v>
      </c>
      <c r="DA14" s="171" t="s">
        <v>581</v>
      </c>
    </row>
    <row r="15" spans="1:105" ht="12" customHeight="1" x14ac:dyDescent="0.25">
      <c r="A15" s="142" t="s">
        <v>75</v>
      </c>
      <c r="B15" s="143"/>
      <c r="C15" s="143">
        <f t="shared" ref="C15:Q15" si="4">SUM(C5:C12)</f>
        <v>1299.3734345557234</v>
      </c>
      <c r="D15" s="143">
        <f t="shared" si="4"/>
        <v>1389.4140842332081</v>
      </c>
      <c r="E15" s="143">
        <f t="shared" si="4"/>
        <v>2041.6651949889765</v>
      </c>
      <c r="F15" s="143">
        <f t="shared" si="4"/>
        <v>1814.7134214221294</v>
      </c>
      <c r="G15" s="143">
        <f t="shared" si="4"/>
        <v>2098.87451635763</v>
      </c>
      <c r="H15" s="143">
        <f t="shared" si="4"/>
        <v>1454.4563604735743</v>
      </c>
      <c r="I15" s="143">
        <f t="shared" si="4"/>
        <v>4119.9604908999445</v>
      </c>
      <c r="J15" s="143">
        <f t="shared" si="4"/>
        <v>2052.2587357451071</v>
      </c>
      <c r="K15" s="143">
        <f t="shared" si="4"/>
        <v>185.68716927170081</v>
      </c>
      <c r="L15" s="143">
        <f t="shared" si="4"/>
        <v>605.4712682879715</v>
      </c>
      <c r="M15" s="143">
        <f t="shared" si="4"/>
        <v>1143.3807999014366</v>
      </c>
      <c r="N15" s="143">
        <f t="shared" si="4"/>
        <v>602.87231160959686</v>
      </c>
      <c r="O15" s="143">
        <f t="shared" si="4"/>
        <v>770.6297194610537</v>
      </c>
      <c r="P15" s="143">
        <f t="shared" si="4"/>
        <v>996.55420001830237</v>
      </c>
      <c r="Q15" s="143">
        <f t="shared" si="4"/>
        <v>561.65945572285477</v>
      </c>
      <c r="R15" s="143">
        <f t="shared" ref="R15:W15" si="5">SUM(R5:R12)</f>
        <v>535.23123633670343</v>
      </c>
      <c r="S15" s="143">
        <f t="shared" si="5"/>
        <v>595.06713679930021</v>
      </c>
      <c r="T15" s="143">
        <f t="shared" si="5"/>
        <v>451.93086711346064</v>
      </c>
      <c r="U15" s="143">
        <f t="shared" si="5"/>
        <v>423.3064689713791</v>
      </c>
      <c r="V15" s="143">
        <f t="shared" si="5"/>
        <v>369.76299366189699</v>
      </c>
      <c r="W15" s="143">
        <f t="shared" si="5"/>
        <v>312.64679136708799</v>
      </c>
      <c r="X15" s="143">
        <f t="shared" ref="X15:Y15" si="6">SUM(X5:X12)</f>
        <v>251.73560036184631</v>
      </c>
      <c r="Y15" s="143">
        <f t="shared" si="6"/>
        <v>251.00712470544983</v>
      </c>
      <c r="DA15" s="172"/>
    </row>
    <row r="16" spans="1:105" ht="12.95" customHeight="1" x14ac:dyDescent="0.25">
      <c r="A16" s="129" t="s">
        <v>74</v>
      </c>
      <c r="B16" s="139"/>
      <c r="C16" s="139">
        <f t="shared" ref="C16:Q16" si="7">SUM(C17:C18)</f>
        <v>338.02507987250198</v>
      </c>
      <c r="D16" s="139">
        <f t="shared" si="7"/>
        <v>380.95407971706629</v>
      </c>
      <c r="E16" s="139">
        <f t="shared" si="7"/>
        <v>402.23207770575954</v>
      </c>
      <c r="F16" s="139">
        <f t="shared" si="7"/>
        <v>439.24558052364858</v>
      </c>
      <c r="G16" s="139">
        <f t="shared" si="7"/>
        <v>479.31587917748607</v>
      </c>
      <c r="H16" s="139">
        <f t="shared" si="7"/>
        <v>536.93250913409554</v>
      </c>
      <c r="I16" s="139">
        <f t="shared" si="7"/>
        <v>637.70067605948452</v>
      </c>
      <c r="J16" s="139">
        <f t="shared" si="7"/>
        <v>660.78711526268921</v>
      </c>
      <c r="K16" s="139">
        <f t="shared" si="7"/>
        <v>186.57951958380119</v>
      </c>
      <c r="L16" s="139">
        <f t="shared" si="7"/>
        <v>466.67502809605566</v>
      </c>
      <c r="M16" s="139">
        <f t="shared" si="7"/>
        <v>620.67250394733219</v>
      </c>
      <c r="N16" s="139">
        <f t="shared" si="7"/>
        <v>604.56409518768157</v>
      </c>
      <c r="O16" s="139">
        <f t="shared" si="7"/>
        <v>672.26028314315124</v>
      </c>
      <c r="P16" s="139">
        <f t="shared" si="7"/>
        <v>754.75225475035131</v>
      </c>
      <c r="Q16" s="139">
        <f t="shared" si="7"/>
        <v>586.96904591365785</v>
      </c>
      <c r="R16" s="139">
        <f t="shared" ref="R16:W16" si="8">SUM(R17:R18)</f>
        <v>621.70006661046068</v>
      </c>
      <c r="S16" s="139">
        <f t="shared" si="8"/>
        <v>679.63803024878337</v>
      </c>
      <c r="T16" s="139">
        <f t="shared" si="8"/>
        <v>622.3465465459941</v>
      </c>
      <c r="U16" s="139">
        <f t="shared" si="8"/>
        <v>531.79432110721928</v>
      </c>
      <c r="V16" s="139">
        <f t="shared" si="8"/>
        <v>424.3214299297706</v>
      </c>
      <c r="W16" s="139">
        <f t="shared" si="8"/>
        <v>339.16559761725421</v>
      </c>
      <c r="X16" s="139">
        <f t="shared" ref="X16:Y16" si="9">SUM(X17:X18)</f>
        <v>269.92660676224682</v>
      </c>
      <c r="Y16" s="139">
        <f t="shared" si="9"/>
        <v>266.15065898421085</v>
      </c>
      <c r="DA16" s="169" t="s">
        <v>582</v>
      </c>
    </row>
    <row r="17" spans="1:105" ht="12.95" customHeight="1" x14ac:dyDescent="0.25">
      <c r="A17" s="131" t="s">
        <v>73</v>
      </c>
      <c r="B17" s="140"/>
      <c r="C17" s="140">
        <v>0</v>
      </c>
      <c r="D17" s="140">
        <v>0</v>
      </c>
      <c r="E17" s="140">
        <v>0</v>
      </c>
      <c r="F17" s="140">
        <v>0</v>
      </c>
      <c r="G17" s="140">
        <v>0</v>
      </c>
      <c r="H17" s="140">
        <v>0</v>
      </c>
      <c r="I17" s="140">
        <v>0</v>
      </c>
      <c r="J17" s="140">
        <v>0</v>
      </c>
      <c r="K17" s="140">
        <v>0</v>
      </c>
      <c r="L17" s="140">
        <v>0</v>
      </c>
      <c r="M17" s="140">
        <v>0</v>
      </c>
      <c r="N17" s="140">
        <v>0</v>
      </c>
      <c r="O17" s="140">
        <v>0</v>
      </c>
      <c r="P17" s="140">
        <v>0</v>
      </c>
      <c r="Q17" s="140">
        <v>0</v>
      </c>
      <c r="R17" s="140">
        <v>0</v>
      </c>
      <c r="S17" s="140">
        <v>0</v>
      </c>
      <c r="T17" s="140">
        <v>0</v>
      </c>
      <c r="U17" s="140">
        <v>0</v>
      </c>
      <c r="V17" s="140">
        <v>0</v>
      </c>
      <c r="W17" s="140">
        <v>0</v>
      </c>
      <c r="X17" s="140">
        <v>0</v>
      </c>
      <c r="Y17" s="140">
        <v>0</v>
      </c>
      <c r="DA17" s="170" t="s">
        <v>583</v>
      </c>
    </row>
    <row r="18" spans="1:105" ht="12" customHeight="1" x14ac:dyDescent="0.25">
      <c r="A18" s="131" t="s">
        <v>72</v>
      </c>
      <c r="B18" s="140"/>
      <c r="C18" s="140">
        <v>338.02507987250198</v>
      </c>
      <c r="D18" s="140">
        <v>380.95407971706629</v>
      </c>
      <c r="E18" s="140">
        <v>402.23207770575954</v>
      </c>
      <c r="F18" s="140">
        <v>439.24558052364858</v>
      </c>
      <c r="G18" s="140">
        <v>479.31587917748607</v>
      </c>
      <c r="H18" s="140">
        <v>536.93250913409554</v>
      </c>
      <c r="I18" s="140">
        <v>637.70067605948452</v>
      </c>
      <c r="J18" s="140">
        <v>660.78711526268921</v>
      </c>
      <c r="K18" s="140">
        <v>186.57951958380119</v>
      </c>
      <c r="L18" s="140">
        <v>466.67502809605566</v>
      </c>
      <c r="M18" s="140">
        <v>620.67250394733219</v>
      </c>
      <c r="N18" s="140">
        <v>604.56409518768157</v>
      </c>
      <c r="O18" s="140">
        <v>672.26028314315124</v>
      </c>
      <c r="P18" s="140">
        <v>754.75225475035131</v>
      </c>
      <c r="Q18" s="140">
        <v>586.96904591365785</v>
      </c>
      <c r="R18" s="140">
        <v>621.70006661046068</v>
      </c>
      <c r="S18" s="140">
        <v>679.63803024878337</v>
      </c>
      <c r="T18" s="140">
        <v>622.3465465459941</v>
      </c>
      <c r="U18" s="140">
        <v>531.79432110721928</v>
      </c>
      <c r="V18" s="140">
        <v>424.3214299297706</v>
      </c>
      <c r="W18" s="140">
        <v>339.16559761725421</v>
      </c>
      <c r="X18" s="140">
        <v>269.92660676224682</v>
      </c>
      <c r="Y18" s="140">
        <v>266.15065898421085</v>
      </c>
      <c r="DA18" s="170" t="s">
        <v>584</v>
      </c>
    </row>
    <row r="19" spans="1:105" ht="12.95" customHeight="1" x14ac:dyDescent="0.25">
      <c r="A19" s="129" t="s">
        <v>35</v>
      </c>
      <c r="B19" s="139"/>
      <c r="C19" s="139">
        <f t="shared" ref="C19:Q19" si="10">SUM(C20:C26)</f>
        <v>1430.4073603229244</v>
      </c>
      <c r="D19" s="139">
        <f t="shared" si="10"/>
        <v>1692.9520181609764</v>
      </c>
      <c r="E19" s="139">
        <f t="shared" si="10"/>
        <v>2500.4577777075992</v>
      </c>
      <c r="F19" s="139">
        <f t="shared" si="10"/>
        <v>2128.643170362805</v>
      </c>
      <c r="G19" s="139">
        <f t="shared" si="10"/>
        <v>2368.60402753375</v>
      </c>
      <c r="H19" s="139">
        <f t="shared" si="10"/>
        <v>1719.7985081907286</v>
      </c>
      <c r="I19" s="139">
        <f t="shared" si="10"/>
        <v>4367.4557708359407</v>
      </c>
      <c r="J19" s="139">
        <f t="shared" si="10"/>
        <v>2149.7718337600877</v>
      </c>
      <c r="K19" s="139">
        <f t="shared" si="10"/>
        <v>186.57951958380119</v>
      </c>
      <c r="L19" s="139">
        <f t="shared" si="10"/>
        <v>608.79466196254907</v>
      </c>
      <c r="M19" s="139">
        <f t="shared" si="10"/>
        <v>1155.6559257884699</v>
      </c>
      <c r="N19" s="139">
        <f t="shared" si="10"/>
        <v>660.80570255669863</v>
      </c>
      <c r="O19" s="139">
        <f t="shared" si="10"/>
        <v>796.34943024642723</v>
      </c>
      <c r="P19" s="139">
        <f t="shared" si="10"/>
        <v>1035.23277246927</v>
      </c>
      <c r="Q19" s="139">
        <f t="shared" si="10"/>
        <v>586.96904591365796</v>
      </c>
      <c r="R19" s="139">
        <f t="shared" ref="R19:W19" si="11">SUM(R20:R26)</f>
        <v>621.70006661046068</v>
      </c>
      <c r="S19" s="139">
        <f t="shared" si="11"/>
        <v>679.63803024878337</v>
      </c>
      <c r="T19" s="139">
        <f t="shared" si="11"/>
        <v>622.34654654599399</v>
      </c>
      <c r="U19" s="139">
        <f t="shared" si="11"/>
        <v>531.79432110721928</v>
      </c>
      <c r="V19" s="139">
        <f t="shared" si="11"/>
        <v>424.3214299297706</v>
      </c>
      <c r="W19" s="139">
        <f t="shared" si="11"/>
        <v>339.16559761725426</v>
      </c>
      <c r="X19" s="139">
        <f t="shared" ref="X19:Y19" si="12">SUM(X20:X26)</f>
        <v>269.92660676224682</v>
      </c>
      <c r="Y19" s="139">
        <f t="shared" si="12"/>
        <v>266.15065898421085</v>
      </c>
      <c r="DA19" s="169" t="s">
        <v>585</v>
      </c>
    </row>
    <row r="20" spans="1:105" ht="12" customHeight="1" x14ac:dyDescent="0.25">
      <c r="A20" s="131" t="s">
        <v>29</v>
      </c>
      <c r="B20" s="140"/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586</v>
      </c>
    </row>
    <row r="21" spans="1:105" s="2" customFormat="1" ht="12" customHeight="1" x14ac:dyDescent="0.25">
      <c r="A21" s="131" t="s">
        <v>52</v>
      </c>
      <c r="B21" s="140"/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DA21" s="170" t="s">
        <v>587</v>
      </c>
    </row>
    <row r="22" spans="1:105" ht="12" customHeight="1" x14ac:dyDescent="0.25">
      <c r="A22" s="131" t="s">
        <v>161</v>
      </c>
      <c r="B22" s="140"/>
      <c r="C22" s="140">
        <v>0</v>
      </c>
      <c r="D22" s="140">
        <v>0</v>
      </c>
      <c r="E22" s="140">
        <v>0</v>
      </c>
      <c r="F22" s="140">
        <v>0</v>
      </c>
      <c r="G22" s="140">
        <v>0</v>
      </c>
      <c r="H22" s="140">
        <v>0</v>
      </c>
      <c r="I22" s="140">
        <v>0</v>
      </c>
      <c r="J22" s="140">
        <v>0</v>
      </c>
      <c r="K22" s="140">
        <v>0.67866285801152881</v>
      </c>
      <c r="L22" s="140">
        <v>6.4845158206904934</v>
      </c>
      <c r="M22" s="140">
        <v>12.44412027968807</v>
      </c>
      <c r="N22" s="140">
        <v>10.606493816641008</v>
      </c>
      <c r="O22" s="140">
        <v>12.972486297735543</v>
      </c>
      <c r="P22" s="140">
        <v>0</v>
      </c>
      <c r="Q22" s="140">
        <v>0.53453663112168726</v>
      </c>
      <c r="R22" s="140">
        <v>0</v>
      </c>
      <c r="S22" s="140">
        <v>0.11738472071700735</v>
      </c>
      <c r="T22" s="140">
        <v>9.7610281675342081E-2</v>
      </c>
      <c r="U22" s="140">
        <v>3.8965085907615573</v>
      </c>
      <c r="V22" s="140">
        <v>4.2135359038437992</v>
      </c>
      <c r="W22" s="140">
        <v>1.9188737926212098</v>
      </c>
      <c r="X22" s="140">
        <v>0</v>
      </c>
      <c r="Y22" s="140">
        <v>0</v>
      </c>
      <c r="DA22" s="170" t="s">
        <v>588</v>
      </c>
    </row>
    <row r="23" spans="1:105" ht="12" customHeight="1" x14ac:dyDescent="0.25">
      <c r="A23" s="131" t="s">
        <v>149</v>
      </c>
      <c r="B23" s="140"/>
      <c r="C23" s="140">
        <v>52.385901413018203</v>
      </c>
      <c r="D23" s="140">
        <v>88.641421672161897</v>
      </c>
      <c r="E23" s="140">
        <v>112.11158569327945</v>
      </c>
      <c r="F23" s="140">
        <v>134.90020867921493</v>
      </c>
      <c r="G23" s="140">
        <v>175.40661650311145</v>
      </c>
      <c r="H23" s="140">
        <v>219.90257103635358</v>
      </c>
      <c r="I23" s="140">
        <v>442.79003114615023</v>
      </c>
      <c r="J23" s="140">
        <v>238.49939364305587</v>
      </c>
      <c r="K23" s="140">
        <v>19.6315127921998</v>
      </c>
      <c r="L23" s="140">
        <v>28.537330942314604</v>
      </c>
      <c r="M23" s="140">
        <v>43.515604711467859</v>
      </c>
      <c r="N23" s="140">
        <v>26.14103257381047</v>
      </c>
      <c r="O23" s="140">
        <v>35.777154829044107</v>
      </c>
      <c r="P23" s="140">
        <v>56.576587422301472</v>
      </c>
      <c r="Q23" s="140">
        <v>59.737494294152633</v>
      </c>
      <c r="R23" s="140">
        <v>68.3334388414643</v>
      </c>
      <c r="S23" s="140">
        <v>63.911054339674962</v>
      </c>
      <c r="T23" s="140">
        <v>75.833936978256915</v>
      </c>
      <c r="U23" s="140">
        <v>67.740848053525625</v>
      </c>
      <c r="V23" s="140">
        <v>66.280761995328589</v>
      </c>
      <c r="W23" s="140">
        <v>36.774612228735343</v>
      </c>
      <c r="X23" s="140">
        <v>26.141637123329843</v>
      </c>
      <c r="Y23" s="140">
        <v>20.454886746796038</v>
      </c>
      <c r="DA23" s="170" t="s">
        <v>589</v>
      </c>
    </row>
    <row r="24" spans="1:105" ht="12" customHeight="1" x14ac:dyDescent="0.25">
      <c r="A24" s="131" t="s">
        <v>128</v>
      </c>
      <c r="B24" s="140"/>
      <c r="C24" s="140">
        <v>48.422645620983531</v>
      </c>
      <c r="D24" s="140">
        <v>43.815400232514399</v>
      </c>
      <c r="E24" s="140">
        <v>60.195893995752364</v>
      </c>
      <c r="F24" s="140">
        <v>63.577832748281203</v>
      </c>
      <c r="G24" s="140">
        <v>66.957079567295722</v>
      </c>
      <c r="H24" s="140">
        <v>58.139167944898695</v>
      </c>
      <c r="I24" s="140">
        <v>81.069210203557844</v>
      </c>
      <c r="J24" s="140">
        <v>59.080119264461374</v>
      </c>
      <c r="K24" s="140">
        <v>8.2076317632539588</v>
      </c>
      <c r="L24" s="140">
        <v>23.432678626191457</v>
      </c>
      <c r="M24" s="140">
        <v>40.545972827846064</v>
      </c>
      <c r="N24" s="140">
        <v>25.440508733731384</v>
      </c>
      <c r="O24" s="140">
        <v>28.314972529989411</v>
      </c>
      <c r="P24" s="140">
        <v>26.009084753370704</v>
      </c>
      <c r="Q24" s="140">
        <v>8.3742441474942471</v>
      </c>
      <c r="R24" s="140">
        <v>3.1905672925938191</v>
      </c>
      <c r="S24" s="140">
        <v>0</v>
      </c>
      <c r="T24" s="140">
        <v>9.6868431401005619</v>
      </c>
      <c r="U24" s="140">
        <v>10.954152423435479</v>
      </c>
      <c r="V24" s="140">
        <v>10.884722594083547</v>
      </c>
      <c r="W24" s="140">
        <v>8.5092886484282921</v>
      </c>
      <c r="X24" s="140">
        <v>7.0498030982429229</v>
      </c>
      <c r="Y24" s="140">
        <v>6.2226777947987229</v>
      </c>
      <c r="DA24" s="170" t="s">
        <v>590</v>
      </c>
    </row>
    <row r="25" spans="1:105" ht="12" customHeight="1" x14ac:dyDescent="0.25">
      <c r="A25" s="131" t="s">
        <v>162</v>
      </c>
      <c r="B25" s="140"/>
      <c r="C25" s="140">
        <v>739.82409479668604</v>
      </c>
      <c r="D25" s="140">
        <v>765.52067486542569</v>
      </c>
      <c r="E25" s="140">
        <v>1425.4792978972216</v>
      </c>
      <c r="F25" s="140">
        <v>1181.0732079120573</v>
      </c>
      <c r="G25" s="140">
        <v>1218.1480185267512</v>
      </c>
      <c r="H25" s="140">
        <v>753.60473517428113</v>
      </c>
      <c r="I25" s="140">
        <v>2228.7058934803795</v>
      </c>
      <c r="J25" s="140">
        <v>1180.8847941416336</v>
      </c>
      <c r="K25" s="140">
        <v>100.96696680238028</v>
      </c>
      <c r="L25" s="140">
        <v>411.83821522149441</v>
      </c>
      <c r="M25" s="140">
        <v>743.70818305912337</v>
      </c>
      <c r="N25" s="140">
        <v>383.63007814039196</v>
      </c>
      <c r="O25" s="140">
        <v>517.50940899632462</v>
      </c>
      <c r="P25" s="140">
        <v>795.8301090026315</v>
      </c>
      <c r="Q25" s="140">
        <v>463.36299357584295</v>
      </c>
      <c r="R25" s="140">
        <v>391.1128839546123</v>
      </c>
      <c r="S25" s="140">
        <v>338.1263600618251</v>
      </c>
      <c r="T25" s="140">
        <v>233.81944833069193</v>
      </c>
      <c r="U25" s="140">
        <v>184.5127406899071</v>
      </c>
      <c r="V25" s="140">
        <v>157.72805588439948</v>
      </c>
      <c r="W25" s="140">
        <v>152.28341126903265</v>
      </c>
      <c r="X25" s="140">
        <v>127.94396251766049</v>
      </c>
      <c r="Y25" s="140">
        <v>128.38939648218835</v>
      </c>
      <c r="DA25" s="170" t="s">
        <v>591</v>
      </c>
    </row>
    <row r="26" spans="1:105" ht="12" customHeight="1" x14ac:dyDescent="0.25">
      <c r="A26" s="131" t="s">
        <v>24</v>
      </c>
      <c r="B26" s="141"/>
      <c r="C26" s="141">
        <v>589.7747184922365</v>
      </c>
      <c r="D26" s="141">
        <v>794.97452139087454</v>
      </c>
      <c r="E26" s="141">
        <v>902.67100012134586</v>
      </c>
      <c r="F26" s="141">
        <v>749.09192102325142</v>
      </c>
      <c r="G26" s="141">
        <v>908.09231293659127</v>
      </c>
      <c r="H26" s="141">
        <v>688.15203403519547</v>
      </c>
      <c r="I26" s="141">
        <v>1614.8906360058529</v>
      </c>
      <c r="J26" s="141">
        <v>671.30752671093671</v>
      </c>
      <c r="K26" s="141">
        <v>57.094745367955625</v>
      </c>
      <c r="L26" s="141">
        <v>138.5019213518581</v>
      </c>
      <c r="M26" s="141">
        <v>315.44204491034452</v>
      </c>
      <c r="N26" s="141">
        <v>214.98758929212377</v>
      </c>
      <c r="O26" s="141">
        <v>201.77540759333348</v>
      </c>
      <c r="P26" s="141">
        <v>156.81699129096631</v>
      </c>
      <c r="Q26" s="141">
        <v>54.959777265046398</v>
      </c>
      <c r="R26" s="141">
        <v>159.06317652179035</v>
      </c>
      <c r="S26" s="141">
        <v>277.4832311265663</v>
      </c>
      <c r="T26" s="141">
        <v>302.90870781526928</v>
      </c>
      <c r="U26" s="141">
        <v>264.69007134958946</v>
      </c>
      <c r="V26" s="141">
        <v>185.2143535521152</v>
      </c>
      <c r="W26" s="141">
        <v>139.67941167843676</v>
      </c>
      <c r="X26" s="141">
        <v>108.79120402301359</v>
      </c>
      <c r="Y26" s="141">
        <v>111.08369796042773</v>
      </c>
      <c r="DA26" s="171" t="s">
        <v>592</v>
      </c>
    </row>
    <row r="27" spans="1:105" ht="12" customHeight="1" x14ac:dyDescent="0.25">
      <c r="A27" s="144" t="s">
        <v>26</v>
      </c>
      <c r="B27" s="150"/>
      <c r="C27" s="150">
        <v>0</v>
      </c>
      <c r="D27" s="150">
        <v>0</v>
      </c>
      <c r="E27" s="150">
        <v>0</v>
      </c>
      <c r="F27" s="150">
        <v>0</v>
      </c>
      <c r="G27" s="150">
        <v>0</v>
      </c>
      <c r="H27" s="150">
        <v>0</v>
      </c>
      <c r="I27" s="150">
        <v>0</v>
      </c>
      <c r="J27" s="150">
        <v>0</v>
      </c>
      <c r="K27" s="150">
        <v>0</v>
      </c>
      <c r="L27" s="150">
        <v>0</v>
      </c>
      <c r="M27" s="150">
        <v>0</v>
      </c>
      <c r="N27" s="150">
        <v>0</v>
      </c>
      <c r="O27" s="150">
        <v>0</v>
      </c>
      <c r="P27" s="150">
        <v>0</v>
      </c>
      <c r="Q27" s="150">
        <v>0</v>
      </c>
      <c r="R27" s="150">
        <v>0</v>
      </c>
      <c r="S27" s="150">
        <v>0</v>
      </c>
      <c r="T27" s="150">
        <v>0</v>
      </c>
      <c r="U27" s="150">
        <v>0</v>
      </c>
      <c r="V27" s="150">
        <v>0</v>
      </c>
      <c r="W27" s="150">
        <v>0</v>
      </c>
      <c r="X27" s="150">
        <v>0</v>
      </c>
      <c r="Y27" s="150">
        <v>0</v>
      </c>
      <c r="DA27" s="173" t="s">
        <v>593</v>
      </c>
    </row>
    <row r="28" spans="1:105" ht="12" hidden="1" customHeight="1" x14ac:dyDescent="0.25">
      <c r="A28" s="78" t="s">
        <v>26</v>
      </c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DA28" s="174"/>
    </row>
    <row r="29" spans="1:105" ht="12.95" customHeight="1" x14ac:dyDescent="0.25">
      <c r="A29" s="129" t="s">
        <v>34</v>
      </c>
      <c r="B29" s="139"/>
      <c r="C29" s="139">
        <f t="shared" ref="C29:Q29" si="13">SUM(C30:C33)</f>
        <v>1430.407360322924</v>
      </c>
      <c r="D29" s="139">
        <f t="shared" si="13"/>
        <v>1692.9520181609762</v>
      </c>
      <c r="E29" s="139">
        <f t="shared" si="13"/>
        <v>2500.4577777075992</v>
      </c>
      <c r="F29" s="139">
        <f t="shared" si="13"/>
        <v>2128.6431703628045</v>
      </c>
      <c r="G29" s="139">
        <f t="shared" si="13"/>
        <v>2368.6040275337491</v>
      </c>
      <c r="H29" s="139">
        <f t="shared" si="13"/>
        <v>1719.7985081907293</v>
      </c>
      <c r="I29" s="139">
        <f t="shared" si="13"/>
        <v>4367.4557708359407</v>
      </c>
      <c r="J29" s="139">
        <f t="shared" si="13"/>
        <v>2149.7718337600877</v>
      </c>
      <c r="K29" s="139">
        <f t="shared" si="13"/>
        <v>186.57951958380119</v>
      </c>
      <c r="L29" s="139">
        <f t="shared" si="13"/>
        <v>608.79466196254896</v>
      </c>
      <c r="M29" s="139">
        <f t="shared" si="13"/>
        <v>1155.6559257884699</v>
      </c>
      <c r="N29" s="139">
        <f t="shared" si="13"/>
        <v>660.80570255669886</v>
      </c>
      <c r="O29" s="139">
        <f t="shared" si="13"/>
        <v>796.349430246427</v>
      </c>
      <c r="P29" s="139">
        <f t="shared" si="13"/>
        <v>1035.23277246927</v>
      </c>
      <c r="Q29" s="139">
        <f t="shared" si="13"/>
        <v>586.96904591365785</v>
      </c>
      <c r="R29" s="139">
        <f t="shared" ref="R29:W29" si="14">SUM(R30:R33)</f>
        <v>621.70006661046079</v>
      </c>
      <c r="S29" s="139">
        <f t="shared" si="14"/>
        <v>679.63803024878337</v>
      </c>
      <c r="T29" s="139">
        <f t="shared" si="14"/>
        <v>622.34654654599399</v>
      </c>
      <c r="U29" s="139">
        <f t="shared" si="14"/>
        <v>531.79432110721928</v>
      </c>
      <c r="V29" s="139">
        <f t="shared" si="14"/>
        <v>424.3214299297706</v>
      </c>
      <c r="W29" s="139">
        <f t="shared" si="14"/>
        <v>339.16559761725426</v>
      </c>
      <c r="X29" s="139">
        <f t="shared" ref="X29:Y29" si="15">SUM(X30:X33)</f>
        <v>269.92660676224682</v>
      </c>
      <c r="Y29" s="139">
        <f t="shared" si="15"/>
        <v>266.15065898421085</v>
      </c>
      <c r="DA29" s="169" t="s">
        <v>594</v>
      </c>
    </row>
    <row r="30" spans="1:105" s="2" customFormat="1" ht="12" customHeight="1" x14ac:dyDescent="0.25">
      <c r="A30" s="131" t="s">
        <v>52</v>
      </c>
      <c r="B30" s="140"/>
      <c r="C30" s="140">
        <v>0</v>
      </c>
      <c r="D30" s="140">
        <v>0</v>
      </c>
      <c r="E30" s="140">
        <v>0</v>
      </c>
      <c r="F30" s="140">
        <v>0</v>
      </c>
      <c r="G30" s="140">
        <v>0</v>
      </c>
      <c r="H30" s="140">
        <v>0</v>
      </c>
      <c r="I30" s="140">
        <v>0</v>
      </c>
      <c r="J30" s="140">
        <v>0</v>
      </c>
      <c r="K30" s="140">
        <v>0</v>
      </c>
      <c r="L30" s="140">
        <v>0</v>
      </c>
      <c r="M30" s="140">
        <v>0</v>
      </c>
      <c r="N30" s="140">
        <v>0</v>
      </c>
      <c r="O30" s="140">
        <v>0</v>
      </c>
      <c r="P30" s="140">
        <v>0</v>
      </c>
      <c r="Q30" s="140">
        <v>0</v>
      </c>
      <c r="R30" s="140">
        <v>0</v>
      </c>
      <c r="S30" s="140">
        <v>0</v>
      </c>
      <c r="T30" s="140">
        <v>0</v>
      </c>
      <c r="U30" s="140">
        <v>0</v>
      </c>
      <c r="V30" s="140">
        <v>0</v>
      </c>
      <c r="W30" s="140">
        <v>0</v>
      </c>
      <c r="X30" s="140">
        <v>0</v>
      </c>
      <c r="Y30" s="140">
        <v>0</v>
      </c>
      <c r="DA30" s="170" t="s">
        <v>595</v>
      </c>
    </row>
    <row r="31" spans="1:105" ht="12" customHeight="1" x14ac:dyDescent="0.25">
      <c r="A31" s="131" t="s">
        <v>149</v>
      </c>
      <c r="B31" s="140"/>
      <c r="C31" s="140">
        <v>359.79750301506135</v>
      </c>
      <c r="D31" s="140">
        <v>425.03595038350664</v>
      </c>
      <c r="E31" s="140">
        <v>426.84387541288271</v>
      </c>
      <c r="F31" s="140">
        <v>256.73481872617447</v>
      </c>
      <c r="G31" s="140">
        <v>434.20141967737959</v>
      </c>
      <c r="H31" s="140">
        <v>472.77013050161105</v>
      </c>
      <c r="I31" s="140">
        <v>1141.8407014288441</v>
      </c>
      <c r="J31" s="140">
        <v>595.54976542566703</v>
      </c>
      <c r="K31" s="140">
        <v>42.605364132238115</v>
      </c>
      <c r="L31" s="140">
        <v>37.949165583234198</v>
      </c>
      <c r="M31" s="140">
        <v>0</v>
      </c>
      <c r="N31" s="140">
        <v>0</v>
      </c>
      <c r="O31" s="140">
        <v>0</v>
      </c>
      <c r="P31" s="140">
        <v>59.70450195819199</v>
      </c>
      <c r="Q31" s="140">
        <v>112.99730756067623</v>
      </c>
      <c r="R31" s="140">
        <v>127.52441589282532</v>
      </c>
      <c r="S31" s="140">
        <v>86.330238585966143</v>
      </c>
      <c r="T31" s="140">
        <v>50.845567998552134</v>
      </c>
      <c r="U31" s="140">
        <v>0</v>
      </c>
      <c r="V31" s="140">
        <v>0</v>
      </c>
      <c r="W31" s="140">
        <v>7.3079578900653503</v>
      </c>
      <c r="X31" s="140">
        <v>36.363390663958647</v>
      </c>
      <c r="Y31" s="140">
        <v>47.429932587791754</v>
      </c>
      <c r="DA31" s="170" t="s">
        <v>596</v>
      </c>
    </row>
    <row r="32" spans="1:105" ht="12" customHeight="1" x14ac:dyDescent="0.25">
      <c r="A32" s="131" t="s">
        <v>128</v>
      </c>
      <c r="B32" s="140"/>
      <c r="C32" s="140">
        <v>0</v>
      </c>
      <c r="D32" s="140">
        <v>0</v>
      </c>
      <c r="E32" s="140">
        <v>0</v>
      </c>
      <c r="F32" s="140">
        <v>0</v>
      </c>
      <c r="G32" s="140">
        <v>137.92258401811725</v>
      </c>
      <c r="H32" s="140">
        <v>51.113510491688089</v>
      </c>
      <c r="I32" s="140">
        <v>65.396620762209977</v>
      </c>
      <c r="J32" s="140">
        <v>69.211297743158767</v>
      </c>
      <c r="K32" s="140">
        <v>0.67806637529440938</v>
      </c>
      <c r="L32" s="140">
        <v>16.969665986352361</v>
      </c>
      <c r="M32" s="140">
        <v>0</v>
      </c>
      <c r="N32" s="140">
        <v>7.5123610759728425</v>
      </c>
      <c r="O32" s="140">
        <v>0</v>
      </c>
      <c r="P32" s="140">
        <v>21.495713212728543</v>
      </c>
      <c r="Q32" s="140">
        <v>12.110750656141981</v>
      </c>
      <c r="R32" s="140">
        <v>28.376787268474974</v>
      </c>
      <c r="S32" s="140">
        <v>35.379373420195471</v>
      </c>
      <c r="T32" s="140">
        <v>26.605204814494822</v>
      </c>
      <c r="U32" s="140">
        <v>28.586258667176836</v>
      </c>
      <c r="V32" s="140">
        <v>25.492234499248678</v>
      </c>
      <c r="W32" s="140">
        <v>23.786679517083005</v>
      </c>
      <c r="X32" s="140">
        <v>7.1926351225265446</v>
      </c>
      <c r="Y32" s="140">
        <v>6.0677551937413758</v>
      </c>
      <c r="DA32" s="170" t="s">
        <v>597</v>
      </c>
    </row>
    <row r="33" spans="1:105" ht="12" customHeight="1" x14ac:dyDescent="0.25">
      <c r="A33" s="62" t="s">
        <v>24</v>
      </c>
      <c r="B33" s="152"/>
      <c r="C33" s="152">
        <v>1070.6098573078627</v>
      </c>
      <c r="D33" s="152">
        <v>1267.9160677774696</v>
      </c>
      <c r="E33" s="152">
        <v>2073.6139022947164</v>
      </c>
      <c r="F33" s="152">
        <v>1871.9083516366302</v>
      </c>
      <c r="G33" s="152">
        <v>1796.4800238382522</v>
      </c>
      <c r="H33" s="152">
        <v>1195.9148671974301</v>
      </c>
      <c r="I33" s="152">
        <v>3160.2184486448868</v>
      </c>
      <c r="J33" s="152">
        <v>1485.0107705912619</v>
      </c>
      <c r="K33" s="152">
        <v>143.29608907626866</v>
      </c>
      <c r="L33" s="152">
        <v>553.87583039296237</v>
      </c>
      <c r="M33" s="152">
        <v>1155.6559257884699</v>
      </c>
      <c r="N33" s="152">
        <v>653.29334148072599</v>
      </c>
      <c r="O33" s="152">
        <v>796.349430246427</v>
      </c>
      <c r="P33" s="152">
        <v>954.0325572983495</v>
      </c>
      <c r="Q33" s="152">
        <v>461.86098769683963</v>
      </c>
      <c r="R33" s="152">
        <v>465.79886344916048</v>
      </c>
      <c r="S33" s="152">
        <v>557.92841824262177</v>
      </c>
      <c r="T33" s="152">
        <v>544.89577373294708</v>
      </c>
      <c r="U33" s="152">
        <v>503.20806244004245</v>
      </c>
      <c r="V33" s="152">
        <v>398.82919543052191</v>
      </c>
      <c r="W33" s="152">
        <v>308.07096021010591</v>
      </c>
      <c r="X33" s="152">
        <v>226.37058097576164</v>
      </c>
      <c r="Y33" s="152">
        <v>212.65297120267769</v>
      </c>
      <c r="DA33" s="175" t="s">
        <v>598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Y15 C19:Y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/>
      <c r="C3" s="125">
        <f t="shared" ref="C3:Q3" si="0">SUM(C4,C16,C19,C29)</f>
        <v>16.053804641094921</v>
      </c>
      <c r="D3" s="125">
        <f t="shared" si="0"/>
        <v>18.541020027588186</v>
      </c>
      <c r="E3" s="125">
        <f t="shared" si="0"/>
        <v>26.448060869391607</v>
      </c>
      <c r="F3" s="125">
        <f t="shared" si="0"/>
        <v>22.69937322560628</v>
      </c>
      <c r="G3" s="125">
        <f t="shared" si="0"/>
        <v>24.172133166945457</v>
      </c>
      <c r="H3" s="125">
        <f t="shared" si="0"/>
        <v>18.497084620938903</v>
      </c>
      <c r="I3" s="125">
        <f t="shared" si="0"/>
        <v>42.106590928859688</v>
      </c>
      <c r="J3" s="125">
        <f t="shared" si="0"/>
        <v>18.466303908613316</v>
      </c>
      <c r="K3" s="125">
        <f t="shared" si="0"/>
        <v>1.663552620743487</v>
      </c>
      <c r="L3" s="125">
        <f t="shared" si="0"/>
        <v>5.2945986063947581</v>
      </c>
      <c r="M3" s="125">
        <f t="shared" si="0"/>
        <v>8.9309886927872935</v>
      </c>
      <c r="N3" s="125">
        <f t="shared" si="0"/>
        <v>5.4024871277441555</v>
      </c>
      <c r="O3" s="125">
        <f t="shared" si="0"/>
        <v>6.004988095926592</v>
      </c>
      <c r="P3" s="125">
        <f t="shared" si="0"/>
        <v>6.8108578430420312</v>
      </c>
      <c r="Q3" s="125">
        <f t="shared" si="0"/>
        <v>3.8548240350127791</v>
      </c>
      <c r="R3" s="125">
        <f t="shared" ref="R3:W3" si="1">SUM(R4,R16,R19,R29)</f>
        <v>4.0917753589707297</v>
      </c>
      <c r="S3" s="125">
        <f t="shared" si="1"/>
        <v>4.5399727655043263</v>
      </c>
      <c r="T3" s="125">
        <f t="shared" si="1"/>
        <v>4.2640204910702888</v>
      </c>
      <c r="U3" s="125">
        <f t="shared" si="1"/>
        <v>3.4331260132811039</v>
      </c>
      <c r="V3" s="125">
        <f t="shared" si="1"/>
        <v>2.3428977948773868</v>
      </c>
      <c r="W3" s="125">
        <f t="shared" si="1"/>
        <v>2.1456509034306737</v>
      </c>
      <c r="X3" s="125">
        <f t="shared" ref="X3:Y3" si="2">SUM(X4,X16,X19,X29)</f>
        <v>1.6200441445147038</v>
      </c>
      <c r="Y3" s="125">
        <f t="shared" si="2"/>
        <v>1.6631373911173797</v>
      </c>
      <c r="DA3" s="154" t="s">
        <v>600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12.719112182587368</v>
      </c>
      <c r="D4" s="130">
        <f t="shared" si="3"/>
        <v>14.563280291278542</v>
      </c>
      <c r="E4" s="130">
        <f t="shared" si="3"/>
        <v>20.908530587541115</v>
      </c>
      <c r="F4" s="130">
        <f t="shared" si="3"/>
        <v>17.871638621770259</v>
      </c>
      <c r="G4" s="130">
        <f t="shared" si="3"/>
        <v>18.530793183812101</v>
      </c>
      <c r="H4" s="130">
        <f t="shared" si="3"/>
        <v>14.151468572929778</v>
      </c>
      <c r="I4" s="130">
        <f t="shared" si="3"/>
        <v>31.754701002141626</v>
      </c>
      <c r="J4" s="130">
        <f t="shared" si="3"/>
        <v>13.288195761176581</v>
      </c>
      <c r="K4" s="130">
        <f t="shared" si="3"/>
        <v>1.1571763227213849</v>
      </c>
      <c r="L4" s="130">
        <f t="shared" si="3"/>
        <v>3.7005030843829561</v>
      </c>
      <c r="M4" s="130">
        <f t="shared" si="3"/>
        <v>6.1946211234447208</v>
      </c>
      <c r="N4" s="130">
        <f t="shared" si="3"/>
        <v>3.6833548307262558</v>
      </c>
      <c r="O4" s="130">
        <f t="shared" si="3"/>
        <v>3.9897231822042287</v>
      </c>
      <c r="P4" s="130">
        <f t="shared" si="3"/>
        <v>4.2754506345215653</v>
      </c>
      <c r="Q4" s="130">
        <f t="shared" si="3"/>
        <v>2.3589308429501736</v>
      </c>
      <c r="R4" s="130">
        <f t="shared" ref="R4:W4" si="4">SUM(R5:R15)</f>
        <v>2.5220922332902336</v>
      </c>
      <c r="S4" s="130">
        <f t="shared" si="4"/>
        <v>2.8223850447349825</v>
      </c>
      <c r="T4" s="130">
        <f t="shared" si="4"/>
        <v>2.7101469712441792</v>
      </c>
      <c r="U4" s="130">
        <f t="shared" si="4"/>
        <v>2.077868514472252</v>
      </c>
      <c r="V4" s="130">
        <f t="shared" si="4"/>
        <v>1.3544343869603097</v>
      </c>
      <c r="W4" s="130">
        <f t="shared" si="4"/>
        <v>1.2805876685822548</v>
      </c>
      <c r="X4" s="130">
        <f t="shared" ref="X4:Y4" si="5">SUM(X5:X15)</f>
        <v>0.93967239447512463</v>
      </c>
      <c r="Y4" s="130">
        <f t="shared" si="5"/>
        <v>0.97502138375705594</v>
      </c>
      <c r="DA4" s="155" t="s">
        <v>601</v>
      </c>
    </row>
    <row r="5" spans="1:105" ht="12" customHeight="1" x14ac:dyDescent="0.25">
      <c r="A5" s="131" t="s">
        <v>29</v>
      </c>
      <c r="B5" s="132"/>
      <c r="C5" s="132">
        <v>0.84763238129312735</v>
      </c>
      <c r="D5" s="132">
        <v>2.5079038191656045</v>
      </c>
      <c r="E5" s="132">
        <v>2.7184178372782859</v>
      </c>
      <c r="F5" s="132">
        <v>3.1709975009240963</v>
      </c>
      <c r="G5" s="132">
        <v>4.0483004097003112</v>
      </c>
      <c r="H5" s="132">
        <v>2.919658282113041</v>
      </c>
      <c r="I5" s="132">
        <v>2.5592564770749915</v>
      </c>
      <c r="J5" s="132">
        <v>1.3401600137885308</v>
      </c>
      <c r="K5" s="132">
        <v>0.28096464856913439</v>
      </c>
      <c r="L5" s="132">
        <v>0.68755812496402613</v>
      </c>
      <c r="M5" s="132">
        <v>0.99353494732035375</v>
      </c>
      <c r="N5" s="132">
        <v>0.40141274113959147</v>
      </c>
      <c r="O5" s="132">
        <v>0.48045712253025097</v>
      </c>
      <c r="P5" s="132">
        <v>3.1407460298099335E-2</v>
      </c>
      <c r="Q5" s="132">
        <v>0</v>
      </c>
      <c r="R5" s="132">
        <v>0.24644985755391835</v>
      </c>
      <c r="S5" s="132">
        <v>0.27428330189146033</v>
      </c>
      <c r="T5" s="132">
        <v>0.26145417751056838</v>
      </c>
      <c r="U5" s="132">
        <v>7.1585237852697339E-2</v>
      </c>
      <c r="V5" s="132">
        <v>3.2995959887973563E-3</v>
      </c>
      <c r="W5" s="132">
        <v>5.9061674615253058E-2</v>
      </c>
      <c r="X5" s="132">
        <v>7.1812468173985691E-2</v>
      </c>
      <c r="Y5" s="132">
        <v>0</v>
      </c>
      <c r="DA5" s="156" t="s">
        <v>602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603</v>
      </c>
    </row>
    <row r="7" spans="1:105" ht="12" customHeight="1" x14ac:dyDescent="0.25">
      <c r="A7" s="131" t="s">
        <v>161</v>
      </c>
      <c r="B7" s="132"/>
      <c r="C7" s="132">
        <v>0</v>
      </c>
      <c r="D7" s="132">
        <v>0</v>
      </c>
      <c r="E7" s="132">
        <v>0</v>
      </c>
      <c r="F7" s="132">
        <v>0</v>
      </c>
      <c r="G7" s="132">
        <v>0</v>
      </c>
      <c r="H7" s="132">
        <v>0</v>
      </c>
      <c r="I7" s="132">
        <v>0</v>
      </c>
      <c r="J7" s="132">
        <v>0.15241667084330635</v>
      </c>
      <c r="K7" s="132">
        <v>1.5910830484339691E-2</v>
      </c>
      <c r="L7" s="132">
        <v>7.5880018591886297E-2</v>
      </c>
      <c r="M7" s="132">
        <v>0.22489667722001563</v>
      </c>
      <c r="N7" s="132">
        <v>6.6364480394667913E-2</v>
      </c>
      <c r="O7" s="132">
        <v>7.683048364423968E-2</v>
      </c>
      <c r="P7" s="132">
        <v>0</v>
      </c>
      <c r="Q7" s="132">
        <v>0</v>
      </c>
      <c r="R7" s="132">
        <v>0</v>
      </c>
      <c r="S7" s="132">
        <v>0</v>
      </c>
      <c r="T7" s="132">
        <v>0</v>
      </c>
      <c r="U7" s="132">
        <v>1.5529902055188508E-2</v>
      </c>
      <c r="V7" s="132">
        <v>1.3705789481647543E-2</v>
      </c>
      <c r="W7" s="132">
        <v>1.2529361269692936E-2</v>
      </c>
      <c r="X7" s="132">
        <v>8.7684973164580474E-3</v>
      </c>
      <c r="Y7" s="132">
        <v>2.5097285648202326E-2</v>
      </c>
      <c r="DA7" s="156" t="s">
        <v>604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605</v>
      </c>
    </row>
    <row r="9" spans="1:105" ht="12" customHeight="1" x14ac:dyDescent="0.25">
      <c r="A9" s="131" t="s">
        <v>78</v>
      </c>
      <c r="B9" s="132"/>
      <c r="C9" s="132">
        <v>1.478699474482803</v>
      </c>
      <c r="D9" s="132">
        <v>2.4466978020067476</v>
      </c>
      <c r="E9" s="132">
        <v>2.6805089507735436</v>
      </c>
      <c r="F9" s="132">
        <v>3.7389337530290865</v>
      </c>
      <c r="G9" s="132">
        <v>2.7740865661892995</v>
      </c>
      <c r="H9" s="132">
        <v>2.5082328457489464</v>
      </c>
      <c r="I9" s="132">
        <v>5.6358781150036181</v>
      </c>
      <c r="J9" s="132">
        <v>2.3418782843887085</v>
      </c>
      <c r="K9" s="132">
        <v>0.15351986432321335</v>
      </c>
      <c r="L9" s="132">
        <v>0.47089445709642147</v>
      </c>
      <c r="M9" s="132">
        <v>0.79706458462198471</v>
      </c>
      <c r="N9" s="132">
        <v>0.63608474432762441</v>
      </c>
      <c r="O9" s="132">
        <v>0.99778760636844088</v>
      </c>
      <c r="P9" s="132">
        <v>1.0953962428378141</v>
      </c>
      <c r="Q9" s="132">
        <v>0.85579634521143166</v>
      </c>
      <c r="R9" s="132">
        <v>0.55612488453019437</v>
      </c>
      <c r="S9" s="132">
        <v>0.58385413044512036</v>
      </c>
      <c r="T9" s="132">
        <v>0.6542861616943435</v>
      </c>
      <c r="U9" s="132">
        <v>0.63910201310599213</v>
      </c>
      <c r="V9" s="132">
        <v>0.24160468598227994</v>
      </c>
      <c r="W9" s="132">
        <v>0.41796638789019358</v>
      </c>
      <c r="X9" s="132">
        <v>0.34753582313087827</v>
      </c>
      <c r="Y9" s="132">
        <v>0.36602429677942239</v>
      </c>
      <c r="DA9" s="156" t="s">
        <v>606</v>
      </c>
    </row>
    <row r="10" spans="1:105" ht="12" customHeight="1" x14ac:dyDescent="0.25">
      <c r="A10" s="131" t="s">
        <v>128</v>
      </c>
      <c r="B10" s="132"/>
      <c r="C10" s="132">
        <v>1.1112577197835554</v>
      </c>
      <c r="D10" s="132">
        <v>0.55549550617515786</v>
      </c>
      <c r="E10" s="132">
        <v>0.28647178563313158</v>
      </c>
      <c r="F10" s="132">
        <v>0.43864451504364704</v>
      </c>
      <c r="G10" s="132">
        <v>0.87404701400167395</v>
      </c>
      <c r="H10" s="132">
        <v>1.0255901727014356</v>
      </c>
      <c r="I10" s="132">
        <v>2.0882814904760427</v>
      </c>
      <c r="J10" s="132">
        <v>1.8104632734474098</v>
      </c>
      <c r="K10" s="132">
        <v>0.20899029882237199</v>
      </c>
      <c r="L10" s="132">
        <v>0.47166922256107446</v>
      </c>
      <c r="M10" s="132">
        <v>1.1689896695713575</v>
      </c>
      <c r="N10" s="132">
        <v>0.61382544068919831</v>
      </c>
      <c r="O10" s="132">
        <v>0.79744486602498466</v>
      </c>
      <c r="P10" s="132">
        <v>0.5230024767625433</v>
      </c>
      <c r="Q10" s="132">
        <v>0.14002092595791946</v>
      </c>
      <c r="R10" s="132">
        <v>0</v>
      </c>
      <c r="S10" s="132">
        <v>0</v>
      </c>
      <c r="T10" s="132">
        <v>0</v>
      </c>
      <c r="U10" s="132">
        <v>0.12939885838824677</v>
      </c>
      <c r="V10" s="132">
        <v>0.10789449731981236</v>
      </c>
      <c r="W10" s="132">
        <v>0.1589428392060622</v>
      </c>
      <c r="X10" s="132">
        <v>0.1067560467912692</v>
      </c>
      <c r="Y10" s="132">
        <v>0.12244513768799943</v>
      </c>
      <c r="DA10" s="156" t="s">
        <v>607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608</v>
      </c>
    </row>
    <row r="12" spans="1:105" ht="12" customHeight="1" x14ac:dyDescent="0.25">
      <c r="A12" s="131" t="s">
        <v>162</v>
      </c>
      <c r="B12" s="132"/>
      <c r="C12" s="132">
        <v>8.04075929436347</v>
      </c>
      <c r="D12" s="132">
        <v>6.7487410665537135</v>
      </c>
      <c r="E12" s="132">
        <v>11.060096974140396</v>
      </c>
      <c r="F12" s="132">
        <v>7.8486777505180676</v>
      </c>
      <c r="G12" s="132">
        <v>8.6756913223832512</v>
      </c>
      <c r="H12" s="132">
        <v>5.7514197653494383</v>
      </c>
      <c r="I12" s="132">
        <v>19.675893124085157</v>
      </c>
      <c r="J12" s="132">
        <v>6.7163187480805755</v>
      </c>
      <c r="K12" s="132">
        <v>0.49057023637505648</v>
      </c>
      <c r="L12" s="132">
        <v>1.9727872797152624</v>
      </c>
      <c r="M12" s="132">
        <v>2.9626784819230609</v>
      </c>
      <c r="N12" s="132">
        <v>1.6330051931290999</v>
      </c>
      <c r="O12" s="132">
        <v>1.5650417176893294</v>
      </c>
      <c r="P12" s="132">
        <v>2.5562031248508394</v>
      </c>
      <c r="Q12" s="132">
        <v>1.31007243044944</v>
      </c>
      <c r="R12" s="132">
        <v>1.2918419524262821</v>
      </c>
      <c r="S12" s="132">
        <v>1.6916121096156729</v>
      </c>
      <c r="T12" s="132">
        <v>1.0411249248231025</v>
      </c>
      <c r="U12" s="132">
        <v>0.79348029083095417</v>
      </c>
      <c r="V12" s="132">
        <v>0.8538925342304714</v>
      </c>
      <c r="W12" s="132">
        <v>0.58657590797608028</v>
      </c>
      <c r="X12" s="132">
        <v>0.38644355500736616</v>
      </c>
      <c r="Y12" s="132">
        <v>0.44308568186635466</v>
      </c>
      <c r="DA12" s="156" t="s">
        <v>609</v>
      </c>
    </row>
    <row r="13" spans="1:105" ht="12" customHeight="1" x14ac:dyDescent="0.25">
      <c r="A13" s="131" t="s">
        <v>77</v>
      </c>
      <c r="B13" s="132"/>
      <c r="C13" s="132">
        <v>1.360186550553861E-3</v>
      </c>
      <c r="D13" s="132">
        <v>2.9203640989784777E-3</v>
      </c>
      <c r="E13" s="132">
        <v>5.5376896202389793E-3</v>
      </c>
      <c r="F13" s="132">
        <v>5.2081544034320044E-3</v>
      </c>
      <c r="G13" s="132">
        <v>6.4589780646681335E-3</v>
      </c>
      <c r="H13" s="132">
        <v>6.7108863932581666E-3</v>
      </c>
      <c r="I13" s="132">
        <v>1.2179098238038821E-2</v>
      </c>
      <c r="J13" s="132">
        <v>1.4183748064674562E-2</v>
      </c>
      <c r="K13" s="132">
        <v>1.6025011340104337E-3</v>
      </c>
      <c r="L13" s="132">
        <v>4.4356534752982351E-3</v>
      </c>
      <c r="M13" s="132">
        <v>1.7879168734863268E-2</v>
      </c>
      <c r="N13" s="132">
        <v>1.5276803566054634E-2</v>
      </c>
      <c r="O13" s="132">
        <v>2.1660869366495895E-2</v>
      </c>
      <c r="P13" s="132">
        <v>4.7175288220935932E-2</v>
      </c>
      <c r="Q13" s="132">
        <v>1.4648552622752076E-2</v>
      </c>
      <c r="R13" s="132">
        <v>4.8407223127687913E-3</v>
      </c>
      <c r="S13" s="132">
        <v>1.1682624901122258E-3</v>
      </c>
      <c r="T13" s="132">
        <v>2.420070485337484E-3</v>
      </c>
      <c r="U13" s="132">
        <v>7.0771116850736875E-3</v>
      </c>
      <c r="V13" s="132">
        <v>7.7702749853594448E-3</v>
      </c>
      <c r="W13" s="132">
        <v>1.5921792019850299E-2</v>
      </c>
      <c r="X13" s="132">
        <v>1.2058876114321116E-2</v>
      </c>
      <c r="Y13" s="132">
        <v>1.1816677763472042E-2</v>
      </c>
      <c r="DA13" s="156" t="s">
        <v>610</v>
      </c>
    </row>
    <row r="14" spans="1:105" ht="12" customHeight="1" x14ac:dyDescent="0.25">
      <c r="A14" s="60" t="s">
        <v>76</v>
      </c>
      <c r="B14" s="65"/>
      <c r="C14" s="65">
        <v>1.1851309675361228</v>
      </c>
      <c r="D14" s="65">
        <v>2.2368622421273483</v>
      </c>
      <c r="E14" s="65">
        <v>4.0761522477184799</v>
      </c>
      <c r="F14" s="65">
        <v>2.5866969520736141</v>
      </c>
      <c r="G14" s="65">
        <v>2.0700034338452644</v>
      </c>
      <c r="H14" s="65">
        <v>1.8762115894745752</v>
      </c>
      <c r="I14" s="65">
        <v>1.6409612183758546</v>
      </c>
      <c r="J14" s="65">
        <v>0.851944902177869</v>
      </c>
      <c r="K14" s="65">
        <v>0</v>
      </c>
      <c r="L14" s="65">
        <v>0</v>
      </c>
      <c r="M14" s="65">
        <v>0</v>
      </c>
      <c r="N14" s="65">
        <v>0.30053045450597082</v>
      </c>
      <c r="O14" s="65">
        <v>2.8673441509940823E-2</v>
      </c>
      <c r="P14" s="65">
        <v>0</v>
      </c>
      <c r="Q14" s="65">
        <v>2.4153462076633121E-2</v>
      </c>
      <c r="R14" s="65">
        <v>0.41105878938081231</v>
      </c>
      <c r="S14" s="65">
        <v>0.25780074739140307</v>
      </c>
      <c r="T14" s="65">
        <v>0.73853281375318303</v>
      </c>
      <c r="U14" s="65">
        <v>0.41065620313697693</v>
      </c>
      <c r="V14" s="65">
        <v>0.12001627900971434</v>
      </c>
      <c r="W14" s="65">
        <v>2.1657709338657842E-2</v>
      </c>
      <c r="X14" s="65">
        <v>0</v>
      </c>
      <c r="Y14" s="65">
        <v>0</v>
      </c>
      <c r="DA14" s="109" t="s">
        <v>611</v>
      </c>
    </row>
    <row r="15" spans="1:105" ht="12" customHeight="1" x14ac:dyDescent="0.25">
      <c r="A15" s="133" t="s">
        <v>80</v>
      </c>
      <c r="B15" s="134"/>
      <c r="C15" s="134">
        <v>5.4272158577734202E-2</v>
      </c>
      <c r="D15" s="134">
        <v>6.4659491150993245E-2</v>
      </c>
      <c r="E15" s="134">
        <v>8.1345102377038014E-2</v>
      </c>
      <c r="F15" s="134">
        <v>8.2479995778316495E-2</v>
      </c>
      <c r="G15" s="134">
        <v>8.2205459627634064E-2</v>
      </c>
      <c r="H15" s="134">
        <v>6.3645031149085221E-2</v>
      </c>
      <c r="I15" s="134">
        <v>0.14225147888792616</v>
      </c>
      <c r="J15" s="134">
        <v>6.083012038550728E-2</v>
      </c>
      <c r="K15" s="134">
        <v>5.617943013258575E-3</v>
      </c>
      <c r="L15" s="134">
        <v>1.7278327978987006E-2</v>
      </c>
      <c r="M15" s="134">
        <v>2.9577594053084764E-2</v>
      </c>
      <c r="N15" s="134">
        <v>1.6854972974048275E-2</v>
      </c>
      <c r="O15" s="134">
        <v>2.182707507054571E-2</v>
      </c>
      <c r="P15" s="134">
        <v>2.2266041551333576E-2</v>
      </c>
      <c r="Q15" s="134">
        <v>1.4239126631997057E-2</v>
      </c>
      <c r="R15" s="134">
        <v>1.1776027086257249E-2</v>
      </c>
      <c r="S15" s="134">
        <v>1.3666492901213715E-2</v>
      </c>
      <c r="T15" s="134">
        <v>1.2328822977644463E-2</v>
      </c>
      <c r="U15" s="134">
        <v>1.1038897417122683E-2</v>
      </c>
      <c r="V15" s="134">
        <v>6.2507299622273915E-3</v>
      </c>
      <c r="W15" s="134">
        <v>7.931996266464755E-3</v>
      </c>
      <c r="X15" s="134">
        <v>6.2971279408461003E-3</v>
      </c>
      <c r="Y15" s="134">
        <v>6.5523040116049897E-3</v>
      </c>
      <c r="DA15" s="157" t="s">
        <v>612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0.21463707771101612</v>
      </c>
      <c r="D16" s="130">
        <f t="shared" si="6"/>
        <v>0.24714328738423644</v>
      </c>
      <c r="E16" s="130">
        <f t="shared" si="6"/>
        <v>0.22291344864237836</v>
      </c>
      <c r="F16" s="130">
        <f t="shared" si="6"/>
        <v>0.23106281328426437</v>
      </c>
      <c r="G16" s="130">
        <f t="shared" si="6"/>
        <v>0.24157334134374217</v>
      </c>
      <c r="H16" s="130">
        <f t="shared" si="6"/>
        <v>0.28620653153383707</v>
      </c>
      <c r="I16" s="130">
        <f t="shared" si="6"/>
        <v>0.30087709931357531</v>
      </c>
      <c r="J16" s="130">
        <f t="shared" si="6"/>
        <v>0.29497815323945048</v>
      </c>
      <c r="K16" s="130">
        <f t="shared" si="6"/>
        <v>7.9751138003967104E-2</v>
      </c>
      <c r="L16" s="130">
        <f t="shared" si="6"/>
        <v>0.24294297121598549</v>
      </c>
      <c r="M16" s="130">
        <f t="shared" si="6"/>
        <v>0.24552338579859323</v>
      </c>
      <c r="N16" s="130">
        <f t="shared" si="6"/>
        <v>0.2494783677584789</v>
      </c>
      <c r="O16" s="130">
        <f t="shared" si="6"/>
        <v>0.2449870288378562</v>
      </c>
      <c r="P16" s="130">
        <f t="shared" si="6"/>
        <v>0.28894291214879886</v>
      </c>
      <c r="Q16" s="130">
        <f t="shared" si="6"/>
        <v>0.20953824664610285</v>
      </c>
      <c r="R16" s="130">
        <f t="shared" ref="R16:W16" si="7">SUM(R17:R18)</f>
        <v>0.2079541063271334</v>
      </c>
      <c r="S16" s="130">
        <f t="shared" si="7"/>
        <v>0.22491180128209229</v>
      </c>
      <c r="T16" s="130">
        <f t="shared" si="7"/>
        <v>0.21752243682024611</v>
      </c>
      <c r="U16" s="130">
        <f t="shared" si="7"/>
        <v>0.17895557348646204</v>
      </c>
      <c r="V16" s="130">
        <f t="shared" si="7"/>
        <v>0.13569046550940833</v>
      </c>
      <c r="W16" s="130">
        <f t="shared" si="7"/>
        <v>0.12408213256899157</v>
      </c>
      <c r="X16" s="130">
        <f t="shared" ref="X16:Y16" si="8">SUM(X17:X18)</f>
        <v>8.7931406599660089E-2</v>
      </c>
      <c r="Y16" s="130">
        <f t="shared" si="8"/>
        <v>8.4185253083274958E-2</v>
      </c>
      <c r="DA16" s="155" t="s">
        <v>613</v>
      </c>
    </row>
    <row r="17" spans="1:105" ht="12.95" customHeight="1" x14ac:dyDescent="0.25">
      <c r="A17" s="131" t="s">
        <v>73</v>
      </c>
      <c r="B17" s="132"/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614</v>
      </c>
    </row>
    <row r="18" spans="1:105" ht="12" customHeight="1" x14ac:dyDescent="0.25">
      <c r="A18" s="131" t="s">
        <v>72</v>
      </c>
      <c r="B18" s="132"/>
      <c r="C18" s="132">
        <v>0.21463707771101612</v>
      </c>
      <c r="D18" s="132">
        <v>0.24714328738423644</v>
      </c>
      <c r="E18" s="132">
        <v>0.22291344864237836</v>
      </c>
      <c r="F18" s="132">
        <v>0.23106281328426437</v>
      </c>
      <c r="G18" s="132">
        <v>0.24157334134374217</v>
      </c>
      <c r="H18" s="132">
        <v>0.28620653153383707</v>
      </c>
      <c r="I18" s="132">
        <v>0.30087709931357531</v>
      </c>
      <c r="J18" s="132">
        <v>0.29497815323945048</v>
      </c>
      <c r="K18" s="132">
        <v>7.9751138003967104E-2</v>
      </c>
      <c r="L18" s="132">
        <v>0.24294297121598549</v>
      </c>
      <c r="M18" s="132">
        <v>0.24552338579859323</v>
      </c>
      <c r="N18" s="132">
        <v>0.2494783677584789</v>
      </c>
      <c r="O18" s="132">
        <v>0.2449870288378562</v>
      </c>
      <c r="P18" s="132">
        <v>0.28894291214879886</v>
      </c>
      <c r="Q18" s="132">
        <v>0.20953824664610285</v>
      </c>
      <c r="R18" s="132">
        <v>0.2079541063271334</v>
      </c>
      <c r="S18" s="132">
        <v>0.22491180128209229</v>
      </c>
      <c r="T18" s="132">
        <v>0.21752243682024611</v>
      </c>
      <c r="U18" s="132">
        <v>0.17895557348646204</v>
      </c>
      <c r="V18" s="132">
        <v>0.13569046550940833</v>
      </c>
      <c r="W18" s="132">
        <v>0.12408213256899157</v>
      </c>
      <c r="X18" s="132">
        <v>8.7931406599660089E-2</v>
      </c>
      <c r="Y18" s="132">
        <v>8.4185253083274958E-2</v>
      </c>
      <c r="DA18" s="156" t="s">
        <v>615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1.4990254315238127</v>
      </c>
      <c r="D19" s="130">
        <f t="shared" si="9"/>
        <v>1.796665267824066</v>
      </c>
      <c r="E19" s="130">
        <f t="shared" si="9"/>
        <v>2.5704320612002487</v>
      </c>
      <c r="F19" s="130">
        <f t="shared" si="9"/>
        <v>2.2719652271299866</v>
      </c>
      <c r="G19" s="130">
        <f t="shared" si="9"/>
        <v>2.6104172212402852</v>
      </c>
      <c r="H19" s="130">
        <f t="shared" si="9"/>
        <v>1.9755014207847044</v>
      </c>
      <c r="I19" s="130">
        <f t="shared" si="9"/>
        <v>4.9011786894255476</v>
      </c>
      <c r="J19" s="130">
        <f t="shared" si="9"/>
        <v>2.3916946666597632</v>
      </c>
      <c r="K19" s="130">
        <f t="shared" si="9"/>
        <v>0.21131721789976377</v>
      </c>
      <c r="L19" s="130">
        <f t="shared" si="9"/>
        <v>0.68186057270858846</v>
      </c>
      <c r="M19" s="130">
        <f t="shared" si="9"/>
        <v>1.2942537608311864</v>
      </c>
      <c r="N19" s="130">
        <f t="shared" si="9"/>
        <v>0.7449306639509774</v>
      </c>
      <c r="O19" s="130">
        <f t="shared" si="9"/>
        <v>0.88798781821838324</v>
      </c>
      <c r="P19" s="130">
        <f t="shared" si="9"/>
        <v>1.0981159784242587</v>
      </c>
      <c r="Q19" s="130">
        <f t="shared" si="9"/>
        <v>0.62885349927134304</v>
      </c>
      <c r="R19" s="130">
        <f t="shared" ref="R19:W19" si="10">SUM(R20:R27)</f>
        <v>0.65850832245491042</v>
      </c>
      <c r="S19" s="130">
        <f t="shared" si="10"/>
        <v>0.73357755260268331</v>
      </c>
      <c r="T19" s="130">
        <f t="shared" si="10"/>
        <v>0.66045769929482412</v>
      </c>
      <c r="U19" s="130">
        <f t="shared" si="10"/>
        <v>0.56643312338441065</v>
      </c>
      <c r="V19" s="130">
        <f t="shared" si="10"/>
        <v>0.39654062508733934</v>
      </c>
      <c r="W19" s="130">
        <f t="shared" si="10"/>
        <v>0.34130847938605924</v>
      </c>
      <c r="X19" s="130">
        <f t="shared" ref="X19:Y19" si="11">SUM(X20:X27)</f>
        <v>0.27229142832351183</v>
      </c>
      <c r="Y19" s="130">
        <f t="shared" si="11"/>
        <v>0.27431677990543774</v>
      </c>
      <c r="DA19" s="155" t="s">
        <v>616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617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618</v>
      </c>
    </row>
    <row r="22" spans="1:105" ht="12" customHeight="1" x14ac:dyDescent="0.25">
      <c r="A22" s="131" t="s">
        <v>161</v>
      </c>
      <c r="B22" s="132"/>
      <c r="C22" s="132">
        <v>0</v>
      </c>
      <c r="D22" s="132">
        <v>0</v>
      </c>
      <c r="E22" s="132">
        <v>0</v>
      </c>
      <c r="F22" s="132">
        <v>0</v>
      </c>
      <c r="G22" s="132">
        <v>0</v>
      </c>
      <c r="H22" s="132">
        <v>0</v>
      </c>
      <c r="I22" s="132">
        <v>0</v>
      </c>
      <c r="J22" s="132">
        <v>0</v>
      </c>
      <c r="K22" s="132">
        <v>9.526227570102393E-4</v>
      </c>
      <c r="L22" s="132">
        <v>9.6862921740625864E-3</v>
      </c>
      <c r="M22" s="132">
        <v>1.8441440883569856E-2</v>
      </c>
      <c r="N22" s="132">
        <v>1.4019744797308401E-2</v>
      </c>
      <c r="O22" s="132">
        <v>1.8376652445098458E-2</v>
      </c>
      <c r="P22" s="132">
        <v>0</v>
      </c>
      <c r="Q22" s="132">
        <v>6.8513147736615546E-4</v>
      </c>
      <c r="R22" s="132">
        <v>0</v>
      </c>
      <c r="S22" s="132">
        <v>1.6027438484325486E-4</v>
      </c>
      <c r="T22" s="132">
        <v>9.592531262547187E-5</v>
      </c>
      <c r="U22" s="132">
        <v>4.3684985470342644E-3</v>
      </c>
      <c r="V22" s="132">
        <v>4.8085636641491854E-3</v>
      </c>
      <c r="W22" s="132">
        <v>2.4499961080759903E-3</v>
      </c>
      <c r="X22" s="132">
        <v>0</v>
      </c>
      <c r="Y22" s="132">
        <v>0</v>
      </c>
      <c r="DA22" s="156" t="s">
        <v>619</v>
      </c>
    </row>
    <row r="23" spans="1:105" ht="12" customHeight="1" x14ac:dyDescent="0.25">
      <c r="A23" s="131" t="s">
        <v>149</v>
      </c>
      <c r="B23" s="132"/>
      <c r="C23" s="132">
        <v>6.7345902557098547E-2</v>
      </c>
      <c r="D23" s="132">
        <v>0.11464952973434916</v>
      </c>
      <c r="E23" s="132">
        <v>0.13813871825749741</v>
      </c>
      <c r="F23" s="132">
        <v>0.1840701059699914</v>
      </c>
      <c r="G23" s="132">
        <v>0.21653129661507811</v>
      </c>
      <c r="H23" s="132">
        <v>0.26446344257607496</v>
      </c>
      <c r="I23" s="132">
        <v>0.63866395660116504</v>
      </c>
      <c r="J23" s="132">
        <v>0.34041435303108047</v>
      </c>
      <c r="K23" s="132">
        <v>2.6360988743113028E-2</v>
      </c>
      <c r="L23" s="132">
        <v>3.7952604969874924E-2</v>
      </c>
      <c r="M23" s="132">
        <v>5.7898165172990068E-2</v>
      </c>
      <c r="N23" s="132">
        <v>3.3905798034213959E-2</v>
      </c>
      <c r="O23" s="132">
        <v>4.5485667879836246E-2</v>
      </c>
      <c r="P23" s="132">
        <v>6.4588374697447215E-2</v>
      </c>
      <c r="Q23" s="132">
        <v>6.9090351188388313E-2</v>
      </c>
      <c r="R23" s="132">
        <v>7.9910380322892022E-2</v>
      </c>
      <c r="S23" s="132">
        <v>7.1992937717861111E-2</v>
      </c>
      <c r="T23" s="132">
        <v>8.4505456340260021E-2</v>
      </c>
      <c r="U23" s="132">
        <v>7.3702511985451025E-2</v>
      </c>
      <c r="V23" s="132">
        <v>6.9016078003245884E-2</v>
      </c>
      <c r="W23" s="132">
        <v>3.9769750136023206E-2</v>
      </c>
      <c r="X23" s="132">
        <v>2.861899458317637E-2</v>
      </c>
      <c r="Y23" s="132">
        <v>2.2727997777341455E-2</v>
      </c>
      <c r="DA23" s="156" t="s">
        <v>620</v>
      </c>
    </row>
    <row r="24" spans="1:105" ht="12" customHeight="1" x14ac:dyDescent="0.25">
      <c r="A24" s="131" t="s">
        <v>128</v>
      </c>
      <c r="B24" s="132"/>
      <c r="C24" s="132">
        <v>6.1897377387276464E-2</v>
      </c>
      <c r="D24" s="132">
        <v>5.6191439417067522E-2</v>
      </c>
      <c r="E24" s="132">
        <v>7.8320701492906389E-2</v>
      </c>
      <c r="F24" s="132">
        <v>8.2864328683986146E-2</v>
      </c>
      <c r="G24" s="132">
        <v>8.8142095988564068E-2</v>
      </c>
      <c r="H24" s="132">
        <v>7.9290920161809469E-2</v>
      </c>
      <c r="I24" s="132">
        <v>0.10430358332441565</v>
      </c>
      <c r="J24" s="132">
        <v>7.6192092051943161E-2</v>
      </c>
      <c r="K24" s="132">
        <v>1.0459183499740649E-2</v>
      </c>
      <c r="L24" s="132">
        <v>2.9801433710766042E-2</v>
      </c>
      <c r="M24" s="132">
        <v>5.2088461283463908E-2</v>
      </c>
      <c r="N24" s="132">
        <v>3.241115937663247E-2</v>
      </c>
      <c r="O24" s="132">
        <v>3.6472690989854534E-2</v>
      </c>
      <c r="P24" s="132">
        <v>3.3545279845472481E-2</v>
      </c>
      <c r="Q24" s="132">
        <v>1.1002490559967567E-2</v>
      </c>
      <c r="R24" s="132">
        <v>4.1169166142513312E-3</v>
      </c>
      <c r="S24" s="132">
        <v>0</v>
      </c>
      <c r="T24" s="132">
        <v>1.1809622524107393E-2</v>
      </c>
      <c r="U24" s="132">
        <v>1.2571227518406693E-2</v>
      </c>
      <c r="V24" s="132">
        <v>1.3115588756479325E-2</v>
      </c>
      <c r="W24" s="132">
        <v>1.0084115785377743E-2</v>
      </c>
      <c r="X24" s="132">
        <v>8.2476595918530501E-3</v>
      </c>
      <c r="Y24" s="132">
        <v>7.3875651517035833E-3</v>
      </c>
      <c r="DA24" s="156" t="s">
        <v>621</v>
      </c>
    </row>
    <row r="25" spans="1:105" ht="12" customHeight="1" x14ac:dyDescent="0.25">
      <c r="A25" s="131" t="s">
        <v>162</v>
      </c>
      <c r="B25" s="132"/>
      <c r="C25" s="132">
        <v>0.70174205540295498</v>
      </c>
      <c r="D25" s="132">
        <v>0.71327213628726704</v>
      </c>
      <c r="E25" s="132">
        <v>1.3256154725437823</v>
      </c>
      <c r="F25" s="132">
        <v>1.1422642669022256</v>
      </c>
      <c r="G25" s="132">
        <v>1.2268310814882912</v>
      </c>
      <c r="H25" s="132">
        <v>0.79960536271584826</v>
      </c>
      <c r="I25" s="132">
        <v>2.1198259886732411</v>
      </c>
      <c r="J25" s="132">
        <v>1.1277270751773147</v>
      </c>
      <c r="K25" s="132">
        <v>0.10441503598186844</v>
      </c>
      <c r="L25" s="132">
        <v>0.43762659395509368</v>
      </c>
      <c r="M25" s="132">
        <v>0.77127438394615311</v>
      </c>
      <c r="N25" s="132">
        <v>0.39892067999615483</v>
      </c>
      <c r="O25" s="132">
        <v>0.54642582381619698</v>
      </c>
      <c r="P25" s="132">
        <v>0.81186332152014051</v>
      </c>
      <c r="Q25" s="132">
        <v>0.4884479728722062</v>
      </c>
      <c r="R25" s="132">
        <v>0.40939197849598163</v>
      </c>
      <c r="S25" s="132">
        <v>0.36062659465487795</v>
      </c>
      <c r="T25" s="132">
        <v>0.24382153982705981</v>
      </c>
      <c r="U25" s="132">
        <v>0.19014624958966797</v>
      </c>
      <c r="V25" s="132">
        <v>0.14140006635799929</v>
      </c>
      <c r="W25" s="132">
        <v>0.15299588077899764</v>
      </c>
      <c r="X25" s="132">
        <v>0.12927902652916967</v>
      </c>
      <c r="Y25" s="132">
        <v>0.13162434869642647</v>
      </c>
      <c r="DA25" s="156" t="s">
        <v>622</v>
      </c>
    </row>
    <row r="26" spans="1:105" ht="12" customHeight="1" x14ac:dyDescent="0.25">
      <c r="A26" s="131" t="s">
        <v>24</v>
      </c>
      <c r="B26" s="65"/>
      <c r="C26" s="65">
        <v>0.66804009617648286</v>
      </c>
      <c r="D26" s="65">
        <v>0.91255216238538228</v>
      </c>
      <c r="E26" s="65">
        <v>1.0283571689060627</v>
      </c>
      <c r="F26" s="65">
        <v>0.86276652557378364</v>
      </c>
      <c r="G26" s="65">
        <v>1.0789127471483517</v>
      </c>
      <c r="H26" s="65">
        <v>0.8321416953309716</v>
      </c>
      <c r="I26" s="65">
        <v>2.0383851608267261</v>
      </c>
      <c r="J26" s="65">
        <v>0.84736114639942473</v>
      </c>
      <c r="K26" s="65">
        <v>6.9129386918031402E-2</v>
      </c>
      <c r="L26" s="65">
        <v>0.1667936478987912</v>
      </c>
      <c r="M26" s="65">
        <v>0.39455130954500939</v>
      </c>
      <c r="N26" s="65">
        <v>0.26567328174666771</v>
      </c>
      <c r="O26" s="65">
        <v>0.24122698308739698</v>
      </c>
      <c r="P26" s="65">
        <v>0.18811900236119855</v>
      </c>
      <c r="Q26" s="65">
        <v>5.9627553173414893E-2</v>
      </c>
      <c r="R26" s="65">
        <v>0.16508904702178542</v>
      </c>
      <c r="S26" s="65">
        <v>0.30079774584510105</v>
      </c>
      <c r="T26" s="65">
        <v>0.3202251552907715</v>
      </c>
      <c r="U26" s="65">
        <v>0.28564463574385063</v>
      </c>
      <c r="V26" s="65">
        <v>0.16820032830546569</v>
      </c>
      <c r="W26" s="65">
        <v>0.13600873657758467</v>
      </c>
      <c r="X26" s="65">
        <v>0.1061457476193127</v>
      </c>
      <c r="Y26" s="65">
        <v>0.11257686827996621</v>
      </c>
      <c r="DA26" s="109" t="s">
        <v>623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624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1.6210299492727258</v>
      </c>
      <c r="D29" s="130">
        <f t="shared" si="12"/>
        <v>1.9339311811013382</v>
      </c>
      <c r="E29" s="130">
        <f t="shared" si="12"/>
        <v>2.7461847720078678</v>
      </c>
      <c r="F29" s="130">
        <f t="shared" si="12"/>
        <v>2.3247065634217723</v>
      </c>
      <c r="G29" s="130">
        <f t="shared" si="12"/>
        <v>2.7893494205493274</v>
      </c>
      <c r="H29" s="130">
        <f t="shared" si="12"/>
        <v>2.0839080956905844</v>
      </c>
      <c r="I29" s="130">
        <f t="shared" si="12"/>
        <v>5.1498341379789334</v>
      </c>
      <c r="J29" s="130">
        <f t="shared" si="12"/>
        <v>2.4914353275375225</v>
      </c>
      <c r="K29" s="130">
        <f t="shared" si="12"/>
        <v>0.21530794211837134</v>
      </c>
      <c r="L29" s="130">
        <f t="shared" si="12"/>
        <v>0.66929197808722729</v>
      </c>
      <c r="M29" s="130">
        <f t="shared" si="12"/>
        <v>1.1965904227127939</v>
      </c>
      <c r="N29" s="130">
        <f t="shared" si="12"/>
        <v>0.72472326530844289</v>
      </c>
      <c r="O29" s="130">
        <f t="shared" si="12"/>
        <v>0.88229006666612375</v>
      </c>
      <c r="P29" s="130">
        <f t="shared" si="12"/>
        <v>1.1483483179474088</v>
      </c>
      <c r="Q29" s="130">
        <f t="shared" si="12"/>
        <v>0.6575014461451596</v>
      </c>
      <c r="R29" s="130">
        <f t="shared" ref="R29:W29" si="13">SUM(R30:R33)</f>
        <v>0.70322069689845246</v>
      </c>
      <c r="S29" s="130">
        <f t="shared" si="13"/>
        <v>0.75909836688456767</v>
      </c>
      <c r="T29" s="130">
        <f t="shared" si="13"/>
        <v>0.67589338371103924</v>
      </c>
      <c r="U29" s="130">
        <f t="shared" si="13"/>
        <v>0.6098688019379791</v>
      </c>
      <c r="V29" s="130">
        <f t="shared" si="13"/>
        <v>0.45623231732032915</v>
      </c>
      <c r="W29" s="130">
        <f t="shared" si="13"/>
        <v>0.39967262289336813</v>
      </c>
      <c r="X29" s="130">
        <f t="shared" ref="X29:Y29" si="14">SUM(X30:X33)</f>
        <v>0.32014891511640708</v>
      </c>
      <c r="Y29" s="130">
        <f t="shared" si="14"/>
        <v>0.32961397437161111</v>
      </c>
      <c r="DA29" s="155" t="s">
        <v>625</v>
      </c>
    </row>
    <row r="30" spans="1:105" s="2" customFormat="1" ht="12" customHeight="1" x14ac:dyDescent="0.25">
      <c r="A30" s="131" t="s">
        <v>52</v>
      </c>
      <c r="B30" s="132"/>
      <c r="C30" s="132">
        <v>0</v>
      </c>
      <c r="D30" s="132">
        <v>0</v>
      </c>
      <c r="E30" s="132">
        <v>0</v>
      </c>
      <c r="F30" s="132">
        <v>0</v>
      </c>
      <c r="G30" s="132">
        <v>0</v>
      </c>
      <c r="H30" s="132">
        <v>0</v>
      </c>
      <c r="I30" s="132">
        <v>0</v>
      </c>
      <c r="J30" s="132">
        <v>0</v>
      </c>
      <c r="K30" s="132">
        <v>0</v>
      </c>
      <c r="L30" s="132">
        <v>0</v>
      </c>
      <c r="M30" s="132">
        <v>0</v>
      </c>
      <c r="N30" s="132">
        <v>0</v>
      </c>
      <c r="O30" s="132">
        <v>0</v>
      </c>
      <c r="P30" s="132">
        <v>0</v>
      </c>
      <c r="Q30" s="132">
        <v>0</v>
      </c>
      <c r="R30" s="132">
        <v>0</v>
      </c>
      <c r="S30" s="132">
        <v>0</v>
      </c>
      <c r="T30" s="132">
        <v>0</v>
      </c>
      <c r="U30" s="132">
        <v>0</v>
      </c>
      <c r="V30" s="132">
        <v>0</v>
      </c>
      <c r="W30" s="132">
        <v>0</v>
      </c>
      <c r="X30" s="132">
        <v>0</v>
      </c>
      <c r="Y30" s="132">
        <v>0</v>
      </c>
      <c r="DA30" s="156" t="s">
        <v>626</v>
      </c>
    </row>
    <row r="31" spans="1:105" ht="12" customHeight="1" x14ac:dyDescent="0.25">
      <c r="A31" s="131" t="s">
        <v>149</v>
      </c>
      <c r="B31" s="132"/>
      <c r="C31" s="132">
        <v>0.49187150582126649</v>
      </c>
      <c r="D31" s="132">
        <v>0.61190240793000716</v>
      </c>
      <c r="E31" s="132">
        <v>0.6145024392132401</v>
      </c>
      <c r="F31" s="132">
        <v>0.3409902731907839</v>
      </c>
      <c r="G31" s="132">
        <v>0.59304859036349311</v>
      </c>
      <c r="H31" s="132">
        <v>0.62624593697983633</v>
      </c>
      <c r="I31" s="132">
        <v>1.7076788890831283</v>
      </c>
      <c r="J31" s="132">
        <v>0.8812208786836595</v>
      </c>
      <c r="K31" s="132">
        <v>6.1441367425460469E-2</v>
      </c>
      <c r="L31" s="132">
        <v>5.3316388086933009E-2</v>
      </c>
      <c r="M31" s="132">
        <v>0</v>
      </c>
      <c r="N31" s="132">
        <v>0</v>
      </c>
      <c r="O31" s="132">
        <v>0</v>
      </c>
      <c r="P31" s="132">
        <v>7.7979806748325844E-2</v>
      </c>
      <c r="Q31" s="132">
        <v>0.16444586888531154</v>
      </c>
      <c r="R31" s="132">
        <v>0.19187586623168154</v>
      </c>
      <c r="S31" s="132">
        <v>0.1248423950665522</v>
      </c>
      <c r="T31" s="132">
        <v>8.4263780332338376E-2</v>
      </c>
      <c r="U31" s="132">
        <v>0</v>
      </c>
      <c r="V31" s="132">
        <v>0</v>
      </c>
      <c r="W31" s="132">
        <v>1.0038182299722517E-2</v>
      </c>
      <c r="X31" s="132">
        <v>5.7755378864429677E-2</v>
      </c>
      <c r="Y31" s="132">
        <v>8.2495576209918181E-2</v>
      </c>
      <c r="DA31" s="156" t="s">
        <v>627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0.28237163587397229</v>
      </c>
      <c r="H32" s="132">
        <v>7.1453750454284468E-2</v>
      </c>
      <c r="I32" s="132">
        <v>7.3105968046264583E-2</v>
      </c>
      <c r="J32" s="132">
        <v>0.13203853063737592</v>
      </c>
      <c r="K32" s="132">
        <v>6.4067265182420248E-4</v>
      </c>
      <c r="L32" s="132">
        <v>2.8251076530671788E-2</v>
      </c>
      <c r="M32" s="132">
        <v>0</v>
      </c>
      <c r="N32" s="132">
        <v>6.4062011053488514E-3</v>
      </c>
      <c r="O32" s="132">
        <v>0</v>
      </c>
      <c r="P32" s="132">
        <v>1.8440777465472048E-2</v>
      </c>
      <c r="Q32" s="132">
        <v>2.027286088303239E-2</v>
      </c>
      <c r="R32" s="132">
        <v>4.094261656121894E-2</v>
      </c>
      <c r="S32" s="132">
        <v>5.096585961508459E-2</v>
      </c>
      <c r="T32" s="132">
        <v>3.8481330958650584E-2</v>
      </c>
      <c r="U32" s="132">
        <v>4.7132194423330644E-2</v>
      </c>
      <c r="V32" s="132">
        <v>3.6762284538098725E-2</v>
      </c>
      <c r="W32" s="132">
        <v>4.444748057891322E-2</v>
      </c>
      <c r="X32" s="132">
        <v>1.279907644437463E-2</v>
      </c>
      <c r="Y32" s="132">
        <v>1.0185354602503839E-2</v>
      </c>
      <c r="DA32" s="156" t="s">
        <v>628</v>
      </c>
    </row>
    <row r="33" spans="1:105" ht="12" customHeight="1" x14ac:dyDescent="0.25">
      <c r="A33" s="62" t="s">
        <v>24</v>
      </c>
      <c r="B33" s="68"/>
      <c r="C33" s="68">
        <v>1.1291584434514594</v>
      </c>
      <c r="D33" s="68">
        <v>1.3220287731713309</v>
      </c>
      <c r="E33" s="68">
        <v>2.1316823327946275</v>
      </c>
      <c r="F33" s="68">
        <v>1.9837162902309882</v>
      </c>
      <c r="G33" s="68">
        <v>1.9139291943118621</v>
      </c>
      <c r="H33" s="68">
        <v>1.3862084082564634</v>
      </c>
      <c r="I33" s="68">
        <v>3.36904928084954</v>
      </c>
      <c r="J33" s="68">
        <v>1.4781759182164871</v>
      </c>
      <c r="K33" s="68">
        <v>0.15322590204108669</v>
      </c>
      <c r="L33" s="68">
        <v>0.58772451346962251</v>
      </c>
      <c r="M33" s="68">
        <v>1.1965904227127939</v>
      </c>
      <c r="N33" s="68">
        <v>0.71831706420309405</v>
      </c>
      <c r="O33" s="68">
        <v>0.88229006666612375</v>
      </c>
      <c r="P33" s="68">
        <v>1.0519277337336108</v>
      </c>
      <c r="Q33" s="68">
        <v>0.47278271637681563</v>
      </c>
      <c r="R33" s="68">
        <v>0.470402214105552</v>
      </c>
      <c r="S33" s="68">
        <v>0.58329011220293081</v>
      </c>
      <c r="T33" s="68">
        <v>0.55314827242005027</v>
      </c>
      <c r="U33" s="68">
        <v>0.56273660751464849</v>
      </c>
      <c r="V33" s="68">
        <v>0.41947003278223044</v>
      </c>
      <c r="W33" s="68">
        <v>0.34518696001473242</v>
      </c>
      <c r="X33" s="68">
        <v>0.24959445980760278</v>
      </c>
      <c r="Y33" s="68">
        <v>0.23693304355918907</v>
      </c>
      <c r="DA33" s="111" t="s">
        <v>629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/>
      <c r="C3" s="125">
        <f t="shared" ref="C3:Q3" si="0">SUM(C4,C16,C19,C29)</f>
        <v>11.358766819775369</v>
      </c>
      <c r="D3" s="125">
        <f t="shared" si="0"/>
        <v>12.836294076836674</v>
      </c>
      <c r="E3" s="125">
        <f t="shared" si="0"/>
        <v>18.672952820505248</v>
      </c>
      <c r="F3" s="125">
        <f t="shared" si="0"/>
        <v>15.766053853798029</v>
      </c>
      <c r="G3" s="125">
        <f t="shared" si="0"/>
        <v>16.899094772211097</v>
      </c>
      <c r="H3" s="125">
        <f t="shared" si="0"/>
        <v>13.085943195573103</v>
      </c>
      <c r="I3" s="125">
        <f t="shared" si="0"/>
        <v>29.920482891230129</v>
      </c>
      <c r="J3" s="125">
        <f t="shared" si="0"/>
        <v>13.328500980882898</v>
      </c>
      <c r="K3" s="125">
        <f t="shared" si="0"/>
        <v>1.3531055786912252</v>
      </c>
      <c r="L3" s="125">
        <f t="shared" si="0"/>
        <v>4.4425377819046226</v>
      </c>
      <c r="M3" s="125">
        <f t="shared" si="0"/>
        <v>7.0101212267060573</v>
      </c>
      <c r="N3" s="125">
        <f t="shared" si="0"/>
        <v>4.6716746812610781</v>
      </c>
      <c r="O3" s="125">
        <f t="shared" si="0"/>
        <v>5.1384543496537614</v>
      </c>
      <c r="P3" s="125">
        <f t="shared" si="0"/>
        <v>6.2657184191457089</v>
      </c>
      <c r="Q3" s="125">
        <f t="shared" si="0"/>
        <v>3.7657249478789008</v>
      </c>
      <c r="R3" s="125">
        <f t="shared" ref="R3:W3" si="1">SUM(R4,R16,R19,R29)</f>
        <v>3.9861834370389211</v>
      </c>
      <c r="S3" s="125">
        <f t="shared" si="1"/>
        <v>4.4713103126451692</v>
      </c>
      <c r="T3" s="125">
        <f t="shared" si="1"/>
        <v>4.2600091733577115</v>
      </c>
      <c r="U3" s="125">
        <f t="shared" si="1"/>
        <v>3.4745396986761197</v>
      </c>
      <c r="V3" s="125">
        <f t="shared" si="1"/>
        <v>2.4756062529865672</v>
      </c>
      <c r="W3" s="125">
        <f t="shared" si="1"/>
        <v>2.2597036995943691</v>
      </c>
      <c r="X3" s="125">
        <f t="shared" ref="X3:Y3" si="2">SUM(X4,X16,X19,X29)</f>
        <v>1.6876605254050463</v>
      </c>
      <c r="Y3" s="125">
        <f t="shared" si="2"/>
        <v>1.7144649044351419</v>
      </c>
      <c r="DA3" s="154" t="s">
        <v>631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8.6712493647133169</v>
      </c>
      <c r="D4" s="130">
        <f t="shared" si="3"/>
        <v>9.6314864279020505</v>
      </c>
      <c r="E4" s="130">
        <f t="shared" si="3"/>
        <v>14.336972637399423</v>
      </c>
      <c r="F4" s="130">
        <f t="shared" si="3"/>
        <v>11.844822747176112</v>
      </c>
      <c r="G4" s="130">
        <f t="shared" si="3"/>
        <v>12.431801098411359</v>
      </c>
      <c r="H4" s="130">
        <f t="shared" si="3"/>
        <v>9.3832679638405061</v>
      </c>
      <c r="I4" s="130">
        <f t="shared" si="3"/>
        <v>22.006966493890026</v>
      </c>
      <c r="J4" s="130">
        <f t="shared" si="3"/>
        <v>8.9432262695997427</v>
      </c>
      <c r="K4" s="130">
        <f t="shared" si="3"/>
        <v>0.76166843255322869</v>
      </c>
      <c r="L4" s="130">
        <f t="shared" si="3"/>
        <v>2.5314890826664418</v>
      </c>
      <c r="M4" s="130">
        <f t="shared" si="3"/>
        <v>4.1853469889638815</v>
      </c>
      <c r="N4" s="130">
        <f t="shared" si="3"/>
        <v>2.5389584338306856</v>
      </c>
      <c r="O4" s="130">
        <f t="shared" si="3"/>
        <v>2.7209920057465427</v>
      </c>
      <c r="P4" s="130">
        <f t="shared" si="3"/>
        <v>3.2090917744581477</v>
      </c>
      <c r="Q4" s="130">
        <f t="shared" si="3"/>
        <v>1.7902581754620746</v>
      </c>
      <c r="R4" s="130">
        <f t="shared" ref="R4:W4" si="4">SUM(R5:R15)</f>
        <v>1.9491735166147324</v>
      </c>
      <c r="S4" s="130">
        <f t="shared" si="4"/>
        <v>2.2170614367274468</v>
      </c>
      <c r="T4" s="130">
        <f t="shared" si="4"/>
        <v>2.1397608411133953</v>
      </c>
      <c r="U4" s="130">
        <f t="shared" si="4"/>
        <v>1.6361826891305025</v>
      </c>
      <c r="V4" s="130">
        <f t="shared" si="4"/>
        <v>1.1031748508199219</v>
      </c>
      <c r="W4" s="130">
        <f t="shared" si="4"/>
        <v>1.0287940575189558</v>
      </c>
      <c r="X4" s="130">
        <f t="shared" ref="X4:Y4" si="5">SUM(X5:X15)</f>
        <v>0.75489738690062724</v>
      </c>
      <c r="Y4" s="130">
        <f t="shared" si="5"/>
        <v>0.78598385478388588</v>
      </c>
      <c r="DA4" s="155" t="s">
        <v>632</v>
      </c>
    </row>
    <row r="5" spans="1:105" ht="12" customHeight="1" x14ac:dyDescent="0.25">
      <c r="A5" s="131" t="s">
        <v>29</v>
      </c>
      <c r="B5" s="132"/>
      <c r="C5" s="132">
        <v>0.47815470801388588</v>
      </c>
      <c r="D5" s="132">
        <v>1.4345134838708282</v>
      </c>
      <c r="E5" s="132">
        <v>1.5763148480228526</v>
      </c>
      <c r="F5" s="132">
        <v>1.8636887178108679</v>
      </c>
      <c r="G5" s="132">
        <v>2.4110583902208251</v>
      </c>
      <c r="H5" s="132">
        <v>1.7617146568240576</v>
      </c>
      <c r="I5" s="132">
        <v>1.5642142696132644</v>
      </c>
      <c r="J5" s="132">
        <v>0.82950314892431221</v>
      </c>
      <c r="K5" s="132">
        <v>0.17606953201870221</v>
      </c>
      <c r="L5" s="132">
        <v>0.43611957301372983</v>
      </c>
      <c r="M5" s="132">
        <v>0.63721808975288707</v>
      </c>
      <c r="N5" s="132">
        <v>0.25998407019095865</v>
      </c>
      <c r="O5" s="132">
        <v>0.31384970033130638</v>
      </c>
      <c r="P5" s="132">
        <v>2.0686012064821423E-2</v>
      </c>
      <c r="Q5" s="132">
        <v>0</v>
      </c>
      <c r="R5" s="132">
        <v>0.16667670959846356</v>
      </c>
      <c r="S5" s="132">
        <v>0.18900486394316351</v>
      </c>
      <c r="T5" s="132">
        <v>0.18369687336139126</v>
      </c>
      <c r="U5" s="132">
        <v>5.1219405876967015E-2</v>
      </c>
      <c r="V5" s="132">
        <v>2.397033817769764E-3</v>
      </c>
      <c r="W5" s="132">
        <v>4.340849433654282E-2</v>
      </c>
      <c r="X5" s="132">
        <v>5.3217124089393934E-2</v>
      </c>
      <c r="Y5" s="132">
        <v>0</v>
      </c>
      <c r="DA5" s="156" t="s">
        <v>633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634</v>
      </c>
    </row>
    <row r="7" spans="1:105" ht="12" customHeight="1" x14ac:dyDescent="0.25">
      <c r="A7" s="131" t="s">
        <v>161</v>
      </c>
      <c r="B7" s="132"/>
      <c r="C7" s="132">
        <v>0</v>
      </c>
      <c r="D7" s="132">
        <v>0</v>
      </c>
      <c r="E7" s="132">
        <v>0</v>
      </c>
      <c r="F7" s="132">
        <v>0</v>
      </c>
      <c r="G7" s="132">
        <v>0</v>
      </c>
      <c r="H7" s="132">
        <v>0</v>
      </c>
      <c r="I7" s="132">
        <v>0</v>
      </c>
      <c r="J7" s="132">
        <v>7.7932366002195164E-2</v>
      </c>
      <c r="K7" s="132">
        <v>8.2508566897927186E-3</v>
      </c>
      <c r="L7" s="132">
        <v>3.9959674674930522E-2</v>
      </c>
      <c r="M7" s="132">
        <v>0.1217092364008695</v>
      </c>
      <c r="N7" s="132">
        <v>3.7427380530474445E-2</v>
      </c>
      <c r="O7" s="132">
        <v>4.5779763011669673E-2</v>
      </c>
      <c r="P7" s="132">
        <v>0</v>
      </c>
      <c r="Q7" s="132">
        <v>0</v>
      </c>
      <c r="R7" s="132">
        <v>0</v>
      </c>
      <c r="S7" s="132">
        <v>0</v>
      </c>
      <c r="T7" s="132">
        <v>0</v>
      </c>
      <c r="U7" s="132">
        <v>1.0570377159245803E-2</v>
      </c>
      <c r="V7" s="132">
        <v>9.3489511118070787E-3</v>
      </c>
      <c r="W7" s="132">
        <v>8.5719784333242836E-3</v>
      </c>
      <c r="X7" s="132">
        <v>6.0086315858521207E-3</v>
      </c>
      <c r="Y7" s="132">
        <v>1.7215675165401727E-2</v>
      </c>
      <c r="DA7" s="156" t="s">
        <v>635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636</v>
      </c>
    </row>
    <row r="9" spans="1:105" ht="12" customHeight="1" x14ac:dyDescent="0.25">
      <c r="A9" s="131" t="s">
        <v>78</v>
      </c>
      <c r="B9" s="132"/>
      <c r="C9" s="132">
        <v>0.74459167617264055</v>
      </c>
      <c r="D9" s="132">
        <v>1.2419236074121287</v>
      </c>
      <c r="E9" s="132">
        <v>1.3721340800498418</v>
      </c>
      <c r="F9" s="132">
        <v>1.9299580041280939</v>
      </c>
      <c r="G9" s="132">
        <v>1.4444455169718953</v>
      </c>
      <c r="H9" s="132">
        <v>1.3178323914054231</v>
      </c>
      <c r="I9" s="132">
        <v>2.9890932701791684</v>
      </c>
      <c r="J9" s="132">
        <v>1.254857103900054</v>
      </c>
      <c r="K9" s="132">
        <v>8.3208151368751648E-2</v>
      </c>
      <c r="L9" s="132">
        <v>0.25848646741174564</v>
      </c>
      <c r="M9" s="132">
        <v>0.44773811371987321</v>
      </c>
      <c r="N9" s="132">
        <v>0.37021340204284492</v>
      </c>
      <c r="O9" s="132">
        <v>0.60949138069031394</v>
      </c>
      <c r="P9" s="132">
        <v>0.70629649646522752</v>
      </c>
      <c r="Q9" s="132">
        <v>0.57628986784812242</v>
      </c>
      <c r="R9" s="132">
        <v>0.382557781869035</v>
      </c>
      <c r="S9" s="132">
        <v>0.40810192374529564</v>
      </c>
      <c r="T9" s="132">
        <v>0.46321064605101653</v>
      </c>
      <c r="U9" s="132">
        <v>0.4574484481544363</v>
      </c>
      <c r="V9" s="132">
        <v>0.17464249171491328</v>
      </c>
      <c r="W9" s="132">
        <v>0.30432440855669274</v>
      </c>
      <c r="X9" s="132">
        <v>0.25422613788879483</v>
      </c>
      <c r="Y9" s="132">
        <v>0.26860095720179555</v>
      </c>
      <c r="DA9" s="156" t="s">
        <v>637</v>
      </c>
    </row>
    <row r="10" spans="1:105" ht="12" customHeight="1" x14ac:dyDescent="0.25">
      <c r="A10" s="131" t="s">
        <v>128</v>
      </c>
      <c r="B10" s="132"/>
      <c r="C10" s="132">
        <v>0.5635648054026553</v>
      </c>
      <c r="D10" s="132">
        <v>0.28185706581240666</v>
      </c>
      <c r="E10" s="132">
        <v>0.14542916517776514</v>
      </c>
      <c r="F10" s="132">
        <v>0.22279497671903573</v>
      </c>
      <c r="G10" s="132">
        <v>0.44417289628603795</v>
      </c>
      <c r="H10" s="132">
        <v>0.52145514000391346</v>
      </c>
      <c r="I10" s="132">
        <v>1.0623286920106771</v>
      </c>
      <c r="J10" s="132">
        <v>0.92148135549256138</v>
      </c>
      <c r="K10" s="132">
        <v>0.10642634266512771</v>
      </c>
      <c r="L10" s="132">
        <v>0.2403173251222433</v>
      </c>
      <c r="M10" s="132">
        <v>0.59588762305728082</v>
      </c>
      <c r="N10" s="132">
        <v>0.31302369362947396</v>
      </c>
      <c r="O10" s="132">
        <v>0.40679805160142579</v>
      </c>
      <c r="P10" s="132">
        <v>0.26687488936760229</v>
      </c>
      <c r="Q10" s="132">
        <v>7.14738095214415E-2</v>
      </c>
      <c r="R10" s="132">
        <v>0</v>
      </c>
      <c r="S10" s="132">
        <v>0</v>
      </c>
      <c r="T10" s="132">
        <v>0</v>
      </c>
      <c r="U10" s="132">
        <v>6.6199018532019441E-2</v>
      </c>
      <c r="V10" s="132">
        <v>5.5222689172051441E-2</v>
      </c>
      <c r="W10" s="132">
        <v>8.1379971418414382E-2</v>
      </c>
      <c r="X10" s="132">
        <v>5.5185558853120077E-2</v>
      </c>
      <c r="Y10" s="132">
        <v>6.3863899184019482E-2</v>
      </c>
      <c r="DA10" s="156" t="s">
        <v>638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639</v>
      </c>
    </row>
    <row r="12" spans="1:105" ht="12" customHeight="1" x14ac:dyDescent="0.25">
      <c r="A12" s="131" t="s">
        <v>162</v>
      </c>
      <c r="B12" s="132"/>
      <c r="C12" s="132">
        <v>6.0230956883348066</v>
      </c>
      <c r="D12" s="132">
        <v>5.0729660458442618</v>
      </c>
      <c r="E12" s="132">
        <v>8.3435344283881605</v>
      </c>
      <c r="F12" s="132">
        <v>5.9420947250618026</v>
      </c>
      <c r="G12" s="132">
        <v>6.5922067445225698</v>
      </c>
      <c r="H12" s="132">
        <v>4.3864473876404446</v>
      </c>
      <c r="I12" s="132">
        <v>15.063238532973212</v>
      </c>
      <c r="J12" s="132">
        <v>5.1621115313136574</v>
      </c>
      <c r="K12" s="132">
        <v>0.37861831057684048</v>
      </c>
      <c r="L12" s="132">
        <v>1.5292663249982574</v>
      </c>
      <c r="M12" s="132">
        <v>2.3105101667380392</v>
      </c>
      <c r="N12" s="132">
        <v>1.2839001319867593</v>
      </c>
      <c r="O12" s="132">
        <v>1.2434743637426804</v>
      </c>
      <c r="P12" s="132">
        <v>2.0557491946622819</v>
      </c>
      <c r="Q12" s="132">
        <v>1.0655616389529934</v>
      </c>
      <c r="R12" s="132">
        <v>1.0597823636837358</v>
      </c>
      <c r="S12" s="132">
        <v>1.3992669092395085</v>
      </c>
      <c r="T12" s="132">
        <v>0.86804612791793767</v>
      </c>
      <c r="U12" s="132">
        <v>0.6665670171528677</v>
      </c>
      <c r="V12" s="132">
        <v>0.7224144737448247</v>
      </c>
      <c r="W12" s="132">
        <v>0.49948387162913749</v>
      </c>
      <c r="X12" s="132">
        <v>0.33081776928518897</v>
      </c>
      <c r="Y12" s="132">
        <v>0.38123650185077079</v>
      </c>
      <c r="DA12" s="156" t="s">
        <v>640</v>
      </c>
    </row>
    <row r="13" spans="1:105" ht="12" customHeight="1" x14ac:dyDescent="0.25">
      <c r="A13" s="131" t="s">
        <v>77</v>
      </c>
      <c r="B13" s="132"/>
      <c r="C13" s="132">
        <v>1.9847881262063842E-3</v>
      </c>
      <c r="D13" s="132">
        <v>4.5074093276174822E-3</v>
      </c>
      <c r="E13" s="132">
        <v>9.0214343059278595E-3</v>
      </c>
      <c r="F13" s="132">
        <v>8.9337861171854011E-3</v>
      </c>
      <c r="G13" s="132">
        <v>1.1645146424216622E-2</v>
      </c>
      <c r="H13" s="132">
        <v>1.2695570396102418E-2</v>
      </c>
      <c r="I13" s="132">
        <v>2.4139907511121661E-2</v>
      </c>
      <c r="J13" s="132">
        <v>2.9425179196844033E-2</v>
      </c>
      <c r="K13" s="132">
        <v>3.4772962207553471E-3</v>
      </c>
      <c r="L13" s="132">
        <v>1.0061389466547825E-2</v>
      </c>
      <c r="M13" s="132">
        <v>4.2706165241846603E-2</v>
      </c>
      <c r="N13" s="132">
        <v>3.8762290861354687E-2</v>
      </c>
      <c r="O13" s="132">
        <v>5.884671848419145E-2</v>
      </c>
      <c r="P13" s="132">
        <v>0.1372191403468809</v>
      </c>
      <c r="Q13" s="132">
        <v>4.4795329214128737E-2</v>
      </c>
      <c r="R13" s="132">
        <v>1.5566759441363438E-2</v>
      </c>
      <c r="S13" s="132">
        <v>3.9013666886481588E-3</v>
      </c>
      <c r="T13" s="132">
        <v>8.3361228369667299E-3</v>
      </c>
      <c r="U13" s="132">
        <v>2.5010007925154589E-2</v>
      </c>
      <c r="V13" s="132">
        <v>2.8081472342547983E-2</v>
      </c>
      <c r="W13" s="132">
        <v>6.4327959120220476E-2</v>
      </c>
      <c r="X13" s="132">
        <v>4.9145037257431141E-2</v>
      </c>
      <c r="Y13" s="132">
        <v>4.8514517370293331E-2</v>
      </c>
      <c r="DA13" s="156" t="s">
        <v>641</v>
      </c>
    </row>
    <row r="14" spans="1:105" ht="12" customHeight="1" x14ac:dyDescent="0.25">
      <c r="A14" s="60" t="s">
        <v>76</v>
      </c>
      <c r="B14" s="65"/>
      <c r="C14" s="65">
        <v>0.80558554008538719</v>
      </c>
      <c r="D14" s="65">
        <v>1.5310593244838149</v>
      </c>
      <c r="E14" s="65">
        <v>2.8091935790778368</v>
      </c>
      <c r="F14" s="65">
        <v>1.7948725415608122</v>
      </c>
      <c r="G14" s="65">
        <v>1.4460669443581802</v>
      </c>
      <c r="H14" s="65">
        <v>1.3194777864214795</v>
      </c>
      <c r="I14" s="65">
        <v>1.1617003427146571</v>
      </c>
      <c r="J14" s="65">
        <v>0.60708546438461031</v>
      </c>
      <c r="K14" s="65">
        <v>0</v>
      </c>
      <c r="L14" s="65">
        <v>0</v>
      </c>
      <c r="M14" s="65">
        <v>0</v>
      </c>
      <c r="N14" s="65">
        <v>0.21879249161477121</v>
      </c>
      <c r="O14" s="65">
        <v>2.0924952814408926E-2</v>
      </c>
      <c r="P14" s="65">
        <v>0</v>
      </c>
      <c r="Q14" s="65">
        <v>1.7898403293391554E-2</v>
      </c>
      <c r="R14" s="65">
        <v>0.31281387493587731</v>
      </c>
      <c r="S14" s="65">
        <v>0.20311988020961744</v>
      </c>
      <c r="T14" s="65">
        <v>0.60414224796843863</v>
      </c>
      <c r="U14" s="65">
        <v>0.3481295169126889</v>
      </c>
      <c r="V14" s="65">
        <v>0.10481700895378035</v>
      </c>
      <c r="W14" s="65">
        <v>1.9365377758158796E-2</v>
      </c>
      <c r="X14" s="65">
        <v>0</v>
      </c>
      <c r="Y14" s="65">
        <v>0</v>
      </c>
      <c r="DA14" s="109" t="s">
        <v>642</v>
      </c>
    </row>
    <row r="15" spans="1:105" ht="12" customHeight="1" x14ac:dyDescent="0.25">
      <c r="A15" s="133" t="s">
        <v>80</v>
      </c>
      <c r="B15" s="134"/>
      <c r="C15" s="134">
        <v>5.4272158577734202E-2</v>
      </c>
      <c r="D15" s="134">
        <v>6.4659491150993245E-2</v>
      </c>
      <c r="E15" s="134">
        <v>8.1345102377038014E-2</v>
      </c>
      <c r="F15" s="134">
        <v>8.2479995778316495E-2</v>
      </c>
      <c r="G15" s="134">
        <v>8.2205459627634064E-2</v>
      </c>
      <c r="H15" s="134">
        <v>6.3645031149085221E-2</v>
      </c>
      <c r="I15" s="134">
        <v>0.14225147888792616</v>
      </c>
      <c r="J15" s="134">
        <v>6.083012038550728E-2</v>
      </c>
      <c r="K15" s="134">
        <v>5.617943013258575E-3</v>
      </c>
      <c r="L15" s="134">
        <v>1.7278327978987006E-2</v>
      </c>
      <c r="M15" s="134">
        <v>2.9577594053084764E-2</v>
      </c>
      <c r="N15" s="134">
        <v>1.6854972974048275E-2</v>
      </c>
      <c r="O15" s="134">
        <v>2.182707507054571E-2</v>
      </c>
      <c r="P15" s="134">
        <v>2.2266041551333576E-2</v>
      </c>
      <c r="Q15" s="134">
        <v>1.4239126631997057E-2</v>
      </c>
      <c r="R15" s="134">
        <v>1.1776027086257249E-2</v>
      </c>
      <c r="S15" s="134">
        <v>1.3666492901213715E-2</v>
      </c>
      <c r="T15" s="134">
        <v>1.2328822977644463E-2</v>
      </c>
      <c r="U15" s="134">
        <v>1.1038897417122683E-2</v>
      </c>
      <c r="V15" s="134">
        <v>6.2507299622273915E-3</v>
      </c>
      <c r="W15" s="134">
        <v>7.931996266464755E-3</v>
      </c>
      <c r="X15" s="134">
        <v>6.2971279408461003E-3</v>
      </c>
      <c r="Y15" s="134">
        <v>6.5523040116049897E-3</v>
      </c>
      <c r="DA15" s="157" t="s">
        <v>643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0.56708785298453657</v>
      </c>
      <c r="D16" s="130">
        <f t="shared" si="6"/>
        <v>0.68327988734689193</v>
      </c>
      <c r="E16" s="130">
        <f t="shared" si="6"/>
        <v>0.64403790843205821</v>
      </c>
      <c r="F16" s="130">
        <f t="shared" si="6"/>
        <v>0.69657481941471044</v>
      </c>
      <c r="G16" s="130">
        <f t="shared" si="6"/>
        <v>0.75898821991743792</v>
      </c>
      <c r="H16" s="130">
        <f t="shared" si="6"/>
        <v>0.93608572027479697</v>
      </c>
      <c r="I16" s="130">
        <f t="shared" si="6"/>
        <v>1.0233554565461889</v>
      </c>
      <c r="J16" s="130">
        <f t="shared" si="6"/>
        <v>1.0425306891711217</v>
      </c>
      <c r="K16" s="130">
        <f t="shared" si="6"/>
        <v>0.2927086848048876</v>
      </c>
      <c r="L16" s="130">
        <f t="shared" si="6"/>
        <v>0.92545436329032194</v>
      </c>
      <c r="M16" s="130">
        <f t="shared" si="6"/>
        <v>0.97441226375766687</v>
      </c>
      <c r="N16" s="130">
        <f t="shared" si="6"/>
        <v>1.0362062650922326</v>
      </c>
      <c r="O16" s="130">
        <f t="shared" si="6"/>
        <v>1.0689638709122096</v>
      </c>
      <c r="P16" s="130">
        <f t="shared" si="6"/>
        <v>1.3227412347420771</v>
      </c>
      <c r="Q16" s="130">
        <f t="shared" si="6"/>
        <v>0.99373520770200141</v>
      </c>
      <c r="R16" s="130">
        <f t="shared" ref="R16:W16" si="7">SUM(R17:R18)</f>
        <v>0.99563666292060304</v>
      </c>
      <c r="S16" s="130">
        <f t="shared" si="7"/>
        <v>1.0777194956367515</v>
      </c>
      <c r="T16" s="130">
        <f t="shared" si="7"/>
        <v>1.043271476104739</v>
      </c>
      <c r="U16" s="130">
        <f t="shared" si="7"/>
        <v>0.85917626205466036</v>
      </c>
      <c r="V16" s="130">
        <f t="shared" si="7"/>
        <v>0.653359123320569</v>
      </c>
      <c r="W16" s="130">
        <f t="shared" si="7"/>
        <v>0.60317043859016184</v>
      </c>
      <c r="X16" s="130">
        <f t="shared" ref="X16:Y16" si="8">SUM(X17:X18)</f>
        <v>0.43277210377156494</v>
      </c>
      <c r="Y16" s="130">
        <f t="shared" si="8"/>
        <v>0.41993220861535796</v>
      </c>
      <c r="DA16" s="155" t="s">
        <v>644</v>
      </c>
    </row>
    <row r="17" spans="1:105" ht="12.95" customHeight="1" x14ac:dyDescent="0.25">
      <c r="A17" s="131" t="s">
        <v>73</v>
      </c>
      <c r="B17" s="132"/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645</v>
      </c>
    </row>
    <row r="18" spans="1:105" ht="12" customHeight="1" x14ac:dyDescent="0.25">
      <c r="A18" s="131" t="s">
        <v>72</v>
      </c>
      <c r="B18" s="132"/>
      <c r="C18" s="132">
        <v>0.56708785298453657</v>
      </c>
      <c r="D18" s="132">
        <v>0.68327988734689193</v>
      </c>
      <c r="E18" s="132">
        <v>0.64403790843205821</v>
      </c>
      <c r="F18" s="132">
        <v>0.69657481941471044</v>
      </c>
      <c r="G18" s="132">
        <v>0.75898821991743792</v>
      </c>
      <c r="H18" s="132">
        <v>0.93608572027479697</v>
      </c>
      <c r="I18" s="132">
        <v>1.0233554565461889</v>
      </c>
      <c r="J18" s="132">
        <v>1.0425306891711217</v>
      </c>
      <c r="K18" s="132">
        <v>0.2927086848048876</v>
      </c>
      <c r="L18" s="132">
        <v>0.92545436329032194</v>
      </c>
      <c r="M18" s="132">
        <v>0.97441226375766687</v>
      </c>
      <c r="N18" s="132">
        <v>1.0362062650922326</v>
      </c>
      <c r="O18" s="132">
        <v>1.0689638709122096</v>
      </c>
      <c r="P18" s="132">
        <v>1.3227412347420771</v>
      </c>
      <c r="Q18" s="132">
        <v>0.99373520770200141</v>
      </c>
      <c r="R18" s="132">
        <v>0.99563666292060304</v>
      </c>
      <c r="S18" s="132">
        <v>1.0777194956367515</v>
      </c>
      <c r="T18" s="132">
        <v>1.043271476104739</v>
      </c>
      <c r="U18" s="132">
        <v>0.85917626205466036</v>
      </c>
      <c r="V18" s="132">
        <v>0.653359123320569</v>
      </c>
      <c r="W18" s="132">
        <v>0.60317043859016184</v>
      </c>
      <c r="X18" s="132">
        <v>0.43277210377156494</v>
      </c>
      <c r="Y18" s="132">
        <v>0.41993220861535796</v>
      </c>
      <c r="DA18" s="156" t="s">
        <v>646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1.0067760244323192</v>
      </c>
      <c r="D19" s="130">
        <f t="shared" si="9"/>
        <v>1.1949978600081403</v>
      </c>
      <c r="E19" s="130">
        <f t="shared" si="9"/>
        <v>1.7593440220163958</v>
      </c>
      <c r="F19" s="130">
        <f t="shared" si="9"/>
        <v>1.5534174525347906</v>
      </c>
      <c r="G19" s="130">
        <f t="shared" si="9"/>
        <v>1.7835052402978466</v>
      </c>
      <c r="H19" s="130">
        <f t="shared" si="9"/>
        <v>1.3334437070693199</v>
      </c>
      <c r="I19" s="130">
        <f t="shared" si="9"/>
        <v>3.3514842025668159</v>
      </c>
      <c r="J19" s="130">
        <f t="shared" si="9"/>
        <v>1.655239771045093</v>
      </c>
      <c r="K19" s="130">
        <f t="shared" si="9"/>
        <v>0.1478491852981236</v>
      </c>
      <c r="L19" s="130">
        <f t="shared" si="9"/>
        <v>0.49486293815070803</v>
      </c>
      <c r="M19" s="130">
        <f t="shared" si="9"/>
        <v>0.94207549819099956</v>
      </c>
      <c r="N19" s="130">
        <f t="shared" si="9"/>
        <v>0.54461062518046854</v>
      </c>
      <c r="O19" s="130">
        <f t="shared" si="9"/>
        <v>0.6699147032856565</v>
      </c>
      <c r="P19" s="130">
        <f t="shared" si="9"/>
        <v>0.86161935173759807</v>
      </c>
      <c r="Q19" s="130">
        <f t="shared" si="9"/>
        <v>0.50373344576136259</v>
      </c>
      <c r="R19" s="130">
        <f t="shared" ref="R19:W19" si="10">SUM(R20:R27)</f>
        <v>0.53012094895221107</v>
      </c>
      <c r="S19" s="130">
        <f t="shared" si="10"/>
        <v>0.59697605806906329</v>
      </c>
      <c r="T19" s="130">
        <f t="shared" si="10"/>
        <v>0.54206337737029942</v>
      </c>
      <c r="U19" s="130">
        <f t="shared" si="10"/>
        <v>0.47166438140582351</v>
      </c>
      <c r="V19" s="130">
        <f t="shared" si="10"/>
        <v>0.33361929772043103</v>
      </c>
      <c r="W19" s="130">
        <f t="shared" si="10"/>
        <v>0.29229891241012101</v>
      </c>
      <c r="X19" s="130">
        <f t="shared" ref="X19:Y19" si="11">SUM(X20:X27)</f>
        <v>0.23567757022149538</v>
      </c>
      <c r="Y19" s="130">
        <f t="shared" si="11"/>
        <v>0.24012566082671957</v>
      </c>
      <c r="DA19" s="155" t="s">
        <v>647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648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649</v>
      </c>
    </row>
    <row r="22" spans="1:105" ht="12" customHeight="1" x14ac:dyDescent="0.25">
      <c r="A22" s="131" t="s">
        <v>161</v>
      </c>
      <c r="B22" s="132"/>
      <c r="C22" s="132">
        <v>0</v>
      </c>
      <c r="D22" s="132">
        <v>0</v>
      </c>
      <c r="E22" s="132">
        <v>0</v>
      </c>
      <c r="F22" s="132">
        <v>0</v>
      </c>
      <c r="G22" s="132">
        <v>0</v>
      </c>
      <c r="H22" s="132">
        <v>0</v>
      </c>
      <c r="I22" s="132">
        <v>0</v>
      </c>
      <c r="J22" s="132">
        <v>0</v>
      </c>
      <c r="K22" s="132">
        <v>4.9566988147245201E-4</v>
      </c>
      <c r="L22" s="132">
        <v>5.0996301916881514E-3</v>
      </c>
      <c r="M22" s="132">
        <v>9.9405298728083551E-3</v>
      </c>
      <c r="N22" s="132">
        <v>7.8471950025808829E-3</v>
      </c>
      <c r="O22" s="132">
        <v>1.0841775250511188E-2</v>
      </c>
      <c r="P22" s="132">
        <v>0</v>
      </c>
      <c r="Q22" s="132">
        <v>4.5197146792880482E-4</v>
      </c>
      <c r="R22" s="132">
        <v>0</v>
      </c>
      <c r="S22" s="132">
        <v>1.1236267339782786E-4</v>
      </c>
      <c r="T22" s="132">
        <v>6.8965583788073318E-5</v>
      </c>
      <c r="U22" s="132">
        <v>3.2072826744766561E-3</v>
      </c>
      <c r="V22" s="132">
        <v>3.5880362838118804E-3</v>
      </c>
      <c r="W22" s="132">
        <v>1.8461879152644179E-3</v>
      </c>
      <c r="X22" s="132">
        <v>0</v>
      </c>
      <c r="Y22" s="132">
        <v>0</v>
      </c>
      <c r="DA22" s="156" t="s">
        <v>650</v>
      </c>
    </row>
    <row r="23" spans="1:105" ht="12" customHeight="1" x14ac:dyDescent="0.25">
      <c r="A23" s="131" t="s">
        <v>149</v>
      </c>
      <c r="B23" s="132"/>
      <c r="C23" s="132">
        <v>3.59866776161075E-2</v>
      </c>
      <c r="D23" s="132">
        <v>6.2006269072816429E-2</v>
      </c>
      <c r="E23" s="132">
        <v>7.5645297173665763E-2</v>
      </c>
      <c r="F23" s="132">
        <v>0.10205338792968231</v>
      </c>
      <c r="G23" s="132">
        <v>0.12158615338320664</v>
      </c>
      <c r="H23" s="132">
        <v>0.15043951834703631</v>
      </c>
      <c r="I23" s="132">
        <v>0.36816983268973058</v>
      </c>
      <c r="J23" s="132">
        <v>0.19900404686136855</v>
      </c>
      <c r="K23" s="132">
        <v>1.5642642772331974E-2</v>
      </c>
      <c r="L23" s="132">
        <v>2.2882921351466846E-2</v>
      </c>
      <c r="M23" s="132">
        <v>3.5760324690017151E-2</v>
      </c>
      <c r="N23" s="132">
        <v>2.1662342682241702E-2</v>
      </c>
      <c r="O23" s="132">
        <v>3.0370010140050085E-2</v>
      </c>
      <c r="P23" s="132">
        <v>4.5286305554049465E-2</v>
      </c>
      <c r="Q23" s="132">
        <v>5.0467459061062342E-2</v>
      </c>
      <c r="R23" s="132">
        <v>5.9802398397248983E-2</v>
      </c>
      <c r="S23" s="132">
        <v>5.4975444876301585E-2</v>
      </c>
      <c r="T23" s="132">
        <v>6.5614991196852074E-2</v>
      </c>
      <c r="U23" s="132">
        <v>5.8011542595914303E-2</v>
      </c>
      <c r="V23" s="132">
        <v>5.4920154885384688E-2</v>
      </c>
      <c r="W23" s="132">
        <v>3.1874924807760253E-2</v>
      </c>
      <c r="X23" s="132">
        <v>2.3012401478657678E-2</v>
      </c>
      <c r="Y23" s="132">
        <v>1.8310241973704008E-2</v>
      </c>
      <c r="DA23" s="156" t="s">
        <v>651</v>
      </c>
    </row>
    <row r="24" spans="1:105" ht="12" customHeight="1" x14ac:dyDescent="0.25">
      <c r="A24" s="131" t="s">
        <v>128</v>
      </c>
      <c r="B24" s="132"/>
      <c r="C24" s="132">
        <v>3.2424825162524214E-2</v>
      </c>
      <c r="D24" s="132">
        <v>3.0070393351954636E-2</v>
      </c>
      <c r="E24" s="132">
        <v>4.2805645128064999E-2</v>
      </c>
      <c r="F24" s="132">
        <v>4.6241678464378586E-2</v>
      </c>
      <c r="G24" s="132">
        <v>5.0207808747808794E-2</v>
      </c>
      <c r="H24" s="132">
        <v>4.6090053504948741E-2</v>
      </c>
      <c r="I24" s="132">
        <v>6.1850584544028968E-2</v>
      </c>
      <c r="J24" s="132">
        <v>4.6074160257037332E-2</v>
      </c>
      <c r="K24" s="132">
        <v>6.4470459535174839E-3</v>
      </c>
      <c r="L24" s="132">
        <v>1.8715641096585189E-2</v>
      </c>
      <c r="M24" s="132">
        <v>3.3267703705320506E-2</v>
      </c>
      <c r="N24" s="132">
        <v>2.0999944344767974E-2</v>
      </c>
      <c r="O24" s="132">
        <v>2.3906987504026915E-2</v>
      </c>
      <c r="P24" s="132">
        <v>2.2206663013755241E-2</v>
      </c>
      <c r="Q24" s="132">
        <v>7.3690663924114441E-3</v>
      </c>
      <c r="R24" s="132">
        <v>2.8052921656314248E-3</v>
      </c>
      <c r="S24" s="132">
        <v>0</v>
      </c>
      <c r="T24" s="132">
        <v>8.3579905638238566E-3</v>
      </c>
      <c r="U24" s="132">
        <v>9.0504881604176485E-3</v>
      </c>
      <c r="V24" s="132">
        <v>9.5767190111156909E-3</v>
      </c>
      <c r="W24" s="132">
        <v>7.4461689360862116E-3</v>
      </c>
      <c r="X24" s="132">
        <v>6.1486841514114101E-3</v>
      </c>
      <c r="Y24" s="132">
        <v>5.5569143875194406E-3</v>
      </c>
      <c r="DA24" s="156" t="s">
        <v>652</v>
      </c>
    </row>
    <row r="25" spans="1:105" ht="12" customHeight="1" x14ac:dyDescent="0.25">
      <c r="A25" s="131" t="s">
        <v>162</v>
      </c>
      <c r="B25" s="132"/>
      <c r="C25" s="132">
        <v>0.52409813661778171</v>
      </c>
      <c r="D25" s="132">
        <v>0.53480889067250614</v>
      </c>
      <c r="E25" s="132">
        <v>0.99794894873263429</v>
      </c>
      <c r="F25" s="132">
        <v>0.86338396030737219</v>
      </c>
      <c r="G25" s="132">
        <v>0.93111572781105989</v>
      </c>
      <c r="H25" s="132">
        <v>0.6094052282214365</v>
      </c>
      <c r="I25" s="132">
        <v>1.6224849046525407</v>
      </c>
      <c r="J25" s="132">
        <v>0.86697756108143875</v>
      </c>
      <c r="K25" s="132">
        <v>8.0647850080529576E-2</v>
      </c>
      <c r="L25" s="132">
        <v>0.3396787717608834</v>
      </c>
      <c r="M25" s="132">
        <v>0.6027156819731263</v>
      </c>
      <c r="N25" s="132">
        <v>0.31458266886194741</v>
      </c>
      <c r="O25" s="132">
        <v>0.43600505599094219</v>
      </c>
      <c r="P25" s="132">
        <v>0.65663965967214644</v>
      </c>
      <c r="Q25" s="132">
        <v>0.40007522661525186</v>
      </c>
      <c r="R25" s="132">
        <v>0.33854381853178273</v>
      </c>
      <c r="S25" s="132">
        <v>0.30097815541892753</v>
      </c>
      <c r="T25" s="132">
        <v>0.20529473207600332</v>
      </c>
      <c r="U25" s="132">
        <v>0.16144586287547794</v>
      </c>
      <c r="V25" s="132">
        <v>0.12100567295027788</v>
      </c>
      <c r="W25" s="132">
        <v>0.13187422563201337</v>
      </c>
      <c r="X25" s="132">
        <v>0.11202469492375351</v>
      </c>
      <c r="Y25" s="132">
        <v>0.11463729540875509</v>
      </c>
      <c r="DA25" s="156" t="s">
        <v>653</v>
      </c>
    </row>
    <row r="26" spans="1:105" ht="12" customHeight="1" x14ac:dyDescent="0.25">
      <c r="A26" s="131" t="s">
        <v>24</v>
      </c>
      <c r="B26" s="65"/>
      <c r="C26" s="65">
        <v>0.41426638503590574</v>
      </c>
      <c r="D26" s="65">
        <v>0.56811230691086312</v>
      </c>
      <c r="E26" s="65">
        <v>0.64294413098203063</v>
      </c>
      <c r="F26" s="65">
        <v>0.54173842583335752</v>
      </c>
      <c r="G26" s="65">
        <v>0.68059555035577124</v>
      </c>
      <c r="H26" s="65">
        <v>0.52750890699589825</v>
      </c>
      <c r="I26" s="65">
        <v>1.2989788806805156</v>
      </c>
      <c r="J26" s="65">
        <v>0.54318400284524848</v>
      </c>
      <c r="K26" s="65">
        <v>4.4615976610272105E-2</v>
      </c>
      <c r="L26" s="65">
        <v>0.10848597375008442</v>
      </c>
      <c r="M26" s="65">
        <v>0.26039125794972723</v>
      </c>
      <c r="N26" s="65">
        <v>0.17951847428893056</v>
      </c>
      <c r="O26" s="65">
        <v>0.16879087440012605</v>
      </c>
      <c r="P26" s="65">
        <v>0.1374867234976469</v>
      </c>
      <c r="Q26" s="65">
        <v>4.5369722224708191E-2</v>
      </c>
      <c r="R26" s="65">
        <v>0.12896943985754794</v>
      </c>
      <c r="S26" s="65">
        <v>0.24091009510043643</v>
      </c>
      <c r="T26" s="65">
        <v>0.26272669794983206</v>
      </c>
      <c r="U26" s="65">
        <v>0.23994920509953696</v>
      </c>
      <c r="V26" s="65">
        <v>0.1445287145898409</v>
      </c>
      <c r="W26" s="65">
        <v>0.11925740511899677</v>
      </c>
      <c r="X26" s="65">
        <v>9.4491789667672757E-2</v>
      </c>
      <c r="Y26" s="65">
        <v>0.10162120905674105</v>
      </c>
      <c r="DA26" s="109" t="s">
        <v>654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655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1.1136535776451941</v>
      </c>
      <c r="D29" s="130">
        <f t="shared" si="12"/>
        <v>1.3265299015795922</v>
      </c>
      <c r="E29" s="130">
        <f t="shared" si="12"/>
        <v>1.9325982526573724</v>
      </c>
      <c r="F29" s="130">
        <f t="shared" si="12"/>
        <v>1.671238834672417</v>
      </c>
      <c r="G29" s="130">
        <f t="shared" si="12"/>
        <v>1.924800213584454</v>
      </c>
      <c r="H29" s="130">
        <f t="shared" si="12"/>
        <v>1.4331458043884806</v>
      </c>
      <c r="I29" s="130">
        <f t="shared" si="12"/>
        <v>3.5386767382270987</v>
      </c>
      <c r="J29" s="130">
        <f t="shared" si="12"/>
        <v>1.6875042510669416</v>
      </c>
      <c r="K29" s="130">
        <f t="shared" si="12"/>
        <v>0.1508792760349853</v>
      </c>
      <c r="L29" s="130">
        <f t="shared" si="12"/>
        <v>0.4907313977971508</v>
      </c>
      <c r="M29" s="130">
        <f t="shared" si="12"/>
        <v>0.90828647579351007</v>
      </c>
      <c r="N29" s="130">
        <f t="shared" si="12"/>
        <v>0.55189935715769167</v>
      </c>
      <c r="O29" s="130">
        <f t="shared" si="12"/>
        <v>0.67858376970935297</v>
      </c>
      <c r="P29" s="130">
        <f t="shared" si="12"/>
        <v>0.87226605820788505</v>
      </c>
      <c r="Q29" s="130">
        <f t="shared" si="12"/>
        <v>0.477998118953462</v>
      </c>
      <c r="R29" s="130">
        <f t="shared" ref="R29:W29" si="13">SUM(R30:R33)</f>
        <v>0.51125230855137427</v>
      </c>
      <c r="S29" s="130">
        <f t="shared" si="13"/>
        <v>0.57955332221190714</v>
      </c>
      <c r="T29" s="130">
        <f t="shared" si="13"/>
        <v>0.53491347876927797</v>
      </c>
      <c r="U29" s="130">
        <f t="shared" si="13"/>
        <v>0.50751636608513317</v>
      </c>
      <c r="V29" s="130">
        <f t="shared" si="13"/>
        <v>0.38545298112564491</v>
      </c>
      <c r="W29" s="130">
        <f t="shared" si="13"/>
        <v>0.33544029107513057</v>
      </c>
      <c r="X29" s="130">
        <f t="shared" ref="X29:Y29" si="14">SUM(X30:X33)</f>
        <v>0.26431346451135862</v>
      </c>
      <c r="Y29" s="130">
        <f t="shared" si="14"/>
        <v>0.26842318020917855</v>
      </c>
      <c r="DA29" s="155" t="s">
        <v>656</v>
      </c>
    </row>
    <row r="30" spans="1:105" s="2" customFormat="1" ht="12" customHeight="1" x14ac:dyDescent="0.25">
      <c r="A30" s="131" t="s">
        <v>52</v>
      </c>
      <c r="B30" s="132"/>
      <c r="C30" s="132">
        <v>0</v>
      </c>
      <c r="D30" s="132">
        <v>0</v>
      </c>
      <c r="E30" s="132">
        <v>0</v>
      </c>
      <c r="F30" s="132">
        <v>0</v>
      </c>
      <c r="G30" s="132">
        <v>0</v>
      </c>
      <c r="H30" s="132">
        <v>0</v>
      </c>
      <c r="I30" s="132">
        <v>0</v>
      </c>
      <c r="J30" s="132">
        <v>0</v>
      </c>
      <c r="K30" s="132">
        <v>0</v>
      </c>
      <c r="L30" s="132">
        <v>0</v>
      </c>
      <c r="M30" s="132">
        <v>0</v>
      </c>
      <c r="N30" s="132">
        <v>0</v>
      </c>
      <c r="O30" s="132">
        <v>0</v>
      </c>
      <c r="P30" s="132">
        <v>0</v>
      </c>
      <c r="Q30" s="132">
        <v>0</v>
      </c>
      <c r="R30" s="132">
        <v>0</v>
      </c>
      <c r="S30" s="132">
        <v>0</v>
      </c>
      <c r="T30" s="132">
        <v>0</v>
      </c>
      <c r="U30" s="132">
        <v>0</v>
      </c>
      <c r="V30" s="132">
        <v>0</v>
      </c>
      <c r="W30" s="132">
        <v>0</v>
      </c>
      <c r="X30" s="132">
        <v>0</v>
      </c>
      <c r="Y30" s="132">
        <v>0</v>
      </c>
      <c r="DA30" s="156" t="s">
        <v>657</v>
      </c>
    </row>
    <row r="31" spans="1:105" ht="12" customHeight="1" x14ac:dyDescent="0.25">
      <c r="A31" s="131" t="s">
        <v>149</v>
      </c>
      <c r="B31" s="132"/>
      <c r="C31" s="132">
        <v>0.27716815847368903</v>
      </c>
      <c r="D31" s="132">
        <v>0.34528646193260959</v>
      </c>
      <c r="E31" s="132">
        <v>0.34723694549606021</v>
      </c>
      <c r="F31" s="132">
        <v>0.19295160725995639</v>
      </c>
      <c r="G31" s="132">
        <v>0.3360469763499338</v>
      </c>
      <c r="H31" s="132">
        <v>0.35535067736987397</v>
      </c>
      <c r="I31" s="132">
        <v>0.9703315859216024</v>
      </c>
      <c r="J31" s="132">
        <v>0.50141778646742785</v>
      </c>
      <c r="K31" s="132">
        <v>3.500871186084805E-2</v>
      </c>
      <c r="L31" s="132">
        <v>3.0421147767664209E-2</v>
      </c>
      <c r="M31" s="132">
        <v>0</v>
      </c>
      <c r="N31" s="132">
        <v>0</v>
      </c>
      <c r="O31" s="132">
        <v>0</v>
      </c>
      <c r="P31" s="132">
        <v>4.4625260576288822E-2</v>
      </c>
      <c r="Q31" s="132">
        <v>9.4479948721346935E-2</v>
      </c>
      <c r="R31" s="132">
        <v>0.11138273248068038</v>
      </c>
      <c r="S31" s="132">
        <v>7.351953461066775E-2</v>
      </c>
      <c r="T31" s="132">
        <v>5.0399919965346797E-2</v>
      </c>
      <c r="U31" s="132">
        <v>0</v>
      </c>
      <c r="V31" s="132">
        <v>0</v>
      </c>
      <c r="W31" s="132">
        <v>6.1771423791219396E-3</v>
      </c>
      <c r="X31" s="132">
        <v>3.5564115761127668E-2</v>
      </c>
      <c r="Y31" s="132">
        <v>5.0801780359202353E-2</v>
      </c>
      <c r="DA31" s="156" t="s">
        <v>658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0.15948821528308071</v>
      </c>
      <c r="H32" s="132">
        <v>4.0378397880555209E-2</v>
      </c>
      <c r="I32" s="132">
        <v>4.1332657030473681E-2</v>
      </c>
      <c r="J32" s="132">
        <v>7.468915398262635E-2</v>
      </c>
      <c r="K32" s="132">
        <v>3.6258459555852101E-4</v>
      </c>
      <c r="L32" s="132">
        <v>1.599647954355372E-2</v>
      </c>
      <c r="M32" s="132">
        <v>0</v>
      </c>
      <c r="N32" s="132">
        <v>3.6294922084186988E-3</v>
      </c>
      <c r="O32" s="132">
        <v>0</v>
      </c>
      <c r="P32" s="132">
        <v>1.0452790785110118E-2</v>
      </c>
      <c r="Q32" s="132">
        <v>1.1507736747810915E-2</v>
      </c>
      <c r="R32" s="132">
        <v>2.3328116825791046E-2</v>
      </c>
      <c r="S32" s="132">
        <v>2.9192499729816773E-2</v>
      </c>
      <c r="T32" s="132">
        <v>2.2168608819549775E-2</v>
      </c>
      <c r="U32" s="132">
        <v>2.7294175934495658E-2</v>
      </c>
      <c r="V32" s="132">
        <v>2.1367519179522527E-2</v>
      </c>
      <c r="W32" s="132">
        <v>2.5880061075539019E-2</v>
      </c>
      <c r="X32" s="132">
        <v>7.4573379699415443E-3</v>
      </c>
      <c r="Y32" s="132">
        <v>5.9348540137591724E-3</v>
      </c>
      <c r="DA32" s="156" t="s">
        <v>659</v>
      </c>
    </row>
    <row r="33" spans="1:105" ht="12" customHeight="1" x14ac:dyDescent="0.25">
      <c r="A33" s="62" t="s">
        <v>24</v>
      </c>
      <c r="B33" s="68"/>
      <c r="C33" s="68">
        <v>0.8364854191715051</v>
      </c>
      <c r="D33" s="68">
        <v>0.98124343964698257</v>
      </c>
      <c r="E33" s="68">
        <v>1.5853613071613122</v>
      </c>
      <c r="F33" s="68">
        <v>1.4782872274124605</v>
      </c>
      <c r="G33" s="68">
        <v>1.4292650219514393</v>
      </c>
      <c r="H33" s="68">
        <v>1.0374167291380514</v>
      </c>
      <c r="I33" s="68">
        <v>2.5270124952750228</v>
      </c>
      <c r="J33" s="68">
        <v>1.1113973106168873</v>
      </c>
      <c r="K33" s="68">
        <v>0.11550797957857874</v>
      </c>
      <c r="L33" s="68">
        <v>0.4443137704859329</v>
      </c>
      <c r="M33" s="68">
        <v>0.90828647579351007</v>
      </c>
      <c r="N33" s="68">
        <v>0.54826986494927299</v>
      </c>
      <c r="O33" s="68">
        <v>0.67858376970935297</v>
      </c>
      <c r="P33" s="68">
        <v>0.81718800684648607</v>
      </c>
      <c r="Q33" s="68">
        <v>0.37201043348430418</v>
      </c>
      <c r="R33" s="68">
        <v>0.37654145924490279</v>
      </c>
      <c r="S33" s="68">
        <v>0.4768412878714226</v>
      </c>
      <c r="T33" s="68">
        <v>0.46234494998438136</v>
      </c>
      <c r="U33" s="68">
        <v>0.48022219015063755</v>
      </c>
      <c r="V33" s="68">
        <v>0.3640854619461224</v>
      </c>
      <c r="W33" s="68">
        <v>0.30338308762046962</v>
      </c>
      <c r="X33" s="68">
        <v>0.2212920107802894</v>
      </c>
      <c r="Y33" s="68">
        <v>0.21168654583621702</v>
      </c>
      <c r="DA33" s="111" t="s">
        <v>660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/>
      <c r="C3" s="126">
        <f>IF(SER_hh_tes_in!C3=0,"",SER_hh_tes_in!C3/SER_hh_fec_in!C3)</f>
        <v>0.70754360562597851</v>
      </c>
      <c r="D3" s="126">
        <f>IF(SER_hh_tes_in!D3=0,"",SER_hh_tes_in!D3/SER_hh_fec_in!D3)</f>
        <v>0.69231865656457192</v>
      </c>
      <c r="E3" s="126">
        <f>IF(SER_hh_tes_in!E3=0,"",SER_hh_tes_in!E3/SER_hh_fec_in!E3)</f>
        <v>0.70602351199650681</v>
      </c>
      <c r="F3" s="126">
        <f>IF(SER_hh_tes_in!F3=0,"",SER_hh_tes_in!F3/SER_hh_fec_in!F3)</f>
        <v>0.69455899495995588</v>
      </c>
      <c r="G3" s="126">
        <f>IF(SER_hh_tes_in!G3=0,"",SER_hh_tes_in!G3/SER_hh_fec_in!G3)</f>
        <v>0.69911474736205803</v>
      </c>
      <c r="H3" s="126">
        <f>IF(SER_hh_tes_in!H3=0,"",SER_hh_tes_in!H3/SER_hh_fec_in!H3)</f>
        <v>0.7074597680522946</v>
      </c>
      <c r="I3" s="126">
        <f>IF(SER_hh_tes_in!I3=0,"",SER_hh_tes_in!I3/SER_hh_fec_in!I3)</f>
        <v>0.71058906055305349</v>
      </c>
      <c r="J3" s="126">
        <f>IF(SER_hh_tes_in!J3=0,"",SER_hh_tes_in!J3/SER_hh_fec_in!J3)</f>
        <v>0.72177415940100653</v>
      </c>
      <c r="K3" s="126">
        <f>IF(SER_hh_tes_in!K3=0,"",SER_hh_tes_in!K3/SER_hh_fec_in!K3)</f>
        <v>0.81338309460056957</v>
      </c>
      <c r="L3" s="126">
        <f>IF(SER_hh_tes_in!L3=0,"",SER_hh_tes_in!L3/SER_hh_fec_in!L3)</f>
        <v>0.83906979776313428</v>
      </c>
      <c r="M3" s="126">
        <f>IF(SER_hh_tes_in!M3=0,"",SER_hh_tes_in!M3/SER_hh_fec_in!M3)</f>
        <v>0.78492107288943969</v>
      </c>
      <c r="N3" s="126">
        <f>IF(SER_hh_tes_in!N3=0,"",SER_hh_tes_in!N3/SER_hh_fec_in!N3)</f>
        <v>0.86472666584802527</v>
      </c>
      <c r="O3" s="126">
        <f>IF(SER_hh_tes_in!O3=0,"",SER_hh_tes_in!O3/SER_hh_fec_in!O3)</f>
        <v>0.85569767459478685</v>
      </c>
      <c r="P3" s="126">
        <f>IF(SER_hh_tes_in!P3=0,"",SER_hh_tes_in!P3/SER_hh_fec_in!P3)</f>
        <v>0.91996024047789571</v>
      </c>
      <c r="Q3" s="126">
        <f>IF(SER_hh_tes_in!Q3=0,"",SER_hh_tes_in!Q3/SER_hh_fec_in!Q3)</f>
        <v>0.97688634128961405</v>
      </c>
      <c r="R3" s="126">
        <f>IF(SER_hh_tes_in!R3=0,"",SER_hh_tes_in!R3/SER_hh_fec_in!R3)</f>
        <v>0.97419410581758581</v>
      </c>
      <c r="S3" s="126">
        <f>IF(SER_hh_tes_in!S3=0,"",SER_hh_tes_in!S3/SER_hh_fec_in!S3)</f>
        <v>0.98487602097949378</v>
      </c>
      <c r="T3" s="126">
        <f>IF(SER_hh_tes_in!T3=0,"",SER_hh_tes_in!T3/SER_hh_fec_in!T3)</f>
        <v>0.99905926396906919</v>
      </c>
      <c r="U3" s="126">
        <f>IF(SER_hh_tes_in!U3=0,"",SER_hh_tes_in!U3/SER_hh_fec_in!U3)</f>
        <v>1.012062966880565</v>
      </c>
      <c r="V3" s="126">
        <f>IF(SER_hh_tes_in!V3=0,"",SER_hh_tes_in!V3/SER_hh_fec_in!V3)</f>
        <v>1.0566428712337943</v>
      </c>
      <c r="W3" s="126">
        <f>IF(SER_hh_tes_in!W3=0,"",SER_hh_tes_in!W3/SER_hh_fec_in!W3)</f>
        <v>1.0531553366772464</v>
      </c>
      <c r="X3" s="126">
        <f>IF(SER_hh_tes_in!X3=0,"",SER_hh_tes_in!X3/SER_hh_fec_in!X3)</f>
        <v>1.0417373693916208</v>
      </c>
      <c r="Y3" s="126">
        <f>IF(SER_hh_tes_in!Y3=0,"",SER_hh_tes_in!Y3/SER_hh_fec_in!Y3)</f>
        <v>1.0308618599953896</v>
      </c>
      <c r="DA3" s="161" t="s">
        <v>662</v>
      </c>
    </row>
    <row r="4" spans="1:105" ht="12.95" customHeight="1" x14ac:dyDescent="0.25">
      <c r="A4" s="129" t="s">
        <v>32</v>
      </c>
      <c r="B4" s="135"/>
      <c r="C4" s="135">
        <f>IF(SER_hh_tes_in!C4=0,"",SER_hh_tes_in!C4/SER_hh_fec_in!C4)</f>
        <v>0.68174957813363513</v>
      </c>
      <c r="D4" s="135">
        <f>IF(SER_hh_tes_in!D4=0,"",SER_hh_tes_in!D4/SER_hh_fec_in!D4)</f>
        <v>0.66135418911562283</v>
      </c>
      <c r="E4" s="135">
        <f>IF(SER_hh_tes_in!E4=0,"",SER_hh_tes_in!E4/SER_hh_fec_in!E4)</f>
        <v>0.68569967542063792</v>
      </c>
      <c r="F4" s="135">
        <f>IF(SER_hh_tes_in!F4=0,"",SER_hh_tes_in!F4/SER_hh_fec_in!F4)</f>
        <v>0.66277206012589085</v>
      </c>
      <c r="G4" s="135">
        <f>IF(SER_hh_tes_in!G4=0,"",SER_hh_tes_in!G4/SER_hh_fec_in!G4)</f>
        <v>0.67087258354765822</v>
      </c>
      <c r="H4" s="135">
        <f>IF(SER_hh_tes_in!H4=0,"",SER_hh_tes_in!H4/SER_hh_fec_in!H4)</f>
        <v>0.66305966165163088</v>
      </c>
      <c r="I4" s="135">
        <f>IF(SER_hh_tes_in!I4=0,"",SER_hh_tes_in!I4/SER_hh_fec_in!I4)</f>
        <v>0.69303019078673778</v>
      </c>
      <c r="J4" s="135">
        <f>IF(SER_hh_tes_in!J4=0,"",SER_hh_tes_in!J4/SER_hh_fec_in!J4)</f>
        <v>0.67302035809321037</v>
      </c>
      <c r="K4" s="135">
        <f>IF(SER_hh_tes_in!K4=0,"",SER_hh_tes_in!K4/SER_hh_fec_in!K4)</f>
        <v>0.65821294265853791</v>
      </c>
      <c r="L4" s="135">
        <f>IF(SER_hh_tes_in!L4=0,"",SER_hh_tes_in!L4/SER_hh_fec_in!L4)</f>
        <v>0.68409322325657707</v>
      </c>
      <c r="M4" s="135">
        <f>IF(SER_hh_tes_in!M4=0,"",SER_hh_tes_in!M4/SER_hh_fec_in!M4)</f>
        <v>0.67564212654162825</v>
      </c>
      <c r="N4" s="135">
        <f>IF(SER_hh_tes_in!N4=0,"",SER_hh_tes_in!N4/SER_hh_fec_in!N4)</f>
        <v>0.68930595897275349</v>
      </c>
      <c r="O4" s="135">
        <f>IF(SER_hh_tes_in!O4=0,"",SER_hh_tes_in!O4/SER_hh_fec_in!O4)</f>
        <v>0.68200019938307055</v>
      </c>
      <c r="P4" s="135">
        <f>IF(SER_hh_tes_in!P4=0,"",SER_hh_tes_in!P4/SER_hh_fec_in!P4)</f>
        <v>0.75058562214395774</v>
      </c>
      <c r="Q4" s="135">
        <f>IF(SER_hh_tes_in!Q4=0,"",SER_hh_tes_in!Q4/SER_hh_fec_in!Q4)</f>
        <v>0.75892779172072111</v>
      </c>
      <c r="R4" s="135">
        <f>IF(SER_hh_tes_in!R4=0,"",SER_hh_tes_in!R4/SER_hh_fec_in!R4)</f>
        <v>0.77283990287377735</v>
      </c>
      <c r="S4" s="135">
        <f>IF(SER_hh_tes_in!S4=0,"",SER_hh_tes_in!S4/SER_hh_fec_in!S4)</f>
        <v>0.7855276305631167</v>
      </c>
      <c r="T4" s="135">
        <f>IF(SER_hh_tes_in!T4=0,"",SER_hh_tes_in!T4/SER_hh_fec_in!T4)</f>
        <v>0.78953682727068852</v>
      </c>
      <c r="U4" s="135">
        <f>IF(SER_hh_tes_in!U4=0,"",SER_hh_tes_in!U4/SER_hh_fec_in!U4)</f>
        <v>0.78743321713312009</v>
      </c>
      <c r="V4" s="135">
        <f>IF(SER_hh_tes_in!V4=0,"",SER_hh_tes_in!V4/SER_hh_fec_in!V4)</f>
        <v>0.81449117169545793</v>
      </c>
      <c r="W4" s="135">
        <f>IF(SER_hh_tes_in!W4=0,"",SER_hh_tes_in!W4/SER_hh_fec_in!W4)</f>
        <v>0.80337651436073798</v>
      </c>
      <c r="X4" s="135">
        <f>IF(SER_hh_tes_in!X4=0,"",SER_hh_tes_in!X4/SER_hh_fec_in!X4)</f>
        <v>0.80336231152378623</v>
      </c>
      <c r="Y4" s="135">
        <f>IF(SER_hh_tes_in!Y4=0,"",SER_hh_tes_in!Y4/SER_hh_fec_in!Y4)</f>
        <v>0.80611960709543562</v>
      </c>
      <c r="DA4" s="162" t="s">
        <v>663</v>
      </c>
    </row>
    <row r="5" spans="1:105" ht="12" customHeight="1" x14ac:dyDescent="0.25">
      <c r="A5" s="131" t="s">
        <v>29</v>
      </c>
      <c r="B5" s="136"/>
      <c r="C5" s="136">
        <f>IF(SER_hh_tes_in!C5=0,"",SER_hh_tes_in!C5/SER_hh_fec_in!C5)</f>
        <v>0.56410623115226521</v>
      </c>
      <c r="D5" s="136">
        <f>IF(SER_hh_tes_in!D5=0,"",SER_hh_tes_in!D5/SER_hh_fec_in!D5)</f>
        <v>0.57199700917880492</v>
      </c>
      <c r="E5" s="136">
        <f>IF(SER_hh_tes_in!E5=0,"",SER_hh_tes_in!E5/SER_hh_fec_in!E5)</f>
        <v>0.57986481195292583</v>
      </c>
      <c r="F5" s="136">
        <f>IF(SER_hh_tes_in!F5=0,"",SER_hh_tes_in!F5/SER_hh_fec_in!F5)</f>
        <v>0.58772948173808059</v>
      </c>
      <c r="G5" s="136">
        <f>IF(SER_hh_tes_in!G5=0,"",SER_hh_tes_in!G5/SER_hh_fec_in!G5)</f>
        <v>0.59557299266714048</v>
      </c>
      <c r="H5" s="136">
        <f>IF(SER_hh_tes_in!H5=0,"",SER_hh_tes_in!H5/SER_hh_fec_in!H5)</f>
        <v>0.60339755087676006</v>
      </c>
      <c r="I5" s="136">
        <f>IF(SER_hh_tes_in!I5=0,"",SER_hh_tes_in!I5/SER_hh_fec_in!I5)</f>
        <v>0.61119871479275334</v>
      </c>
      <c r="J5" s="136">
        <f>IF(SER_hh_tes_in!J5=0,"",SER_hh_tes_in!J5/SER_hh_fec_in!J5)</f>
        <v>0.61895828885341064</v>
      </c>
      <c r="K5" s="136">
        <f>IF(SER_hh_tes_in!K5=0,"",SER_hh_tes_in!K5/SER_hh_fec_in!K5)</f>
        <v>0.62666080204527363</v>
      </c>
      <c r="L5" s="136">
        <f>IF(SER_hh_tes_in!L5=0,"",SER_hh_tes_in!L5/SER_hh_fec_in!L5)</f>
        <v>0.63430211523796354</v>
      </c>
      <c r="M5" s="136">
        <f>IF(SER_hh_tes_in!M5=0,"",SER_hh_tes_in!M5/SER_hh_fec_in!M5)</f>
        <v>0.64136454532527232</v>
      </c>
      <c r="N5" s="136">
        <f>IF(SER_hh_tes_in!N5=0,"",SER_hh_tes_in!N5/SER_hh_fec_in!N5)</f>
        <v>0.64767269083905099</v>
      </c>
      <c r="O5" s="136">
        <f>IF(SER_hh_tes_in!O5=0,"",SER_hh_tes_in!O5/SER_hh_fec_in!O5)</f>
        <v>0.65323144483417561</v>
      </c>
      <c r="P5" s="136">
        <f>IF(SER_hh_tes_in!P5=0,"",SER_hh_tes_in!P5/SER_hh_fec_in!P5)</f>
        <v>0.65863370894950279</v>
      </c>
      <c r="Q5" s="136" t="str">
        <f>IF(SER_hh_tes_in!Q5=0,"",SER_hh_tes_in!Q5/SER_hh_fec_in!Q5)</f>
        <v/>
      </c>
      <c r="R5" s="136">
        <f>IF(SER_hh_tes_in!R5=0,"",SER_hh_tes_in!R5/SER_hh_fec_in!R5)</f>
        <v>0.6763108376396525</v>
      </c>
      <c r="S5" s="136">
        <f>IF(SER_hh_tes_in!S5=0,"",SER_hh_tes_in!S5/SER_hh_fec_in!S5)</f>
        <v>0.68908629376919461</v>
      </c>
      <c r="T5" s="136">
        <f>IF(SER_hh_tes_in!T5=0,"",SER_hh_tes_in!T5/SER_hh_fec_in!T5)</f>
        <v>0.70259681872539959</v>
      </c>
      <c r="U5" s="136">
        <f>IF(SER_hh_tes_in!U5=0,"",SER_hh_tes_in!U5/SER_hh_fec_in!U5)</f>
        <v>0.71550234955372249</v>
      </c>
      <c r="V5" s="136">
        <f>IF(SER_hh_tes_in!V5=0,"",SER_hh_tes_in!V5/SER_hh_fec_in!V5)</f>
        <v>0.72646282329960044</v>
      </c>
      <c r="W5" s="136">
        <f>IF(SER_hh_tes_in!W5=0,"",SER_hh_tes_in!W5/SER_hh_fec_in!W5)</f>
        <v>0.73496890528959535</v>
      </c>
      <c r="X5" s="136">
        <f>IF(SER_hh_tes_in!X5=0,"",SER_hh_tes_in!X5/SER_hh_fec_in!X5)</f>
        <v>0.74105688667406111</v>
      </c>
      <c r="Y5" s="136" t="str">
        <f>IF(SER_hh_tes_in!Y5=0,"",SER_hh_tes_in!Y5/SER_hh_fec_in!Y5)</f>
        <v/>
      </c>
      <c r="DA5" s="163" t="s">
        <v>664</v>
      </c>
    </row>
    <row r="6" spans="1:105" ht="12" customHeight="1" x14ac:dyDescent="0.25">
      <c r="A6" s="131" t="s">
        <v>52</v>
      </c>
      <c r="B6" s="136"/>
      <c r="C6" s="136" t="str">
        <f>IF(SER_hh_tes_in!C6=0,"",SER_hh_tes_in!C6/SER_hh_fec_in!C6)</f>
        <v/>
      </c>
      <c r="D6" s="136" t="str">
        <f>IF(SER_hh_tes_in!D6=0,"",SER_hh_tes_in!D6/SER_hh_fec_in!D6)</f>
        <v/>
      </c>
      <c r="E6" s="136" t="str">
        <f>IF(SER_hh_tes_in!E6=0,"",SER_hh_tes_in!E6/SER_hh_fec_in!E6)</f>
        <v/>
      </c>
      <c r="F6" s="136" t="str">
        <f>IF(SER_hh_tes_in!F6=0,"",SER_hh_tes_in!F6/SER_hh_fec_in!F6)</f>
        <v/>
      </c>
      <c r="G6" s="136" t="str">
        <f>IF(SER_hh_tes_in!G6=0,"",SER_hh_tes_in!G6/SER_hh_fec_in!G6)</f>
        <v/>
      </c>
      <c r="H6" s="136" t="str">
        <f>IF(SER_hh_tes_in!H6=0,"",SER_hh_tes_in!H6/SER_hh_fec_in!H6)</f>
        <v/>
      </c>
      <c r="I6" s="136" t="str">
        <f>IF(SER_hh_tes_in!I6=0,"",SER_hh_tes_in!I6/SER_hh_fec_in!I6)</f>
        <v/>
      </c>
      <c r="J6" s="136" t="str">
        <f>IF(SER_hh_tes_in!J6=0,"",SER_hh_tes_in!J6/SER_hh_fec_in!J6)</f>
        <v/>
      </c>
      <c r="K6" s="136" t="str">
        <f>IF(SER_hh_tes_in!K6=0,"",SER_hh_tes_in!K6/SER_hh_fec_in!K6)</f>
        <v/>
      </c>
      <c r="L6" s="136" t="str">
        <f>IF(SER_hh_tes_in!L6=0,"",SER_hh_tes_in!L6/SER_hh_fec_in!L6)</f>
        <v/>
      </c>
      <c r="M6" s="136" t="str">
        <f>IF(SER_hh_tes_in!M6=0,"",SER_hh_tes_in!M6/SER_hh_fec_in!M6)</f>
        <v/>
      </c>
      <c r="N6" s="136" t="str">
        <f>IF(SER_hh_tes_in!N6=0,"",SER_hh_tes_in!N6/SER_hh_fec_in!N6)</f>
        <v/>
      </c>
      <c r="O6" s="136" t="str">
        <f>IF(SER_hh_tes_in!O6=0,"",SER_hh_tes_in!O6/SER_hh_fec_in!O6)</f>
        <v/>
      </c>
      <c r="P6" s="136" t="str">
        <f>IF(SER_hh_tes_in!P6=0,"",SER_hh_tes_in!P6/SER_hh_fec_in!P6)</f>
        <v/>
      </c>
      <c r="Q6" s="136" t="str">
        <f>IF(SER_hh_tes_in!Q6=0,"",SER_hh_tes_in!Q6/SER_hh_fec_in!Q6)</f>
        <v/>
      </c>
      <c r="R6" s="136" t="str">
        <f>IF(SER_hh_tes_in!R6=0,"",SER_hh_tes_in!R6/SER_hh_fec_in!R6)</f>
        <v/>
      </c>
      <c r="S6" s="136" t="str">
        <f>IF(SER_hh_tes_in!S6=0,"",SER_hh_tes_in!S6/SER_hh_fec_in!S6)</f>
        <v/>
      </c>
      <c r="T6" s="136" t="str">
        <f>IF(SER_hh_tes_in!T6=0,"",SER_hh_tes_in!T6/SER_hh_fec_in!T6)</f>
        <v/>
      </c>
      <c r="U6" s="136" t="str">
        <f>IF(SER_hh_tes_in!U6=0,"",SER_hh_tes_in!U6/SER_hh_fec_in!U6)</f>
        <v/>
      </c>
      <c r="V6" s="136" t="str">
        <f>IF(SER_hh_tes_in!V6=0,"",SER_hh_tes_in!V6/SER_hh_fec_in!V6)</f>
        <v/>
      </c>
      <c r="W6" s="136" t="str">
        <f>IF(SER_hh_tes_in!W6=0,"",SER_hh_tes_in!W6/SER_hh_fec_in!W6)</f>
        <v/>
      </c>
      <c r="X6" s="136" t="str">
        <f>IF(SER_hh_tes_in!X6=0,"",SER_hh_tes_in!X6/SER_hh_fec_in!X6)</f>
        <v/>
      </c>
      <c r="Y6" s="136" t="str">
        <f>IF(SER_hh_tes_in!Y6=0,"",SER_hh_tes_in!Y6/SER_hh_fec_in!Y6)</f>
        <v/>
      </c>
      <c r="DA6" s="163" t="s">
        <v>665</v>
      </c>
    </row>
    <row r="7" spans="1:105" ht="12" customHeight="1" x14ac:dyDescent="0.25">
      <c r="A7" s="131" t="s">
        <v>161</v>
      </c>
      <c r="B7" s="136"/>
      <c r="C7" s="136" t="str">
        <f>IF(SER_hh_tes_in!C7=0,"",SER_hh_tes_in!C7/SER_hh_fec_in!C7)</f>
        <v/>
      </c>
      <c r="D7" s="136" t="str">
        <f>IF(SER_hh_tes_in!D7=0,"",SER_hh_tes_in!D7/SER_hh_fec_in!D7)</f>
        <v/>
      </c>
      <c r="E7" s="136" t="str">
        <f>IF(SER_hh_tes_in!E7=0,"",SER_hh_tes_in!E7/SER_hh_fec_in!E7)</f>
        <v/>
      </c>
      <c r="F7" s="136" t="str">
        <f>IF(SER_hh_tes_in!F7=0,"",SER_hh_tes_in!F7/SER_hh_fec_in!F7)</f>
        <v/>
      </c>
      <c r="G7" s="136" t="str">
        <f>IF(SER_hh_tes_in!G7=0,"",SER_hh_tes_in!G7/SER_hh_fec_in!G7)</f>
        <v/>
      </c>
      <c r="H7" s="136" t="str">
        <f>IF(SER_hh_tes_in!H7=0,"",SER_hh_tes_in!H7/SER_hh_fec_in!H7)</f>
        <v/>
      </c>
      <c r="I7" s="136" t="str">
        <f>IF(SER_hh_tes_in!I7=0,"",SER_hh_tes_in!I7/SER_hh_fec_in!I7)</f>
        <v/>
      </c>
      <c r="J7" s="136">
        <f>IF(SER_hh_tes_in!J7=0,"",SER_hh_tes_in!J7/SER_hh_fec_in!J7)</f>
        <v>0.51131129928900232</v>
      </c>
      <c r="K7" s="136">
        <f>IF(SER_hh_tes_in!K7=0,"",SER_hh_tes_in!K7/SER_hh_fec_in!K7)</f>
        <v>0.51856857490334418</v>
      </c>
      <c r="L7" s="136">
        <f>IF(SER_hh_tes_in!L7=0,"",SER_hh_tes_in!L7/SER_hh_fec_in!L7)</f>
        <v>0.52661656410299473</v>
      </c>
      <c r="M7" s="136">
        <f>IF(SER_hh_tes_in!M7=0,"",SER_hh_tes_in!M7/SER_hh_fec_in!M7)</f>
        <v>0.54117845539265919</v>
      </c>
      <c r="N7" s="136">
        <f>IF(SER_hh_tes_in!N7=0,"",SER_hh_tes_in!N7/SER_hh_fec_in!N7)</f>
        <v>0.56396705448298168</v>
      </c>
      <c r="O7" s="136">
        <f>IF(SER_hh_tes_in!O7=0,"",SER_hh_tes_in!O7/SER_hh_fec_in!O7)</f>
        <v>0.59585415632226058</v>
      </c>
      <c r="P7" s="136" t="str">
        <f>IF(SER_hh_tes_in!P7=0,"",SER_hh_tes_in!P7/SER_hh_fec_in!P7)</f>
        <v/>
      </c>
      <c r="Q7" s="136" t="str">
        <f>IF(SER_hh_tes_in!Q7=0,"",SER_hh_tes_in!Q7/SER_hh_fec_in!Q7)</f>
        <v/>
      </c>
      <c r="R7" s="136" t="str">
        <f>IF(SER_hh_tes_in!R7=0,"",SER_hh_tes_in!R7/SER_hh_fec_in!R7)</f>
        <v/>
      </c>
      <c r="S7" s="136" t="str">
        <f>IF(SER_hh_tes_in!S7=0,"",SER_hh_tes_in!S7/SER_hh_fec_in!S7)</f>
        <v/>
      </c>
      <c r="T7" s="136" t="str">
        <f>IF(SER_hh_tes_in!T7=0,"",SER_hh_tes_in!T7/SER_hh_fec_in!T7)</f>
        <v/>
      </c>
      <c r="U7" s="136">
        <f>IF(SER_hh_tes_in!U7=0,"",SER_hh_tes_in!U7/SER_hh_fec_in!U7)</f>
        <v>0.680646736964723</v>
      </c>
      <c r="V7" s="136">
        <f>IF(SER_hh_tes_in!V7=0,"",SER_hh_tes_in!V7/SER_hh_fec_in!V7)</f>
        <v>0.68211693491466507</v>
      </c>
      <c r="W7" s="136">
        <f>IF(SER_hh_tes_in!W7=0,"",SER_hh_tes_in!W7/SER_hh_fec_in!W7)</f>
        <v>0.68415127066843384</v>
      </c>
      <c r="X7" s="136">
        <f>IF(SER_hh_tes_in!X7=0,"",SER_hh_tes_in!X7/SER_hh_fec_in!X7)</f>
        <v>0.68525214401037771</v>
      </c>
      <c r="Y7" s="136">
        <f>IF(SER_hh_tes_in!Y7=0,"",SER_hh_tes_in!Y7/SER_hh_fec_in!Y7)</f>
        <v>0.68595765321875979</v>
      </c>
      <c r="DA7" s="163" t="s">
        <v>666</v>
      </c>
    </row>
    <row r="8" spans="1:105" ht="12" customHeight="1" x14ac:dyDescent="0.25">
      <c r="A8" s="131" t="s">
        <v>73</v>
      </c>
      <c r="B8" s="136"/>
      <c r="C8" s="136" t="str">
        <f>IF(SER_hh_tes_in!C8=0,"",SER_hh_tes_in!C8/SER_hh_fec_in!C8)</f>
        <v/>
      </c>
      <c r="D8" s="136" t="str">
        <f>IF(SER_hh_tes_in!D8=0,"",SER_hh_tes_in!D8/SER_hh_fec_in!D8)</f>
        <v/>
      </c>
      <c r="E8" s="136" t="str">
        <f>IF(SER_hh_tes_in!E8=0,"",SER_hh_tes_in!E8/SER_hh_fec_in!E8)</f>
        <v/>
      </c>
      <c r="F8" s="136" t="str">
        <f>IF(SER_hh_tes_in!F8=0,"",SER_hh_tes_in!F8/SER_hh_fec_in!F8)</f>
        <v/>
      </c>
      <c r="G8" s="136" t="str">
        <f>IF(SER_hh_tes_in!G8=0,"",SER_hh_tes_in!G8/SER_hh_fec_in!G8)</f>
        <v/>
      </c>
      <c r="H8" s="136" t="str">
        <f>IF(SER_hh_tes_in!H8=0,"",SER_hh_tes_in!H8/SER_hh_fec_in!H8)</f>
        <v/>
      </c>
      <c r="I8" s="136" t="str">
        <f>IF(SER_hh_tes_in!I8=0,"",SER_hh_tes_in!I8/SER_hh_fec_in!I8)</f>
        <v/>
      </c>
      <c r="J8" s="136" t="str">
        <f>IF(SER_hh_tes_in!J8=0,"",SER_hh_tes_in!J8/SER_hh_fec_in!J8)</f>
        <v/>
      </c>
      <c r="K8" s="136" t="str">
        <f>IF(SER_hh_tes_in!K8=0,"",SER_hh_tes_in!K8/SER_hh_fec_in!K8)</f>
        <v/>
      </c>
      <c r="L8" s="136" t="str">
        <f>IF(SER_hh_tes_in!L8=0,"",SER_hh_tes_in!L8/SER_hh_fec_in!L8)</f>
        <v/>
      </c>
      <c r="M8" s="136" t="str">
        <f>IF(SER_hh_tes_in!M8=0,"",SER_hh_tes_in!M8/SER_hh_fec_in!M8)</f>
        <v/>
      </c>
      <c r="N8" s="136" t="str">
        <f>IF(SER_hh_tes_in!N8=0,"",SER_hh_tes_in!N8/SER_hh_fec_in!N8)</f>
        <v/>
      </c>
      <c r="O8" s="136" t="str">
        <f>IF(SER_hh_tes_in!O8=0,"",SER_hh_tes_in!O8/SER_hh_fec_in!O8)</f>
        <v/>
      </c>
      <c r="P8" s="136" t="str">
        <f>IF(SER_hh_tes_in!P8=0,"",SER_hh_tes_in!P8/SER_hh_fec_in!P8)</f>
        <v/>
      </c>
      <c r="Q8" s="136" t="str">
        <f>IF(SER_hh_tes_in!Q8=0,"",SER_hh_tes_in!Q8/SER_hh_fec_in!Q8)</f>
        <v/>
      </c>
      <c r="R8" s="136" t="str">
        <f>IF(SER_hh_tes_in!R8=0,"",SER_hh_tes_in!R8/SER_hh_fec_in!R8)</f>
        <v/>
      </c>
      <c r="S8" s="136" t="str">
        <f>IF(SER_hh_tes_in!S8=0,"",SER_hh_tes_in!S8/SER_hh_fec_in!S8)</f>
        <v/>
      </c>
      <c r="T8" s="136" t="str">
        <f>IF(SER_hh_tes_in!T8=0,"",SER_hh_tes_in!T8/SER_hh_fec_in!T8)</f>
        <v/>
      </c>
      <c r="U8" s="136" t="str">
        <f>IF(SER_hh_tes_in!U8=0,"",SER_hh_tes_in!U8/SER_hh_fec_in!U8)</f>
        <v/>
      </c>
      <c r="V8" s="136" t="str">
        <f>IF(SER_hh_tes_in!V8=0,"",SER_hh_tes_in!V8/SER_hh_fec_in!V8)</f>
        <v/>
      </c>
      <c r="W8" s="136" t="str">
        <f>IF(SER_hh_tes_in!W8=0,"",SER_hh_tes_in!W8/SER_hh_fec_in!W8)</f>
        <v/>
      </c>
      <c r="X8" s="136" t="str">
        <f>IF(SER_hh_tes_in!X8=0,"",SER_hh_tes_in!X8/SER_hh_fec_in!X8)</f>
        <v/>
      </c>
      <c r="Y8" s="136" t="str">
        <f>IF(SER_hh_tes_in!Y8=0,"",SER_hh_tes_in!Y8/SER_hh_fec_in!Y8)</f>
        <v/>
      </c>
      <c r="DA8" s="163" t="s">
        <v>667</v>
      </c>
    </row>
    <row r="9" spans="1:105" ht="12" customHeight="1" x14ac:dyDescent="0.25">
      <c r="A9" s="131" t="s">
        <v>78</v>
      </c>
      <c r="B9" s="136"/>
      <c r="C9" s="136">
        <f>IF(SER_hh_tes_in!C9=0,"",SER_hh_tes_in!C9/SER_hh_fec_in!C9)</f>
        <v>0.50354496570919016</v>
      </c>
      <c r="D9" s="136">
        <f>IF(SER_hh_tes_in!D9=0,"",SER_hh_tes_in!D9/SER_hh_fec_in!D9)</f>
        <v>0.50759174524680584</v>
      </c>
      <c r="E9" s="136">
        <f>IF(SER_hh_tes_in!E9=0,"",SER_hh_tes_in!E9/SER_hh_fec_in!E9)</f>
        <v>0.51189311628818479</v>
      </c>
      <c r="F9" s="136">
        <f>IF(SER_hh_tes_in!F9=0,"",SER_hh_tes_in!F9/SER_hh_fec_in!F9)</f>
        <v>0.51617871072589716</v>
      </c>
      <c r="G9" s="136">
        <f>IF(SER_hh_tes_in!G9=0,"",SER_hh_tes_in!G9/SER_hh_fec_in!G9)</f>
        <v>0.52069230087368823</v>
      </c>
      <c r="H9" s="136">
        <f>IF(SER_hh_tes_in!H9=0,"",SER_hh_tes_in!H9/SER_hh_fec_in!H9)</f>
        <v>0.52540273270041027</v>
      </c>
      <c r="I9" s="136">
        <f>IF(SER_hh_tes_in!I9=0,"",SER_hh_tes_in!I9/SER_hh_fec_in!I9)</f>
        <v>0.53036868597667486</v>
      </c>
      <c r="J9" s="136">
        <f>IF(SER_hh_tes_in!J9=0,"",SER_hh_tes_in!J9/SER_hh_fec_in!J9)</f>
        <v>0.53583361367032123</v>
      </c>
      <c r="K9" s="136">
        <f>IF(SER_hh_tes_in!K9=0,"",SER_hh_tes_in!K9/SER_hh_fec_in!K9)</f>
        <v>0.54200250720368803</v>
      </c>
      <c r="L9" s="136">
        <f>IF(SER_hh_tes_in!L9=0,"",SER_hh_tes_in!L9/SER_hh_fec_in!L9)</f>
        <v>0.54892654503855698</v>
      </c>
      <c r="M9" s="136">
        <f>IF(SER_hh_tes_in!M9=0,"",SER_hh_tes_in!M9/SER_hh_fec_in!M9)</f>
        <v>0.56173379467388729</v>
      </c>
      <c r="N9" s="136">
        <f>IF(SER_hh_tes_in!N9=0,"",SER_hh_tes_in!N9/SER_hh_fec_in!N9)</f>
        <v>0.58201899250732747</v>
      </c>
      <c r="O9" s="136">
        <f>IF(SER_hh_tes_in!O9=0,"",SER_hh_tes_in!O9/SER_hh_fec_in!O9)</f>
        <v>0.61084280542291536</v>
      </c>
      <c r="P9" s="136">
        <f>IF(SER_hh_tes_in!P9=0,"",SER_hh_tes_in!P9/SER_hh_fec_in!P9)</f>
        <v>0.64478630548836269</v>
      </c>
      <c r="Q9" s="136">
        <f>IF(SER_hh_tes_in!Q9=0,"",SER_hh_tes_in!Q9/SER_hh_fec_in!Q9)</f>
        <v>0.6733960375885284</v>
      </c>
      <c r="R9" s="136">
        <f>IF(SER_hh_tes_in!R9=0,"",SER_hh_tes_in!R9/SER_hh_fec_in!R9)</f>
        <v>0.68789905381093286</v>
      </c>
      <c r="S9" s="136">
        <f>IF(SER_hh_tes_in!S9=0,"",SER_hh_tes_in!S9/SER_hh_fec_in!S9)</f>
        <v>0.69897925263312899</v>
      </c>
      <c r="T9" s="136">
        <f>IF(SER_hh_tes_in!T9=0,"",SER_hh_tes_in!T9/SER_hh_fec_in!T9)</f>
        <v>0.70796338539620551</v>
      </c>
      <c r="U9" s="136">
        <f>IF(SER_hh_tes_in!U9=0,"",SER_hh_tes_in!U9/SER_hh_fec_in!U9)</f>
        <v>0.71576749685276075</v>
      </c>
      <c r="V9" s="136">
        <f>IF(SER_hh_tes_in!V9=0,"",SER_hh_tes_in!V9/SER_hh_fec_in!V9)</f>
        <v>0.72284397550021906</v>
      </c>
      <c r="W9" s="136">
        <f>IF(SER_hh_tes_in!W9=0,"",SER_hh_tes_in!W9/SER_hh_fec_in!W9)</f>
        <v>0.72810737268338332</v>
      </c>
      <c r="X9" s="136">
        <f>IF(SER_hh_tes_in!X9=0,"",SER_hh_tes_in!X9/SER_hh_fec_in!X9)</f>
        <v>0.73151059824142495</v>
      </c>
      <c r="Y9" s="136">
        <f>IF(SER_hh_tes_in!Y9=0,"",SER_hh_tes_in!Y9/SER_hh_fec_in!Y9)</f>
        <v>0.73383368143908445</v>
      </c>
      <c r="DA9" s="163" t="s">
        <v>668</v>
      </c>
    </row>
    <row r="10" spans="1:105" ht="12" customHeight="1" x14ac:dyDescent="0.25">
      <c r="A10" s="131" t="s">
        <v>128</v>
      </c>
      <c r="B10" s="136"/>
      <c r="C10" s="136">
        <f>IF(SER_hh_tes_in!C10=0,"",SER_hh_tes_in!C10/SER_hh_fec_in!C10)</f>
        <v>0.5071414086665903</v>
      </c>
      <c r="D10" s="136">
        <f>IF(SER_hh_tes_in!D10=0,"",SER_hh_tes_in!D10/SER_hh_fec_in!D10)</f>
        <v>0.50739756249897006</v>
      </c>
      <c r="E10" s="136">
        <f>IF(SER_hh_tes_in!E10=0,"",SER_hh_tes_in!E10/SER_hh_fec_in!E10)</f>
        <v>0.50765615488573157</v>
      </c>
      <c r="F10" s="136">
        <f>IF(SER_hh_tes_in!F10=0,"",SER_hh_tes_in!F10/SER_hh_fec_in!F10)</f>
        <v>0.50791693291062046</v>
      </c>
      <c r="G10" s="136">
        <f>IF(SER_hh_tes_in!G10=0,"",SER_hh_tes_in!G10/SER_hh_fec_in!G10)</f>
        <v>0.50817963927646037</v>
      </c>
      <c r="H10" s="136">
        <f>IF(SER_hh_tes_in!H10=0,"",SER_hh_tes_in!H10/SER_hh_fec_in!H10)</f>
        <v>0.5084439709775932</v>
      </c>
      <c r="I10" s="136">
        <f>IF(SER_hh_tes_in!I10=0,"",SER_hh_tes_in!I10/SER_hh_fec_in!I10)</f>
        <v>0.50870952831579697</v>
      </c>
      <c r="J10" s="136">
        <f>IF(SER_hh_tes_in!J10=0,"",SER_hh_tes_in!J10/SER_hh_fec_in!J10)</f>
        <v>0.5089754478907017</v>
      </c>
      <c r="K10" s="136">
        <f>IF(SER_hh_tes_in!K10=0,"",SER_hh_tes_in!K10/SER_hh_fec_in!K10)</f>
        <v>0.50924058803123251</v>
      </c>
      <c r="L10" s="136">
        <f>IF(SER_hh_tes_in!L10=0,"",SER_hh_tes_in!L10/SER_hh_fec_in!L10)</f>
        <v>0.50950393544307548</v>
      </c>
      <c r="M10" s="136">
        <f>IF(SER_hh_tes_in!M10=0,"",SER_hh_tes_in!M10/SER_hh_fec_in!M10)</f>
        <v>0.50974584170258708</v>
      </c>
      <c r="N10" s="136">
        <f>IF(SER_hh_tes_in!N10=0,"",SER_hh_tes_in!N10/SER_hh_fec_in!N10)</f>
        <v>0.50995555556969663</v>
      </c>
      <c r="O10" s="136">
        <f>IF(SER_hh_tes_in!O10=0,"",SER_hh_tes_in!O10/SER_hh_fec_in!O10)</f>
        <v>0.51012686761554804</v>
      </c>
      <c r="P10" s="136">
        <f>IF(SER_hh_tes_in!P10=0,"",SER_hh_tes_in!P10/SER_hh_fec_in!P10)</f>
        <v>0.51027461862053558</v>
      </c>
      <c r="Q10" s="136">
        <f>IF(SER_hh_tes_in!Q10=0,"",SER_hh_tes_in!Q10/SER_hh_fec_in!Q10)</f>
        <v>0.51045091319365754</v>
      </c>
      <c r="R10" s="136" t="str">
        <f>IF(SER_hh_tes_in!R10=0,"",SER_hh_tes_in!R10/SER_hh_fec_in!R10)</f>
        <v/>
      </c>
      <c r="S10" s="136" t="str">
        <f>IF(SER_hh_tes_in!S10=0,"",SER_hh_tes_in!S10/SER_hh_fec_in!S10)</f>
        <v/>
      </c>
      <c r="T10" s="136" t="str">
        <f>IF(SER_hh_tes_in!T10=0,"",SER_hh_tes_in!T10/SER_hh_fec_in!T10)</f>
        <v/>
      </c>
      <c r="U10" s="136">
        <f>IF(SER_hh_tes_in!U10=0,"",SER_hh_tes_in!U10/SER_hh_fec_in!U10)</f>
        <v>0.51158889156036214</v>
      </c>
      <c r="V10" s="136">
        <f>IF(SER_hh_tes_in!V10=0,"",SER_hh_tes_in!V10/SER_hh_fec_in!V10)</f>
        <v>0.51182118220880812</v>
      </c>
      <c r="W10" s="136">
        <f>IF(SER_hh_tes_in!W10=0,"",SER_hh_tes_in!W10/SER_hh_fec_in!W10)</f>
        <v>0.51200778735875563</v>
      </c>
      <c r="X10" s="136">
        <f>IF(SER_hh_tes_in!X10=0,"",SER_hh_tes_in!X10/SER_hh_fec_in!X10)</f>
        <v>0.51693145739107027</v>
      </c>
      <c r="Y10" s="136">
        <f>IF(SER_hh_tes_in!Y10=0,"",SER_hh_tes_in!Y10/SER_hh_fec_in!Y10)</f>
        <v>0.52157154126242322</v>
      </c>
      <c r="DA10" s="163" t="s">
        <v>669</v>
      </c>
    </row>
    <row r="11" spans="1:105" ht="12" customHeight="1" x14ac:dyDescent="0.25">
      <c r="A11" s="131" t="s">
        <v>25</v>
      </c>
      <c r="B11" s="136"/>
      <c r="C11" s="136" t="str">
        <f>IF(SER_hh_tes_in!C11=0,"",SER_hh_tes_in!C11/SER_hh_fec_in!C11)</f>
        <v/>
      </c>
      <c r="D11" s="136" t="str">
        <f>IF(SER_hh_tes_in!D11=0,"",SER_hh_tes_in!D11/SER_hh_fec_in!D11)</f>
        <v/>
      </c>
      <c r="E11" s="136" t="str">
        <f>IF(SER_hh_tes_in!E11=0,"",SER_hh_tes_in!E11/SER_hh_fec_in!E11)</f>
        <v/>
      </c>
      <c r="F11" s="136" t="str">
        <f>IF(SER_hh_tes_in!F11=0,"",SER_hh_tes_in!F11/SER_hh_fec_in!F11)</f>
        <v/>
      </c>
      <c r="G11" s="136" t="str">
        <f>IF(SER_hh_tes_in!G11=0,"",SER_hh_tes_in!G11/SER_hh_fec_in!G11)</f>
        <v/>
      </c>
      <c r="H11" s="136" t="str">
        <f>IF(SER_hh_tes_in!H11=0,"",SER_hh_tes_in!H11/SER_hh_fec_in!H11)</f>
        <v/>
      </c>
      <c r="I11" s="136" t="str">
        <f>IF(SER_hh_tes_in!I11=0,"",SER_hh_tes_in!I11/SER_hh_fec_in!I11)</f>
        <v/>
      </c>
      <c r="J11" s="136" t="str">
        <f>IF(SER_hh_tes_in!J11=0,"",SER_hh_tes_in!J11/SER_hh_fec_in!J11)</f>
        <v/>
      </c>
      <c r="K11" s="136" t="str">
        <f>IF(SER_hh_tes_in!K11=0,"",SER_hh_tes_in!K11/SER_hh_fec_in!K11)</f>
        <v/>
      </c>
      <c r="L11" s="136" t="str">
        <f>IF(SER_hh_tes_in!L11=0,"",SER_hh_tes_in!L11/SER_hh_fec_in!L11)</f>
        <v/>
      </c>
      <c r="M11" s="136" t="str">
        <f>IF(SER_hh_tes_in!M11=0,"",SER_hh_tes_in!M11/SER_hh_fec_in!M11)</f>
        <v/>
      </c>
      <c r="N11" s="136" t="str">
        <f>IF(SER_hh_tes_in!N11=0,"",SER_hh_tes_in!N11/SER_hh_fec_in!N11)</f>
        <v/>
      </c>
      <c r="O11" s="136" t="str">
        <f>IF(SER_hh_tes_in!O11=0,"",SER_hh_tes_in!O11/SER_hh_fec_in!O11)</f>
        <v/>
      </c>
      <c r="P11" s="136" t="str">
        <f>IF(SER_hh_tes_in!P11=0,"",SER_hh_tes_in!P11/SER_hh_fec_in!P11)</f>
        <v/>
      </c>
      <c r="Q11" s="136" t="str">
        <f>IF(SER_hh_tes_in!Q11=0,"",SER_hh_tes_in!Q11/SER_hh_fec_in!Q11)</f>
        <v/>
      </c>
      <c r="R11" s="136" t="str">
        <f>IF(SER_hh_tes_in!R11=0,"",SER_hh_tes_in!R11/SER_hh_fec_in!R11)</f>
        <v/>
      </c>
      <c r="S11" s="136" t="str">
        <f>IF(SER_hh_tes_in!S11=0,"",SER_hh_tes_in!S11/SER_hh_fec_in!S11)</f>
        <v/>
      </c>
      <c r="T11" s="136" t="str">
        <f>IF(SER_hh_tes_in!T11=0,"",SER_hh_tes_in!T11/SER_hh_fec_in!T11)</f>
        <v/>
      </c>
      <c r="U11" s="136" t="str">
        <f>IF(SER_hh_tes_in!U11=0,"",SER_hh_tes_in!U11/SER_hh_fec_in!U11)</f>
        <v/>
      </c>
      <c r="V11" s="136" t="str">
        <f>IF(SER_hh_tes_in!V11=0,"",SER_hh_tes_in!V11/SER_hh_fec_in!V11)</f>
        <v/>
      </c>
      <c r="W11" s="136" t="str">
        <f>IF(SER_hh_tes_in!W11=0,"",SER_hh_tes_in!W11/SER_hh_fec_in!W11)</f>
        <v/>
      </c>
      <c r="X11" s="136" t="str">
        <f>IF(SER_hh_tes_in!X11=0,"",SER_hh_tes_in!X11/SER_hh_fec_in!X11)</f>
        <v/>
      </c>
      <c r="Y11" s="136" t="str">
        <f>IF(SER_hh_tes_in!Y11=0,"",SER_hh_tes_in!Y11/SER_hh_fec_in!Y11)</f>
        <v/>
      </c>
      <c r="DA11" s="163" t="s">
        <v>670</v>
      </c>
    </row>
    <row r="12" spans="1:105" ht="12" customHeight="1" x14ac:dyDescent="0.25">
      <c r="A12" s="131" t="s">
        <v>162</v>
      </c>
      <c r="B12" s="136"/>
      <c r="C12" s="136">
        <f>IF(SER_hh_tes_in!C12=0,"",SER_hh_tes_in!C12/SER_hh_fec_in!C12)</f>
        <v>0.74907051285031812</v>
      </c>
      <c r="D12" s="136">
        <f>IF(SER_hh_tes_in!D12=0,"",SER_hh_tes_in!D12/SER_hh_fec_in!D12)</f>
        <v>0.75169072213861121</v>
      </c>
      <c r="E12" s="136">
        <f>IF(SER_hh_tes_in!E12=0,"",SER_hh_tes_in!E12/SER_hh_fec_in!E12)</f>
        <v>0.75438167024178648</v>
      </c>
      <c r="F12" s="136">
        <f>IF(SER_hh_tes_in!F12=0,"",SER_hh_tes_in!F12/SER_hh_fec_in!F12)</f>
        <v>0.75708226454699112</v>
      </c>
      <c r="G12" s="136">
        <f>IF(SER_hh_tes_in!G12=0,"",SER_hh_tes_in!G12/SER_hh_fec_in!G12)</f>
        <v>0.75984800513991324</v>
      </c>
      <c r="H12" s="136">
        <f>IF(SER_hh_tes_in!H12=0,"",SER_hh_tes_in!H12/SER_hh_fec_in!H12)</f>
        <v>0.76267209951662041</v>
      </c>
      <c r="I12" s="136">
        <f>IF(SER_hh_tes_in!I12=0,"",SER_hh_tes_in!I12/SER_hh_fec_in!I12)</f>
        <v>0.76556822289984805</v>
      </c>
      <c r="J12" s="136">
        <f>IF(SER_hh_tes_in!J12=0,"",SER_hh_tes_in!J12/SER_hh_fec_in!J12)</f>
        <v>0.76859239785022304</v>
      </c>
      <c r="K12" s="136">
        <f>IF(SER_hh_tes_in!K12=0,"",SER_hh_tes_in!K12/SER_hh_fec_in!K12)</f>
        <v>0.77179225827996378</v>
      </c>
      <c r="L12" s="136">
        <f>IF(SER_hh_tes_in!L12=0,"",SER_hh_tes_in!L12/SER_hh_fec_in!L12)</f>
        <v>0.77518054821348026</v>
      </c>
      <c r="M12" s="136">
        <f>IF(SER_hh_tes_in!M12=0,"",SER_hh_tes_in!M12/SER_hh_fec_in!M12)</f>
        <v>0.77987205862389009</v>
      </c>
      <c r="N12" s="136">
        <f>IF(SER_hh_tes_in!N12=0,"",SER_hh_tes_in!N12/SER_hh_fec_in!N12)</f>
        <v>0.78621925844987717</v>
      </c>
      <c r="O12" s="136">
        <f>IF(SER_hh_tes_in!O12=0,"",SER_hh_tes_in!O12/SER_hh_fec_in!O12)</f>
        <v>0.79453112954623351</v>
      </c>
      <c r="P12" s="136">
        <f>IF(SER_hh_tes_in!P12=0,"",SER_hh_tes_in!P12/SER_hh_fec_in!P12)</f>
        <v>0.8042198112805452</v>
      </c>
      <c r="Q12" s="136">
        <f>IF(SER_hh_tes_in!Q12=0,"",SER_hh_tes_in!Q12/SER_hh_fec_in!Q12)</f>
        <v>0.81336086019872689</v>
      </c>
      <c r="R12" s="136">
        <f>IF(SER_hh_tes_in!R12=0,"",SER_hh_tes_in!R12/SER_hh_fec_in!R12)</f>
        <v>0.82036534089429292</v>
      </c>
      <c r="S12" s="136">
        <f>IF(SER_hh_tes_in!S12=0,"",SER_hh_tes_in!S12/SER_hh_fec_in!S12)</f>
        <v>0.8271795296839155</v>
      </c>
      <c r="T12" s="136">
        <f>IF(SER_hh_tes_in!T12=0,"",SER_hh_tes_in!T12/SER_hh_fec_in!T12)</f>
        <v>0.83375789707986037</v>
      </c>
      <c r="U12" s="136">
        <f>IF(SER_hh_tes_in!U12=0,"",SER_hh_tes_in!U12/SER_hh_fec_in!U12)</f>
        <v>0.84005491359441398</v>
      </c>
      <c r="V12" s="136">
        <f>IF(SER_hh_tes_in!V12=0,"",SER_hh_tes_in!V12/SER_hh_fec_in!V12)</f>
        <v>0.84602504973985415</v>
      </c>
      <c r="W12" s="136">
        <f>IF(SER_hh_tes_in!W12=0,"",SER_hh_tes_in!W12/SER_hh_fec_in!W12)</f>
        <v>0.85152469584466073</v>
      </c>
      <c r="X12" s="136">
        <f>IF(SER_hh_tes_in!X12=0,"",SER_hh_tes_in!X12/SER_hh_fec_in!X12)</f>
        <v>0.85605715245757719</v>
      </c>
      <c r="Y12" s="136">
        <f>IF(SER_hh_tes_in!Y12=0,"",SER_hh_tes_in!Y12/SER_hh_fec_in!Y12)</f>
        <v>0.8604125961483019</v>
      </c>
      <c r="DA12" s="163" t="s">
        <v>671</v>
      </c>
    </row>
    <row r="13" spans="1:105" ht="12" customHeight="1" x14ac:dyDescent="0.25">
      <c r="A13" s="131" t="s">
        <v>77</v>
      </c>
      <c r="B13" s="136"/>
      <c r="C13" s="136">
        <f>IF(SER_hh_tes_in!C13=0,"",SER_hh_tes_in!C13/SER_hh_fec_in!C13)</f>
        <v>1.4592028758100781</v>
      </c>
      <c r="D13" s="136">
        <f>IF(SER_hh_tes_in!D13=0,"",SER_hh_tes_in!D13/SER_hh_fec_in!D13)</f>
        <v>1.5434408775241901</v>
      </c>
      <c r="E13" s="136">
        <f>IF(SER_hh_tes_in!E13=0,"",SER_hh_tes_in!E13/SER_hh_fec_in!E13)</f>
        <v>1.6290971370003469</v>
      </c>
      <c r="F13" s="136">
        <f>IF(SER_hh_tes_in!F13=0,"",SER_hh_tes_in!F13/SER_hh_fec_in!F13)</f>
        <v>1.7153458644195201</v>
      </c>
      <c r="G13" s="136">
        <f>IF(SER_hh_tes_in!G13=0,"",SER_hh_tes_in!G13/SER_hh_fec_in!G13)</f>
        <v>1.8029394600235351</v>
      </c>
      <c r="H13" s="136">
        <f>IF(SER_hh_tes_in!H13=0,"",SER_hh_tes_in!H13/SER_hh_fec_in!H13)</f>
        <v>1.891787411102136</v>
      </c>
      <c r="I13" s="136">
        <f>IF(SER_hh_tes_in!I13=0,"",SER_hh_tes_in!I13/SER_hh_fec_in!I13)</f>
        <v>1.9820767547244014</v>
      </c>
      <c r="J13" s="136">
        <f>IF(SER_hh_tes_in!J13=0,"",SER_hh_tes_in!J13/SER_hh_fec_in!J13)</f>
        <v>2.0745700686921484</v>
      </c>
      <c r="K13" s="136">
        <f>IF(SER_hh_tes_in!K13=0,"",SER_hh_tes_in!K13/SER_hh_fec_in!K13)</f>
        <v>2.1699181029925603</v>
      </c>
      <c r="L13" s="136">
        <f>IF(SER_hh_tes_in!L13=0,"",SER_hh_tes_in!L13/SER_hh_fec_in!L13)</f>
        <v>2.2682992534423212</v>
      </c>
      <c r="M13" s="136">
        <f>IF(SER_hh_tes_in!M13=0,"",SER_hh_tes_in!M13/SER_hh_fec_in!M13)</f>
        <v>2.3885990380845969</v>
      </c>
      <c r="N13" s="136">
        <f>IF(SER_hh_tes_in!N13=0,"",SER_hh_tes_in!N13/SER_hh_fec_in!N13)</f>
        <v>2.5373299259725561</v>
      </c>
      <c r="O13" s="136">
        <f>IF(SER_hh_tes_in!O13=0,"",SER_hh_tes_in!O13/SER_hh_fec_in!O13)</f>
        <v>2.7167293005890629</v>
      </c>
      <c r="P13" s="136">
        <f>IF(SER_hh_tes_in!P13=0,"",SER_hh_tes_in!P13/SER_hh_fec_in!P13)</f>
        <v>2.9087080444372226</v>
      </c>
      <c r="Q13" s="136">
        <f>IF(SER_hh_tes_in!Q13=0,"",SER_hh_tes_in!Q13/SER_hh_fec_in!Q13)</f>
        <v>3.0580037746905315</v>
      </c>
      <c r="R13" s="136">
        <f>IF(SER_hh_tes_in!R13=0,"",SER_hh_tes_in!R13/SER_hh_fec_in!R13)</f>
        <v>3.2157926928181055</v>
      </c>
      <c r="S13" s="136">
        <f>IF(SER_hh_tes_in!S13=0,"",SER_hh_tes_in!S13/SER_hh_fec_in!S13)</f>
        <v>3.3394607133824739</v>
      </c>
      <c r="T13" s="136">
        <f>IF(SER_hh_tes_in!T13=0,"",SER_hh_tes_in!T13/SER_hh_fec_in!T13)</f>
        <v>3.4445785308621866</v>
      </c>
      <c r="U13" s="136">
        <f>IF(SER_hh_tes_in!U13=0,"",SER_hh_tes_in!U13/SER_hh_fec_in!U13)</f>
        <v>3.5339286757199426</v>
      </c>
      <c r="V13" s="136">
        <f>IF(SER_hh_tes_in!V13=0,"",SER_hh_tes_in!V13/SER_hh_fec_in!V13)</f>
        <v>3.6139612041347804</v>
      </c>
      <c r="W13" s="136">
        <f>IF(SER_hh_tes_in!W13=0,"",SER_hh_tes_in!W13/SER_hh_fec_in!W13)</f>
        <v>4.0402461632472262</v>
      </c>
      <c r="X13" s="136">
        <f>IF(SER_hh_tes_in!X13=0,"",SER_hh_tes_in!X13/SER_hh_fec_in!X13)</f>
        <v>4.0754243423287608</v>
      </c>
      <c r="Y13" s="136">
        <f>IF(SER_hh_tes_in!Y13=0,"",SER_hh_tes_in!Y13/SER_hh_fec_in!Y13)</f>
        <v>4.105597050320049</v>
      </c>
      <c r="DA13" s="163" t="s">
        <v>672</v>
      </c>
    </row>
    <row r="14" spans="1:105" ht="12" customHeight="1" x14ac:dyDescent="0.25">
      <c r="A14" s="60" t="s">
        <v>76</v>
      </c>
      <c r="B14" s="137"/>
      <c r="C14" s="137">
        <f>IF(SER_hh_tes_in!C14=0,"",SER_hh_tes_in!C14/SER_hh_fec_in!C14)</f>
        <v>0.67974389510738431</v>
      </c>
      <c r="D14" s="137">
        <f>IF(SER_hh_tes_in!D14=0,"",SER_hh_tes_in!D14/SER_hh_fec_in!D14)</f>
        <v>0.68446741853343385</v>
      </c>
      <c r="E14" s="137">
        <f>IF(SER_hh_tes_in!E14=0,"",SER_hh_tes_in!E14/SER_hh_fec_in!E14)</f>
        <v>0.68917778541029961</v>
      </c>
      <c r="F14" s="137">
        <f>IF(SER_hh_tes_in!F14=0,"",SER_hh_tes_in!F14/SER_hh_fec_in!F14)</f>
        <v>0.69388589959174019</v>
      </c>
      <c r="G14" s="137">
        <f>IF(SER_hh_tes_in!G14=0,"",SER_hh_tes_in!G14/SER_hh_fec_in!G14)</f>
        <v>0.69858190605604364</v>
      </c>
      <c r="H14" s="137">
        <f>IF(SER_hh_tes_in!H14=0,"",SER_hh_tes_in!H14/SER_hh_fec_in!H14)</f>
        <v>0.70326704824960251</v>
      </c>
      <c r="I14" s="137">
        <f>IF(SER_hh_tes_in!I14=0,"",SER_hh_tes_in!I14/SER_hh_fec_in!I14)</f>
        <v>0.70793893829157817</v>
      </c>
      <c r="J14" s="137">
        <f>IF(SER_hh_tes_in!J14=0,"",SER_hh_tes_in!J14/SER_hh_fec_in!J14)</f>
        <v>0.71258770706026597</v>
      </c>
      <c r="K14" s="137" t="str">
        <f>IF(SER_hh_tes_in!K14=0,"",SER_hh_tes_in!K14/SER_hh_fec_in!K14)</f>
        <v/>
      </c>
      <c r="L14" s="137" t="str">
        <f>IF(SER_hh_tes_in!L14=0,"",SER_hh_tes_in!L14/SER_hh_fec_in!L14)</f>
        <v/>
      </c>
      <c r="M14" s="137" t="str">
        <f>IF(SER_hh_tes_in!M14=0,"",SER_hh_tes_in!M14/SER_hh_fec_in!M14)</f>
        <v/>
      </c>
      <c r="N14" s="137">
        <f>IF(SER_hh_tes_in!N14=0,"",SER_hh_tes_in!N14/SER_hh_fec_in!N14)</f>
        <v>0.72802103192648093</v>
      </c>
      <c r="O14" s="137">
        <f>IF(SER_hh_tes_in!O14=0,"",SER_hh_tes_in!O14/SER_hh_fec_in!O14)</f>
        <v>0.72976774717309167</v>
      </c>
      <c r="P14" s="137" t="str">
        <f>IF(SER_hh_tes_in!P14=0,"",SER_hh_tes_in!P14/SER_hh_fec_in!P14)</f>
        <v/>
      </c>
      <c r="Q14" s="137">
        <f>IF(SER_hh_tes_in!Q14=0,"",SER_hh_tes_in!Q14/SER_hh_fec_in!Q14)</f>
        <v>0.74102848016587552</v>
      </c>
      <c r="R14" s="137">
        <f>IF(SER_hh_tes_in!R14=0,"",SER_hh_tes_in!R14/SER_hh_fec_in!R14)</f>
        <v>0.76099546589692524</v>
      </c>
      <c r="S14" s="137">
        <f>IF(SER_hh_tes_in!S14=0,"",SER_hh_tes_in!S14/SER_hh_fec_in!S14)</f>
        <v>0.78789484617448746</v>
      </c>
      <c r="T14" s="137">
        <f>IF(SER_hh_tes_in!T14=0,"",SER_hh_tes_in!T14/SER_hh_fec_in!T14)</f>
        <v>0.81803033896113708</v>
      </c>
      <c r="U14" s="137">
        <f>IF(SER_hh_tes_in!U14=0,"",SER_hh_tes_in!U14/SER_hh_fec_in!U14)</f>
        <v>0.84773957936918864</v>
      </c>
      <c r="V14" s="137">
        <f>IF(SER_hh_tes_in!V14=0,"",SER_hh_tes_in!V14/SER_hh_fec_in!V14)</f>
        <v>0.87335659644385633</v>
      </c>
      <c r="W14" s="137">
        <f>IF(SER_hh_tes_in!W14=0,"",SER_hh_tes_in!W14/SER_hh_fec_in!W14)</f>
        <v>0.89415632352183438</v>
      </c>
      <c r="X14" s="137" t="str">
        <f>IF(SER_hh_tes_in!X14=0,"",SER_hh_tes_in!X14/SER_hh_fec_in!X14)</f>
        <v/>
      </c>
      <c r="Y14" s="137" t="str">
        <f>IF(SER_hh_tes_in!Y14=0,"",SER_hh_tes_in!Y14/SER_hh_fec_in!Y14)</f>
        <v/>
      </c>
      <c r="DA14" s="164" t="s">
        <v>673</v>
      </c>
    </row>
    <row r="15" spans="1:105" ht="12" customHeight="1" x14ac:dyDescent="0.25">
      <c r="A15" s="133" t="s">
        <v>80</v>
      </c>
      <c r="B15" s="138"/>
      <c r="C15" s="138">
        <f>IF(SER_hh_tes_in!C15=0,"",SER_hh_tes_in!C15/SER_hh_fec_in!C15)</f>
        <v>1</v>
      </c>
      <c r="D15" s="138">
        <f>IF(SER_hh_tes_in!D15=0,"",SER_hh_tes_in!D15/SER_hh_fec_in!D15)</f>
        <v>1</v>
      </c>
      <c r="E15" s="138">
        <f>IF(SER_hh_tes_in!E15=0,"",SER_hh_tes_in!E15/SER_hh_fec_in!E15)</f>
        <v>1</v>
      </c>
      <c r="F15" s="138">
        <f>IF(SER_hh_tes_in!F15=0,"",SER_hh_tes_in!F15/SER_hh_fec_in!F15)</f>
        <v>1</v>
      </c>
      <c r="G15" s="138">
        <f>IF(SER_hh_tes_in!G15=0,"",SER_hh_tes_in!G15/SER_hh_fec_in!G15)</f>
        <v>1</v>
      </c>
      <c r="H15" s="138">
        <f>IF(SER_hh_tes_in!H15=0,"",SER_hh_tes_in!H15/SER_hh_fec_in!H15)</f>
        <v>1</v>
      </c>
      <c r="I15" s="138">
        <f>IF(SER_hh_tes_in!I15=0,"",SER_hh_tes_in!I15/SER_hh_fec_in!I15)</f>
        <v>1</v>
      </c>
      <c r="J15" s="138">
        <f>IF(SER_hh_tes_in!J15=0,"",SER_hh_tes_in!J15/SER_hh_fec_in!J15)</f>
        <v>1</v>
      </c>
      <c r="K15" s="138">
        <f>IF(SER_hh_tes_in!K15=0,"",SER_hh_tes_in!K15/SER_hh_fec_in!K15)</f>
        <v>1</v>
      </c>
      <c r="L15" s="138">
        <f>IF(SER_hh_tes_in!L15=0,"",SER_hh_tes_in!L15/SER_hh_fec_in!L15)</f>
        <v>1</v>
      </c>
      <c r="M15" s="138">
        <f>IF(SER_hh_tes_in!M15=0,"",SER_hh_tes_in!M15/SER_hh_fec_in!M15)</f>
        <v>1</v>
      </c>
      <c r="N15" s="138">
        <f>IF(SER_hh_tes_in!N15=0,"",SER_hh_tes_in!N15/SER_hh_fec_in!N15)</f>
        <v>1</v>
      </c>
      <c r="O15" s="138">
        <f>IF(SER_hh_tes_in!O15=0,"",SER_hh_tes_in!O15/SER_hh_fec_in!O15)</f>
        <v>1</v>
      </c>
      <c r="P15" s="138">
        <f>IF(SER_hh_tes_in!P15=0,"",SER_hh_tes_in!P15/SER_hh_fec_in!P15)</f>
        <v>1</v>
      </c>
      <c r="Q15" s="138">
        <f>IF(SER_hh_tes_in!Q15=0,"",SER_hh_tes_in!Q15/SER_hh_fec_in!Q15)</f>
        <v>1</v>
      </c>
      <c r="R15" s="138">
        <f>IF(SER_hh_tes_in!R15=0,"",SER_hh_tes_in!R15/SER_hh_fec_in!R15)</f>
        <v>1</v>
      </c>
      <c r="S15" s="138">
        <f>IF(SER_hh_tes_in!S15=0,"",SER_hh_tes_in!S15/SER_hh_fec_in!S15)</f>
        <v>1</v>
      </c>
      <c r="T15" s="138">
        <f>IF(SER_hh_tes_in!T15=0,"",SER_hh_tes_in!T15/SER_hh_fec_in!T15)</f>
        <v>1</v>
      </c>
      <c r="U15" s="138">
        <f>IF(SER_hh_tes_in!U15=0,"",SER_hh_tes_in!U15/SER_hh_fec_in!U15)</f>
        <v>1</v>
      </c>
      <c r="V15" s="138">
        <f>IF(SER_hh_tes_in!V15=0,"",SER_hh_tes_in!V15/SER_hh_fec_in!V15)</f>
        <v>1</v>
      </c>
      <c r="W15" s="138">
        <f>IF(SER_hh_tes_in!W15=0,"",SER_hh_tes_in!W15/SER_hh_fec_in!W15)</f>
        <v>1</v>
      </c>
      <c r="X15" s="138">
        <f>IF(SER_hh_tes_in!X15=0,"",SER_hh_tes_in!X15/SER_hh_fec_in!X15)</f>
        <v>1</v>
      </c>
      <c r="Y15" s="138">
        <f>IF(SER_hh_tes_in!Y15=0,"",SER_hh_tes_in!Y15/SER_hh_fec_in!Y15)</f>
        <v>1</v>
      </c>
      <c r="DA15" s="165" t="s">
        <v>674</v>
      </c>
    </row>
    <row r="16" spans="1:105" ht="12.95" customHeight="1" x14ac:dyDescent="0.25">
      <c r="A16" s="129" t="s">
        <v>74</v>
      </c>
      <c r="B16" s="135"/>
      <c r="C16" s="135">
        <f>IF(SER_hh_tes_in!C16=0,"",SER_hh_tes_in!C16/SER_hh_fec_in!C16)</f>
        <v>2.6420777762733727</v>
      </c>
      <c r="D16" s="135">
        <f>IF(SER_hh_tes_in!D16=0,"",SER_hh_tes_in!D16/SER_hh_fec_in!D16)</f>
        <v>2.7647114942053395</v>
      </c>
      <c r="E16" s="135">
        <f>IF(SER_hh_tes_in!E16=0,"",SER_hh_tes_in!E16/SER_hh_fec_in!E16)</f>
        <v>2.8891837273815311</v>
      </c>
      <c r="F16" s="135">
        <f>IF(SER_hh_tes_in!F16=0,"",SER_hh_tes_in!F16/SER_hh_fec_in!F16)</f>
        <v>3.0146556666292783</v>
      </c>
      <c r="G16" s="135">
        <f>IF(SER_hh_tes_in!G16=0,"",SER_hh_tes_in!G16/SER_hh_fec_in!G16)</f>
        <v>3.1418542116261503</v>
      </c>
      <c r="H16" s="135">
        <f>IF(SER_hh_tes_in!H16=0,"",SER_hh_tes_in!H16/SER_hh_fec_in!H16)</f>
        <v>3.2706651216453011</v>
      </c>
      <c r="I16" s="135">
        <f>IF(SER_hh_tes_in!I16=0,"",SER_hh_tes_in!I16/SER_hh_fec_in!I16)</f>
        <v>3.401240768675597</v>
      </c>
      <c r="J16" s="135">
        <f>IF(SER_hh_tes_in!J16=0,"",SER_hh_tes_in!J16/SER_hh_fec_in!J16)</f>
        <v>3.5342640725153651</v>
      </c>
      <c r="K16" s="135">
        <f>IF(SER_hh_tes_in!K16=0,"",SER_hh_tes_in!K16/SER_hh_fec_in!K16)</f>
        <v>3.6702759625866057</v>
      </c>
      <c r="L16" s="135">
        <f>IF(SER_hh_tes_in!L16=0,"",SER_hh_tes_in!L16/SER_hh_fec_in!L16)</f>
        <v>3.8093481719524949</v>
      </c>
      <c r="M16" s="135">
        <f>IF(SER_hh_tes_in!M16=0,"",SER_hh_tes_in!M16/SER_hh_fec_in!M16)</f>
        <v>3.9687146728947149</v>
      </c>
      <c r="N16" s="135">
        <f>IF(SER_hh_tes_in!N16=0,"",SER_hh_tes_in!N16/SER_hh_fec_in!N16)</f>
        <v>4.1534914405700638</v>
      </c>
      <c r="O16" s="135">
        <f>IF(SER_hh_tes_in!O16=0,"",SER_hh_tes_in!O16/SER_hh_fec_in!O16)</f>
        <v>4.3633488515006222</v>
      </c>
      <c r="P16" s="135">
        <f>IF(SER_hh_tes_in!P16=0,"",SER_hh_tes_in!P16/SER_hh_fec_in!P16)</f>
        <v>4.5778635817891118</v>
      </c>
      <c r="Q16" s="135">
        <f>IF(SER_hh_tes_in!Q16=0,"",SER_hh_tes_in!Q16/SER_hh_fec_in!Q16)</f>
        <v>4.7425003483032802</v>
      </c>
      <c r="R16" s="135">
        <f>IF(SER_hh_tes_in!R16=0,"",SER_hh_tes_in!R16/SER_hh_fec_in!R16)</f>
        <v>4.7877711121239566</v>
      </c>
      <c r="S16" s="135">
        <f>IF(SER_hh_tes_in!S16=0,"",SER_hh_tes_in!S16/SER_hh_fec_in!S16)</f>
        <v>4.791742760910255</v>
      </c>
      <c r="T16" s="135">
        <f>IF(SER_hh_tes_in!T16=0,"",SER_hh_tes_in!T16/SER_hh_fec_in!T16)</f>
        <v>4.796155704006142</v>
      </c>
      <c r="U16" s="135">
        <f>IF(SER_hh_tes_in!U16=0,"",SER_hh_tes_in!U16/SER_hh_fec_in!U16)</f>
        <v>4.8010589741126832</v>
      </c>
      <c r="V16" s="135">
        <f>IF(SER_hh_tes_in!V16=0,"",SER_hh_tes_in!V16/SER_hh_fec_in!V16)</f>
        <v>4.8150702473289639</v>
      </c>
      <c r="W16" s="135">
        <f>IF(SER_hh_tes_in!W16=0,"",SER_hh_tes_in!W16/SER_hh_fec_in!W16)</f>
        <v>4.8610579629971289</v>
      </c>
      <c r="X16" s="135">
        <f>IF(SER_hh_tes_in!X16=0,"",SER_hh_tes_in!X16/SER_hh_fec_in!X16)</f>
        <v>4.9217011362267673</v>
      </c>
      <c r="Y16" s="135">
        <f>IF(SER_hh_tes_in!Y16=0,"",SER_hh_tes_in!Y16/SER_hh_fec_in!Y16)</f>
        <v>4.988192031684771</v>
      </c>
      <c r="DA16" s="162" t="s">
        <v>675</v>
      </c>
    </row>
    <row r="17" spans="1:105" ht="12.95" customHeight="1" x14ac:dyDescent="0.25">
      <c r="A17" s="131" t="s">
        <v>73</v>
      </c>
      <c r="B17" s="136"/>
      <c r="C17" s="136" t="str">
        <f>IF(SER_hh_tes_in!C17=0,"",SER_hh_tes_in!C17/SER_hh_fec_in!C17)</f>
        <v/>
      </c>
      <c r="D17" s="136" t="str">
        <f>IF(SER_hh_tes_in!D17=0,"",SER_hh_tes_in!D17/SER_hh_fec_in!D17)</f>
        <v/>
      </c>
      <c r="E17" s="136" t="str">
        <f>IF(SER_hh_tes_in!E17=0,"",SER_hh_tes_in!E17/SER_hh_fec_in!E17)</f>
        <v/>
      </c>
      <c r="F17" s="136" t="str">
        <f>IF(SER_hh_tes_in!F17=0,"",SER_hh_tes_in!F17/SER_hh_fec_in!F17)</f>
        <v/>
      </c>
      <c r="G17" s="136" t="str">
        <f>IF(SER_hh_tes_in!G17=0,"",SER_hh_tes_in!G17/SER_hh_fec_in!G17)</f>
        <v/>
      </c>
      <c r="H17" s="136" t="str">
        <f>IF(SER_hh_tes_in!H17=0,"",SER_hh_tes_in!H17/SER_hh_fec_in!H17)</f>
        <v/>
      </c>
      <c r="I17" s="136" t="str">
        <f>IF(SER_hh_tes_in!I17=0,"",SER_hh_tes_in!I17/SER_hh_fec_in!I17)</f>
        <v/>
      </c>
      <c r="J17" s="136" t="str">
        <f>IF(SER_hh_tes_in!J17=0,"",SER_hh_tes_in!J17/SER_hh_fec_in!J17)</f>
        <v/>
      </c>
      <c r="K17" s="136" t="str">
        <f>IF(SER_hh_tes_in!K17=0,"",SER_hh_tes_in!K17/SER_hh_fec_in!K17)</f>
        <v/>
      </c>
      <c r="L17" s="136" t="str">
        <f>IF(SER_hh_tes_in!L17=0,"",SER_hh_tes_in!L17/SER_hh_fec_in!L17)</f>
        <v/>
      </c>
      <c r="M17" s="136" t="str">
        <f>IF(SER_hh_tes_in!M17=0,"",SER_hh_tes_in!M17/SER_hh_fec_in!M17)</f>
        <v/>
      </c>
      <c r="N17" s="136" t="str">
        <f>IF(SER_hh_tes_in!N17=0,"",SER_hh_tes_in!N17/SER_hh_fec_in!N17)</f>
        <v/>
      </c>
      <c r="O17" s="136" t="str">
        <f>IF(SER_hh_tes_in!O17=0,"",SER_hh_tes_in!O17/SER_hh_fec_in!O17)</f>
        <v/>
      </c>
      <c r="P17" s="136" t="str">
        <f>IF(SER_hh_tes_in!P17=0,"",SER_hh_tes_in!P17/SER_hh_fec_in!P17)</f>
        <v/>
      </c>
      <c r="Q17" s="136" t="str">
        <f>IF(SER_hh_tes_in!Q17=0,"",SER_hh_tes_in!Q17/SER_hh_fec_in!Q17)</f>
        <v/>
      </c>
      <c r="R17" s="136" t="str">
        <f>IF(SER_hh_tes_in!R17=0,"",SER_hh_tes_in!R17/SER_hh_fec_in!R17)</f>
        <v/>
      </c>
      <c r="S17" s="136" t="str">
        <f>IF(SER_hh_tes_in!S17=0,"",SER_hh_tes_in!S17/SER_hh_fec_in!S17)</f>
        <v/>
      </c>
      <c r="T17" s="136" t="str">
        <f>IF(SER_hh_tes_in!T17=0,"",SER_hh_tes_in!T17/SER_hh_fec_in!T17)</f>
        <v/>
      </c>
      <c r="U17" s="136" t="str">
        <f>IF(SER_hh_tes_in!U17=0,"",SER_hh_tes_in!U17/SER_hh_fec_in!U17)</f>
        <v/>
      </c>
      <c r="V17" s="136" t="str">
        <f>IF(SER_hh_tes_in!V17=0,"",SER_hh_tes_in!V17/SER_hh_fec_in!V17)</f>
        <v/>
      </c>
      <c r="W17" s="136" t="str">
        <f>IF(SER_hh_tes_in!W17=0,"",SER_hh_tes_in!W17/SER_hh_fec_in!W17)</f>
        <v/>
      </c>
      <c r="X17" s="136" t="str">
        <f>IF(SER_hh_tes_in!X17=0,"",SER_hh_tes_in!X17/SER_hh_fec_in!X17)</f>
        <v/>
      </c>
      <c r="Y17" s="136" t="str">
        <f>IF(SER_hh_tes_in!Y17=0,"",SER_hh_tes_in!Y17/SER_hh_fec_in!Y17)</f>
        <v/>
      </c>
      <c r="DA17" s="163" t="s">
        <v>676</v>
      </c>
    </row>
    <row r="18" spans="1:105" ht="12" customHeight="1" x14ac:dyDescent="0.25">
      <c r="A18" s="131" t="s">
        <v>72</v>
      </c>
      <c r="B18" s="136"/>
      <c r="C18" s="136">
        <f>IF(SER_hh_tes_in!C18=0,"",SER_hh_tes_in!C18/SER_hh_fec_in!C18)</f>
        <v>2.6420777762733727</v>
      </c>
      <c r="D18" s="136">
        <f>IF(SER_hh_tes_in!D18=0,"",SER_hh_tes_in!D18/SER_hh_fec_in!D18)</f>
        <v>2.7647114942053395</v>
      </c>
      <c r="E18" s="136">
        <f>IF(SER_hh_tes_in!E18=0,"",SER_hh_tes_in!E18/SER_hh_fec_in!E18)</f>
        <v>2.8891837273815311</v>
      </c>
      <c r="F18" s="136">
        <f>IF(SER_hh_tes_in!F18=0,"",SER_hh_tes_in!F18/SER_hh_fec_in!F18)</f>
        <v>3.0146556666292783</v>
      </c>
      <c r="G18" s="136">
        <f>IF(SER_hh_tes_in!G18=0,"",SER_hh_tes_in!G18/SER_hh_fec_in!G18)</f>
        <v>3.1418542116261503</v>
      </c>
      <c r="H18" s="136">
        <f>IF(SER_hh_tes_in!H18=0,"",SER_hh_tes_in!H18/SER_hh_fec_in!H18)</f>
        <v>3.2706651216453011</v>
      </c>
      <c r="I18" s="136">
        <f>IF(SER_hh_tes_in!I18=0,"",SER_hh_tes_in!I18/SER_hh_fec_in!I18)</f>
        <v>3.401240768675597</v>
      </c>
      <c r="J18" s="136">
        <f>IF(SER_hh_tes_in!J18=0,"",SER_hh_tes_in!J18/SER_hh_fec_in!J18)</f>
        <v>3.5342640725153651</v>
      </c>
      <c r="K18" s="136">
        <f>IF(SER_hh_tes_in!K18=0,"",SER_hh_tes_in!K18/SER_hh_fec_in!K18)</f>
        <v>3.6702759625866057</v>
      </c>
      <c r="L18" s="136">
        <f>IF(SER_hh_tes_in!L18=0,"",SER_hh_tes_in!L18/SER_hh_fec_in!L18)</f>
        <v>3.8093481719524949</v>
      </c>
      <c r="M18" s="136">
        <f>IF(SER_hh_tes_in!M18=0,"",SER_hh_tes_in!M18/SER_hh_fec_in!M18)</f>
        <v>3.9687146728947149</v>
      </c>
      <c r="N18" s="136">
        <f>IF(SER_hh_tes_in!N18=0,"",SER_hh_tes_in!N18/SER_hh_fec_in!N18)</f>
        <v>4.1534914405700638</v>
      </c>
      <c r="O18" s="136">
        <f>IF(SER_hh_tes_in!O18=0,"",SER_hh_tes_in!O18/SER_hh_fec_in!O18)</f>
        <v>4.3633488515006222</v>
      </c>
      <c r="P18" s="136">
        <f>IF(SER_hh_tes_in!P18=0,"",SER_hh_tes_in!P18/SER_hh_fec_in!P18)</f>
        <v>4.5778635817891118</v>
      </c>
      <c r="Q18" s="136">
        <f>IF(SER_hh_tes_in!Q18=0,"",SER_hh_tes_in!Q18/SER_hh_fec_in!Q18)</f>
        <v>4.7425003483032802</v>
      </c>
      <c r="R18" s="136">
        <f>IF(SER_hh_tes_in!R18=0,"",SER_hh_tes_in!R18/SER_hh_fec_in!R18)</f>
        <v>4.7877711121239566</v>
      </c>
      <c r="S18" s="136">
        <f>IF(SER_hh_tes_in!S18=0,"",SER_hh_tes_in!S18/SER_hh_fec_in!S18)</f>
        <v>4.791742760910255</v>
      </c>
      <c r="T18" s="136">
        <f>IF(SER_hh_tes_in!T18=0,"",SER_hh_tes_in!T18/SER_hh_fec_in!T18)</f>
        <v>4.796155704006142</v>
      </c>
      <c r="U18" s="136">
        <f>IF(SER_hh_tes_in!U18=0,"",SER_hh_tes_in!U18/SER_hh_fec_in!U18)</f>
        <v>4.8010589741126832</v>
      </c>
      <c r="V18" s="136">
        <f>IF(SER_hh_tes_in!V18=0,"",SER_hh_tes_in!V18/SER_hh_fec_in!V18)</f>
        <v>4.8150702473289639</v>
      </c>
      <c r="W18" s="136">
        <f>IF(SER_hh_tes_in!W18=0,"",SER_hh_tes_in!W18/SER_hh_fec_in!W18)</f>
        <v>4.8610579629971289</v>
      </c>
      <c r="X18" s="136">
        <f>IF(SER_hh_tes_in!X18=0,"",SER_hh_tes_in!X18/SER_hh_fec_in!X18)</f>
        <v>4.9217011362267673</v>
      </c>
      <c r="Y18" s="136">
        <f>IF(SER_hh_tes_in!Y18=0,"",SER_hh_tes_in!Y18/SER_hh_fec_in!Y18)</f>
        <v>4.988192031684771</v>
      </c>
      <c r="DA18" s="163" t="s">
        <v>677</v>
      </c>
    </row>
    <row r="19" spans="1:105" ht="12.95" customHeight="1" x14ac:dyDescent="0.25">
      <c r="A19" s="129" t="s">
        <v>35</v>
      </c>
      <c r="B19" s="135"/>
      <c r="C19" s="135">
        <f>IF(SER_hh_tes_in!C19=0,"",SER_hh_tes_in!C19/SER_hh_fec_in!C19)</f>
        <v>0.67162037631936333</v>
      </c>
      <c r="D19" s="135">
        <f>IF(SER_hh_tes_in!D19=0,"",SER_hh_tes_in!D19/SER_hh_fec_in!D19)</f>
        <v>0.66511992044873081</v>
      </c>
      <c r="E19" s="135">
        <f>IF(SER_hh_tes_in!E19=0,"",SER_hh_tes_in!E19/SER_hh_fec_in!E19)</f>
        <v>0.68445458978397589</v>
      </c>
      <c r="F19" s="135">
        <f>IF(SER_hh_tes_in!F19=0,"",SER_hh_tes_in!F19/SER_hh_fec_in!F19)</f>
        <v>0.68373293481129249</v>
      </c>
      <c r="G19" s="135">
        <f>IF(SER_hh_tes_in!G19=0,"",SER_hh_tes_in!G19/SER_hh_fec_in!G19)</f>
        <v>0.68322612407929617</v>
      </c>
      <c r="H19" s="135">
        <f>IF(SER_hh_tes_in!H19=0,"",SER_hh_tes_in!H19/SER_hh_fec_in!H19)</f>
        <v>0.67499000154586186</v>
      </c>
      <c r="I19" s="135">
        <f>IF(SER_hh_tes_in!I19=0,"",SER_hh_tes_in!I19/SER_hh_fec_in!I19)</f>
        <v>0.68381187770153173</v>
      </c>
      <c r="J19" s="135">
        <f>IF(SER_hh_tes_in!J19=0,"",SER_hh_tes_in!J19/SER_hh_fec_in!J19)</f>
        <v>0.69207821304246919</v>
      </c>
      <c r="K19" s="135">
        <f>IF(SER_hh_tes_in!K19=0,"",SER_hh_tes_in!K19/SER_hh_fec_in!K19)</f>
        <v>0.69965517607871597</v>
      </c>
      <c r="L19" s="135">
        <f>IF(SER_hh_tes_in!L19=0,"",SER_hh_tes_in!L19/SER_hh_fec_in!L19)</f>
        <v>0.72575385343801224</v>
      </c>
      <c r="M19" s="135">
        <f>IF(SER_hh_tes_in!M19=0,"",SER_hh_tes_in!M19/SER_hh_fec_in!M19)</f>
        <v>0.72789087171435884</v>
      </c>
      <c r="N19" s="135">
        <f>IF(SER_hh_tes_in!N19=0,"",SER_hh_tes_in!N19/SER_hh_fec_in!N19)</f>
        <v>0.73108901477078736</v>
      </c>
      <c r="O19" s="135">
        <f>IF(SER_hh_tes_in!O19=0,"",SER_hh_tes_in!O19/SER_hh_fec_in!O19)</f>
        <v>0.75441879893098274</v>
      </c>
      <c r="P19" s="135">
        <f>IF(SER_hh_tes_in!P19=0,"",SER_hh_tes_in!P19/SER_hh_fec_in!P19)</f>
        <v>0.78463419954418534</v>
      </c>
      <c r="Q19" s="135">
        <f>IF(SER_hh_tes_in!Q19=0,"",SER_hh_tes_in!Q19/SER_hh_fec_in!Q19)</f>
        <v>0.80103465488391501</v>
      </c>
      <c r="R19" s="135">
        <f>IF(SER_hh_tes_in!R19=0,"",SER_hh_tes_in!R19/SER_hh_fec_in!R19)</f>
        <v>0.80503302824773282</v>
      </c>
      <c r="S19" s="135">
        <f>IF(SER_hh_tes_in!S19=0,"",SER_hh_tes_in!S19/SER_hh_fec_in!S19)</f>
        <v>0.81378724846614081</v>
      </c>
      <c r="T19" s="135">
        <f>IF(SER_hh_tes_in!T19=0,"",SER_hh_tes_in!T19/SER_hh_fec_in!T19)</f>
        <v>0.82073897836161913</v>
      </c>
      <c r="U19" s="135">
        <f>IF(SER_hh_tes_in!U19=0,"",SER_hh_tes_in!U19/SER_hh_fec_in!U19)</f>
        <v>0.8326920900876198</v>
      </c>
      <c r="V19" s="135">
        <f>IF(SER_hh_tes_in!V19=0,"",SER_hh_tes_in!V19/SER_hh_fec_in!V19)</f>
        <v>0.84132438548244659</v>
      </c>
      <c r="W19" s="135">
        <f>IF(SER_hh_tes_in!W19=0,"",SER_hh_tes_in!W19/SER_hh_fec_in!W19)</f>
        <v>0.85640682861411499</v>
      </c>
      <c r="X19" s="135">
        <f>IF(SER_hh_tes_in!X19=0,"",SER_hh_tes_in!X19/SER_hh_fec_in!X19)</f>
        <v>0.86553429783872882</v>
      </c>
      <c r="Y19" s="135">
        <f>IF(SER_hh_tes_in!Y19=0,"",SER_hh_tes_in!Y19/SER_hh_fec_in!Y19)</f>
        <v>0.87535899520800553</v>
      </c>
      <c r="DA19" s="162" t="s">
        <v>678</v>
      </c>
    </row>
    <row r="20" spans="1:105" ht="12" customHeight="1" x14ac:dyDescent="0.25">
      <c r="A20" s="131" t="s">
        <v>29</v>
      </c>
      <c r="B20" s="136"/>
      <c r="C20" s="136" t="str">
        <f>IF(SER_hh_tes_in!C20=0,"",SER_hh_tes_in!C20/SER_hh_fec_in!C20)</f>
        <v/>
      </c>
      <c r="D20" s="136" t="str">
        <f>IF(SER_hh_tes_in!D20=0,"",SER_hh_tes_in!D20/SER_hh_fec_in!D20)</f>
        <v/>
      </c>
      <c r="E20" s="136" t="str">
        <f>IF(SER_hh_tes_in!E20=0,"",SER_hh_tes_in!E20/SER_hh_fec_in!E20)</f>
        <v/>
      </c>
      <c r="F20" s="136" t="str">
        <f>IF(SER_hh_tes_in!F20=0,"",SER_hh_tes_in!F20/SER_hh_fec_in!F20)</f>
        <v/>
      </c>
      <c r="G20" s="136" t="str">
        <f>IF(SER_hh_tes_in!G20=0,"",SER_hh_tes_in!G20/SER_hh_fec_in!G20)</f>
        <v/>
      </c>
      <c r="H20" s="136" t="str">
        <f>IF(SER_hh_tes_in!H20=0,"",SER_hh_tes_in!H20/SER_hh_fec_in!H20)</f>
        <v/>
      </c>
      <c r="I20" s="136" t="str">
        <f>IF(SER_hh_tes_in!I20=0,"",SER_hh_tes_in!I20/SER_hh_fec_in!I20)</f>
        <v/>
      </c>
      <c r="J20" s="136" t="str">
        <f>IF(SER_hh_tes_in!J20=0,"",SER_hh_tes_in!J20/SER_hh_fec_in!J20)</f>
        <v/>
      </c>
      <c r="K20" s="136" t="str">
        <f>IF(SER_hh_tes_in!K20=0,"",SER_hh_tes_in!K20/SER_hh_fec_in!K20)</f>
        <v/>
      </c>
      <c r="L20" s="136" t="str">
        <f>IF(SER_hh_tes_in!L20=0,"",SER_hh_tes_in!L20/SER_hh_fec_in!L20)</f>
        <v/>
      </c>
      <c r="M20" s="136" t="str">
        <f>IF(SER_hh_tes_in!M20=0,"",SER_hh_tes_in!M20/SER_hh_fec_in!M20)</f>
        <v/>
      </c>
      <c r="N20" s="136" t="str">
        <f>IF(SER_hh_tes_in!N20=0,"",SER_hh_tes_in!N20/SER_hh_fec_in!N20)</f>
        <v/>
      </c>
      <c r="O20" s="136" t="str">
        <f>IF(SER_hh_tes_in!O20=0,"",SER_hh_tes_in!O20/SER_hh_fec_in!O20)</f>
        <v/>
      </c>
      <c r="P20" s="136" t="str">
        <f>IF(SER_hh_tes_in!P20=0,"",SER_hh_tes_in!P20/SER_hh_fec_in!P20)</f>
        <v/>
      </c>
      <c r="Q20" s="136" t="str">
        <f>IF(SER_hh_tes_in!Q20=0,"",SER_hh_tes_in!Q20/SER_hh_fec_in!Q20)</f>
        <v/>
      </c>
      <c r="R20" s="136" t="str">
        <f>IF(SER_hh_tes_in!R20=0,"",SER_hh_tes_in!R20/SER_hh_fec_in!R20)</f>
        <v/>
      </c>
      <c r="S20" s="136" t="str">
        <f>IF(SER_hh_tes_in!S20=0,"",SER_hh_tes_in!S20/SER_hh_fec_in!S20)</f>
        <v/>
      </c>
      <c r="T20" s="136" t="str">
        <f>IF(SER_hh_tes_in!T20=0,"",SER_hh_tes_in!T20/SER_hh_fec_in!T20)</f>
        <v/>
      </c>
      <c r="U20" s="136" t="str">
        <f>IF(SER_hh_tes_in!U20=0,"",SER_hh_tes_in!U20/SER_hh_fec_in!U20)</f>
        <v/>
      </c>
      <c r="V20" s="136" t="str">
        <f>IF(SER_hh_tes_in!V20=0,"",SER_hh_tes_in!V20/SER_hh_fec_in!V20)</f>
        <v/>
      </c>
      <c r="W20" s="136" t="str">
        <f>IF(SER_hh_tes_in!W20=0,"",SER_hh_tes_in!W20/SER_hh_fec_in!W20)</f>
        <v/>
      </c>
      <c r="X20" s="136" t="str">
        <f>IF(SER_hh_tes_in!X20=0,"",SER_hh_tes_in!X20/SER_hh_fec_in!X20)</f>
        <v/>
      </c>
      <c r="Y20" s="136" t="str">
        <f>IF(SER_hh_tes_in!Y20=0,"",SER_hh_tes_in!Y20/SER_hh_fec_in!Y20)</f>
        <v/>
      </c>
      <c r="DA20" s="163" t="s">
        <v>679</v>
      </c>
    </row>
    <row r="21" spans="1:105" s="2" customFormat="1" ht="12" customHeight="1" x14ac:dyDescent="0.25">
      <c r="A21" s="131" t="s">
        <v>52</v>
      </c>
      <c r="B21" s="136"/>
      <c r="C21" s="136" t="str">
        <f>IF(SER_hh_tes_in!C21=0,"",SER_hh_tes_in!C21/SER_hh_fec_in!C21)</f>
        <v/>
      </c>
      <c r="D21" s="136" t="str">
        <f>IF(SER_hh_tes_in!D21=0,"",SER_hh_tes_in!D21/SER_hh_fec_in!D21)</f>
        <v/>
      </c>
      <c r="E21" s="136" t="str">
        <f>IF(SER_hh_tes_in!E21=0,"",SER_hh_tes_in!E21/SER_hh_fec_in!E21)</f>
        <v/>
      </c>
      <c r="F21" s="136" t="str">
        <f>IF(SER_hh_tes_in!F21=0,"",SER_hh_tes_in!F21/SER_hh_fec_in!F21)</f>
        <v/>
      </c>
      <c r="G21" s="136" t="str">
        <f>IF(SER_hh_tes_in!G21=0,"",SER_hh_tes_in!G21/SER_hh_fec_in!G21)</f>
        <v/>
      </c>
      <c r="H21" s="136" t="str">
        <f>IF(SER_hh_tes_in!H21=0,"",SER_hh_tes_in!H21/SER_hh_fec_in!H21)</f>
        <v/>
      </c>
      <c r="I21" s="136" t="str">
        <f>IF(SER_hh_tes_in!I21=0,"",SER_hh_tes_in!I21/SER_hh_fec_in!I21)</f>
        <v/>
      </c>
      <c r="J21" s="136" t="str">
        <f>IF(SER_hh_tes_in!J21=0,"",SER_hh_tes_in!J21/SER_hh_fec_in!J21)</f>
        <v/>
      </c>
      <c r="K21" s="136" t="str">
        <f>IF(SER_hh_tes_in!K21=0,"",SER_hh_tes_in!K21/SER_hh_fec_in!K21)</f>
        <v/>
      </c>
      <c r="L21" s="136" t="str">
        <f>IF(SER_hh_tes_in!L21=0,"",SER_hh_tes_in!L21/SER_hh_fec_in!L21)</f>
        <v/>
      </c>
      <c r="M21" s="136" t="str">
        <f>IF(SER_hh_tes_in!M21=0,"",SER_hh_tes_in!M21/SER_hh_fec_in!M21)</f>
        <v/>
      </c>
      <c r="N21" s="136" t="str">
        <f>IF(SER_hh_tes_in!N21=0,"",SER_hh_tes_in!N21/SER_hh_fec_in!N21)</f>
        <v/>
      </c>
      <c r="O21" s="136" t="str">
        <f>IF(SER_hh_tes_in!O21=0,"",SER_hh_tes_in!O21/SER_hh_fec_in!O21)</f>
        <v/>
      </c>
      <c r="P21" s="136" t="str">
        <f>IF(SER_hh_tes_in!P21=0,"",SER_hh_tes_in!P21/SER_hh_fec_in!P21)</f>
        <v/>
      </c>
      <c r="Q21" s="136" t="str">
        <f>IF(SER_hh_tes_in!Q21=0,"",SER_hh_tes_in!Q21/SER_hh_fec_in!Q21)</f>
        <v/>
      </c>
      <c r="R21" s="136" t="str">
        <f>IF(SER_hh_tes_in!R21=0,"",SER_hh_tes_in!R21/SER_hh_fec_in!R21)</f>
        <v/>
      </c>
      <c r="S21" s="136" t="str">
        <f>IF(SER_hh_tes_in!S21=0,"",SER_hh_tes_in!S21/SER_hh_fec_in!S21)</f>
        <v/>
      </c>
      <c r="T21" s="136" t="str">
        <f>IF(SER_hh_tes_in!T21=0,"",SER_hh_tes_in!T21/SER_hh_fec_in!T21)</f>
        <v/>
      </c>
      <c r="U21" s="136" t="str">
        <f>IF(SER_hh_tes_in!U21=0,"",SER_hh_tes_in!U21/SER_hh_fec_in!U21)</f>
        <v/>
      </c>
      <c r="V21" s="136" t="str">
        <f>IF(SER_hh_tes_in!V21=0,"",SER_hh_tes_in!V21/SER_hh_fec_in!V21)</f>
        <v/>
      </c>
      <c r="W21" s="136" t="str">
        <f>IF(SER_hh_tes_in!W21=0,"",SER_hh_tes_in!W21/SER_hh_fec_in!W21)</f>
        <v/>
      </c>
      <c r="X21" s="136" t="str">
        <f>IF(SER_hh_tes_in!X21=0,"",SER_hh_tes_in!X21/SER_hh_fec_in!X21)</f>
        <v/>
      </c>
      <c r="Y21" s="136" t="str">
        <f>IF(SER_hh_tes_in!Y21=0,"",SER_hh_tes_in!Y21/SER_hh_fec_in!Y21)</f>
        <v/>
      </c>
      <c r="DA21" s="163" t="s">
        <v>680</v>
      </c>
    </row>
    <row r="22" spans="1:105" ht="12" customHeight="1" x14ac:dyDescent="0.25">
      <c r="A22" s="131" t="s">
        <v>161</v>
      </c>
      <c r="B22" s="136"/>
      <c r="C22" s="136" t="str">
        <f>IF(SER_hh_tes_in!C22=0,"",SER_hh_tes_in!C22/SER_hh_fec_in!C22)</f>
        <v/>
      </c>
      <c r="D22" s="136" t="str">
        <f>IF(SER_hh_tes_in!D22=0,"",SER_hh_tes_in!D22/SER_hh_fec_in!D22)</f>
        <v/>
      </c>
      <c r="E22" s="136" t="str">
        <f>IF(SER_hh_tes_in!E22=0,"",SER_hh_tes_in!E22/SER_hh_fec_in!E22)</f>
        <v/>
      </c>
      <c r="F22" s="136" t="str">
        <f>IF(SER_hh_tes_in!F22=0,"",SER_hh_tes_in!F22/SER_hh_fec_in!F22)</f>
        <v/>
      </c>
      <c r="G22" s="136" t="str">
        <f>IF(SER_hh_tes_in!G22=0,"",SER_hh_tes_in!G22/SER_hh_fec_in!G22)</f>
        <v/>
      </c>
      <c r="H22" s="136" t="str">
        <f>IF(SER_hh_tes_in!H22=0,"",SER_hh_tes_in!H22/SER_hh_fec_in!H22)</f>
        <v/>
      </c>
      <c r="I22" s="136" t="str">
        <f>IF(SER_hh_tes_in!I22=0,"",SER_hh_tes_in!I22/SER_hh_fec_in!I22)</f>
        <v/>
      </c>
      <c r="J22" s="136" t="str">
        <f>IF(SER_hh_tes_in!J22=0,"",SER_hh_tes_in!J22/SER_hh_fec_in!J22)</f>
        <v/>
      </c>
      <c r="K22" s="136">
        <f>IF(SER_hh_tes_in!K22=0,"",SER_hh_tes_in!K22/SER_hh_fec_in!K22)</f>
        <v>0.52032126865002482</v>
      </c>
      <c r="L22" s="136">
        <f>IF(SER_hh_tes_in!L22=0,"",SER_hh_tes_in!L22/SER_hh_fec_in!L22)</f>
        <v>0.52647907992530485</v>
      </c>
      <c r="M22" s="136">
        <f>IF(SER_hh_tes_in!M22=0,"",SER_hh_tes_in!M22/SER_hh_fec_in!M22)</f>
        <v>0.53903216866664316</v>
      </c>
      <c r="N22" s="136">
        <f>IF(SER_hh_tes_in!N22=0,"",SER_hh_tes_in!N22/SER_hh_fec_in!N22)</f>
        <v>0.55972452537705519</v>
      </c>
      <c r="O22" s="136">
        <f>IF(SER_hh_tes_in!O22=0,"",SER_hh_tes_in!O22/SER_hh_fec_in!O22)</f>
        <v>0.58997552916135043</v>
      </c>
      <c r="P22" s="136" t="str">
        <f>IF(SER_hh_tes_in!P22=0,"",SER_hh_tes_in!P22/SER_hh_fec_in!P22)</f>
        <v/>
      </c>
      <c r="Q22" s="136">
        <f>IF(SER_hh_tes_in!Q22=0,"",SER_hh_tes_in!Q22/SER_hh_fec_in!Q22)</f>
        <v>0.65968574333544638</v>
      </c>
      <c r="R22" s="136" t="str">
        <f>IF(SER_hh_tes_in!R22=0,"",SER_hh_tes_in!R22/SER_hh_fec_in!R22)</f>
        <v/>
      </c>
      <c r="S22" s="136">
        <f>IF(SER_hh_tes_in!S22=0,"",SER_hh_tes_in!S22/SER_hh_fec_in!S22)</f>
        <v>0.70106444961692604</v>
      </c>
      <c r="T22" s="136">
        <f>IF(SER_hh_tes_in!T22=0,"",SER_hh_tes_in!T22/SER_hh_fec_in!T22)</f>
        <v>0.7189508368593035</v>
      </c>
      <c r="U22" s="136">
        <f>IF(SER_hh_tes_in!U22=0,"",SER_hh_tes_in!U22/SER_hh_fec_in!U22)</f>
        <v>0.73418421454072647</v>
      </c>
      <c r="V22" s="136">
        <f>IF(SER_hh_tes_in!V22=0,"",SER_hh_tes_in!V22/SER_hh_fec_in!V22)</f>
        <v>0.74617630843965088</v>
      </c>
      <c r="W22" s="136">
        <f>IF(SER_hh_tes_in!W22=0,"",SER_hh_tes_in!W22/SER_hh_fec_in!W22)</f>
        <v>0.75354728490334222</v>
      </c>
      <c r="X22" s="136" t="str">
        <f>IF(SER_hh_tes_in!X22=0,"",SER_hh_tes_in!X22/SER_hh_fec_in!X22)</f>
        <v/>
      </c>
      <c r="Y22" s="136" t="str">
        <f>IF(SER_hh_tes_in!Y22=0,"",SER_hh_tes_in!Y22/SER_hh_fec_in!Y22)</f>
        <v/>
      </c>
      <c r="DA22" s="163" t="s">
        <v>681</v>
      </c>
    </row>
    <row r="23" spans="1:105" ht="12" customHeight="1" x14ac:dyDescent="0.25">
      <c r="A23" s="131" t="s">
        <v>149</v>
      </c>
      <c r="B23" s="136"/>
      <c r="C23" s="136">
        <f>IF(SER_hh_tes_in!C23=0,"",SER_hh_tes_in!C23/SER_hh_fec_in!C23)</f>
        <v>0.53435585907541383</v>
      </c>
      <c r="D23" s="136">
        <f>IF(SER_hh_tes_in!D23=0,"",SER_hh_tes_in!D23/SER_hh_fec_in!D23)</f>
        <v>0.54083317407833431</v>
      </c>
      <c r="E23" s="136">
        <f>IF(SER_hh_tes_in!E23=0,"",SER_hh_tes_in!E23/SER_hh_fec_in!E23)</f>
        <v>0.54760387332289551</v>
      </c>
      <c r="F23" s="136">
        <f>IF(SER_hh_tes_in!F23=0,"",SER_hh_tes_in!F23/SER_hh_fec_in!F23)</f>
        <v>0.55442673535658138</v>
      </c>
      <c r="G23" s="136">
        <f>IF(SER_hh_tes_in!G23=0,"",SER_hh_tes_in!G23/SER_hh_fec_in!G23)</f>
        <v>0.56151768951601988</v>
      </c>
      <c r="H23" s="136">
        <f>IF(SER_hh_tes_in!H23=0,"",SER_hh_tes_in!H23/SER_hh_fec_in!H23)</f>
        <v>0.56884806792818332</v>
      </c>
      <c r="I23" s="136">
        <f>IF(SER_hh_tes_in!I23=0,"",SER_hh_tes_in!I23/SER_hh_fec_in!I23)</f>
        <v>0.57646878124930179</v>
      </c>
      <c r="J23" s="136">
        <f>IF(SER_hh_tes_in!J23=0,"",SER_hh_tes_in!J23/SER_hh_fec_in!J23)</f>
        <v>0.58459358452256305</v>
      </c>
      <c r="K23" s="136">
        <f>IF(SER_hh_tes_in!K23=0,"",SER_hh_tes_in!K23/SER_hh_fec_in!K23)</f>
        <v>0.59340121589402495</v>
      </c>
      <c r="L23" s="136">
        <f>IF(SER_hh_tes_in!L23=0,"",SER_hh_tes_in!L23/SER_hh_fec_in!L23)</f>
        <v>0.6029341429825511</v>
      </c>
      <c r="M23" s="136">
        <f>IF(SER_hh_tes_in!M23=0,"",SER_hh_tes_in!M23/SER_hh_fec_in!M23)</f>
        <v>0.61764176089468914</v>
      </c>
      <c r="N23" s="136">
        <f>IF(SER_hh_tes_in!N23=0,"",SER_hh_tes_in!N23/SER_hh_fec_in!N23)</f>
        <v>0.638897885853696</v>
      </c>
      <c r="O23" s="136">
        <f>IF(SER_hh_tes_in!O23=0,"",SER_hh_tes_in!O23/SER_hh_fec_in!O23)</f>
        <v>0.66768306492237051</v>
      </c>
      <c r="P23" s="136">
        <f>IF(SER_hh_tes_in!P23=0,"",SER_hh_tes_in!P23/SER_hh_fec_in!P23)</f>
        <v>0.70115257995243152</v>
      </c>
      <c r="Q23" s="136">
        <f>IF(SER_hh_tes_in!Q23=0,"",SER_hh_tes_in!Q23/SER_hh_fec_in!Q23)</f>
        <v>0.73045596371992627</v>
      </c>
      <c r="R23" s="136">
        <f>IF(SER_hh_tes_in!R23=0,"",SER_hh_tes_in!R23/SER_hh_fec_in!R23)</f>
        <v>0.74836833657413238</v>
      </c>
      <c r="S23" s="136">
        <f>IF(SER_hh_tes_in!S23=0,"",SER_hh_tes_in!S23/SER_hh_fec_in!S23)</f>
        <v>0.76362274716096823</v>
      </c>
      <c r="T23" s="136">
        <f>IF(SER_hh_tes_in!T23=0,"",SER_hh_tes_in!T23/SER_hh_fec_in!T23)</f>
        <v>0.7764586340159414</v>
      </c>
      <c r="U23" s="136">
        <f>IF(SER_hh_tes_in!U23=0,"",SER_hh_tes_in!U23/SER_hh_fec_in!U23)</f>
        <v>0.78710400816957038</v>
      </c>
      <c r="V23" s="136">
        <f>IF(SER_hh_tes_in!V23=0,"",SER_hh_tes_in!V23/SER_hh_fec_in!V23)</f>
        <v>0.79575885031893212</v>
      </c>
      <c r="W23" s="136">
        <f>IF(SER_hh_tes_in!W23=0,"",SER_hh_tes_in!W23/SER_hh_fec_in!W23)</f>
        <v>0.80148667514227434</v>
      </c>
      <c r="X23" s="136">
        <f>IF(SER_hh_tes_in!X23=0,"",SER_hh_tes_in!X23/SER_hh_fec_in!X23)</f>
        <v>0.8040953853838555</v>
      </c>
      <c r="Y23" s="136">
        <f>IF(SER_hh_tes_in!Y23=0,"",SER_hh_tes_in!Y23/SER_hh_fec_in!Y23)</f>
        <v>0.80562494563239961</v>
      </c>
      <c r="DA23" s="163" t="s">
        <v>682</v>
      </c>
    </row>
    <row r="24" spans="1:105" ht="12" customHeight="1" x14ac:dyDescent="0.25">
      <c r="A24" s="131" t="s">
        <v>128</v>
      </c>
      <c r="B24" s="136"/>
      <c r="C24" s="136">
        <f>IF(SER_hh_tes_in!C24=0,"",SER_hh_tes_in!C24/SER_hh_fec_in!C24)</f>
        <v>0.52384812622431742</v>
      </c>
      <c r="D24" s="136">
        <f>IF(SER_hh_tes_in!D24=0,"",SER_hh_tes_in!D24/SER_hh_fec_in!D24)</f>
        <v>0.53514189463566386</v>
      </c>
      <c r="E24" s="136">
        <f>IF(SER_hh_tes_in!E24=0,"",SER_hh_tes_in!E24/SER_hh_fec_in!E24)</f>
        <v>0.5465431783950756</v>
      </c>
      <c r="F24" s="136">
        <f>IF(SER_hh_tes_in!F24=0,"",SER_hh_tes_in!F24/SER_hh_fec_in!F24)</f>
        <v>0.55804082647826925</v>
      </c>
      <c r="G24" s="136">
        <f>IF(SER_hh_tes_in!G24=0,"",SER_hh_tes_in!G24/SER_hh_fec_in!G24)</f>
        <v>0.56962349470703499</v>
      </c>
      <c r="H24" s="136">
        <f>IF(SER_hh_tes_in!H24=0,"",SER_hh_tes_in!H24/SER_hh_fec_in!H24)</f>
        <v>0.58127782362586389</v>
      </c>
      <c r="I24" s="136">
        <f>IF(SER_hh_tes_in!I24=0,"",SER_hh_tes_in!I24/SER_hh_fec_in!I24)</f>
        <v>0.59298619062448665</v>
      </c>
      <c r="J24" s="136">
        <f>IF(SER_hh_tes_in!J24=0,"",SER_hh_tes_in!J24/SER_hh_fec_in!J24)</f>
        <v>0.60471052856281671</v>
      </c>
      <c r="K24" s="136">
        <f>IF(SER_hh_tes_in!K24=0,"",SER_hh_tes_in!K24/SER_hh_fec_in!K24)</f>
        <v>0.61640050140408653</v>
      </c>
      <c r="L24" s="136">
        <f>IF(SER_hh_tes_in!L24=0,"",SER_hh_tes_in!L24/SER_hh_fec_in!L24)</f>
        <v>0.62801143321584529</v>
      </c>
      <c r="M24" s="136">
        <f>IF(SER_hh_tes_in!M24=0,"",SER_hh_tes_in!M24/SER_hh_fec_in!M24)</f>
        <v>0.6386770291462176</v>
      </c>
      <c r="N24" s="136">
        <f>IF(SER_hh_tes_in!N24=0,"",SER_hh_tes_in!N24/SER_hh_fec_in!N24)</f>
        <v>0.64792326928941457</v>
      </c>
      <c r="O24" s="136">
        <f>IF(SER_hh_tes_in!O24=0,"",SER_hh_tes_in!O24/SER_hh_fec_in!O24)</f>
        <v>0.65547638123759577</v>
      </c>
      <c r="P24" s="136">
        <f>IF(SER_hh_tes_in!P24=0,"",SER_hh_tes_in!P24/SER_hh_fec_in!P24)</f>
        <v>0.6619906918663675</v>
      </c>
      <c r="Q24" s="136">
        <f>IF(SER_hh_tes_in!Q24=0,"",SER_hh_tes_in!Q24/SER_hh_fec_in!Q24)</f>
        <v>0.66976348239040584</v>
      </c>
      <c r="R24" s="136">
        <f>IF(SER_hh_tes_in!R24=0,"",SER_hh_tes_in!R24/SER_hh_fec_in!R24)</f>
        <v>0.68140611736474832</v>
      </c>
      <c r="S24" s="136" t="str">
        <f>IF(SER_hh_tes_in!S24=0,"",SER_hh_tes_in!S24/SER_hh_fec_in!S24)</f>
        <v/>
      </c>
      <c r="T24" s="136">
        <f>IF(SER_hh_tes_in!T24=0,"",SER_hh_tes_in!T24/SER_hh_fec_in!T24)</f>
        <v>0.70772715611886827</v>
      </c>
      <c r="U24" s="136">
        <f>IF(SER_hh_tes_in!U24=0,"",SER_hh_tes_in!U24/SER_hh_fec_in!U24)</f>
        <v>0.71993670842135304</v>
      </c>
      <c r="V24" s="136">
        <f>IF(SER_hh_tes_in!V24=0,"",SER_hh_tes_in!V24/SER_hh_fec_in!V24)</f>
        <v>0.73017835408910858</v>
      </c>
      <c r="W24" s="136">
        <f>IF(SER_hh_tes_in!W24=0,"",SER_hh_tes_in!W24/SER_hh_fec_in!W24)</f>
        <v>0.73840573576945334</v>
      </c>
      <c r="X24" s="136">
        <f>IF(SER_hh_tes_in!X24=0,"",SER_hh_tes_in!X24/SER_hh_fec_in!X24)</f>
        <v>0.7455065383014855</v>
      </c>
      <c r="Y24" s="136">
        <f>IF(SER_hh_tes_in!Y24=0,"",SER_hh_tes_in!Y24/SER_hh_fec_in!Y24)</f>
        <v>0.75219835946056035</v>
      </c>
      <c r="DA24" s="163" t="s">
        <v>683</v>
      </c>
    </row>
    <row r="25" spans="1:105" ht="12" customHeight="1" x14ac:dyDescent="0.25">
      <c r="A25" s="131" t="s">
        <v>162</v>
      </c>
      <c r="B25" s="136"/>
      <c r="C25" s="136">
        <f>IF(SER_hh_tes_in!C25=0,"",SER_hh_tes_in!C25/SER_hh_fec_in!C25)</f>
        <v>0.7468529676717659</v>
      </c>
      <c r="D25" s="136">
        <f>IF(SER_hh_tes_in!D25=0,"",SER_hh_tes_in!D25/SER_hh_fec_in!D25)</f>
        <v>0.74979641495082083</v>
      </c>
      <c r="E25" s="136">
        <f>IF(SER_hh_tes_in!E25=0,"",SER_hh_tes_in!E25/SER_hh_fec_in!E25)</f>
        <v>0.75281932762720838</v>
      </c>
      <c r="F25" s="136">
        <f>IF(SER_hh_tes_in!F25=0,"",SER_hh_tes_in!F25/SER_hh_fec_in!F25)</f>
        <v>0.75585307649414135</v>
      </c>
      <c r="G25" s="136">
        <f>IF(SER_hh_tes_in!G25=0,"",SER_hh_tes_in!G25/SER_hh_fec_in!G25)</f>
        <v>0.75896000831793919</v>
      </c>
      <c r="H25" s="136">
        <f>IF(SER_hh_tes_in!H25=0,"",SER_hh_tes_in!H25/SER_hh_fec_in!H25)</f>
        <v>0.76213249264812366</v>
      </c>
      <c r="I25" s="136">
        <f>IF(SER_hh_tes_in!I25=0,"",SER_hh_tes_in!I25/SER_hh_fec_in!I25)</f>
        <v>0.76538589172973737</v>
      </c>
      <c r="J25" s="136">
        <f>IF(SER_hh_tes_in!J25=0,"",SER_hh_tes_in!J25/SER_hh_fec_in!J25)</f>
        <v>0.76878313925833708</v>
      </c>
      <c r="K25" s="136">
        <f>IF(SER_hh_tes_in!K25=0,"",SER_hh_tes_in!K25/SER_hh_fec_in!K25)</f>
        <v>0.77237774542867554</v>
      </c>
      <c r="L25" s="136">
        <f>IF(SER_hh_tes_in!L25=0,"",SER_hh_tes_in!L25/SER_hh_fec_in!L25)</f>
        <v>0.77618402641165585</v>
      </c>
      <c r="M25" s="136">
        <f>IF(SER_hh_tes_in!M25=0,"",SER_hh_tes_in!M25/SER_hh_fec_in!M25)</f>
        <v>0.7814542976124631</v>
      </c>
      <c r="N25" s="136">
        <f>IF(SER_hh_tes_in!N25=0,"",SER_hh_tes_in!N25/SER_hh_fec_in!N25)</f>
        <v>0.78858450974509431</v>
      </c>
      <c r="O25" s="136">
        <f>IF(SER_hh_tes_in!O25=0,"",SER_hh_tes_in!O25/SER_hh_fec_in!O25)</f>
        <v>0.79792176172406271</v>
      </c>
      <c r="P25" s="136">
        <f>IF(SER_hh_tes_in!P25=0,"",SER_hh_tes_in!P25/SER_hh_fec_in!P25)</f>
        <v>0.80880567241619949</v>
      </c>
      <c r="Q25" s="136">
        <f>IF(SER_hh_tes_in!Q25=0,"",SER_hh_tes_in!Q25/SER_hh_fec_in!Q25)</f>
        <v>0.81907439243262958</v>
      </c>
      <c r="R25" s="136">
        <f>IF(SER_hh_tes_in!R25=0,"",SER_hh_tes_in!R25/SER_hh_fec_in!R25)</f>
        <v>0.82694296985378202</v>
      </c>
      <c r="S25" s="136">
        <f>IF(SER_hh_tes_in!S25=0,"",SER_hh_tes_in!S25/SER_hh_fec_in!S25)</f>
        <v>0.83459778030781573</v>
      </c>
      <c r="T25" s="136">
        <f>IF(SER_hh_tes_in!T25=0,"",SER_hh_tes_in!T25/SER_hh_fec_in!T25)</f>
        <v>0.84198767763347249</v>
      </c>
      <c r="U25" s="136">
        <f>IF(SER_hh_tes_in!U25=0,"",SER_hh_tes_in!U25/SER_hh_fec_in!U25)</f>
        <v>0.84906151566951793</v>
      </c>
      <c r="V25" s="136">
        <f>IF(SER_hh_tes_in!V25=0,"",SER_hh_tes_in!V25/SER_hh_fec_in!V25)</f>
        <v>0.85576814825470793</v>
      </c>
      <c r="W25" s="136">
        <f>IF(SER_hh_tes_in!W25=0,"",SER_hh_tes_in!W25/SER_hh_fec_in!W25)</f>
        <v>0.86194624953664944</v>
      </c>
      <c r="X25" s="136">
        <f>IF(SER_hh_tes_in!X25=0,"",SER_hh_tes_in!X25/SER_hh_fec_in!X25)</f>
        <v>0.86653417751778161</v>
      </c>
      <c r="Y25" s="136">
        <f>IF(SER_hh_tes_in!Y25=0,"",SER_hh_tes_in!Y25/SER_hh_fec_in!Y25)</f>
        <v>0.87094292616900459</v>
      </c>
      <c r="DA25" s="163" t="s">
        <v>684</v>
      </c>
    </row>
    <row r="26" spans="1:105" ht="12" customHeight="1" x14ac:dyDescent="0.25">
      <c r="A26" s="131" t="s">
        <v>24</v>
      </c>
      <c r="B26" s="137"/>
      <c r="C26" s="137">
        <f>IF(SER_hh_tes_in!C26=0,"",SER_hh_tes_in!C26/SER_hh_fec_in!C26)</f>
        <v>0.6201220366965291</v>
      </c>
      <c r="D26" s="137">
        <f>IF(SER_hh_tes_in!D26=0,"",SER_hh_tes_in!D26/SER_hh_fec_in!D26)</f>
        <v>0.6225532416972589</v>
      </c>
      <c r="E26" s="137">
        <f>IF(SER_hh_tes_in!E26=0,"",SER_hh_tes_in!E26/SER_hh_fec_in!E26)</f>
        <v>0.62521480903952509</v>
      </c>
      <c r="F26" s="137">
        <f>IF(SER_hh_tes_in!F26=0,"",SER_hh_tes_in!F26/SER_hh_fec_in!F26)</f>
        <v>0.62790848946425437</v>
      </c>
      <c r="G26" s="137">
        <f>IF(SER_hh_tes_in!G26=0,"",SER_hh_tes_in!G26/SER_hh_fec_in!G26)</f>
        <v>0.63081611757265532</v>
      </c>
      <c r="H26" s="137">
        <f>IF(SER_hh_tes_in!H26=0,"",SER_hh_tes_in!H26/SER_hh_fec_in!H26)</f>
        <v>0.63391716814056487</v>
      </c>
      <c r="I26" s="137">
        <f>IF(SER_hh_tes_in!I26=0,"",SER_hh_tes_in!I26/SER_hh_fec_in!I26)</f>
        <v>0.63725879958509757</v>
      </c>
      <c r="J26" s="137">
        <f>IF(SER_hh_tes_in!J26=0,"",SER_hh_tes_in!J26/SER_hh_fec_in!J26)</f>
        <v>0.64103010287092532</v>
      </c>
      <c r="K26" s="137">
        <f>IF(SER_hh_tes_in!K26=0,"",SER_hh_tes_in!K26/SER_hh_fec_in!K26)</f>
        <v>0.64539812371219907</v>
      </c>
      <c r="L26" s="137">
        <f>IF(SER_hh_tes_in!L26=0,"",SER_hh_tes_in!L26/SER_hh_fec_in!L26)</f>
        <v>0.65042029547739544</v>
      </c>
      <c r="M26" s="137">
        <f>IF(SER_hh_tes_in!M26=0,"",SER_hh_tes_in!M26/SER_hh_fec_in!M26)</f>
        <v>0.65996804889586225</v>
      </c>
      <c r="N26" s="137">
        <f>IF(SER_hh_tes_in!N26=0,"",SER_hh_tes_in!N26/SER_hh_fec_in!N26)</f>
        <v>0.67571143439297776</v>
      </c>
      <c r="O26" s="137">
        <f>IF(SER_hh_tes_in!O26=0,"",SER_hh_tes_in!O26/SER_hh_fec_in!O26)</f>
        <v>0.69971805077449734</v>
      </c>
      <c r="P26" s="137">
        <f>IF(SER_hh_tes_in!P26=0,"",SER_hh_tes_in!P26/SER_hh_fec_in!P26)</f>
        <v>0.73084973751702675</v>
      </c>
      <c r="Q26" s="137">
        <f>IF(SER_hh_tes_in!Q26=0,"",SER_hh_tes_in!Q26/SER_hh_fec_in!Q26)</f>
        <v>0.76088519166230695</v>
      </c>
      <c r="R26" s="137">
        <f>IF(SER_hh_tes_in!R26=0,"",SER_hh_tes_in!R26/SER_hh_fec_in!R26)</f>
        <v>0.78121136552765325</v>
      </c>
      <c r="S26" s="137">
        <f>IF(SER_hh_tes_in!S26=0,"",SER_hh_tes_in!S26/SER_hh_fec_in!S26)</f>
        <v>0.80090392440804925</v>
      </c>
      <c r="T26" s="137">
        <f>IF(SER_hh_tes_in!T26=0,"",SER_hh_tes_in!T26/SER_hh_fec_in!T26)</f>
        <v>0.82044365849794165</v>
      </c>
      <c r="U26" s="137">
        <f>IF(SER_hh_tes_in!U26=0,"",SER_hh_tes_in!U26/SER_hh_fec_in!U26)</f>
        <v>0.84002699534224523</v>
      </c>
      <c r="V26" s="137">
        <f>IF(SER_hh_tes_in!V26=0,"",SER_hh_tes_in!V26/SER_hh_fec_in!V26)</f>
        <v>0.85926535367615231</v>
      </c>
      <c r="W26" s="137">
        <f>IF(SER_hh_tes_in!W26=0,"",SER_hh_tes_in!W26/SER_hh_fec_in!W26)</f>
        <v>0.87683635713333541</v>
      </c>
      <c r="X26" s="137">
        <f>IF(SER_hh_tes_in!X26=0,"",SER_hh_tes_in!X26/SER_hh_fec_in!X26)</f>
        <v>0.89020796204256458</v>
      </c>
      <c r="Y26" s="137">
        <f>IF(SER_hh_tes_in!Y26=0,"",SER_hh_tes_in!Y26/SER_hh_fec_in!Y26)</f>
        <v>0.90268285669503923</v>
      </c>
      <c r="DA26" s="164" t="s">
        <v>685</v>
      </c>
    </row>
    <row r="27" spans="1:105" ht="12" customHeight="1" x14ac:dyDescent="0.25">
      <c r="A27" s="144" t="s">
        <v>26</v>
      </c>
      <c r="B27" s="148"/>
      <c r="C27" s="148" t="str">
        <f>IF(SER_hh_tes_in!C27=0,"",SER_hh_tes_in!C27/SER_hh_fec_in!C27)</f>
        <v/>
      </c>
      <c r="D27" s="148" t="str">
        <f>IF(SER_hh_tes_in!D27=0,"",SER_hh_tes_in!D27/SER_hh_fec_in!D27)</f>
        <v/>
      </c>
      <c r="E27" s="148" t="str">
        <f>IF(SER_hh_tes_in!E27=0,"",SER_hh_tes_in!E27/SER_hh_fec_in!E27)</f>
        <v/>
      </c>
      <c r="F27" s="148" t="str">
        <f>IF(SER_hh_tes_in!F27=0,"",SER_hh_tes_in!F27/SER_hh_fec_in!F27)</f>
        <v/>
      </c>
      <c r="G27" s="148" t="str">
        <f>IF(SER_hh_tes_in!G27=0,"",SER_hh_tes_in!G27/SER_hh_fec_in!G27)</f>
        <v/>
      </c>
      <c r="H27" s="148" t="str">
        <f>IF(SER_hh_tes_in!H27=0,"",SER_hh_tes_in!H27/SER_hh_fec_in!H27)</f>
        <v/>
      </c>
      <c r="I27" s="148" t="str">
        <f>IF(SER_hh_tes_in!I27=0,"",SER_hh_tes_in!I27/SER_hh_fec_in!I27)</f>
        <v/>
      </c>
      <c r="J27" s="148" t="str">
        <f>IF(SER_hh_tes_in!J27=0,"",SER_hh_tes_in!J27/SER_hh_fec_in!J27)</f>
        <v/>
      </c>
      <c r="K27" s="148" t="str">
        <f>IF(SER_hh_tes_in!K27=0,"",SER_hh_tes_in!K27/SER_hh_fec_in!K27)</f>
        <v/>
      </c>
      <c r="L27" s="148" t="str">
        <f>IF(SER_hh_tes_in!L27=0,"",SER_hh_tes_in!L27/SER_hh_fec_in!L27)</f>
        <v/>
      </c>
      <c r="M27" s="148" t="str">
        <f>IF(SER_hh_tes_in!M27=0,"",SER_hh_tes_in!M27/SER_hh_fec_in!M27)</f>
        <v/>
      </c>
      <c r="N27" s="148" t="str">
        <f>IF(SER_hh_tes_in!N27=0,"",SER_hh_tes_in!N27/SER_hh_fec_in!N27)</f>
        <v/>
      </c>
      <c r="O27" s="148" t="str">
        <f>IF(SER_hh_tes_in!O27=0,"",SER_hh_tes_in!O27/SER_hh_fec_in!O27)</f>
        <v/>
      </c>
      <c r="P27" s="148" t="str">
        <f>IF(SER_hh_tes_in!P27=0,"",SER_hh_tes_in!P27/SER_hh_fec_in!P27)</f>
        <v/>
      </c>
      <c r="Q27" s="148" t="str">
        <f>IF(SER_hh_tes_in!Q27=0,"",SER_hh_tes_in!Q27/SER_hh_fec_in!Q27)</f>
        <v/>
      </c>
      <c r="R27" s="148" t="str">
        <f>IF(SER_hh_tes_in!R27=0,"",SER_hh_tes_in!R27/SER_hh_fec_in!R27)</f>
        <v/>
      </c>
      <c r="S27" s="148" t="str">
        <f>IF(SER_hh_tes_in!S27=0,"",SER_hh_tes_in!S27/SER_hh_fec_in!S27)</f>
        <v/>
      </c>
      <c r="T27" s="148" t="str">
        <f>IF(SER_hh_tes_in!T27=0,"",SER_hh_tes_in!T27/SER_hh_fec_in!T27)</f>
        <v/>
      </c>
      <c r="U27" s="148" t="str">
        <f>IF(SER_hh_tes_in!U27=0,"",SER_hh_tes_in!U27/SER_hh_fec_in!U27)</f>
        <v/>
      </c>
      <c r="V27" s="148" t="str">
        <f>IF(SER_hh_tes_in!V27=0,"",SER_hh_tes_in!V27/SER_hh_fec_in!V27)</f>
        <v/>
      </c>
      <c r="W27" s="148" t="str">
        <f>IF(SER_hh_tes_in!W27=0,"",SER_hh_tes_in!W27/SER_hh_fec_in!W27)</f>
        <v/>
      </c>
      <c r="X27" s="148" t="str">
        <f>IF(SER_hh_tes_in!X27=0,"",SER_hh_tes_in!X27/SER_hh_fec_in!X27)</f>
        <v/>
      </c>
      <c r="Y27" s="148" t="str">
        <f>IF(SER_hh_tes_in!Y27=0,"",SER_hh_tes_in!Y27/SER_hh_fec_in!Y27)</f>
        <v/>
      </c>
      <c r="DA27" s="166" t="s">
        <v>686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/>
      <c r="C29" s="135">
        <f>IF(SER_hh_tes_in!C29=0,"",SER_hh_tes_in!C29/SER_hh_fec_in!C29)</f>
        <v>0.68700370288953283</v>
      </c>
      <c r="D29" s="135">
        <f>IF(SER_hh_tes_in!D29=0,"",SER_hh_tes_in!D29/SER_hh_fec_in!D29)</f>
        <v>0.68592404659619677</v>
      </c>
      <c r="E29" s="135">
        <f>IF(SER_hh_tes_in!E29=0,"",SER_hh_tes_in!E29/SER_hh_fec_in!E29)</f>
        <v>0.70373933770099406</v>
      </c>
      <c r="F29" s="135">
        <f>IF(SER_hh_tes_in!F29=0,"",SER_hh_tes_in!F29/SER_hh_fec_in!F29)</f>
        <v>0.71890313425729491</v>
      </c>
      <c r="G29" s="135">
        <f>IF(SER_hh_tes_in!G29=0,"",SER_hh_tes_in!G29/SER_hh_fec_in!G29)</f>
        <v>0.69005345813053021</v>
      </c>
      <c r="H29" s="135">
        <f>IF(SER_hh_tes_in!H29=0,"",SER_hh_tes_in!H29/SER_hh_fec_in!H29)</f>
        <v>0.68772025376366308</v>
      </c>
      <c r="I29" s="135">
        <f>IF(SER_hh_tes_in!I29=0,"",SER_hh_tes_in!I29/SER_hh_fec_in!I29)</f>
        <v>0.68714382704679922</v>
      </c>
      <c r="J29" s="135">
        <f>IF(SER_hh_tes_in!J29=0,"",SER_hh_tes_in!J29/SER_hh_fec_in!J29)</f>
        <v>0.67732211726114999</v>
      </c>
      <c r="K29" s="135">
        <f>IF(SER_hh_tes_in!K29=0,"",SER_hh_tes_in!K29/SER_hh_fec_in!K29)</f>
        <v>0.70076038324696521</v>
      </c>
      <c r="L29" s="135">
        <f>IF(SER_hh_tes_in!L29=0,"",SER_hh_tes_in!L29/SER_hh_fec_in!L29)</f>
        <v>0.73320974083630042</v>
      </c>
      <c r="M29" s="135">
        <f>IF(SER_hh_tes_in!M29=0,"",SER_hh_tes_in!M29/SER_hh_fec_in!M29)</f>
        <v>0.75906213066149308</v>
      </c>
      <c r="N29" s="135">
        <f>IF(SER_hh_tes_in!N29=0,"",SER_hh_tes_in!N29/SER_hh_fec_in!N29)</f>
        <v>0.76153117138140003</v>
      </c>
      <c r="O29" s="135">
        <f>IF(SER_hh_tes_in!O29=0,"",SER_hh_tes_in!O29/SER_hh_fec_in!O29)</f>
        <v>0.76911641119738761</v>
      </c>
      <c r="P29" s="135">
        <f>IF(SER_hh_tes_in!P29=0,"",SER_hh_tes_in!P29/SER_hh_fec_in!P29)</f>
        <v>0.75958317226170435</v>
      </c>
      <c r="Q29" s="135">
        <f>IF(SER_hh_tes_in!Q29=0,"",SER_hh_tes_in!Q29/SER_hh_fec_in!Q29)</f>
        <v>0.72699173782186965</v>
      </c>
      <c r="R29" s="135">
        <f>IF(SER_hh_tes_in!R29=0,"",SER_hh_tes_in!R29/SER_hh_fec_in!R29)</f>
        <v>0.72701544594214484</v>
      </c>
      <c r="S29" s="135">
        <f>IF(SER_hh_tes_in!S29=0,"",SER_hh_tes_in!S29/SER_hh_fec_in!S29)</f>
        <v>0.76347591760797051</v>
      </c>
      <c r="T29" s="135">
        <f>IF(SER_hh_tes_in!T29=0,"",SER_hh_tes_in!T29/SER_hh_fec_in!T29)</f>
        <v>0.79141694779182281</v>
      </c>
      <c r="U29" s="135">
        <f>IF(SER_hh_tes_in!U29=0,"",SER_hh_tes_in!U29/SER_hh_fec_in!U29)</f>
        <v>0.83217302553007999</v>
      </c>
      <c r="V29" s="135">
        <f>IF(SER_hh_tes_in!V29=0,"",SER_hh_tes_in!V29/SER_hh_fec_in!V29)</f>
        <v>0.84486119569432261</v>
      </c>
      <c r="W29" s="135">
        <f>IF(SER_hh_tes_in!W29=0,"",SER_hh_tes_in!W29/SER_hh_fec_in!W29)</f>
        <v>0.8392876365830676</v>
      </c>
      <c r="X29" s="135">
        <f>IF(SER_hh_tes_in!X29=0,"",SER_hh_tes_in!X29/SER_hh_fec_in!X29)</f>
        <v>0.82559537774867509</v>
      </c>
      <c r="Y29" s="135">
        <f>IF(SER_hh_tes_in!Y29=0,"",SER_hh_tes_in!Y29/SER_hh_fec_in!Y29)</f>
        <v>0.81435618960303768</v>
      </c>
      <c r="DA29" s="162" t="s">
        <v>687</v>
      </c>
    </row>
    <row r="30" spans="1:105" s="2" customFormat="1" ht="12" customHeight="1" x14ac:dyDescent="0.25">
      <c r="A30" s="131" t="s">
        <v>52</v>
      </c>
      <c r="B30" s="136"/>
      <c r="C30" s="136" t="str">
        <f>IF(SER_hh_tes_in!C30=0,"",SER_hh_tes_in!C30/SER_hh_fec_in!C30)</f>
        <v/>
      </c>
      <c r="D30" s="136" t="str">
        <f>IF(SER_hh_tes_in!D30=0,"",SER_hh_tes_in!D30/SER_hh_fec_in!D30)</f>
        <v/>
      </c>
      <c r="E30" s="136" t="str">
        <f>IF(SER_hh_tes_in!E30=0,"",SER_hh_tes_in!E30/SER_hh_fec_in!E30)</f>
        <v/>
      </c>
      <c r="F30" s="136" t="str">
        <f>IF(SER_hh_tes_in!F30=0,"",SER_hh_tes_in!F30/SER_hh_fec_in!F30)</f>
        <v/>
      </c>
      <c r="G30" s="136" t="str">
        <f>IF(SER_hh_tes_in!G30=0,"",SER_hh_tes_in!G30/SER_hh_fec_in!G30)</f>
        <v/>
      </c>
      <c r="H30" s="136" t="str">
        <f>IF(SER_hh_tes_in!H30=0,"",SER_hh_tes_in!H30/SER_hh_fec_in!H30)</f>
        <v/>
      </c>
      <c r="I30" s="136" t="str">
        <f>IF(SER_hh_tes_in!I30=0,"",SER_hh_tes_in!I30/SER_hh_fec_in!I30)</f>
        <v/>
      </c>
      <c r="J30" s="136" t="str">
        <f>IF(SER_hh_tes_in!J30=0,"",SER_hh_tes_in!J30/SER_hh_fec_in!J30)</f>
        <v/>
      </c>
      <c r="K30" s="136" t="str">
        <f>IF(SER_hh_tes_in!K30=0,"",SER_hh_tes_in!K30/SER_hh_fec_in!K30)</f>
        <v/>
      </c>
      <c r="L30" s="136" t="str">
        <f>IF(SER_hh_tes_in!L30=0,"",SER_hh_tes_in!L30/SER_hh_fec_in!L30)</f>
        <v/>
      </c>
      <c r="M30" s="136" t="str">
        <f>IF(SER_hh_tes_in!M30=0,"",SER_hh_tes_in!M30/SER_hh_fec_in!M30)</f>
        <v/>
      </c>
      <c r="N30" s="136" t="str">
        <f>IF(SER_hh_tes_in!N30=0,"",SER_hh_tes_in!N30/SER_hh_fec_in!N30)</f>
        <v/>
      </c>
      <c r="O30" s="136" t="str">
        <f>IF(SER_hh_tes_in!O30=0,"",SER_hh_tes_in!O30/SER_hh_fec_in!O30)</f>
        <v/>
      </c>
      <c r="P30" s="136" t="str">
        <f>IF(SER_hh_tes_in!P30=0,"",SER_hh_tes_in!P30/SER_hh_fec_in!P30)</f>
        <v/>
      </c>
      <c r="Q30" s="136" t="str">
        <f>IF(SER_hh_tes_in!Q30=0,"",SER_hh_tes_in!Q30/SER_hh_fec_in!Q30)</f>
        <v/>
      </c>
      <c r="R30" s="136" t="str">
        <f>IF(SER_hh_tes_in!R30=0,"",SER_hh_tes_in!R30/SER_hh_fec_in!R30)</f>
        <v/>
      </c>
      <c r="S30" s="136" t="str">
        <f>IF(SER_hh_tes_in!S30=0,"",SER_hh_tes_in!S30/SER_hh_fec_in!S30)</f>
        <v/>
      </c>
      <c r="T30" s="136" t="str">
        <f>IF(SER_hh_tes_in!T30=0,"",SER_hh_tes_in!T30/SER_hh_fec_in!T30)</f>
        <v/>
      </c>
      <c r="U30" s="136" t="str">
        <f>IF(SER_hh_tes_in!U30=0,"",SER_hh_tes_in!U30/SER_hh_fec_in!U30)</f>
        <v/>
      </c>
      <c r="V30" s="136" t="str">
        <f>IF(SER_hh_tes_in!V30=0,"",SER_hh_tes_in!V30/SER_hh_fec_in!V30)</f>
        <v/>
      </c>
      <c r="W30" s="136" t="str">
        <f>IF(SER_hh_tes_in!W30=0,"",SER_hh_tes_in!W30/SER_hh_fec_in!W30)</f>
        <v/>
      </c>
      <c r="X30" s="136" t="str">
        <f>IF(SER_hh_tes_in!X30=0,"",SER_hh_tes_in!X30/SER_hh_fec_in!X30)</f>
        <v/>
      </c>
      <c r="Y30" s="136" t="str">
        <f>IF(SER_hh_tes_in!Y30=0,"",SER_hh_tes_in!Y30/SER_hh_fec_in!Y30)</f>
        <v/>
      </c>
      <c r="DA30" s="163" t="s">
        <v>688</v>
      </c>
    </row>
    <row r="31" spans="1:105" ht="12" customHeight="1" x14ac:dyDescent="0.25">
      <c r="A31" s="131" t="s">
        <v>149</v>
      </c>
      <c r="B31" s="136"/>
      <c r="C31" s="136">
        <f>IF(SER_hh_tes_in!C31=0,"",SER_hh_tes_in!C31/SER_hh_fec_in!C31)</f>
        <v>0.56349708245633734</v>
      </c>
      <c r="D31" s="136">
        <f>IF(SER_hh_tes_in!D31=0,"",SER_hh_tes_in!D31/SER_hh_fec_in!D31)</f>
        <v>0.56428354825514171</v>
      </c>
      <c r="E31" s="136">
        <f>IF(SER_hh_tes_in!E31=0,"",SER_hh_tes_in!E31/SER_hh_fec_in!E31)</f>
        <v>0.56507008489768518</v>
      </c>
      <c r="F31" s="136">
        <f>IF(SER_hh_tes_in!F31=0,"",SER_hh_tes_in!F31/SER_hh_fec_in!F31)</f>
        <v>0.56585663120073826</v>
      </c>
      <c r="G31" s="136">
        <f>IF(SER_hh_tes_in!G31=0,"",SER_hh_tes_in!G31/SER_hh_fec_in!G31)</f>
        <v>0.56664324274670796</v>
      </c>
      <c r="H31" s="136">
        <f>IF(SER_hh_tes_in!H31=0,"",SER_hh_tes_in!H31/SER_hh_fec_in!H31)</f>
        <v>0.56742991273301535</v>
      </c>
      <c r="I31" s="136">
        <f>IF(SER_hh_tes_in!I31=0,"",SER_hh_tes_in!I31/SER_hh_fec_in!I31)</f>
        <v>0.5682166548551667</v>
      </c>
      <c r="J31" s="136">
        <f>IF(SER_hh_tes_in!J31=0,"",SER_hh_tes_in!J31/SER_hh_fec_in!J31)</f>
        <v>0.56900352521881936</v>
      </c>
      <c r="K31" s="136">
        <f>IF(SER_hh_tes_in!K31=0,"",SER_hh_tes_in!K31/SER_hh_fec_in!K31)</f>
        <v>0.56979057152853851</v>
      </c>
      <c r="L31" s="136">
        <f>IF(SER_hh_tes_in!L31=0,"",SER_hh_tes_in!L31/SER_hh_fec_in!L31)</f>
        <v>0.57057780654725077</v>
      </c>
      <c r="M31" s="136" t="str">
        <f>IF(SER_hh_tes_in!M31=0,"",SER_hh_tes_in!M31/SER_hh_fec_in!M31)</f>
        <v/>
      </c>
      <c r="N31" s="136" t="str">
        <f>IF(SER_hh_tes_in!N31=0,"",SER_hh_tes_in!N31/SER_hh_fec_in!N31)</f>
        <v/>
      </c>
      <c r="O31" s="136" t="str">
        <f>IF(SER_hh_tes_in!O31=0,"",SER_hh_tes_in!O31/SER_hh_fec_in!O31)</f>
        <v/>
      </c>
      <c r="P31" s="136">
        <f>IF(SER_hh_tes_in!P31=0,"",SER_hh_tes_in!P31/SER_hh_fec_in!P31)</f>
        <v>0.5722668782741871</v>
      </c>
      <c r="Q31" s="136">
        <f>IF(SER_hh_tes_in!Q31=0,"",SER_hh_tes_in!Q31/SER_hh_fec_in!Q31)</f>
        <v>0.5745352520058713</v>
      </c>
      <c r="R31" s="136">
        <f>IF(SER_hh_tes_in!R31=0,"",SER_hh_tes_in!R31/SER_hh_fec_in!R31)</f>
        <v>0.58049370495709296</v>
      </c>
      <c r="S31" s="136">
        <f>IF(SER_hh_tes_in!S31=0,"",SER_hh_tes_in!S31/SER_hh_fec_in!S31)</f>
        <v>0.58889878371426019</v>
      </c>
      <c r="T31" s="136">
        <f>IF(SER_hh_tes_in!T31=0,"",SER_hh_tes_in!T31/SER_hh_fec_in!T31)</f>
        <v>0.5981208031086227</v>
      </c>
      <c r="U31" s="136" t="str">
        <f>IF(SER_hh_tes_in!U31=0,"",SER_hh_tes_in!U31/SER_hh_fec_in!U31)</f>
        <v/>
      </c>
      <c r="V31" s="136" t="str">
        <f>IF(SER_hh_tes_in!V31=0,"",SER_hh_tes_in!V31/SER_hh_fec_in!V31)</f>
        <v/>
      </c>
      <c r="W31" s="136">
        <f>IF(SER_hh_tes_in!W31=0,"",SER_hh_tes_in!W31/SER_hh_fec_in!W31)</f>
        <v>0.61536463422194398</v>
      </c>
      <c r="X31" s="136">
        <f>IF(SER_hh_tes_in!X31=0,"",SER_hh_tes_in!X31/SER_hh_fec_in!X31)</f>
        <v>0.61577149107805196</v>
      </c>
      <c r="Y31" s="136">
        <f>IF(SER_hh_tes_in!Y31=0,"",SER_hh_tes_in!Y31/SER_hh_fec_in!Y31)</f>
        <v>0.61581217676366284</v>
      </c>
      <c r="DA31" s="163" t="s">
        <v>689</v>
      </c>
    </row>
    <row r="32" spans="1:105" ht="12" customHeight="1" x14ac:dyDescent="0.25">
      <c r="A32" s="131" t="s">
        <v>128</v>
      </c>
      <c r="B32" s="136"/>
      <c r="C32" s="136" t="str">
        <f>IF(SER_hh_tes_in!C32=0,"",SER_hh_tes_in!C32/SER_hh_fec_in!C32)</f>
        <v/>
      </c>
      <c r="D32" s="136" t="str">
        <f>IF(SER_hh_tes_in!D32=0,"",SER_hh_tes_in!D32/SER_hh_fec_in!D32)</f>
        <v/>
      </c>
      <c r="E32" s="136" t="str">
        <f>IF(SER_hh_tes_in!E32=0,"",SER_hh_tes_in!E32/SER_hh_fec_in!E32)</f>
        <v/>
      </c>
      <c r="F32" s="136" t="str">
        <f>IF(SER_hh_tes_in!F32=0,"",SER_hh_tes_in!F32/SER_hh_fec_in!F32)</f>
        <v/>
      </c>
      <c r="G32" s="136">
        <f>IF(SER_hh_tes_in!G32=0,"",SER_hh_tes_in!G32/SER_hh_fec_in!G32)</f>
        <v>0.56481669906202359</v>
      </c>
      <c r="H32" s="136">
        <f>IF(SER_hh_tes_in!H32=0,"",SER_hh_tes_in!H32/SER_hh_fec_in!H32)</f>
        <v>0.5650983695584878</v>
      </c>
      <c r="I32" s="136">
        <f>IF(SER_hh_tes_in!I32=0,"",SER_hh_tes_in!I32/SER_hh_fec_in!I32)</f>
        <v>0.5653800658834941</v>
      </c>
      <c r="J32" s="136">
        <f>IF(SER_hh_tes_in!J32=0,"",SER_hh_tes_in!J32/SER_hh_fec_in!J32)</f>
        <v>0.56566180812590938</v>
      </c>
      <c r="K32" s="136">
        <f>IF(SER_hh_tes_in!K32=0,"",SER_hh_tes_in!K32/SER_hh_fec_in!K32)</f>
        <v>0.56594361336655352</v>
      </c>
      <c r="L32" s="136">
        <f>IF(SER_hh_tes_in!L32=0,"",SER_hh_tes_in!L32/SER_hh_fec_in!L32)</f>
        <v>0.56622548617524615</v>
      </c>
      <c r="M32" s="136" t="str">
        <f>IF(SER_hh_tes_in!M32=0,"",SER_hh_tes_in!M32/SER_hh_fec_in!M32)</f>
        <v/>
      </c>
      <c r="N32" s="136">
        <f>IF(SER_hh_tes_in!N32=0,"",SER_hh_tes_in!N32/SER_hh_fec_in!N32)</f>
        <v>0.56655920548423899</v>
      </c>
      <c r="O32" s="136" t="str">
        <f>IF(SER_hh_tes_in!O32=0,"",SER_hh_tes_in!O32/SER_hh_fec_in!O32)</f>
        <v/>
      </c>
      <c r="P32" s="136">
        <f>IF(SER_hh_tes_in!P32=0,"",SER_hh_tes_in!P32/SER_hh_fec_in!P32)</f>
        <v>0.56683026540944959</v>
      </c>
      <c r="Q32" s="136">
        <f>IF(SER_hh_tes_in!Q32=0,"",SER_hh_tes_in!Q32/SER_hh_fec_in!Q32)</f>
        <v>0.56764246616235847</v>
      </c>
      <c r="R32" s="136">
        <f>IF(SER_hh_tes_in!R32=0,"",SER_hh_tes_in!R32/SER_hh_fec_in!R32)</f>
        <v>0.56977591529622851</v>
      </c>
      <c r="S32" s="136">
        <f>IF(SER_hh_tes_in!S32=0,"",SER_hh_tes_in!S32/SER_hh_fec_in!S32)</f>
        <v>0.57278538908772847</v>
      </c>
      <c r="T32" s="136">
        <f>IF(SER_hh_tes_in!T32=0,"",SER_hh_tes_in!T32/SER_hh_fec_in!T32)</f>
        <v>0.57608737190952808</v>
      </c>
      <c r="U32" s="136">
        <f>IF(SER_hh_tes_in!U32=0,"",SER_hh_tes_in!U32/SER_hh_fec_in!U32)</f>
        <v>0.57909834813430461</v>
      </c>
      <c r="V32" s="136">
        <f>IF(SER_hh_tes_in!V32=0,"",SER_hh_tes_in!V32/SER_hh_fec_in!V32)</f>
        <v>0.58123480213473189</v>
      </c>
      <c r="W32" s="136">
        <f>IF(SER_hh_tes_in!W32=0,"",SER_hh_tes_in!W32/SER_hh_fec_in!W32)</f>
        <v>0.58226159814819833</v>
      </c>
      <c r="X32" s="136">
        <f>IF(SER_hh_tes_in!X32=0,"",SER_hh_tes_in!X32/SER_hh_fec_in!X32)</f>
        <v>0.58264656847323903</v>
      </c>
      <c r="Y32" s="136">
        <f>IF(SER_hh_tes_in!Y32=0,"",SER_hh_tes_in!Y32/SER_hh_fec_in!Y32)</f>
        <v>0.58268506550574317</v>
      </c>
      <c r="DA32" s="163" t="s">
        <v>690</v>
      </c>
    </row>
    <row r="33" spans="1:105" ht="12" customHeight="1" x14ac:dyDescent="0.25">
      <c r="A33" s="62" t="s">
        <v>24</v>
      </c>
      <c r="B33" s="149"/>
      <c r="C33" s="149">
        <f>IF(SER_hh_tes_in!C33=0,"",SER_hh_tes_in!C33/SER_hh_fec_in!C33)</f>
        <v>0.74080429015315963</v>
      </c>
      <c r="D33" s="149">
        <f>IF(SER_hh_tes_in!D33=0,"",SER_hh_tes_in!D33/SER_hh_fec_in!D33)</f>
        <v>0.74222547917254478</v>
      </c>
      <c r="E33" s="149">
        <f>IF(SER_hh_tes_in!E33=0,"",SER_hh_tes_in!E33/SER_hh_fec_in!E33)</f>
        <v>0.74371367758295837</v>
      </c>
      <c r="F33" s="149">
        <f>IF(SER_hh_tes_in!F33=0,"",SER_hh_tes_in!F33/SER_hh_fec_in!F33)</f>
        <v>0.74521101363760323</v>
      </c>
      <c r="G33" s="149">
        <f>IF(SER_hh_tes_in!G33=0,"",SER_hh_tes_in!G33/SER_hh_fec_in!G33)</f>
        <v>0.74677006139995694</v>
      </c>
      <c r="H33" s="149">
        <f>IF(SER_hh_tes_in!H33=0,"",SER_hh_tes_in!H33/SER_hh_fec_in!H33)</f>
        <v>0.74838438647395522</v>
      </c>
      <c r="I33" s="149">
        <f>IF(SER_hh_tes_in!I33=0,"",SER_hh_tes_in!I33/SER_hh_fec_in!I33)</f>
        <v>0.75006694311037536</v>
      </c>
      <c r="J33" s="149">
        <f>IF(SER_hh_tes_in!J33=0,"",SER_hh_tes_in!J33/SER_hh_fec_in!J33)</f>
        <v>0.75187080030221209</v>
      </c>
      <c r="K33" s="149">
        <f>IF(SER_hh_tes_in!K33=0,"",SER_hh_tes_in!K33/SER_hh_fec_in!K33)</f>
        <v>0.75384108065231625</v>
      </c>
      <c r="L33" s="149">
        <f>IF(SER_hh_tes_in!L33=0,"",SER_hh_tes_in!L33/SER_hh_fec_in!L33)</f>
        <v>0.75598985630688342</v>
      </c>
      <c r="M33" s="149">
        <f>IF(SER_hh_tes_in!M33=0,"",SER_hh_tes_in!M33/SER_hh_fec_in!M33)</f>
        <v>0.75906213066149308</v>
      </c>
      <c r="N33" s="149">
        <f>IF(SER_hh_tes_in!N33=0,"",SER_hh_tes_in!N33/SER_hh_fec_in!N33)</f>
        <v>0.76326999910203641</v>
      </c>
      <c r="O33" s="149">
        <f>IF(SER_hh_tes_in!O33=0,"",SER_hh_tes_in!O33/SER_hh_fec_in!O33)</f>
        <v>0.76911641119738761</v>
      </c>
      <c r="P33" s="149">
        <f>IF(SER_hh_tes_in!P33=0,"",SER_hh_tes_in!P33/SER_hh_fec_in!P33)</f>
        <v>0.77684804824570775</v>
      </c>
      <c r="Q33" s="149">
        <f>IF(SER_hh_tes_in!Q33=0,"",SER_hh_tes_in!Q33/SER_hh_fec_in!Q33)</f>
        <v>0.78685286199803828</v>
      </c>
      <c r="R33" s="149">
        <f>IF(SER_hh_tes_in!R33=0,"",SER_hh_tes_in!R33/SER_hh_fec_in!R33)</f>
        <v>0.80046702152726668</v>
      </c>
      <c r="S33" s="149">
        <f>IF(SER_hh_tes_in!S33=0,"",SER_hh_tes_in!S33/SER_hh_fec_in!S33)</f>
        <v>0.81750277931254578</v>
      </c>
      <c r="T33" s="149">
        <f>IF(SER_hh_tes_in!T33=0,"",SER_hh_tes_in!T33/SER_hh_fec_in!T33)</f>
        <v>0.83584270807102046</v>
      </c>
      <c r="U33" s="149">
        <f>IF(SER_hh_tes_in!U33=0,"",SER_hh_tes_in!U33/SER_hh_fec_in!U33)</f>
        <v>0.85336938051988553</v>
      </c>
      <c r="V33" s="149">
        <f>IF(SER_hh_tes_in!V33=0,"",SER_hh_tes_in!V33/SER_hh_fec_in!V33)</f>
        <v>0.86796536937631208</v>
      </c>
      <c r="W33" s="149">
        <f>IF(SER_hh_tes_in!W33=0,"",SER_hh_tes_in!W33/SER_hh_fec_in!W33)</f>
        <v>0.87889498377204445</v>
      </c>
      <c r="X33" s="149">
        <f>IF(SER_hh_tes_in!X33=0,"",SER_hh_tes_in!X33/SER_hh_fec_in!X33)</f>
        <v>0.88660626101584938</v>
      </c>
      <c r="Y33" s="149">
        <f>IF(SER_hh_tes_in!Y33=0,"",SER_hh_tes_in!Y33/SER_hh_fec_in!Y33)</f>
        <v>0.89344458947675176</v>
      </c>
      <c r="DA33" s="167" t="s">
        <v>691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/>
      <c r="C3" s="125">
        <f t="shared" ref="C3:Q3" si="0">SUM(C4,C16,C19,C29)</f>
        <v>8.197048408469481</v>
      </c>
      <c r="D3" s="125">
        <f t="shared" si="0"/>
        <v>17.379357401205315</v>
      </c>
      <c r="E3" s="125">
        <f t="shared" si="0"/>
        <v>18.806491626162781</v>
      </c>
      <c r="F3" s="125">
        <f t="shared" si="0"/>
        <v>22.725377328678142</v>
      </c>
      <c r="G3" s="125">
        <f t="shared" si="0"/>
        <v>24.643793430730287</v>
      </c>
      <c r="H3" s="125">
        <f t="shared" si="0"/>
        <v>19.652422101130799</v>
      </c>
      <c r="I3" s="125">
        <f t="shared" si="0"/>
        <v>28.904327926385314</v>
      </c>
      <c r="J3" s="125">
        <f t="shared" si="0"/>
        <v>14.173635195566451</v>
      </c>
      <c r="K3" s="125">
        <f t="shared" si="0"/>
        <v>1.7444859823322121</v>
      </c>
      <c r="L3" s="125">
        <f t="shared" si="0"/>
        <v>4.3423237231669987</v>
      </c>
      <c r="M3" s="125">
        <f t="shared" si="0"/>
        <v>6.7062338607190739</v>
      </c>
      <c r="N3" s="125">
        <f t="shared" si="0"/>
        <v>3.4102895509283004</v>
      </c>
      <c r="O3" s="125">
        <f t="shared" si="0"/>
        <v>4.6160997559770216</v>
      </c>
      <c r="P3" s="125">
        <f t="shared" si="0"/>
        <v>2.8127964603850124</v>
      </c>
      <c r="Q3" s="125">
        <f t="shared" si="0"/>
        <v>2.3840567224227449</v>
      </c>
      <c r="R3" s="125">
        <f t="shared" ref="R3:W3" si="1">SUM(R4,R16,R19,R29)</f>
        <v>2.797473968710241</v>
      </c>
      <c r="S3" s="125">
        <f t="shared" si="1"/>
        <v>2.8254724597150989</v>
      </c>
      <c r="T3" s="125">
        <f t="shared" si="1"/>
        <v>2.874102524849389</v>
      </c>
      <c r="U3" s="125">
        <f t="shared" si="1"/>
        <v>1.9234414540888383</v>
      </c>
      <c r="V3" s="125">
        <f t="shared" si="1"/>
        <v>0.75365373090626797</v>
      </c>
      <c r="W3" s="125">
        <f t="shared" si="1"/>
        <v>1.302722342150074</v>
      </c>
      <c r="X3" s="125">
        <f t="shared" ref="X3:Y3" si="2">SUM(X4,X16,X19,X29)</f>
        <v>1.2638737817236732</v>
      </c>
      <c r="Y3" s="125">
        <f t="shared" si="2"/>
        <v>1.1140617575886518</v>
      </c>
      <c r="DA3" s="154" t="s">
        <v>693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6.8835614676009005</v>
      </c>
      <c r="D4" s="130">
        <f t="shared" si="3"/>
        <v>15.708105929757185</v>
      </c>
      <c r="E4" s="130">
        <f t="shared" si="3"/>
        <v>17.078917272356417</v>
      </c>
      <c r="F4" s="130">
        <f t="shared" si="3"/>
        <v>21.499450450699008</v>
      </c>
      <c r="G4" s="130">
        <f t="shared" si="3"/>
        <v>22.762687150879056</v>
      </c>
      <c r="H4" s="130">
        <f t="shared" si="3"/>
        <v>17.584189209756829</v>
      </c>
      <c r="I4" s="130">
        <f t="shared" si="3"/>
        <v>23.447560287004372</v>
      </c>
      <c r="J4" s="130">
        <f t="shared" si="3"/>
        <v>11.338801375465966</v>
      </c>
      <c r="K4" s="130">
        <f t="shared" si="3"/>
        <v>1.5392997527007792</v>
      </c>
      <c r="L4" s="130">
        <f t="shared" si="3"/>
        <v>4.1028506639312052</v>
      </c>
      <c r="M4" s="130">
        <f t="shared" si="3"/>
        <v>6.5167899653912222</v>
      </c>
      <c r="N4" s="130">
        <f t="shared" si="3"/>
        <v>3.2894631027855041</v>
      </c>
      <c r="O4" s="130">
        <f t="shared" si="3"/>
        <v>4.4556898986755886</v>
      </c>
      <c r="P4" s="130">
        <f t="shared" si="3"/>
        <v>2.5035619040585244</v>
      </c>
      <c r="Q4" s="130">
        <f t="shared" si="3"/>
        <v>1.8712815940886551</v>
      </c>
      <c r="R4" s="130">
        <f t="shared" ref="R4:W4" si="4">SUM(R5:R15)</f>
        <v>2.2065277640347718</v>
      </c>
      <c r="S4" s="130">
        <f t="shared" si="4"/>
        <v>2.3926517291754741</v>
      </c>
      <c r="T4" s="130">
        <f t="shared" si="4"/>
        <v>2.5020620522571684</v>
      </c>
      <c r="U4" s="130">
        <f t="shared" si="4"/>
        <v>1.7474817323674317</v>
      </c>
      <c r="V4" s="130">
        <f t="shared" si="4"/>
        <v>0.58704461679088282</v>
      </c>
      <c r="W4" s="130">
        <f t="shared" si="4"/>
        <v>1.1868426659296853</v>
      </c>
      <c r="X4" s="130">
        <f t="shared" ref="X4:Y4" si="5">SUM(X5:X15)</f>
        <v>1.0760432940793694</v>
      </c>
      <c r="Y4" s="130">
        <f t="shared" si="5"/>
        <v>0.88238696546815776</v>
      </c>
      <c r="DA4" s="155" t="s">
        <v>694</v>
      </c>
    </row>
    <row r="5" spans="1:105" ht="12" customHeight="1" x14ac:dyDescent="0.25">
      <c r="A5" s="131" t="s">
        <v>29</v>
      </c>
      <c r="B5" s="132"/>
      <c r="C5" s="132">
        <v>3.4103998311729598</v>
      </c>
      <c r="D5" s="132">
        <v>10.08008804167925</v>
      </c>
      <c r="E5" s="132">
        <v>10.926212929072058</v>
      </c>
      <c r="F5" s="132">
        <v>12.769674667296725</v>
      </c>
      <c r="G5" s="132">
        <v>16.316934551978648</v>
      </c>
      <c r="H5" s="132">
        <v>11.760056456839228</v>
      </c>
      <c r="I5" s="132">
        <v>10.340491397215622</v>
      </c>
      <c r="J5" s="132">
        <v>5.4317926301482915</v>
      </c>
      <c r="K5" s="132">
        <v>1.1357182651764386</v>
      </c>
      <c r="L5" s="132">
        <v>2.7861014461879545</v>
      </c>
      <c r="M5" s="132">
        <v>3.9994399315275482</v>
      </c>
      <c r="N5" s="132">
        <v>1.6328096638867737</v>
      </c>
      <c r="O5" s="132">
        <v>1.9491639289378764</v>
      </c>
      <c r="P5" s="132">
        <v>0.12761540799906765</v>
      </c>
      <c r="Q5" s="132">
        <v>0</v>
      </c>
      <c r="R5" s="132">
        <v>0.99734262679968178</v>
      </c>
      <c r="S5" s="132">
        <v>1.1102687477375084</v>
      </c>
      <c r="T5" s="132">
        <v>1.0608600229524139</v>
      </c>
      <c r="U5" s="132">
        <v>0.28989536555839374</v>
      </c>
      <c r="V5" s="132">
        <v>1.3361379708021943E-2</v>
      </c>
      <c r="W5" s="132">
        <v>0.23901327697842886</v>
      </c>
      <c r="X5" s="132">
        <v>0.29345591325519771</v>
      </c>
      <c r="Y5" s="132">
        <v>0</v>
      </c>
      <c r="DA5" s="156" t="s">
        <v>695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696</v>
      </c>
    </row>
    <row r="7" spans="1:105" ht="12" customHeight="1" x14ac:dyDescent="0.25">
      <c r="A7" s="131" t="s">
        <v>161</v>
      </c>
      <c r="B7" s="132"/>
      <c r="C7" s="132">
        <v>0</v>
      </c>
      <c r="D7" s="132">
        <v>0</v>
      </c>
      <c r="E7" s="132">
        <v>0</v>
      </c>
      <c r="F7" s="132">
        <v>0</v>
      </c>
      <c r="G7" s="132">
        <v>0</v>
      </c>
      <c r="H7" s="132">
        <v>0</v>
      </c>
      <c r="I7" s="132">
        <v>0</v>
      </c>
      <c r="J7" s="132">
        <v>0.4726240854831194</v>
      </c>
      <c r="K7" s="132">
        <v>5.005988017806251E-2</v>
      </c>
      <c r="L7" s="132">
        <v>0.23787896522951474</v>
      </c>
      <c r="M7" s="132">
        <v>0.70355123114735507</v>
      </c>
      <c r="N7" s="132">
        <v>0.20589041162864916</v>
      </c>
      <c r="O7" s="132">
        <v>0.23836033687098171</v>
      </c>
      <c r="P7" s="132">
        <v>0</v>
      </c>
      <c r="Q7" s="132">
        <v>0</v>
      </c>
      <c r="R7" s="132">
        <v>0</v>
      </c>
      <c r="S7" s="132">
        <v>0</v>
      </c>
      <c r="T7" s="132">
        <v>0</v>
      </c>
      <c r="U7" s="132">
        <v>4.7404846512585544E-2</v>
      </c>
      <c r="V7" s="132">
        <v>4.1918731727924222E-2</v>
      </c>
      <c r="W7" s="132">
        <v>3.8356352775833387E-2</v>
      </c>
      <c r="X7" s="132">
        <v>2.6832860970729944E-2</v>
      </c>
      <c r="Y7" s="132">
        <v>7.6497185696088918E-2</v>
      </c>
      <c r="DA7" s="156" t="s">
        <v>697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698</v>
      </c>
    </row>
    <row r="9" spans="1:105" ht="12" customHeight="1" x14ac:dyDescent="0.25">
      <c r="A9" s="131" t="s">
        <v>78</v>
      </c>
      <c r="B9" s="132"/>
      <c r="C9" s="132">
        <v>3.4731616364279407</v>
      </c>
      <c r="D9" s="132">
        <v>5.6280178880779337</v>
      </c>
      <c r="E9" s="132">
        <v>6.15270434328436</v>
      </c>
      <c r="F9" s="132">
        <v>8.7297757834022836</v>
      </c>
      <c r="G9" s="132">
        <v>6.4457525989004099</v>
      </c>
      <c r="H9" s="132">
        <v>5.8241327529176017</v>
      </c>
      <c r="I9" s="132">
        <v>13.107068889788751</v>
      </c>
      <c r="J9" s="132">
        <v>5.4343846598345547</v>
      </c>
      <c r="K9" s="132">
        <v>0.35352160734627813</v>
      </c>
      <c r="L9" s="132">
        <v>1.0788702525137357</v>
      </c>
      <c r="M9" s="132">
        <v>1.8137988027163188</v>
      </c>
      <c r="N9" s="132">
        <v>1.4507630272700811</v>
      </c>
      <c r="O9" s="132">
        <v>2.2681656328667303</v>
      </c>
      <c r="P9" s="132">
        <v>2.375946496059457</v>
      </c>
      <c r="Q9" s="132">
        <v>1.8712815940886551</v>
      </c>
      <c r="R9" s="132">
        <v>1.2091851372350901</v>
      </c>
      <c r="S9" s="132">
        <v>1.2823829814379657</v>
      </c>
      <c r="T9" s="132">
        <v>1.4412020293047545</v>
      </c>
      <c r="U9" s="132">
        <v>1.4101815202964525</v>
      </c>
      <c r="V9" s="132">
        <v>0.53176450535493669</v>
      </c>
      <c r="W9" s="132">
        <v>0.90947303617542308</v>
      </c>
      <c r="X9" s="132">
        <v>0.75575451985344166</v>
      </c>
      <c r="Y9" s="132">
        <v>0.80588977977206888</v>
      </c>
      <c r="DA9" s="156" t="s">
        <v>699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700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701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702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703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704</v>
      </c>
    </row>
    <row r="15" spans="1:105" ht="12" customHeight="1" x14ac:dyDescent="0.25">
      <c r="A15" s="133" t="s">
        <v>80</v>
      </c>
      <c r="B15" s="134"/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705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0</v>
      </c>
      <c r="D16" s="130">
        <f t="shared" si="6"/>
        <v>0</v>
      </c>
      <c r="E16" s="130">
        <f t="shared" si="6"/>
        <v>0</v>
      </c>
      <c r="F16" s="130">
        <f t="shared" si="6"/>
        <v>0</v>
      </c>
      <c r="G16" s="130">
        <f t="shared" si="6"/>
        <v>0</v>
      </c>
      <c r="H16" s="130">
        <f t="shared" si="6"/>
        <v>0</v>
      </c>
      <c r="I16" s="130">
        <f t="shared" si="6"/>
        <v>0</v>
      </c>
      <c r="J16" s="130">
        <f t="shared" si="6"/>
        <v>0</v>
      </c>
      <c r="K16" s="130">
        <f t="shared" si="6"/>
        <v>0</v>
      </c>
      <c r="L16" s="130">
        <f t="shared" si="6"/>
        <v>0</v>
      </c>
      <c r="M16" s="130">
        <f t="shared" si="6"/>
        <v>0</v>
      </c>
      <c r="N16" s="130">
        <f t="shared" si="6"/>
        <v>0</v>
      </c>
      <c r="O16" s="130">
        <f t="shared" si="6"/>
        <v>0</v>
      </c>
      <c r="P16" s="130">
        <f t="shared" si="6"/>
        <v>0</v>
      </c>
      <c r="Q16" s="130">
        <f t="shared" si="6"/>
        <v>0</v>
      </c>
      <c r="R16" s="130">
        <f t="shared" ref="R16:W16" si="7">SUM(R17:R18)</f>
        <v>0</v>
      </c>
      <c r="S16" s="130">
        <f t="shared" si="7"/>
        <v>0</v>
      </c>
      <c r="T16" s="130">
        <f t="shared" si="7"/>
        <v>0</v>
      </c>
      <c r="U16" s="130">
        <f t="shared" si="7"/>
        <v>0</v>
      </c>
      <c r="V16" s="130">
        <f t="shared" si="7"/>
        <v>0</v>
      </c>
      <c r="W16" s="130">
        <f t="shared" si="7"/>
        <v>0</v>
      </c>
      <c r="X16" s="130">
        <f t="shared" ref="X16:Y16" si="8">SUM(X17:X18)</f>
        <v>0</v>
      </c>
      <c r="Y16" s="130">
        <f t="shared" si="8"/>
        <v>0</v>
      </c>
      <c r="DA16" s="155" t="s">
        <v>706</v>
      </c>
    </row>
    <row r="17" spans="1:105" ht="12.95" customHeight="1" x14ac:dyDescent="0.25">
      <c r="A17" s="131" t="s">
        <v>73</v>
      </c>
      <c r="B17" s="132"/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707</v>
      </c>
    </row>
    <row r="18" spans="1:105" ht="12" customHeight="1" x14ac:dyDescent="0.25">
      <c r="A18" s="131" t="s">
        <v>72</v>
      </c>
      <c r="B18" s="132"/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708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0.1581817057274198</v>
      </c>
      <c r="D19" s="130">
        <f t="shared" si="9"/>
        <v>0.26372264023591935</v>
      </c>
      <c r="E19" s="130">
        <f t="shared" si="9"/>
        <v>0.31707661022857853</v>
      </c>
      <c r="F19" s="130">
        <f t="shared" si="9"/>
        <v>0.42977245912509288</v>
      </c>
      <c r="G19" s="130">
        <f t="shared" si="9"/>
        <v>0.50312314868283536</v>
      </c>
      <c r="H19" s="130">
        <f t="shared" si="9"/>
        <v>0.61408580964369919</v>
      </c>
      <c r="I19" s="130">
        <f t="shared" si="9"/>
        <v>1.4853075786560279</v>
      </c>
      <c r="J19" s="130">
        <f t="shared" si="9"/>
        <v>0.78993966101124324</v>
      </c>
      <c r="K19" s="130">
        <f t="shared" si="9"/>
        <v>6.3700624067894701E-2</v>
      </c>
      <c r="L19" s="130">
        <f t="shared" si="9"/>
        <v>0.11731943391356665</v>
      </c>
      <c r="M19" s="130">
        <f t="shared" si="9"/>
        <v>0.18944389532785177</v>
      </c>
      <c r="N19" s="130">
        <f t="shared" si="9"/>
        <v>0.1208264481427964</v>
      </c>
      <c r="O19" s="130">
        <f t="shared" si="9"/>
        <v>0.16040985730143315</v>
      </c>
      <c r="P19" s="130">
        <f t="shared" si="9"/>
        <v>0.14009407422378412</v>
      </c>
      <c r="Q19" s="130">
        <f t="shared" si="9"/>
        <v>0.15319830916343313</v>
      </c>
      <c r="R19" s="130">
        <f t="shared" ref="R19:W19" si="10">SUM(R20:R27)</f>
        <v>0.17374954238717971</v>
      </c>
      <c r="S19" s="130">
        <f t="shared" si="10"/>
        <v>0.15861566039094349</v>
      </c>
      <c r="T19" s="130">
        <f t="shared" si="10"/>
        <v>0.18643188368767852</v>
      </c>
      <c r="U19" s="130">
        <f t="shared" si="10"/>
        <v>0.17595972172140659</v>
      </c>
      <c r="V19" s="130">
        <f t="shared" si="10"/>
        <v>0.16660911411538515</v>
      </c>
      <c r="W19" s="130">
        <f t="shared" si="10"/>
        <v>9.4037115674085736E-2</v>
      </c>
      <c r="X19" s="130">
        <f t="shared" ref="X19:Y19" si="11">SUM(X20:X27)</f>
        <v>6.2235122454560553E-2</v>
      </c>
      <c r="Y19" s="130">
        <f t="shared" si="11"/>
        <v>5.0041107337963749E-2</v>
      </c>
      <c r="DA19" s="155" t="s">
        <v>709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710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711</v>
      </c>
    </row>
    <row r="22" spans="1:105" ht="12" customHeight="1" x14ac:dyDescent="0.25">
      <c r="A22" s="131" t="s">
        <v>161</v>
      </c>
      <c r="B22" s="132"/>
      <c r="C22" s="132">
        <v>0</v>
      </c>
      <c r="D22" s="132">
        <v>0</v>
      </c>
      <c r="E22" s="132">
        <v>0</v>
      </c>
      <c r="F22" s="132">
        <v>0</v>
      </c>
      <c r="G22" s="132">
        <v>0</v>
      </c>
      <c r="H22" s="132">
        <v>0</v>
      </c>
      <c r="I22" s="132">
        <v>0</v>
      </c>
      <c r="J22" s="132">
        <v>0</v>
      </c>
      <c r="K22" s="132">
        <v>2.9972150804928412E-3</v>
      </c>
      <c r="L22" s="132">
        <v>3.0365901353681727E-2</v>
      </c>
      <c r="M22" s="132">
        <v>5.7690929888990015E-2</v>
      </c>
      <c r="N22" s="132">
        <v>4.349511983037177E-2</v>
      </c>
      <c r="O22" s="132">
        <v>5.7012072026739427E-2</v>
      </c>
      <c r="P22" s="132">
        <v>0</v>
      </c>
      <c r="Q22" s="132">
        <v>2.1255647758525354E-3</v>
      </c>
      <c r="R22" s="132">
        <v>0</v>
      </c>
      <c r="S22" s="132">
        <v>4.8966059246057132E-4</v>
      </c>
      <c r="T22" s="132">
        <v>2.9095286083601312E-4</v>
      </c>
      <c r="U22" s="132">
        <v>1.3334791319139363E-2</v>
      </c>
      <c r="V22" s="132">
        <v>1.4706842718109799E-2</v>
      </c>
      <c r="W22" s="132">
        <v>7.5002159326422353E-3</v>
      </c>
      <c r="X22" s="132">
        <v>0</v>
      </c>
      <c r="Y22" s="132">
        <v>0</v>
      </c>
      <c r="DA22" s="156" t="s">
        <v>712</v>
      </c>
    </row>
    <row r="23" spans="1:105" ht="12" customHeight="1" x14ac:dyDescent="0.25">
      <c r="A23" s="131" t="s">
        <v>149</v>
      </c>
      <c r="B23" s="132"/>
      <c r="C23" s="132">
        <v>0.1581817057274198</v>
      </c>
      <c r="D23" s="132">
        <v>0.26372264023591935</v>
      </c>
      <c r="E23" s="132">
        <v>0.31707661022857853</v>
      </c>
      <c r="F23" s="132">
        <v>0.42977245912509288</v>
      </c>
      <c r="G23" s="132">
        <v>0.50312314868283536</v>
      </c>
      <c r="H23" s="132">
        <v>0.61408580964369919</v>
      </c>
      <c r="I23" s="132">
        <v>1.4853075786560279</v>
      </c>
      <c r="J23" s="132">
        <v>0.78993966101124324</v>
      </c>
      <c r="K23" s="132">
        <v>6.0703408987401855E-2</v>
      </c>
      <c r="L23" s="132">
        <v>8.695353255988493E-2</v>
      </c>
      <c r="M23" s="132">
        <v>0.13175296543886175</v>
      </c>
      <c r="N23" s="132">
        <v>7.7331328312424633E-2</v>
      </c>
      <c r="O23" s="132">
        <v>0.10339778527469373</v>
      </c>
      <c r="P23" s="132">
        <v>0.14009407422378412</v>
      </c>
      <c r="Q23" s="132">
        <v>0.15107274438758059</v>
      </c>
      <c r="R23" s="132">
        <v>0.17374954238717971</v>
      </c>
      <c r="S23" s="132">
        <v>0.15812599979848291</v>
      </c>
      <c r="T23" s="132">
        <v>0.18614093082684249</v>
      </c>
      <c r="U23" s="132">
        <v>0.16262493040226722</v>
      </c>
      <c r="V23" s="132">
        <v>0.15190227139727536</v>
      </c>
      <c r="W23" s="132">
        <v>8.6536899741443504E-2</v>
      </c>
      <c r="X23" s="132">
        <v>6.2235122454560553E-2</v>
      </c>
      <c r="Y23" s="132">
        <v>5.0041107337963749E-2</v>
      </c>
      <c r="DA23" s="156" t="s">
        <v>713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714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715</v>
      </c>
    </row>
    <row r="26" spans="1:105" ht="12" customHeight="1" x14ac:dyDescent="0.25">
      <c r="A26" s="131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716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717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1.1553052351411606</v>
      </c>
      <c r="D29" s="130">
        <f t="shared" si="12"/>
        <v>1.4075288312122103</v>
      </c>
      <c r="E29" s="130">
        <f t="shared" si="12"/>
        <v>1.4104977435777837</v>
      </c>
      <c r="F29" s="130">
        <f t="shared" si="12"/>
        <v>0.79615441885404192</v>
      </c>
      <c r="G29" s="130">
        <f t="shared" si="12"/>
        <v>1.3779831311683943</v>
      </c>
      <c r="H29" s="130">
        <f t="shared" si="12"/>
        <v>1.4541470817302684</v>
      </c>
      <c r="I29" s="130">
        <f t="shared" si="12"/>
        <v>3.9714600607249144</v>
      </c>
      <c r="J29" s="130">
        <f t="shared" si="12"/>
        <v>2.0448941590892429</v>
      </c>
      <c r="K29" s="130">
        <f t="shared" si="12"/>
        <v>0.14148560556353804</v>
      </c>
      <c r="L29" s="130">
        <f t="shared" si="12"/>
        <v>0.12215362532222696</v>
      </c>
      <c r="M29" s="130">
        <f t="shared" si="12"/>
        <v>0</v>
      </c>
      <c r="N29" s="130">
        <f t="shared" si="12"/>
        <v>0</v>
      </c>
      <c r="O29" s="130">
        <f t="shared" si="12"/>
        <v>0</v>
      </c>
      <c r="P29" s="130">
        <f t="shared" si="12"/>
        <v>0.16914048210270388</v>
      </c>
      <c r="Q29" s="130">
        <f t="shared" si="12"/>
        <v>0.35957681917065659</v>
      </c>
      <c r="R29" s="130">
        <f t="shared" ref="R29:W29" si="13">SUM(R30:R33)</f>
        <v>0.41719666228828978</v>
      </c>
      <c r="S29" s="130">
        <f t="shared" si="13"/>
        <v>0.2742050701486814</v>
      </c>
      <c r="T29" s="130">
        <f t="shared" si="13"/>
        <v>0.18560858890454204</v>
      </c>
      <c r="U29" s="130">
        <f t="shared" si="13"/>
        <v>0</v>
      </c>
      <c r="V29" s="130">
        <f t="shared" si="13"/>
        <v>0</v>
      </c>
      <c r="W29" s="130">
        <f t="shared" si="13"/>
        <v>2.1842560546302785E-2</v>
      </c>
      <c r="X29" s="130">
        <f t="shared" ref="X29:Y29" si="14">SUM(X30:X33)</f>
        <v>0.12559536518974321</v>
      </c>
      <c r="Y29" s="130">
        <f t="shared" si="14"/>
        <v>0.1816336847825302</v>
      </c>
      <c r="DA29" s="155" t="s">
        <v>718</v>
      </c>
    </row>
    <row r="30" spans="1:105" s="2" customFormat="1" ht="12" customHeight="1" x14ac:dyDescent="0.25">
      <c r="A30" s="131" t="s">
        <v>52</v>
      </c>
      <c r="B30" s="132"/>
      <c r="C30" s="132">
        <v>0</v>
      </c>
      <c r="D30" s="132">
        <v>0</v>
      </c>
      <c r="E30" s="132">
        <v>0</v>
      </c>
      <c r="F30" s="132">
        <v>0</v>
      </c>
      <c r="G30" s="132">
        <v>0</v>
      </c>
      <c r="H30" s="132">
        <v>0</v>
      </c>
      <c r="I30" s="132">
        <v>0</v>
      </c>
      <c r="J30" s="132">
        <v>0</v>
      </c>
      <c r="K30" s="132">
        <v>0</v>
      </c>
      <c r="L30" s="132">
        <v>0</v>
      </c>
      <c r="M30" s="132">
        <v>0</v>
      </c>
      <c r="N30" s="132">
        <v>0</v>
      </c>
      <c r="O30" s="132">
        <v>0</v>
      </c>
      <c r="P30" s="132">
        <v>0</v>
      </c>
      <c r="Q30" s="132">
        <v>0</v>
      </c>
      <c r="R30" s="132">
        <v>0</v>
      </c>
      <c r="S30" s="132">
        <v>0</v>
      </c>
      <c r="T30" s="132">
        <v>0</v>
      </c>
      <c r="U30" s="132">
        <v>0</v>
      </c>
      <c r="V30" s="132">
        <v>0</v>
      </c>
      <c r="W30" s="132">
        <v>0</v>
      </c>
      <c r="X30" s="132">
        <v>0</v>
      </c>
      <c r="Y30" s="132">
        <v>0</v>
      </c>
      <c r="DA30" s="156" t="s">
        <v>719</v>
      </c>
    </row>
    <row r="31" spans="1:105" ht="12" customHeight="1" x14ac:dyDescent="0.25">
      <c r="A31" s="131" t="s">
        <v>149</v>
      </c>
      <c r="B31" s="132"/>
      <c r="C31" s="132">
        <v>1.1553052351411606</v>
      </c>
      <c r="D31" s="132">
        <v>1.4075288312122103</v>
      </c>
      <c r="E31" s="132">
        <v>1.4104977435777837</v>
      </c>
      <c r="F31" s="132">
        <v>0.79615441885404192</v>
      </c>
      <c r="G31" s="132">
        <v>1.3779831311683943</v>
      </c>
      <c r="H31" s="132">
        <v>1.4541470817302684</v>
      </c>
      <c r="I31" s="132">
        <v>3.9714600607249144</v>
      </c>
      <c r="J31" s="132">
        <v>2.0448941590892429</v>
      </c>
      <c r="K31" s="132">
        <v>0.14148560556353804</v>
      </c>
      <c r="L31" s="132">
        <v>0.12215362532222696</v>
      </c>
      <c r="M31" s="132">
        <v>0</v>
      </c>
      <c r="N31" s="132">
        <v>0</v>
      </c>
      <c r="O31" s="132">
        <v>0</v>
      </c>
      <c r="P31" s="132">
        <v>0.16914048210270388</v>
      </c>
      <c r="Q31" s="132">
        <v>0.35957681917065659</v>
      </c>
      <c r="R31" s="132">
        <v>0.41719666228828978</v>
      </c>
      <c r="S31" s="132">
        <v>0.2742050701486814</v>
      </c>
      <c r="T31" s="132">
        <v>0.18560858890454204</v>
      </c>
      <c r="U31" s="132">
        <v>0</v>
      </c>
      <c r="V31" s="132">
        <v>0</v>
      </c>
      <c r="W31" s="132">
        <v>2.1842560546302785E-2</v>
      </c>
      <c r="X31" s="132">
        <v>0.12559536518974321</v>
      </c>
      <c r="Y31" s="132">
        <v>0.1816336847825302</v>
      </c>
      <c r="DA31" s="156" t="s">
        <v>720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721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722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/>
      <c r="C3" s="125">
        <f>IF(SER_hh_fec_in!C3=0,0,11630*1000*SER_hh_fec_in!C3/SER_hh_num_in!C3)</f>
        <v>130526.27744713491</v>
      </c>
      <c r="D3" s="125">
        <f>IF(SER_hh_fec_in!D3=0,0,11630*1000*SER_hh_fec_in!D3/SER_hh_num_in!D3)</f>
        <v>127370.4514999119</v>
      </c>
      <c r="E3" s="125">
        <f>IF(SER_hh_fec_in!E3=0,0,11630*1000*SER_hh_fec_in!E3/SER_hh_num_in!E3)</f>
        <v>123013.85396438146</v>
      </c>
      <c r="F3" s="125">
        <f>IF(SER_hh_fec_in!F3=0,0,11630*1000*SER_hh_fec_in!F3/SER_hh_num_in!F3)</f>
        <v>124019.71090758538</v>
      </c>
      <c r="G3" s="125">
        <f>IF(SER_hh_fec_in!G3=0,0,11630*1000*SER_hh_fec_in!G3/SER_hh_num_in!G3)</f>
        <v>118686.74774832962</v>
      </c>
      <c r="H3" s="125">
        <f>IF(SER_hh_fec_in!H3=0,0,11630*1000*SER_hh_fec_in!H3/SER_hh_num_in!H3)</f>
        <v>125085.05683484529</v>
      </c>
      <c r="I3" s="125">
        <f>IF(SER_hh_fec_in!I3=0,0,11630*1000*SER_hh_fec_in!I3/SER_hh_num_in!I3)</f>
        <v>112124.69643600043</v>
      </c>
      <c r="J3" s="125">
        <f>IF(SER_hh_fec_in!J3=0,0,11630*1000*SER_hh_fec_in!J3/SER_hh_num_in!J3)</f>
        <v>99900.422493459977</v>
      </c>
      <c r="K3" s="125">
        <f>IF(SER_hh_fec_in!K3=0,0,11630*1000*SER_hh_fec_in!K3/SER_hh_num_in!K3)</f>
        <v>103693.67989800779</v>
      </c>
      <c r="L3" s="125">
        <f>IF(SER_hh_fec_in!L3=0,0,11630*1000*SER_hh_fec_in!L3/SER_hh_num_in!L3)</f>
        <v>101144.41804379517</v>
      </c>
      <c r="M3" s="125">
        <f>IF(SER_hh_fec_in!M3=0,0,11630*1000*SER_hh_fec_in!M3/SER_hh_num_in!M3)</f>
        <v>89877.442047684352</v>
      </c>
      <c r="N3" s="125">
        <f>IF(SER_hh_fec_in!N3=0,0,11630*1000*SER_hh_fec_in!N3/SER_hh_num_in!N3)</f>
        <v>95082.298855121451</v>
      </c>
      <c r="O3" s="125">
        <f>IF(SER_hh_fec_in!O3=0,0,11630*1000*SER_hh_fec_in!O3/SER_hh_num_in!O3)</f>
        <v>87697.697647645924</v>
      </c>
      <c r="P3" s="125">
        <f>IF(SER_hh_fec_in!P3=0,0,11630*1000*SER_hh_fec_in!P3/SER_hh_num_in!P3)</f>
        <v>76514.460149521692</v>
      </c>
      <c r="Q3" s="125">
        <f>IF(SER_hh_fec_in!Q3=0,0,11630*1000*SER_hh_fec_in!Q3/SER_hh_num_in!Q3)</f>
        <v>76378.139255052432</v>
      </c>
      <c r="R3" s="125">
        <f>IF(SER_hh_fec_in!R3=0,0,11630*1000*SER_hh_fec_in!R3/SER_hh_num_in!R3)</f>
        <v>76543.899511348194</v>
      </c>
      <c r="S3" s="125">
        <f>IF(SER_hh_fec_in!S3=0,0,11630*1000*SER_hh_fec_in!S3/SER_hh_num_in!S3)</f>
        <v>77688.241259082817</v>
      </c>
      <c r="T3" s="125">
        <f>IF(SER_hh_fec_in!T3=0,0,11630*1000*SER_hh_fec_in!T3/SER_hh_num_in!T3)</f>
        <v>79683.190316349719</v>
      </c>
      <c r="U3" s="125">
        <f>IF(SER_hh_fec_in!U3=0,0,11630*1000*SER_hh_fec_in!U3/SER_hh_num_in!U3)</f>
        <v>75080.259321552978</v>
      </c>
      <c r="V3" s="125">
        <f>IF(SER_hh_fec_in!V3=0,0,11630*1000*SER_hh_fec_in!V3/SER_hh_num_in!V3)</f>
        <v>64215.237394288109</v>
      </c>
      <c r="W3" s="125">
        <f>IF(SER_hh_fec_in!W3=0,0,11630*1000*SER_hh_fec_in!W3/SER_hh_num_in!W3)</f>
        <v>73574.443228346048</v>
      </c>
      <c r="X3" s="125">
        <f>IF(SER_hh_fec_in!X3=0,0,11630*1000*SER_hh_fec_in!X3/SER_hh_num_in!X3)</f>
        <v>69800.875233101367</v>
      </c>
      <c r="Y3" s="125">
        <f>IF(SER_hh_fec_in!Y3=0,0,11630*1000*SER_hh_fec_in!Y3/SER_hh_num_in!Y3)</f>
        <v>72674.206152698622</v>
      </c>
      <c r="DA3" s="154" t="s">
        <v>724</v>
      </c>
    </row>
    <row r="4" spans="1:105" ht="12.95" customHeight="1" x14ac:dyDescent="0.25">
      <c r="A4" s="129" t="s">
        <v>32</v>
      </c>
      <c r="B4" s="130"/>
      <c r="C4" s="130">
        <f>IF(SER_hh_fec_in!C4=0,0,11630*1000*SER_hh_fec_in!C4/SER_hh_num_in!C4)</f>
        <v>103413.3903296585</v>
      </c>
      <c r="D4" s="130">
        <f>IF(SER_hh_fec_in!D4=0,0,11630*1000*SER_hh_fec_in!D4/SER_hh_num_in!D4)</f>
        <v>100044.74312955076</v>
      </c>
      <c r="E4" s="130">
        <f>IF(SER_hh_fec_in!E4=0,0,11630*1000*SER_hh_fec_in!E4/SER_hh_num_in!E4)</f>
        <v>97248.676982674791</v>
      </c>
      <c r="F4" s="130">
        <f>IF(SER_hh_fec_in!F4=0,0,11630*1000*SER_hh_fec_in!F4/SER_hh_num_in!F4)</f>
        <v>97643.024469790675</v>
      </c>
      <c r="G4" s="130">
        <f>IF(SER_hh_fec_in!G4=0,0,11630*1000*SER_hh_fec_in!G4/SER_hh_num_in!G4)</f>
        <v>90987.401111587445</v>
      </c>
      <c r="H4" s="130">
        <f>IF(SER_hh_fec_in!H4=0,0,11630*1000*SER_hh_fec_in!H4/SER_hh_num_in!H4)</f>
        <v>95698.175524246311</v>
      </c>
      <c r="I4" s="130">
        <f>IF(SER_hh_fec_in!I4=0,0,11630*1000*SER_hh_fec_in!I4/SER_hh_num_in!I4)</f>
        <v>84558.880967035162</v>
      </c>
      <c r="J4" s="130">
        <f>IF(SER_hh_fec_in!J4=0,0,11630*1000*SER_hh_fec_in!J4/SER_hh_num_in!J4)</f>
        <v>71887.497210427406</v>
      </c>
      <c r="K4" s="130">
        <f>IF(SER_hh_fec_in!K4=0,0,11630*1000*SER_hh_fec_in!K4/SER_hh_num_in!K4)</f>
        <v>72129.892194331318</v>
      </c>
      <c r="L4" s="130">
        <f>IF(SER_hh_fec_in!L4=0,0,11630*1000*SER_hh_fec_in!L4/SER_hh_num_in!L4)</f>
        <v>70691.899190833006</v>
      </c>
      <c r="M4" s="130">
        <f>IF(SER_hh_fec_in!M4=0,0,11630*1000*SER_hh_fec_in!M4/SER_hh_num_in!M4)</f>
        <v>62339.873017575701</v>
      </c>
      <c r="N4" s="130">
        <f>IF(SER_hh_fec_in!N4=0,0,11630*1000*SER_hh_fec_in!N4/SER_hh_num_in!N4)</f>
        <v>64826.039659775488</v>
      </c>
      <c r="O4" s="130">
        <f>IF(SER_hh_fec_in!O4=0,0,11630*1000*SER_hh_fec_in!O4/SER_hh_num_in!O4)</f>
        <v>58266.483087300941</v>
      </c>
      <c r="P4" s="130">
        <f>IF(SER_hh_fec_in!P4=0,0,11630*1000*SER_hh_fec_in!P4/SER_hh_num_in!P4)</f>
        <v>48031.217907527942</v>
      </c>
      <c r="Q4" s="130">
        <f>IF(SER_hh_fec_in!Q4=0,0,11630*1000*SER_hh_fec_in!Q4/SER_hh_num_in!Q4)</f>
        <v>46739.033164529203</v>
      </c>
      <c r="R4" s="130">
        <f>IF(SER_hh_fec_in!R4=0,0,11630*1000*SER_hh_fec_in!R4/SER_hh_num_in!R4)</f>
        <v>47180.198697877822</v>
      </c>
      <c r="S4" s="130">
        <f>IF(SER_hh_fec_in!S4=0,0,11630*1000*SER_hh_fec_in!S4/SER_hh_num_in!S4)</f>
        <v>48296.794189478191</v>
      </c>
      <c r="T4" s="130">
        <f>IF(SER_hh_fec_in!T4=0,0,11630*1000*SER_hh_fec_in!T4/SER_hh_num_in!T4)</f>
        <v>50645.431312344248</v>
      </c>
      <c r="U4" s="130">
        <f>IF(SER_hh_fec_in!U4=0,0,11630*1000*SER_hh_fec_in!U4/SER_hh_num_in!U4)</f>
        <v>45441.648893501573</v>
      </c>
      <c r="V4" s="130">
        <f>IF(SER_hh_fec_in!V4=0,0,11630*1000*SER_hh_fec_in!V4/SER_hh_num_in!V4)</f>
        <v>37122.970487150567</v>
      </c>
      <c r="W4" s="130">
        <f>IF(SER_hh_fec_in!W4=0,0,11630*1000*SER_hh_fec_in!W4/SER_hh_num_in!W4)</f>
        <v>43911.395171684017</v>
      </c>
      <c r="X4" s="130">
        <f>IF(SER_hh_fec_in!X4=0,0,11630*1000*SER_hh_fec_in!X4/SER_hh_num_in!X4)</f>
        <v>40486.52364741316</v>
      </c>
      <c r="Y4" s="130">
        <f>IF(SER_hh_fec_in!Y4=0,0,11630*1000*SER_hh_fec_in!Y4/SER_hh_num_in!Y4)</f>
        <v>42605.5630911185</v>
      </c>
      <c r="DA4" s="155" t="s">
        <v>725</v>
      </c>
    </row>
    <row r="5" spans="1:105" ht="12" customHeight="1" x14ac:dyDescent="0.25">
      <c r="A5" s="131" t="s">
        <v>29</v>
      </c>
      <c r="B5" s="132"/>
      <c r="C5" s="132">
        <f>IF(SER_hh_fec_in!C5=0,0,11630*1000*SER_hh_fec_in!C5/SER_hh_num_in!C5)</f>
        <v>111438.82622321845</v>
      </c>
      <c r="D5" s="132">
        <f>IF(SER_hh_fec_in!D5=0,0,11630*1000*SER_hh_fec_in!D5/SER_hh_num_in!D5)</f>
        <v>119816.87198667064</v>
      </c>
      <c r="E5" s="132">
        <f>IF(SER_hh_fec_in!E5=0,0,11630*1000*SER_hh_fec_in!E5/SER_hh_num_in!E5)</f>
        <v>112605.07485861325</v>
      </c>
      <c r="F5" s="132">
        <f>IF(SER_hh_fec_in!F5=0,0,11630*1000*SER_hh_fec_in!F5/SER_hh_num_in!F5)</f>
        <v>98661.754352000164</v>
      </c>
      <c r="G5" s="132">
        <f>IF(SER_hh_fec_in!G5=0,0,11630*1000*SER_hh_fec_in!G5/SER_hh_num_in!G5)</f>
        <v>101315.48180000915</v>
      </c>
      <c r="H5" s="132">
        <f>IF(SER_hh_fec_in!H5=0,0,11630*1000*SER_hh_fec_in!H5/SER_hh_num_in!H5)</f>
        <v>126627.43000570215</v>
      </c>
      <c r="I5" s="132">
        <f>IF(SER_hh_fec_in!I5=0,0,11630*1000*SER_hh_fec_in!I5/SER_hh_num_in!I5)</f>
        <v>92252.813192586502</v>
      </c>
      <c r="J5" s="132">
        <f>IF(SER_hh_fec_in!J5=0,0,11630*1000*SER_hh_fec_in!J5/SER_hh_num_in!J5)</f>
        <v>67097.605567816892</v>
      </c>
      <c r="K5" s="132">
        <f>IF(SER_hh_fec_in!K5=0,0,11630*1000*SER_hh_fec_in!K5/SER_hh_num_in!K5)</f>
        <v>76477.689207234172</v>
      </c>
      <c r="L5" s="132">
        <f>IF(SER_hh_fec_in!L5=0,0,11630*1000*SER_hh_fec_in!L5/SER_hh_num_in!L5)</f>
        <v>71739.776899041273</v>
      </c>
      <c r="M5" s="132">
        <f>IF(SER_hh_fec_in!M5=0,0,11630*1000*SER_hh_fec_in!M5/SER_hh_num_in!M5)</f>
        <v>83100.517864920505</v>
      </c>
      <c r="N5" s="132">
        <f>IF(SER_hh_fec_in!N5=0,0,11630*1000*SER_hh_fec_in!N5/SER_hh_num_in!N5)</f>
        <v>56855.207484631792</v>
      </c>
      <c r="O5" s="132">
        <f>IF(SER_hh_fec_in!O5=0,0,11630*1000*SER_hh_fec_in!O5/SER_hh_num_in!O5)</f>
        <v>65584.208153413128</v>
      </c>
      <c r="P5" s="132">
        <f>IF(SER_hh_fec_in!P5=0,0,11630*1000*SER_hh_fec_in!P5/SER_hh_num_in!P5)</f>
        <v>58076.621487179596</v>
      </c>
      <c r="Q5" s="132">
        <f>IF(SER_hh_fec_in!Q5=0,0,11630*1000*SER_hh_fec_in!Q5/SER_hh_num_in!Q5)</f>
        <v>0</v>
      </c>
      <c r="R5" s="132">
        <f>IF(SER_hh_fec_in!R5=0,0,11630*1000*SER_hh_fec_in!R5/SER_hh_num_in!R5)</f>
        <v>53630.634293855714</v>
      </c>
      <c r="S5" s="132">
        <f>IF(SER_hh_fec_in!S5=0,0,11630*1000*SER_hh_fec_in!S5/SER_hh_num_in!S5)</f>
        <v>55284.732065422962</v>
      </c>
      <c r="T5" s="132">
        <f>IF(SER_hh_fec_in!T5=0,0,11630*1000*SER_hh_fec_in!T5/SER_hh_num_in!T5)</f>
        <v>57494.254158140226</v>
      </c>
      <c r="U5" s="132">
        <f>IF(SER_hh_fec_in!U5=0,0,11630*1000*SER_hh_fec_in!U5/SER_hh_num_in!U5)</f>
        <v>50780.147478114181</v>
      </c>
      <c r="V5" s="132">
        <f>IF(SER_hh_fec_in!V5=0,0,11630*1000*SER_hh_fec_in!V5/SER_hh_num_in!V5)</f>
        <v>36595.149901638593</v>
      </c>
      <c r="W5" s="132">
        <f>IF(SER_hh_fec_in!W5=0,0,11630*1000*SER_hh_fec_in!W5/SER_hh_num_in!W5)</f>
        <v>47143.272809670743</v>
      </c>
      <c r="X5" s="132">
        <f>IF(SER_hh_fec_in!X5=0,0,11630*1000*SER_hh_fec_in!X5/SER_hh_num_in!X5)</f>
        <v>49397.762281557174</v>
      </c>
      <c r="Y5" s="132">
        <f>IF(SER_hh_fec_in!Y5=0,0,11630*1000*SER_hh_fec_in!Y5/SER_hh_num_in!Y5)</f>
        <v>0</v>
      </c>
      <c r="DA5" s="156" t="s">
        <v>726</v>
      </c>
    </row>
    <row r="6" spans="1:105" ht="12" customHeight="1" x14ac:dyDescent="0.25">
      <c r="A6" s="131" t="s">
        <v>52</v>
      </c>
      <c r="B6" s="132"/>
      <c r="C6" s="132">
        <f>IF(SER_hh_fec_in!C6=0,0,11630*1000*SER_hh_fec_in!C6/SER_hh_num_in!C6)</f>
        <v>0</v>
      </c>
      <c r="D6" s="132">
        <f>IF(SER_hh_fec_in!D6=0,0,11630*1000*SER_hh_fec_in!D6/SER_hh_num_in!D6)</f>
        <v>0</v>
      </c>
      <c r="E6" s="132">
        <f>IF(SER_hh_fec_in!E6=0,0,11630*1000*SER_hh_fec_in!E6/SER_hh_num_in!E6)</f>
        <v>0</v>
      </c>
      <c r="F6" s="132">
        <f>IF(SER_hh_fec_in!F6=0,0,11630*1000*SER_hh_fec_in!F6/SER_hh_num_in!F6)</f>
        <v>0</v>
      </c>
      <c r="G6" s="132">
        <f>IF(SER_hh_fec_in!G6=0,0,11630*1000*SER_hh_fec_in!G6/SER_hh_num_in!G6)</f>
        <v>0</v>
      </c>
      <c r="H6" s="132">
        <f>IF(SER_hh_fec_in!H6=0,0,11630*1000*SER_hh_fec_in!H6/SER_hh_num_in!H6)</f>
        <v>0</v>
      </c>
      <c r="I6" s="132">
        <f>IF(SER_hh_fec_in!I6=0,0,11630*1000*SER_hh_fec_in!I6/SER_hh_num_in!I6)</f>
        <v>0</v>
      </c>
      <c r="J6" s="132">
        <f>IF(SER_hh_fec_in!J6=0,0,11630*1000*SER_hh_fec_in!J6/SER_hh_num_in!J6)</f>
        <v>0</v>
      </c>
      <c r="K6" s="132">
        <f>IF(SER_hh_fec_in!K6=0,0,11630*1000*SER_hh_fec_in!K6/SER_hh_num_in!K6)</f>
        <v>0</v>
      </c>
      <c r="L6" s="132">
        <f>IF(SER_hh_fec_in!L6=0,0,11630*1000*SER_hh_fec_in!L6/SER_hh_num_in!L6)</f>
        <v>0</v>
      </c>
      <c r="M6" s="132">
        <f>IF(SER_hh_fec_in!M6=0,0,11630*1000*SER_hh_fec_in!M6/SER_hh_num_in!M6)</f>
        <v>0</v>
      </c>
      <c r="N6" s="132">
        <f>IF(SER_hh_fec_in!N6=0,0,11630*1000*SER_hh_fec_in!N6/SER_hh_num_in!N6)</f>
        <v>0</v>
      </c>
      <c r="O6" s="132">
        <f>IF(SER_hh_fec_in!O6=0,0,11630*1000*SER_hh_fec_in!O6/SER_hh_num_in!O6)</f>
        <v>0</v>
      </c>
      <c r="P6" s="132">
        <f>IF(SER_hh_fec_in!P6=0,0,11630*1000*SER_hh_fec_in!P6/SER_hh_num_in!P6)</f>
        <v>0</v>
      </c>
      <c r="Q6" s="132">
        <f>IF(SER_hh_fec_in!Q6=0,0,11630*1000*SER_hh_fec_in!Q6/SER_hh_num_in!Q6)</f>
        <v>0</v>
      </c>
      <c r="R6" s="132">
        <f>IF(SER_hh_fec_in!R6=0,0,11630*1000*SER_hh_fec_in!R6/SER_hh_num_in!R6)</f>
        <v>0</v>
      </c>
      <c r="S6" s="132">
        <f>IF(SER_hh_fec_in!S6=0,0,11630*1000*SER_hh_fec_in!S6/SER_hh_num_in!S6)</f>
        <v>0</v>
      </c>
      <c r="T6" s="132">
        <f>IF(SER_hh_fec_in!T6=0,0,11630*1000*SER_hh_fec_in!T6/SER_hh_num_in!T6)</f>
        <v>0</v>
      </c>
      <c r="U6" s="132">
        <f>IF(SER_hh_fec_in!U6=0,0,11630*1000*SER_hh_fec_in!U6/SER_hh_num_in!U6)</f>
        <v>0</v>
      </c>
      <c r="V6" s="132">
        <f>IF(SER_hh_fec_in!V6=0,0,11630*1000*SER_hh_fec_in!V6/SER_hh_num_in!V6)</f>
        <v>0</v>
      </c>
      <c r="W6" s="132">
        <f>IF(SER_hh_fec_in!W6=0,0,11630*1000*SER_hh_fec_in!W6/SER_hh_num_in!W6)</f>
        <v>0</v>
      </c>
      <c r="X6" s="132">
        <f>IF(SER_hh_fec_in!X6=0,0,11630*1000*SER_hh_fec_in!X6/SER_hh_num_in!X6)</f>
        <v>0</v>
      </c>
      <c r="Y6" s="132">
        <f>IF(SER_hh_fec_in!Y6=0,0,11630*1000*SER_hh_fec_in!Y6/SER_hh_num_in!Y6)</f>
        <v>0</v>
      </c>
      <c r="DA6" s="156" t="s">
        <v>727</v>
      </c>
    </row>
    <row r="7" spans="1:105" ht="12" customHeight="1" x14ac:dyDescent="0.25">
      <c r="A7" s="131" t="s">
        <v>161</v>
      </c>
      <c r="B7" s="132"/>
      <c r="C7" s="132">
        <f>IF(SER_hh_fec_in!C7=0,0,11630*1000*SER_hh_fec_in!C7/SER_hh_num_in!C7)</f>
        <v>0</v>
      </c>
      <c r="D7" s="132">
        <f>IF(SER_hh_fec_in!D7=0,0,11630*1000*SER_hh_fec_in!D7/SER_hh_num_in!D7)</f>
        <v>0</v>
      </c>
      <c r="E7" s="132">
        <f>IF(SER_hh_fec_in!E7=0,0,11630*1000*SER_hh_fec_in!E7/SER_hh_num_in!E7)</f>
        <v>0</v>
      </c>
      <c r="F7" s="132">
        <f>IF(SER_hh_fec_in!F7=0,0,11630*1000*SER_hh_fec_in!F7/SER_hh_num_in!F7)</f>
        <v>0</v>
      </c>
      <c r="G7" s="132">
        <f>IF(SER_hh_fec_in!G7=0,0,11630*1000*SER_hh_fec_in!G7/SER_hh_num_in!G7)</f>
        <v>0</v>
      </c>
      <c r="H7" s="132">
        <f>IF(SER_hh_fec_in!H7=0,0,11630*1000*SER_hh_fec_in!H7/SER_hh_num_in!H7)</f>
        <v>0</v>
      </c>
      <c r="I7" s="132">
        <f>IF(SER_hh_fec_in!I7=0,0,11630*1000*SER_hh_fec_in!I7/SER_hh_num_in!I7)</f>
        <v>0</v>
      </c>
      <c r="J7" s="132">
        <f>IF(SER_hh_fec_in!J7=0,0,11630*1000*SER_hh_fec_in!J7/SER_hh_num_in!J7)</f>
        <v>164150.88556881179</v>
      </c>
      <c r="K7" s="132">
        <f>IF(SER_hh_fec_in!K7=0,0,11630*1000*SER_hh_fec_in!K7/SER_hh_num_in!K7)</f>
        <v>50519.199592639663</v>
      </c>
      <c r="L7" s="132">
        <f>IF(SER_hh_fec_in!L7=0,0,11630*1000*SER_hh_fec_in!L7/SER_hh_num_in!L7)</f>
        <v>75723.188397306309</v>
      </c>
      <c r="M7" s="132">
        <f>IF(SER_hh_fec_in!M7=0,0,11630*1000*SER_hh_fec_in!M7/SER_hh_num_in!M7)</f>
        <v>100024.71938650966</v>
      </c>
      <c r="N7" s="132">
        <f>IF(SER_hh_fec_in!N7=0,0,11630*1000*SER_hh_fec_in!N7/SER_hh_num_in!N7)</f>
        <v>61601.162938037407</v>
      </c>
      <c r="O7" s="132">
        <f>IF(SER_hh_fec_in!O7=0,0,11630*1000*SER_hh_fec_in!O7/SER_hh_num_in!O7)</f>
        <v>60922.728178208534</v>
      </c>
      <c r="P7" s="132">
        <f>IF(SER_hh_fec_in!P7=0,0,11630*1000*SER_hh_fec_in!P7/SER_hh_num_in!P7)</f>
        <v>0</v>
      </c>
      <c r="Q7" s="132">
        <f>IF(SER_hh_fec_in!Q7=0,0,11630*1000*SER_hh_fec_in!Q7/SER_hh_num_in!Q7)</f>
        <v>0</v>
      </c>
      <c r="R7" s="132">
        <f>IF(SER_hh_fec_in!R7=0,0,11630*1000*SER_hh_fec_in!R7/SER_hh_num_in!R7)</f>
        <v>0</v>
      </c>
      <c r="S7" s="132">
        <f>IF(SER_hh_fec_in!S7=0,0,11630*1000*SER_hh_fec_in!S7/SER_hh_num_in!S7)</f>
        <v>0</v>
      </c>
      <c r="T7" s="132">
        <f>IF(SER_hh_fec_in!T7=0,0,11630*1000*SER_hh_fec_in!T7/SER_hh_num_in!T7)</f>
        <v>0</v>
      </c>
      <c r="U7" s="132">
        <f>IF(SER_hh_fec_in!U7=0,0,11630*1000*SER_hh_fec_in!U7/SER_hh_num_in!U7)</f>
        <v>49144.280095575843</v>
      </c>
      <c r="V7" s="132">
        <f>IF(SER_hh_fec_in!V7=0,0,11630*1000*SER_hh_fec_in!V7/SER_hh_num_in!V7)</f>
        <v>48469.509668714883</v>
      </c>
      <c r="W7" s="132">
        <f>IF(SER_hh_fec_in!W7=0,0,11630*1000*SER_hh_fec_in!W7/SER_hh_num_in!W7)</f>
        <v>48731.195298558734</v>
      </c>
      <c r="X7" s="132">
        <f>IF(SER_hh_fec_in!X7=0,0,11630*1000*SER_hh_fec_in!X7/SER_hh_num_in!X7)</f>
        <v>40928.386471829683</v>
      </c>
      <c r="Y7" s="132">
        <f>IF(SER_hh_fec_in!Y7=0,0,11630*1000*SER_hh_fec_in!Y7/SER_hh_num_in!Y7)</f>
        <v>54274.829882103695</v>
      </c>
      <c r="DA7" s="156" t="s">
        <v>728</v>
      </c>
    </row>
    <row r="8" spans="1:105" ht="12" customHeight="1" x14ac:dyDescent="0.25">
      <c r="A8" s="131" t="s">
        <v>73</v>
      </c>
      <c r="B8" s="132"/>
      <c r="C8" s="132">
        <f>IF(SER_hh_fec_in!C8=0,0,11630*1000*SER_hh_fec_in!C8/SER_hh_num_in!C8)</f>
        <v>0</v>
      </c>
      <c r="D8" s="132">
        <f>IF(SER_hh_fec_in!D8=0,0,11630*1000*SER_hh_fec_in!D8/SER_hh_num_in!D8)</f>
        <v>0</v>
      </c>
      <c r="E8" s="132">
        <f>IF(SER_hh_fec_in!E8=0,0,11630*1000*SER_hh_fec_in!E8/SER_hh_num_in!E8)</f>
        <v>0</v>
      </c>
      <c r="F8" s="132">
        <f>IF(SER_hh_fec_in!F8=0,0,11630*1000*SER_hh_fec_in!F8/SER_hh_num_in!F8)</f>
        <v>0</v>
      </c>
      <c r="G8" s="132">
        <f>IF(SER_hh_fec_in!G8=0,0,11630*1000*SER_hh_fec_in!G8/SER_hh_num_in!G8)</f>
        <v>0</v>
      </c>
      <c r="H8" s="132">
        <f>IF(SER_hh_fec_in!H8=0,0,11630*1000*SER_hh_fec_in!H8/SER_hh_num_in!H8)</f>
        <v>0</v>
      </c>
      <c r="I8" s="132">
        <f>IF(SER_hh_fec_in!I8=0,0,11630*1000*SER_hh_fec_in!I8/SER_hh_num_in!I8)</f>
        <v>0</v>
      </c>
      <c r="J8" s="132">
        <f>IF(SER_hh_fec_in!J8=0,0,11630*1000*SER_hh_fec_in!J8/SER_hh_num_in!J8)</f>
        <v>0</v>
      </c>
      <c r="K8" s="132">
        <f>IF(SER_hh_fec_in!K8=0,0,11630*1000*SER_hh_fec_in!K8/SER_hh_num_in!K8)</f>
        <v>0</v>
      </c>
      <c r="L8" s="132">
        <f>IF(SER_hh_fec_in!L8=0,0,11630*1000*SER_hh_fec_in!L8/SER_hh_num_in!L8)</f>
        <v>0</v>
      </c>
      <c r="M8" s="132">
        <f>IF(SER_hh_fec_in!M8=0,0,11630*1000*SER_hh_fec_in!M8/SER_hh_num_in!M8)</f>
        <v>0</v>
      </c>
      <c r="N8" s="132">
        <f>IF(SER_hh_fec_in!N8=0,0,11630*1000*SER_hh_fec_in!N8/SER_hh_num_in!N8)</f>
        <v>0</v>
      </c>
      <c r="O8" s="132">
        <f>IF(SER_hh_fec_in!O8=0,0,11630*1000*SER_hh_fec_in!O8/SER_hh_num_in!O8)</f>
        <v>0</v>
      </c>
      <c r="P8" s="132">
        <f>IF(SER_hh_fec_in!P8=0,0,11630*1000*SER_hh_fec_in!P8/SER_hh_num_in!P8)</f>
        <v>0</v>
      </c>
      <c r="Q8" s="132">
        <f>IF(SER_hh_fec_in!Q8=0,0,11630*1000*SER_hh_fec_in!Q8/SER_hh_num_in!Q8)</f>
        <v>0</v>
      </c>
      <c r="R8" s="132">
        <f>IF(SER_hh_fec_in!R8=0,0,11630*1000*SER_hh_fec_in!R8/SER_hh_num_in!R8)</f>
        <v>0</v>
      </c>
      <c r="S8" s="132">
        <f>IF(SER_hh_fec_in!S8=0,0,11630*1000*SER_hh_fec_in!S8/SER_hh_num_in!S8)</f>
        <v>0</v>
      </c>
      <c r="T8" s="132">
        <f>IF(SER_hh_fec_in!T8=0,0,11630*1000*SER_hh_fec_in!T8/SER_hh_num_in!T8)</f>
        <v>0</v>
      </c>
      <c r="U8" s="132">
        <f>IF(SER_hh_fec_in!U8=0,0,11630*1000*SER_hh_fec_in!U8/SER_hh_num_in!U8)</f>
        <v>0</v>
      </c>
      <c r="V8" s="132">
        <f>IF(SER_hh_fec_in!V8=0,0,11630*1000*SER_hh_fec_in!V8/SER_hh_num_in!V8)</f>
        <v>0</v>
      </c>
      <c r="W8" s="132">
        <f>IF(SER_hh_fec_in!W8=0,0,11630*1000*SER_hh_fec_in!W8/SER_hh_num_in!W8)</f>
        <v>0</v>
      </c>
      <c r="X8" s="132">
        <f>IF(SER_hh_fec_in!X8=0,0,11630*1000*SER_hh_fec_in!X8/SER_hh_num_in!X8)</f>
        <v>0</v>
      </c>
      <c r="Y8" s="132">
        <f>IF(SER_hh_fec_in!Y8=0,0,11630*1000*SER_hh_fec_in!Y8/SER_hh_num_in!Y8)</f>
        <v>0</v>
      </c>
      <c r="DA8" s="156" t="s">
        <v>729</v>
      </c>
    </row>
    <row r="9" spans="1:105" ht="12" customHeight="1" x14ac:dyDescent="0.25">
      <c r="A9" s="131" t="s">
        <v>78</v>
      </c>
      <c r="B9" s="132"/>
      <c r="C9" s="132">
        <f>IF(SER_hh_fec_in!C9=0,0,11630*1000*SER_hh_fec_in!C9/SER_hh_num_in!C9)</f>
        <v>132761.35722553395</v>
      </c>
      <c r="D9" s="132">
        <f>IF(SER_hh_fec_in!D9=0,0,11630*1000*SER_hh_fec_in!D9/SER_hh_num_in!D9)</f>
        <v>129746.85208704975</v>
      </c>
      <c r="E9" s="132">
        <f>IF(SER_hh_fec_in!E9=0,0,11630*1000*SER_hh_fec_in!E9/SER_hh_num_in!E9)</f>
        <v>115241.07074346779</v>
      </c>
      <c r="F9" s="132">
        <f>IF(SER_hh_fec_in!F9=0,0,11630*1000*SER_hh_fec_in!F9/SER_hh_num_in!F9)</f>
        <v>135903.69535880344</v>
      </c>
      <c r="G9" s="132">
        <f>IF(SER_hh_fec_in!G9=0,0,11630*1000*SER_hh_fec_in!G9/SER_hh_num_in!G9)</f>
        <v>113356.84265498657</v>
      </c>
      <c r="H9" s="132">
        <f>IF(SER_hh_fec_in!H9=0,0,11630*1000*SER_hh_fec_in!H9/SER_hh_num_in!H9)</f>
        <v>104737.55620786066</v>
      </c>
      <c r="I9" s="132">
        <f>IF(SER_hh_fec_in!I9=0,0,11630*1000*SER_hh_fec_in!I9/SER_hh_num_in!I9)</f>
        <v>118840.17424873824</v>
      </c>
      <c r="J9" s="132">
        <f>IF(SER_hh_fec_in!J9=0,0,11630*1000*SER_hh_fec_in!J9/SER_hh_num_in!J9)</f>
        <v>97794.646438416501</v>
      </c>
      <c r="K9" s="132">
        <f>IF(SER_hh_fec_in!K9=0,0,11630*1000*SER_hh_fec_in!K9/SER_hh_num_in!K9)</f>
        <v>81598.555297577972</v>
      </c>
      <c r="L9" s="132">
        <f>IF(SER_hh_fec_in!L9=0,0,11630*1000*SER_hh_fec_in!L9/SER_hh_num_in!L9)</f>
        <v>87121.095717205928</v>
      </c>
      <c r="M9" s="132">
        <f>IF(SER_hh_fec_in!M9=0,0,11630*1000*SER_hh_fec_in!M9/SER_hh_num_in!M9)</f>
        <v>72341.594290866982</v>
      </c>
      <c r="N9" s="132">
        <f>IF(SER_hh_fec_in!N9=0,0,11630*1000*SER_hh_fec_in!N9/SER_hh_num_in!N9)</f>
        <v>72987.970905194059</v>
      </c>
      <c r="O9" s="132">
        <f>IF(SER_hh_fec_in!O9=0,0,11630*1000*SER_hh_fec_in!O9/SER_hh_num_in!O9)</f>
        <v>66448.722465389699</v>
      </c>
      <c r="P9" s="132">
        <f>IF(SER_hh_fec_in!P9=0,0,11630*1000*SER_hh_fec_in!P9/SER_hh_num_in!P9)</f>
        <v>52544.086420207699</v>
      </c>
      <c r="Q9" s="132">
        <f>IF(SER_hh_fec_in!Q9=0,0,11630*1000*SER_hh_fec_in!Q9/SER_hh_num_in!Q9)</f>
        <v>52440.271987299486</v>
      </c>
      <c r="R9" s="132">
        <f>IF(SER_hh_fec_in!R9=0,0,11630*1000*SER_hh_fec_in!R9/SER_hh_num_in!R9)</f>
        <v>52608.809962572799</v>
      </c>
      <c r="S9" s="132">
        <f>IF(SER_hh_fec_in!S9=0,0,11630*1000*SER_hh_fec_in!S9/SER_hh_num_in!S9)</f>
        <v>52835.922169190133</v>
      </c>
      <c r="T9" s="132">
        <f>IF(SER_hh_fec_in!T9=0,0,11630*1000*SER_hh_fec_in!T9/SER_hh_num_in!T9)</f>
        <v>52312.879637786034</v>
      </c>
      <c r="U9" s="132">
        <f>IF(SER_hh_fec_in!U9=0,0,11630*1000*SER_hh_fec_in!U9/SER_hh_num_in!U9)</f>
        <v>49848.207824831166</v>
      </c>
      <c r="V9" s="132">
        <f>IF(SER_hh_fec_in!V9=0,0,11630*1000*SER_hh_fec_in!V9/SER_hh_num_in!V9)</f>
        <v>47069.185557903773</v>
      </c>
      <c r="W9" s="132">
        <f>IF(SER_hh_fec_in!W9=0,0,11630*1000*SER_hh_fec_in!W9/SER_hh_num_in!W9)</f>
        <v>44953.411173072585</v>
      </c>
      <c r="X9" s="132">
        <f>IF(SER_hh_fec_in!X9=0,0,11630*1000*SER_hh_fec_in!X9/SER_hh_num_in!X9)</f>
        <v>40652.723818561426</v>
      </c>
      <c r="Y9" s="132">
        <f>IF(SER_hh_fec_in!Y9=0,0,11630*1000*SER_hh_fec_in!Y9/SER_hh_num_in!Y9)</f>
        <v>48506.72022952485</v>
      </c>
      <c r="DA9" s="156" t="s">
        <v>730</v>
      </c>
    </row>
    <row r="10" spans="1:105" ht="12" customHeight="1" x14ac:dyDescent="0.25">
      <c r="A10" s="131" t="s">
        <v>128</v>
      </c>
      <c r="B10" s="132"/>
      <c r="C10" s="132">
        <f>IF(SER_hh_fec_in!C10=0,0,11630*1000*SER_hh_fec_in!C10/SER_hh_num_in!C10)</f>
        <v>136603.90742109579</v>
      </c>
      <c r="D10" s="132">
        <f>IF(SER_hh_fec_in!D10=0,0,11630*1000*SER_hh_fec_in!D10/SER_hh_num_in!D10)</f>
        <v>138559.48790404235</v>
      </c>
      <c r="E10" s="132">
        <f>IF(SER_hh_fec_in!E10=0,0,11630*1000*SER_hh_fec_in!E10/SER_hh_num_in!E10)</f>
        <v>124778.24776366909</v>
      </c>
      <c r="F10" s="132">
        <f>IF(SER_hh_fec_in!F10=0,0,11630*1000*SER_hh_fec_in!F10/SER_hh_num_in!F10)</f>
        <v>120126.9922792368</v>
      </c>
      <c r="G10" s="132">
        <f>IF(SER_hh_fec_in!G10=0,0,11630*1000*SER_hh_fec_in!G10/SER_hh_num_in!G10)</f>
        <v>120637.3522445524</v>
      </c>
      <c r="H10" s="132">
        <f>IF(SER_hh_fec_in!H10=0,0,11630*1000*SER_hh_fec_in!H10/SER_hh_num_in!H10)</f>
        <v>117546.07797710769</v>
      </c>
      <c r="I10" s="132">
        <f>IF(SER_hh_fec_in!I10=0,0,11630*1000*SER_hh_fec_in!I10/SER_hh_num_in!I10)</f>
        <v>106598.99882711086</v>
      </c>
      <c r="J10" s="132">
        <f>IF(SER_hh_fec_in!J10=0,0,11630*1000*SER_hh_fec_in!J10/SER_hh_num_in!J10)</f>
        <v>101930.4264318261</v>
      </c>
      <c r="K10" s="132">
        <f>IF(SER_hh_fec_in!K10=0,0,11630*1000*SER_hh_fec_in!K10/SER_hh_num_in!K10)</f>
        <v>92580.758762839061</v>
      </c>
      <c r="L10" s="132">
        <f>IF(SER_hh_fec_in!L10=0,0,11630*1000*SER_hh_fec_in!L10/SER_hh_num_in!L10)</f>
        <v>86411.750019400075</v>
      </c>
      <c r="M10" s="132">
        <f>IF(SER_hh_fec_in!M10=0,0,11630*1000*SER_hh_fec_in!M10/SER_hh_num_in!M10)</f>
        <v>85449.124247955624</v>
      </c>
      <c r="N10" s="132">
        <f>IF(SER_hh_fec_in!N10=0,0,11630*1000*SER_hh_fec_in!N10/SER_hh_num_in!N10)</f>
        <v>83920.773546290991</v>
      </c>
      <c r="O10" s="132">
        <f>IF(SER_hh_fec_in!O10=0,0,11630*1000*SER_hh_fec_in!O10/SER_hh_num_in!O10)</f>
        <v>80417.697579917512</v>
      </c>
      <c r="P10" s="132">
        <f>IF(SER_hh_fec_in!P10=0,0,11630*1000*SER_hh_fec_in!P10/SER_hh_num_in!P10)</f>
        <v>72538.169842543342</v>
      </c>
      <c r="Q10" s="132">
        <f>IF(SER_hh_fec_in!Q10=0,0,11630*1000*SER_hh_fec_in!Q10/SER_hh_num_in!Q10)</f>
        <v>68893.794000689741</v>
      </c>
      <c r="R10" s="132">
        <f>IF(SER_hh_fec_in!R10=0,0,11630*1000*SER_hh_fec_in!R10/SER_hh_num_in!R10)</f>
        <v>0</v>
      </c>
      <c r="S10" s="132">
        <f>IF(SER_hh_fec_in!S10=0,0,11630*1000*SER_hh_fec_in!S10/SER_hh_num_in!S10)</f>
        <v>0</v>
      </c>
      <c r="T10" s="132">
        <f>IF(SER_hh_fec_in!T10=0,0,11630*1000*SER_hh_fec_in!T10/SER_hh_num_in!T10)</f>
        <v>0</v>
      </c>
      <c r="U10" s="132">
        <f>IF(SER_hh_fec_in!U10=0,0,11630*1000*SER_hh_fec_in!U10/SER_hh_num_in!U10)</f>
        <v>65930.080928992233</v>
      </c>
      <c r="V10" s="132">
        <f>IF(SER_hh_fec_in!V10=0,0,11630*1000*SER_hh_fec_in!V10/SER_hh_num_in!V10)</f>
        <v>70287.077714536092</v>
      </c>
      <c r="W10" s="132">
        <f>IF(SER_hh_fec_in!W10=0,0,11630*1000*SER_hh_fec_in!W10/SER_hh_num_in!W10)</f>
        <v>64309.862559476918</v>
      </c>
      <c r="X10" s="132">
        <f>IF(SER_hh_fec_in!X10=0,0,11630*1000*SER_hh_fec_in!X10/SER_hh_num_in!X10)</f>
        <v>60787.07189177331</v>
      </c>
      <c r="Y10" s="132">
        <f>IF(SER_hh_fec_in!Y10=0,0,11630*1000*SER_hh_fec_in!Y10/SER_hh_num_in!Y10)</f>
        <v>64498.828042583584</v>
      </c>
      <c r="DA10" s="156" t="s">
        <v>731</v>
      </c>
    </row>
    <row r="11" spans="1:105" ht="12" customHeight="1" x14ac:dyDescent="0.25">
      <c r="A11" s="131" t="s">
        <v>25</v>
      </c>
      <c r="B11" s="132"/>
      <c r="C11" s="132">
        <f>IF(SER_hh_fec_in!C11=0,0,11630*1000*SER_hh_fec_in!C11/SER_hh_num_in!C11)</f>
        <v>0</v>
      </c>
      <c r="D11" s="132">
        <f>IF(SER_hh_fec_in!D11=0,0,11630*1000*SER_hh_fec_in!D11/SER_hh_num_in!D11)</f>
        <v>0</v>
      </c>
      <c r="E11" s="132">
        <f>IF(SER_hh_fec_in!E11=0,0,11630*1000*SER_hh_fec_in!E11/SER_hh_num_in!E11)</f>
        <v>0</v>
      </c>
      <c r="F11" s="132">
        <f>IF(SER_hh_fec_in!F11=0,0,11630*1000*SER_hh_fec_in!F11/SER_hh_num_in!F11)</f>
        <v>0</v>
      </c>
      <c r="G11" s="132">
        <f>IF(SER_hh_fec_in!G11=0,0,11630*1000*SER_hh_fec_in!G11/SER_hh_num_in!G11)</f>
        <v>0</v>
      </c>
      <c r="H11" s="132">
        <f>IF(SER_hh_fec_in!H11=0,0,11630*1000*SER_hh_fec_in!H11/SER_hh_num_in!H11)</f>
        <v>0</v>
      </c>
      <c r="I11" s="132">
        <f>IF(SER_hh_fec_in!I11=0,0,11630*1000*SER_hh_fec_in!I11/SER_hh_num_in!I11)</f>
        <v>0</v>
      </c>
      <c r="J11" s="132">
        <f>IF(SER_hh_fec_in!J11=0,0,11630*1000*SER_hh_fec_in!J11/SER_hh_num_in!J11)</f>
        <v>0</v>
      </c>
      <c r="K11" s="132">
        <f>IF(SER_hh_fec_in!K11=0,0,11630*1000*SER_hh_fec_in!K11/SER_hh_num_in!K11)</f>
        <v>0</v>
      </c>
      <c r="L11" s="132">
        <f>IF(SER_hh_fec_in!L11=0,0,11630*1000*SER_hh_fec_in!L11/SER_hh_num_in!L11)</f>
        <v>0</v>
      </c>
      <c r="M11" s="132">
        <f>IF(SER_hh_fec_in!M11=0,0,11630*1000*SER_hh_fec_in!M11/SER_hh_num_in!M11)</f>
        <v>0</v>
      </c>
      <c r="N11" s="132">
        <f>IF(SER_hh_fec_in!N11=0,0,11630*1000*SER_hh_fec_in!N11/SER_hh_num_in!N11)</f>
        <v>0</v>
      </c>
      <c r="O11" s="132">
        <f>IF(SER_hh_fec_in!O11=0,0,11630*1000*SER_hh_fec_in!O11/SER_hh_num_in!O11)</f>
        <v>0</v>
      </c>
      <c r="P11" s="132">
        <f>IF(SER_hh_fec_in!P11=0,0,11630*1000*SER_hh_fec_in!P11/SER_hh_num_in!P11)</f>
        <v>0</v>
      </c>
      <c r="Q11" s="132">
        <f>IF(SER_hh_fec_in!Q11=0,0,11630*1000*SER_hh_fec_in!Q11/SER_hh_num_in!Q11)</f>
        <v>0</v>
      </c>
      <c r="R11" s="132">
        <f>IF(SER_hh_fec_in!R11=0,0,11630*1000*SER_hh_fec_in!R11/SER_hh_num_in!R11)</f>
        <v>0</v>
      </c>
      <c r="S11" s="132">
        <f>IF(SER_hh_fec_in!S11=0,0,11630*1000*SER_hh_fec_in!S11/SER_hh_num_in!S11)</f>
        <v>0</v>
      </c>
      <c r="T11" s="132">
        <f>IF(SER_hh_fec_in!T11=0,0,11630*1000*SER_hh_fec_in!T11/SER_hh_num_in!T11)</f>
        <v>0</v>
      </c>
      <c r="U11" s="132">
        <f>IF(SER_hh_fec_in!U11=0,0,11630*1000*SER_hh_fec_in!U11/SER_hh_num_in!U11)</f>
        <v>0</v>
      </c>
      <c r="V11" s="132">
        <f>IF(SER_hh_fec_in!V11=0,0,11630*1000*SER_hh_fec_in!V11/SER_hh_num_in!V11)</f>
        <v>0</v>
      </c>
      <c r="W11" s="132">
        <f>IF(SER_hh_fec_in!W11=0,0,11630*1000*SER_hh_fec_in!W11/SER_hh_num_in!W11)</f>
        <v>0</v>
      </c>
      <c r="X11" s="132">
        <f>IF(SER_hh_fec_in!X11=0,0,11630*1000*SER_hh_fec_in!X11/SER_hh_num_in!X11)</f>
        <v>0</v>
      </c>
      <c r="Y11" s="132">
        <f>IF(SER_hh_fec_in!Y11=0,0,11630*1000*SER_hh_fec_in!Y11/SER_hh_num_in!Y11)</f>
        <v>0</v>
      </c>
      <c r="DA11" s="156" t="s">
        <v>732</v>
      </c>
    </row>
    <row r="12" spans="1:105" ht="12" customHeight="1" x14ac:dyDescent="0.25">
      <c r="A12" s="131" t="s">
        <v>162</v>
      </c>
      <c r="B12" s="132"/>
      <c r="C12" s="132">
        <f>IF(SER_hh_fec_in!C12=0,0,11630*1000*SER_hh_fec_in!C12/SER_hh_num_in!C12)</f>
        <v>94767.938287011886</v>
      </c>
      <c r="D12" s="132">
        <f>IF(SER_hh_fec_in!D12=0,0,11630*1000*SER_hh_fec_in!D12/SER_hh_num_in!D12)</f>
        <v>89185.990248124537</v>
      </c>
      <c r="E12" s="132">
        <f>IF(SER_hh_fec_in!E12=0,0,11630*1000*SER_hh_fec_in!E12/SER_hh_num_in!E12)</f>
        <v>87879.972232927728</v>
      </c>
      <c r="F12" s="132">
        <f>IF(SER_hh_fec_in!F12=0,0,11630*1000*SER_hh_fec_in!F12/SER_hh_num_in!F12)</f>
        <v>84636.434650502459</v>
      </c>
      <c r="G12" s="132">
        <f>IF(SER_hh_fec_in!G12=0,0,11630*1000*SER_hh_fec_in!G12/SER_hh_num_in!G12)</f>
        <v>79742.778434650216</v>
      </c>
      <c r="H12" s="132">
        <f>IF(SER_hh_fec_in!H12=0,0,11630*1000*SER_hh_fec_in!H12/SER_hh_num_in!H12)</f>
        <v>82956.121754229374</v>
      </c>
      <c r="I12" s="132">
        <f>IF(SER_hh_fec_in!I12=0,0,11630*1000*SER_hh_fec_in!I12/SER_hh_num_in!I12)</f>
        <v>75823.205365038782</v>
      </c>
      <c r="J12" s="132">
        <f>IF(SER_hh_fec_in!J12=0,0,11630*1000*SER_hh_fec_in!J12/SER_hh_num_in!J12)</f>
        <v>58991.647137901549</v>
      </c>
      <c r="K12" s="132">
        <f>IF(SER_hh_fec_in!K12=0,0,11630*1000*SER_hh_fec_in!K12/SER_hh_num_in!K12)</f>
        <v>62583.298780788311</v>
      </c>
      <c r="L12" s="132">
        <f>IF(SER_hh_fec_in!L12=0,0,11630*1000*SER_hh_fec_in!L12/SER_hh_num_in!L12)</f>
        <v>64445.782285553461</v>
      </c>
      <c r="M12" s="132">
        <f>IF(SER_hh_fec_in!M12=0,0,11630*1000*SER_hh_fec_in!M12/SER_hh_num_in!M12)</f>
        <v>49868.16366856121</v>
      </c>
      <c r="N12" s="132">
        <f>IF(SER_hh_fec_in!N12=0,0,11630*1000*SER_hh_fec_in!N12/SER_hh_num_in!N12)</f>
        <v>59015.404700148138</v>
      </c>
      <c r="O12" s="132">
        <f>IF(SER_hh_fec_in!O12=0,0,11630*1000*SER_hh_fec_in!O12/SER_hh_num_in!O12)</f>
        <v>47797.573422123525</v>
      </c>
      <c r="P12" s="132">
        <f>IF(SER_hh_fec_in!P12=0,0,11630*1000*SER_hh_fec_in!P12/SER_hh_num_in!P12)</f>
        <v>44774.79241733197</v>
      </c>
      <c r="Q12" s="132">
        <f>IF(SER_hh_fec_in!Q12=0,0,11630*1000*SER_hh_fec_in!Q12/SER_hh_num_in!Q12)</f>
        <v>43753.446211177987</v>
      </c>
      <c r="R12" s="132">
        <f>IF(SER_hh_fec_in!R12=0,0,11630*1000*SER_hh_fec_in!R12/SER_hh_num_in!R12)</f>
        <v>41867.697589498057</v>
      </c>
      <c r="S12" s="132">
        <f>IF(SER_hh_fec_in!S12=0,0,11630*1000*SER_hh_fec_in!S12/SER_hh_num_in!S12)</f>
        <v>48118.741058063715</v>
      </c>
      <c r="T12" s="132">
        <f>IF(SER_hh_fec_in!T12=0,0,11630*1000*SER_hh_fec_in!T12/SER_hh_num_in!T12)</f>
        <v>47748.376354797729</v>
      </c>
      <c r="U12" s="132">
        <f>IF(SER_hh_fec_in!U12=0,0,11630*1000*SER_hh_fec_in!U12/SER_hh_num_in!U12)</f>
        <v>39896.520190170326</v>
      </c>
      <c r="V12" s="132">
        <f>IF(SER_hh_fec_in!V12=0,0,11630*1000*SER_hh_fec_in!V12/SER_hh_num_in!V12)</f>
        <v>34496.61837205429</v>
      </c>
      <c r="W12" s="132">
        <f>IF(SER_hh_fec_in!W12=0,0,11630*1000*SER_hh_fec_in!W12/SER_hh_num_in!W12)</f>
        <v>43119.239461725592</v>
      </c>
      <c r="X12" s="132">
        <f>IF(SER_hh_fec_in!X12=0,0,11630*1000*SER_hh_fec_in!X12/SER_hh_num_in!X12)</f>
        <v>39953.873456256741</v>
      </c>
      <c r="Y12" s="132">
        <f>IF(SER_hh_fec_in!Y12=0,0,11630*1000*SER_hh_fec_in!Y12/SER_hh_num_in!Y12)</f>
        <v>37948.216315541875</v>
      </c>
      <c r="DA12" s="156" t="s">
        <v>733</v>
      </c>
    </row>
    <row r="13" spans="1:105" ht="12" customHeight="1" x14ac:dyDescent="0.25">
      <c r="A13" s="131" t="s">
        <v>77</v>
      </c>
      <c r="B13" s="132"/>
      <c r="C13" s="132">
        <f>IF(SER_hh_fec_in!C13=0,0,11630*1000*SER_hh_fec_in!C13/SER_hh_num_in!C13)</f>
        <v>46855.430140087163</v>
      </c>
      <c r="D13" s="132">
        <f>IF(SER_hh_fec_in!D13=0,0,11630*1000*SER_hh_fec_in!D13/SER_hh_num_in!D13)</f>
        <v>34746.541876006748</v>
      </c>
      <c r="E13" s="132">
        <f>IF(SER_hh_fec_in!E13=0,0,11630*1000*SER_hh_fec_in!E13/SER_hh_num_in!E13)</f>
        <v>40369.137401932217</v>
      </c>
      <c r="F13" s="132">
        <f>IF(SER_hh_fec_in!F13=0,0,11630*1000*SER_hh_fec_in!F13/SER_hh_num_in!F13)</f>
        <v>36081.097513831097</v>
      </c>
      <c r="G13" s="132">
        <f>IF(SER_hh_fec_in!G13=0,0,11630*1000*SER_hh_fec_in!G13/SER_hh_num_in!G13)</f>
        <v>34880.49619539085</v>
      </c>
      <c r="H13" s="132">
        <f>IF(SER_hh_fec_in!H13=0,0,11630*1000*SER_hh_fec_in!H13/SER_hh_num_in!H13)</f>
        <v>29512.630581832254</v>
      </c>
      <c r="I13" s="132">
        <f>IF(SER_hh_fec_in!I13=0,0,11630*1000*SER_hh_fec_in!I13/SER_hh_num_in!I13)</f>
        <v>24149.203828137925</v>
      </c>
      <c r="J13" s="132">
        <f>IF(SER_hh_fec_in!J13=0,0,11630*1000*SER_hh_fec_in!J13/SER_hh_num_in!J13)</f>
        <v>27469.263976729759</v>
      </c>
      <c r="K13" s="132">
        <f>IF(SER_hh_fec_in!K13=0,0,11630*1000*SER_hh_fec_in!K13/SER_hh_num_in!K13)</f>
        <v>20885.394374630931</v>
      </c>
      <c r="L13" s="132">
        <f>IF(SER_hh_fec_in!L13=0,0,11630*1000*SER_hh_fec_in!L13/SER_hh_num_in!L13)</f>
        <v>15522.28082767699</v>
      </c>
      <c r="M13" s="132">
        <f>IF(SER_hh_fec_in!M13=0,0,11630*1000*SER_hh_fec_in!M13/SER_hh_num_in!M13)</f>
        <v>16939.519341802232</v>
      </c>
      <c r="N13" s="132">
        <f>IF(SER_hh_fec_in!N13=0,0,11630*1000*SER_hh_fec_in!N13/SER_hh_num_in!N13)</f>
        <v>15455.161989713748</v>
      </c>
      <c r="O13" s="132">
        <f>IF(SER_hh_fec_in!O13=0,0,11630*1000*SER_hh_fec_in!O13/SER_hh_num_in!O13)</f>
        <v>13104.210232169378</v>
      </c>
      <c r="P13" s="132">
        <f>IF(SER_hh_fec_in!P13=0,0,11630*1000*SER_hh_fec_in!P13/SER_hh_num_in!P13)</f>
        <v>14184.820360291225</v>
      </c>
      <c r="Q13" s="132">
        <f>IF(SER_hh_fec_in!Q13=0,0,11630*1000*SER_hh_fec_in!Q13/SER_hh_num_in!Q13)</f>
        <v>12370.368810718799</v>
      </c>
      <c r="R13" s="132">
        <f>IF(SER_hh_fec_in!R13=0,0,11630*1000*SER_hh_fec_in!R13/SER_hh_num_in!R13)</f>
        <v>11645.025291537058</v>
      </c>
      <c r="S13" s="132">
        <f>IF(SER_hh_fec_in!S13=0,0,11630*1000*SER_hh_fec_in!S13/SER_hh_num_in!S13)</f>
        <v>11288.705245894995</v>
      </c>
      <c r="T13" s="132">
        <f>IF(SER_hh_fec_in!T13=0,0,11630*1000*SER_hh_fec_in!T13/SER_hh_num_in!T13)</f>
        <v>11034.592190195293</v>
      </c>
      <c r="U13" s="132">
        <f>IF(SER_hh_fec_in!U13=0,0,11630*1000*SER_hh_fec_in!U13/SER_hh_num_in!U13)</f>
        <v>9370.3992823154658</v>
      </c>
      <c r="V13" s="132">
        <f>IF(SER_hh_fec_in!V13=0,0,11630*1000*SER_hh_fec_in!V13/SER_hh_num_in!V13)</f>
        <v>7124.5711797025606</v>
      </c>
      <c r="W13" s="132">
        <f>IF(SER_hh_fec_in!W13=0,0,11630*1000*SER_hh_fec_in!W13/SER_hh_num_in!W13)</f>
        <v>9039.9258759392942</v>
      </c>
      <c r="X13" s="132">
        <f>IF(SER_hh_fec_in!X13=0,0,11630*1000*SER_hh_fec_in!X13/SER_hh_num_in!X13)</f>
        <v>7709.5640627374332</v>
      </c>
      <c r="Y13" s="132">
        <f>IF(SER_hh_fec_in!Y13=0,0,11630*1000*SER_hh_fec_in!Y13/SER_hh_num_in!Y13)</f>
        <v>9075.0256749459186</v>
      </c>
      <c r="DA13" s="156" t="s">
        <v>734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105458.77528525119</v>
      </c>
      <c r="D14" s="65">
        <f>IF(SER_hh_fec_in!D14=0,0,11630*1000*SER_hh_fec_in!D14/SER_hh_num_in!D14)</f>
        <v>85981.849265162949</v>
      </c>
      <c r="E14" s="65">
        <f>IF(SER_hh_fec_in!E14=0,0,11630*1000*SER_hh_fec_in!E14/SER_hh_num_in!E14)</f>
        <v>103687.52989960149</v>
      </c>
      <c r="F14" s="65">
        <f>IF(SER_hh_fec_in!F14=0,0,11630*1000*SER_hh_fec_in!F14/SER_hh_num_in!F14)</f>
        <v>96343.27779774394</v>
      </c>
      <c r="G14" s="65">
        <f>IF(SER_hh_fec_in!G14=0,0,11630*1000*SER_hh_fec_in!G14/SER_hh_num_in!G14)</f>
        <v>89971.245797887415</v>
      </c>
      <c r="H14" s="65">
        <f>IF(SER_hh_fec_in!H14=0,0,11630*1000*SER_hh_fec_in!H14/SER_hh_num_in!H14)</f>
        <v>83062.581931760229</v>
      </c>
      <c r="I14" s="65">
        <f>IF(SER_hh_fec_in!I14=0,0,11630*1000*SER_hh_fec_in!I14/SER_hh_num_in!I14)</f>
        <v>78981.841969944246</v>
      </c>
      <c r="J14" s="65">
        <f>IF(SER_hh_fec_in!J14=0,0,11630*1000*SER_hh_fec_in!J14/SER_hh_num_in!J14)</f>
        <v>108276.04802073108</v>
      </c>
      <c r="K14" s="65">
        <f>IF(SER_hh_fec_in!K14=0,0,11630*1000*SER_hh_fec_in!K14/SER_hh_num_in!K14)</f>
        <v>0</v>
      </c>
      <c r="L14" s="65">
        <f>IF(SER_hh_fec_in!L14=0,0,11630*1000*SER_hh_fec_in!L14/SER_hh_num_in!L14)</f>
        <v>0</v>
      </c>
      <c r="M14" s="65">
        <f>IF(SER_hh_fec_in!M14=0,0,11630*1000*SER_hh_fec_in!M14/SER_hh_num_in!M14)</f>
        <v>0</v>
      </c>
      <c r="N14" s="65">
        <f>IF(SER_hh_fec_in!N14=0,0,11630*1000*SER_hh_fec_in!N14/SER_hh_num_in!N14)</f>
        <v>75265.921752924725</v>
      </c>
      <c r="O14" s="65">
        <f>IF(SER_hh_fec_in!O14=0,0,11630*1000*SER_hh_fec_in!O14/SER_hh_num_in!O14)</f>
        <v>51337.625932937648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24346.568059864192</v>
      </c>
      <c r="R14" s="65">
        <f>IF(SER_hh_fec_in!R14=0,0,11630*1000*SER_hh_fec_in!R14/SER_hh_num_in!R14)</f>
        <v>58561.297987957609</v>
      </c>
      <c r="S14" s="65">
        <f>IF(SER_hh_fec_in!S14=0,0,11630*1000*SER_hh_fec_in!S14/SER_hh_num_in!S14)</f>
        <v>35964.008829352781</v>
      </c>
      <c r="T14" s="65">
        <f>IF(SER_hh_fec_in!T14=0,0,11630*1000*SER_hh_fec_in!T14/SER_hh_num_in!T14)</f>
        <v>51166.921575993583</v>
      </c>
      <c r="U14" s="65">
        <f>IF(SER_hh_fec_in!U14=0,0,11630*1000*SER_hh_fec_in!U14/SER_hh_num_in!U14)</f>
        <v>47901.03227843553</v>
      </c>
      <c r="V14" s="65">
        <f>IF(SER_hh_fec_in!V14=0,0,11630*1000*SER_hh_fec_in!V14/SER_hh_num_in!V14)</f>
        <v>33332.757625188286</v>
      </c>
      <c r="W14" s="65">
        <f>IF(SER_hh_fec_in!W14=0,0,11630*1000*SER_hh_fec_in!W14/SER_hh_num_in!W14)</f>
        <v>41735.136160082933</v>
      </c>
      <c r="X14" s="65">
        <f>IF(SER_hh_fec_in!X14=0,0,11630*1000*SER_hh_fec_in!X14/SER_hh_num_in!X14)</f>
        <v>0</v>
      </c>
      <c r="Y14" s="65">
        <f>IF(SER_hh_fec_in!Y14=0,0,11630*1000*SER_hh_fec_in!Y14/SER_hh_num_in!Y14)</f>
        <v>0</v>
      </c>
      <c r="DA14" s="109" t="s">
        <v>735</v>
      </c>
    </row>
    <row r="15" spans="1:105" ht="12" customHeight="1" x14ac:dyDescent="0.25">
      <c r="A15" s="133" t="s">
        <v>80</v>
      </c>
      <c r="B15" s="134"/>
      <c r="C15" s="134">
        <f>IF(SER_hh_fec_in!C15=0,0,11630*1000*SER_hh_fec_in!C15/SER_hh_num_in!C15)</f>
        <v>485.76120418750992</v>
      </c>
      <c r="D15" s="134">
        <f>IF(SER_hh_fec_in!D15=0,0,11630*1000*SER_hh_fec_in!D15/SER_hh_num_in!D15)</f>
        <v>541.22805477465749</v>
      </c>
      <c r="E15" s="134">
        <f>IF(SER_hh_fec_in!E15=0,0,11630*1000*SER_hh_fec_in!E15/SER_hh_num_in!E15)</f>
        <v>463.36859881184392</v>
      </c>
      <c r="F15" s="134">
        <f>IF(SER_hh_fec_in!F15=0,0,11630*1000*SER_hh_fec_in!F15/SER_hh_num_in!F15)</f>
        <v>528.59164404597561</v>
      </c>
      <c r="G15" s="134">
        <f>IF(SER_hh_fec_in!G15=0,0,11630*1000*SER_hh_fec_in!G15/SER_hh_num_in!G15)</f>
        <v>455.50579037402616</v>
      </c>
      <c r="H15" s="134">
        <f>IF(SER_hh_fec_in!H15=0,0,11630*1000*SER_hh_fec_in!H15/SER_hh_num_in!H15)</f>
        <v>508.91297420766409</v>
      </c>
      <c r="I15" s="134">
        <f>IF(SER_hh_fec_in!I15=0,0,11630*1000*SER_hh_fec_in!I15/SER_hh_num_in!I15)</f>
        <v>401.55353506926599</v>
      </c>
      <c r="J15" s="134">
        <f>IF(SER_hh_fec_in!J15=0,0,11630*1000*SER_hh_fec_in!J15/SER_hh_num_in!J15)</f>
        <v>344.71983856684449</v>
      </c>
      <c r="K15" s="134">
        <f>IF(SER_hh_fec_in!K15=0,0,11630*1000*SER_hh_fec_in!K15/SER_hh_num_in!K15)</f>
        <v>351.86425373632267</v>
      </c>
      <c r="L15" s="134">
        <f>IF(SER_hh_fec_in!L15=0,0,11630*1000*SER_hh_fec_in!L15/SER_hh_num_in!L15)</f>
        <v>331.88520235454905</v>
      </c>
      <c r="M15" s="134">
        <f>IF(SER_hh_fec_in!M15=0,0,11630*1000*SER_hh_fec_in!M15/SER_hh_num_in!M15)</f>
        <v>300.85114151560771</v>
      </c>
      <c r="N15" s="134">
        <f>IF(SER_hh_fec_in!N15=0,0,11630*1000*SER_hh_fec_in!N15/SER_hh_num_in!N15)</f>
        <v>325.14901068324508</v>
      </c>
      <c r="O15" s="134">
        <f>IF(SER_hh_fec_in!O15=0,0,11630*1000*SER_hh_fec_in!O15/SER_hh_num_in!O15)</f>
        <v>329.40448137398329</v>
      </c>
      <c r="P15" s="134">
        <f>IF(SER_hh_fec_in!P15=0,0,11630*1000*SER_hh_fec_in!P15/SER_hh_num_in!P15)</f>
        <v>259.84945248061132</v>
      </c>
      <c r="Q15" s="134">
        <f>IF(SER_hh_fec_in!Q15=0,0,11630*1000*SER_hh_fec_in!Q15/SER_hh_num_in!Q15)</f>
        <v>294.84243707247396</v>
      </c>
      <c r="R15" s="134">
        <f>IF(SER_hh_fec_in!R15=0,0,11630*1000*SER_hh_fec_in!R15/SER_hh_num_in!R15)</f>
        <v>255.88042273193489</v>
      </c>
      <c r="S15" s="134">
        <f>IF(SER_hh_fec_in!S15=0,0,11630*1000*SER_hh_fec_in!S15/SER_hh_num_in!S15)</f>
        <v>267.09811819892525</v>
      </c>
      <c r="T15" s="134">
        <f>IF(SER_hh_fec_in!T15=0,0,11630*1000*SER_hh_fec_in!T15/SER_hh_num_in!T15)</f>
        <v>317.27023238270516</v>
      </c>
      <c r="U15" s="134">
        <f>IF(SER_hh_fec_in!U15=0,0,11630*1000*SER_hh_fec_in!U15/SER_hh_num_in!U15)</f>
        <v>303.28470356973702</v>
      </c>
      <c r="V15" s="134">
        <f>IF(SER_hh_fec_in!V15=0,0,11630*1000*SER_hh_fec_in!V15/SER_hh_num_in!V15)</f>
        <v>196.60158184238455</v>
      </c>
      <c r="W15" s="134">
        <f>IF(SER_hh_fec_in!W15=0,0,11630*1000*SER_hh_fec_in!W15/SER_hh_num_in!W15)</f>
        <v>295.05857448788794</v>
      </c>
      <c r="X15" s="134">
        <f>IF(SER_hh_fec_in!X15=0,0,11630*1000*SER_hh_fec_in!X15/SER_hh_num_in!X15)</f>
        <v>290.92268970606796</v>
      </c>
      <c r="Y15" s="134">
        <f>IF(SER_hh_fec_in!Y15=0,0,11630*1000*SER_hh_fec_in!Y15/SER_hh_num_in!Y15)</f>
        <v>303.59016997779872</v>
      </c>
      <c r="DA15" s="157" t="s">
        <v>736</v>
      </c>
    </row>
    <row r="16" spans="1:105" ht="12.95" customHeight="1" x14ac:dyDescent="0.25">
      <c r="A16" s="129" t="s">
        <v>74</v>
      </c>
      <c r="B16" s="130"/>
      <c r="C16" s="130">
        <f>IF(SER_hh_fec_in!C16=0,0,11630*1000*SER_hh_fec_in!C16/SER_hh_num_in!C16)</f>
        <v>7384.7455778152853</v>
      </c>
      <c r="D16" s="130">
        <f>IF(SER_hh_fec_in!D16=0,0,11630*1000*SER_hh_fec_in!D16/SER_hh_num_in!D16)</f>
        <v>7544.9419898938695</v>
      </c>
      <c r="E16" s="130">
        <f>IF(SER_hh_fec_in!E16=0,0,11630*1000*SER_hh_fec_in!E16/SER_hh_num_in!E16)</f>
        <v>6445.2428123032787</v>
      </c>
      <c r="F16" s="130">
        <f>IF(SER_hh_fec_in!F16=0,0,11630*1000*SER_hh_fec_in!F16/SER_hh_num_in!F16)</f>
        <v>6117.8999576782653</v>
      </c>
      <c r="G16" s="130">
        <f>IF(SER_hh_fec_in!G16=0,0,11630*1000*SER_hh_fec_in!G16/SER_hh_num_in!G16)</f>
        <v>5861.474826681866</v>
      </c>
      <c r="H16" s="130">
        <f>IF(SER_hh_fec_in!H16=0,0,11630*1000*SER_hh_fec_in!H16/SER_hh_num_in!H16)</f>
        <v>6199.2557818979676</v>
      </c>
      <c r="I16" s="130">
        <f>IF(SER_hh_fec_in!I16=0,0,11630*1000*SER_hh_fec_in!I16/SER_hh_num_in!I16)</f>
        <v>5487.2149213316443</v>
      </c>
      <c r="J16" s="130">
        <f>IF(SER_hh_fec_in!J16=0,0,11630*1000*SER_hh_fec_in!J16/SER_hh_num_in!J16)</f>
        <v>5191.6810163754635</v>
      </c>
      <c r="K16" s="130">
        <f>IF(SER_hh_fec_in!K16=0,0,11630*1000*SER_hh_fec_in!K16/SER_hh_num_in!K16)</f>
        <v>4971.1015284802097</v>
      </c>
      <c r="L16" s="130">
        <f>IF(SER_hh_fec_in!L16=0,0,11630*1000*SER_hh_fec_in!L16/SER_hh_num_in!L16)</f>
        <v>6054.3774256983688</v>
      </c>
      <c r="M16" s="130">
        <f>IF(SER_hh_fec_in!M16=0,0,11630*1000*SER_hh_fec_in!M16/SER_hh_num_in!M16)</f>
        <v>4600.5533653862976</v>
      </c>
      <c r="N16" s="130">
        <f>IF(SER_hh_fec_in!N16=0,0,11630*1000*SER_hh_fec_in!N16/SER_hh_num_in!N16)</f>
        <v>4799.2155672598874</v>
      </c>
      <c r="O16" s="130">
        <f>IF(SER_hh_fec_in!O16=0,0,11630*1000*SER_hh_fec_in!O16/SER_hh_num_in!O16)</f>
        <v>4238.2381003721421</v>
      </c>
      <c r="P16" s="130">
        <f>IF(SER_hh_fec_in!P16=0,0,11630*1000*SER_hh_fec_in!P16/SER_hh_num_in!P16)</f>
        <v>4452.3299495170759</v>
      </c>
      <c r="Q16" s="130">
        <f>IF(SER_hh_fec_in!Q16=0,0,11630*1000*SER_hh_fec_in!Q16/SER_hh_num_in!Q16)</f>
        <v>4151.7177531924644</v>
      </c>
      <c r="R16" s="130">
        <f>IF(SER_hh_fec_in!R16=0,0,11630*1000*SER_hh_fec_in!R16/SER_hh_num_in!R16)</f>
        <v>3890.1495857486011</v>
      </c>
      <c r="S16" s="130">
        <f>IF(SER_hh_fec_in!S16=0,0,11630*1000*SER_hh_fec_in!S16/SER_hh_num_in!S16)</f>
        <v>3848.7020038493733</v>
      </c>
      <c r="T16" s="130">
        <f>IF(SER_hh_fec_in!T16=0,0,11630*1000*SER_hh_fec_in!T16/SER_hh_num_in!T16)</f>
        <v>4064.9152056192866</v>
      </c>
      <c r="U16" s="130">
        <f>IF(SER_hh_fec_in!U16=0,0,11630*1000*SER_hh_fec_in!U16/SER_hh_num_in!U16)</f>
        <v>3913.6433712084254</v>
      </c>
      <c r="V16" s="130">
        <f>IF(SER_hh_fec_in!V16=0,0,11630*1000*SER_hh_fec_in!V16/SER_hh_num_in!V16)</f>
        <v>3719.06767503024</v>
      </c>
      <c r="W16" s="130">
        <f>IF(SER_hh_fec_in!W16=0,0,11630*1000*SER_hh_fec_in!W16/SER_hh_num_in!W16)</f>
        <v>4254.7805907068187</v>
      </c>
      <c r="X16" s="130">
        <f>IF(SER_hh_fec_in!X16=0,0,11630*1000*SER_hh_fec_in!X16/SER_hh_num_in!X16)</f>
        <v>3788.5937626548875</v>
      </c>
      <c r="Y16" s="130">
        <f>IF(SER_hh_fec_in!Y16=0,0,11630*1000*SER_hh_fec_in!Y16/SER_hh_num_in!Y16)</f>
        <v>3678.6476392552177</v>
      </c>
      <c r="DA16" s="155" t="s">
        <v>737</v>
      </c>
    </row>
    <row r="17" spans="1:105" ht="12.95" customHeight="1" x14ac:dyDescent="0.25">
      <c r="A17" s="131" t="s">
        <v>73</v>
      </c>
      <c r="B17" s="132"/>
      <c r="C17" s="132">
        <f>IF(SER_hh_fec_in!C17=0,0,11630*1000*SER_hh_fec_in!C17/SER_hh_num_in!C17)</f>
        <v>0</v>
      </c>
      <c r="D17" s="132">
        <f>IF(SER_hh_fec_in!D17=0,0,11630*1000*SER_hh_fec_in!D17/SER_hh_num_in!D17)</f>
        <v>0</v>
      </c>
      <c r="E17" s="132">
        <f>IF(SER_hh_fec_in!E17=0,0,11630*1000*SER_hh_fec_in!E17/SER_hh_num_in!E17)</f>
        <v>0</v>
      </c>
      <c r="F17" s="132">
        <f>IF(SER_hh_fec_in!F17=0,0,11630*1000*SER_hh_fec_in!F17/SER_hh_num_in!F17)</f>
        <v>0</v>
      </c>
      <c r="G17" s="132">
        <f>IF(SER_hh_fec_in!G17=0,0,11630*1000*SER_hh_fec_in!G17/SER_hh_num_in!G17)</f>
        <v>0</v>
      </c>
      <c r="H17" s="132">
        <f>IF(SER_hh_fec_in!H17=0,0,11630*1000*SER_hh_fec_in!H17/SER_hh_num_in!H17)</f>
        <v>0</v>
      </c>
      <c r="I17" s="132">
        <f>IF(SER_hh_fec_in!I17=0,0,11630*1000*SER_hh_fec_in!I17/SER_hh_num_in!I17)</f>
        <v>0</v>
      </c>
      <c r="J17" s="132">
        <f>IF(SER_hh_fec_in!J17=0,0,11630*1000*SER_hh_fec_in!J17/SER_hh_num_in!J17)</f>
        <v>0</v>
      </c>
      <c r="K17" s="132">
        <f>IF(SER_hh_fec_in!K17=0,0,11630*1000*SER_hh_fec_in!K17/SER_hh_num_in!K17)</f>
        <v>0</v>
      </c>
      <c r="L17" s="132">
        <f>IF(SER_hh_fec_in!L17=0,0,11630*1000*SER_hh_fec_in!L17/SER_hh_num_in!L17)</f>
        <v>0</v>
      </c>
      <c r="M17" s="132">
        <f>IF(SER_hh_fec_in!M17=0,0,11630*1000*SER_hh_fec_in!M17/SER_hh_num_in!M17)</f>
        <v>0</v>
      </c>
      <c r="N17" s="132">
        <f>IF(SER_hh_fec_in!N17=0,0,11630*1000*SER_hh_fec_in!N17/SER_hh_num_in!N17)</f>
        <v>0</v>
      </c>
      <c r="O17" s="132">
        <f>IF(SER_hh_fec_in!O17=0,0,11630*1000*SER_hh_fec_in!O17/SER_hh_num_in!O17)</f>
        <v>0</v>
      </c>
      <c r="P17" s="132">
        <f>IF(SER_hh_fec_in!P17=0,0,11630*1000*SER_hh_fec_in!P17/SER_hh_num_in!P17)</f>
        <v>0</v>
      </c>
      <c r="Q17" s="132">
        <f>IF(SER_hh_fec_in!Q17=0,0,11630*1000*SER_hh_fec_in!Q17/SER_hh_num_in!Q17)</f>
        <v>0</v>
      </c>
      <c r="R17" s="132">
        <f>IF(SER_hh_fec_in!R17=0,0,11630*1000*SER_hh_fec_in!R17/SER_hh_num_in!R17)</f>
        <v>0</v>
      </c>
      <c r="S17" s="132">
        <f>IF(SER_hh_fec_in!S17=0,0,11630*1000*SER_hh_fec_in!S17/SER_hh_num_in!S17)</f>
        <v>0</v>
      </c>
      <c r="T17" s="132">
        <f>IF(SER_hh_fec_in!T17=0,0,11630*1000*SER_hh_fec_in!T17/SER_hh_num_in!T17)</f>
        <v>0</v>
      </c>
      <c r="U17" s="132">
        <f>IF(SER_hh_fec_in!U17=0,0,11630*1000*SER_hh_fec_in!U17/SER_hh_num_in!U17)</f>
        <v>0</v>
      </c>
      <c r="V17" s="132">
        <f>IF(SER_hh_fec_in!V17=0,0,11630*1000*SER_hh_fec_in!V17/SER_hh_num_in!V17)</f>
        <v>0</v>
      </c>
      <c r="W17" s="132">
        <f>IF(SER_hh_fec_in!W17=0,0,11630*1000*SER_hh_fec_in!W17/SER_hh_num_in!W17)</f>
        <v>0</v>
      </c>
      <c r="X17" s="132">
        <f>IF(SER_hh_fec_in!X17=0,0,11630*1000*SER_hh_fec_in!X17/SER_hh_num_in!X17)</f>
        <v>0</v>
      </c>
      <c r="Y17" s="132">
        <f>IF(SER_hh_fec_in!Y17=0,0,11630*1000*SER_hh_fec_in!Y17/SER_hh_num_in!Y17)</f>
        <v>0</v>
      </c>
      <c r="DA17" s="156" t="s">
        <v>738</v>
      </c>
    </row>
    <row r="18" spans="1:105" ht="12" customHeight="1" x14ac:dyDescent="0.25">
      <c r="A18" s="131" t="s">
        <v>72</v>
      </c>
      <c r="B18" s="132"/>
      <c r="C18" s="132">
        <f>IF(SER_hh_fec_in!C18=0,0,11630*1000*SER_hh_fec_in!C18/SER_hh_num_in!C18)</f>
        <v>7384.7455778152853</v>
      </c>
      <c r="D18" s="132">
        <f>IF(SER_hh_fec_in!D18=0,0,11630*1000*SER_hh_fec_in!D18/SER_hh_num_in!D18)</f>
        <v>7544.9419898938695</v>
      </c>
      <c r="E18" s="132">
        <f>IF(SER_hh_fec_in!E18=0,0,11630*1000*SER_hh_fec_in!E18/SER_hh_num_in!E18)</f>
        <v>6445.2428123032787</v>
      </c>
      <c r="F18" s="132">
        <f>IF(SER_hh_fec_in!F18=0,0,11630*1000*SER_hh_fec_in!F18/SER_hh_num_in!F18)</f>
        <v>6117.8999576782653</v>
      </c>
      <c r="G18" s="132">
        <f>IF(SER_hh_fec_in!G18=0,0,11630*1000*SER_hh_fec_in!G18/SER_hh_num_in!G18)</f>
        <v>5861.474826681866</v>
      </c>
      <c r="H18" s="132">
        <f>IF(SER_hh_fec_in!H18=0,0,11630*1000*SER_hh_fec_in!H18/SER_hh_num_in!H18)</f>
        <v>6199.2557818979676</v>
      </c>
      <c r="I18" s="132">
        <f>IF(SER_hh_fec_in!I18=0,0,11630*1000*SER_hh_fec_in!I18/SER_hh_num_in!I18)</f>
        <v>5487.2149213316443</v>
      </c>
      <c r="J18" s="132">
        <f>IF(SER_hh_fec_in!J18=0,0,11630*1000*SER_hh_fec_in!J18/SER_hh_num_in!J18)</f>
        <v>5191.6810163754635</v>
      </c>
      <c r="K18" s="132">
        <f>IF(SER_hh_fec_in!K18=0,0,11630*1000*SER_hh_fec_in!K18/SER_hh_num_in!K18)</f>
        <v>4971.1015284802097</v>
      </c>
      <c r="L18" s="132">
        <f>IF(SER_hh_fec_in!L18=0,0,11630*1000*SER_hh_fec_in!L18/SER_hh_num_in!L18)</f>
        <v>6054.3774256983688</v>
      </c>
      <c r="M18" s="132">
        <f>IF(SER_hh_fec_in!M18=0,0,11630*1000*SER_hh_fec_in!M18/SER_hh_num_in!M18)</f>
        <v>4600.5533653862976</v>
      </c>
      <c r="N18" s="132">
        <f>IF(SER_hh_fec_in!N18=0,0,11630*1000*SER_hh_fec_in!N18/SER_hh_num_in!N18)</f>
        <v>4799.2155672598874</v>
      </c>
      <c r="O18" s="132">
        <f>IF(SER_hh_fec_in!O18=0,0,11630*1000*SER_hh_fec_in!O18/SER_hh_num_in!O18)</f>
        <v>4238.2381003721421</v>
      </c>
      <c r="P18" s="132">
        <f>IF(SER_hh_fec_in!P18=0,0,11630*1000*SER_hh_fec_in!P18/SER_hh_num_in!P18)</f>
        <v>4452.3299495170759</v>
      </c>
      <c r="Q18" s="132">
        <f>IF(SER_hh_fec_in!Q18=0,0,11630*1000*SER_hh_fec_in!Q18/SER_hh_num_in!Q18)</f>
        <v>4151.7177531924644</v>
      </c>
      <c r="R18" s="132">
        <f>IF(SER_hh_fec_in!R18=0,0,11630*1000*SER_hh_fec_in!R18/SER_hh_num_in!R18)</f>
        <v>3890.1495857486011</v>
      </c>
      <c r="S18" s="132">
        <f>IF(SER_hh_fec_in!S18=0,0,11630*1000*SER_hh_fec_in!S18/SER_hh_num_in!S18)</f>
        <v>3848.7020038493733</v>
      </c>
      <c r="T18" s="132">
        <f>IF(SER_hh_fec_in!T18=0,0,11630*1000*SER_hh_fec_in!T18/SER_hh_num_in!T18)</f>
        <v>4064.9152056192866</v>
      </c>
      <c r="U18" s="132">
        <f>IF(SER_hh_fec_in!U18=0,0,11630*1000*SER_hh_fec_in!U18/SER_hh_num_in!U18)</f>
        <v>3913.6433712084254</v>
      </c>
      <c r="V18" s="132">
        <f>IF(SER_hh_fec_in!V18=0,0,11630*1000*SER_hh_fec_in!V18/SER_hh_num_in!V18)</f>
        <v>3719.06767503024</v>
      </c>
      <c r="W18" s="132">
        <f>IF(SER_hh_fec_in!W18=0,0,11630*1000*SER_hh_fec_in!W18/SER_hh_num_in!W18)</f>
        <v>4254.7805907068187</v>
      </c>
      <c r="X18" s="132">
        <f>IF(SER_hh_fec_in!X18=0,0,11630*1000*SER_hh_fec_in!X18/SER_hh_num_in!X18)</f>
        <v>3788.5937626548875</v>
      </c>
      <c r="Y18" s="132">
        <f>IF(SER_hh_fec_in!Y18=0,0,11630*1000*SER_hh_fec_in!Y18/SER_hh_num_in!Y18)</f>
        <v>3678.6476392552177</v>
      </c>
      <c r="DA18" s="156" t="s">
        <v>739</v>
      </c>
    </row>
    <row r="19" spans="1:105" ht="12.95" customHeight="1" x14ac:dyDescent="0.25">
      <c r="A19" s="129" t="s">
        <v>35</v>
      </c>
      <c r="B19" s="130"/>
      <c r="C19" s="130">
        <f>IF(SER_hh_fec_in!C19=0,0,11630*1000*SER_hh_fec_in!C19/SER_hh_num_in!C19)</f>
        <v>12187.902727713994</v>
      </c>
      <c r="D19" s="130">
        <f>IF(SER_hh_fec_in!D19=0,0,11630*1000*SER_hh_fec_in!D19/SER_hh_num_in!D19)</f>
        <v>12342.474471008334</v>
      </c>
      <c r="E19" s="130">
        <f>IF(SER_hh_fec_in!E19=0,0,11630*1000*SER_hh_fec_in!E19/SER_hh_num_in!E19)</f>
        <v>11955.460771333479</v>
      </c>
      <c r="F19" s="130">
        <f>IF(SER_hh_fec_in!F19=0,0,11630*1000*SER_hh_fec_in!F19/SER_hh_num_in!F19)</f>
        <v>12413.050697932724</v>
      </c>
      <c r="G19" s="130">
        <f>IF(SER_hh_fec_in!G19=0,0,11630*1000*SER_hh_fec_in!G19/SER_hh_num_in!G19)</f>
        <v>12817.318526066692</v>
      </c>
      <c r="H19" s="130">
        <f>IF(SER_hh_fec_in!H19=0,0,11630*1000*SER_hh_fec_in!H19/SER_hh_num_in!H19)</f>
        <v>13359.170515792852</v>
      </c>
      <c r="I19" s="130">
        <f>IF(SER_hh_fec_in!I19=0,0,11630*1000*SER_hh_fec_in!I19/SER_hh_num_in!I19)</f>
        <v>13051.238787269745</v>
      </c>
      <c r="J19" s="130">
        <f>IF(SER_hh_fec_in!J19=0,0,11630*1000*SER_hh_fec_in!J19/SER_hh_num_in!J19)</f>
        <v>12938.772634583329</v>
      </c>
      <c r="K19" s="130">
        <f>IF(SER_hh_fec_in!K19=0,0,11630*1000*SER_hh_fec_in!K19/SER_hh_num_in!K19)</f>
        <v>13171.966835676336</v>
      </c>
      <c r="L19" s="130">
        <f>IF(SER_hh_fec_in!L19=0,0,11630*1000*SER_hh_fec_in!L19/SER_hh_num_in!L19)</f>
        <v>13025.801565074682</v>
      </c>
      <c r="M19" s="130">
        <f>IF(SER_hh_fec_in!M19=0,0,11630*1000*SER_hh_fec_in!M19/SER_hh_num_in!M19)</f>
        <v>13024.78609989132</v>
      </c>
      <c r="N19" s="130">
        <f>IF(SER_hh_fec_in!N19=0,0,11630*1000*SER_hh_fec_in!N19/SER_hh_num_in!N19)</f>
        <v>13110.576358875345</v>
      </c>
      <c r="O19" s="130">
        <f>IF(SER_hh_fec_in!O19=0,0,11630*1000*SER_hh_fec_in!O19/SER_hh_num_in!O19)</f>
        <v>12968.300012073914</v>
      </c>
      <c r="P19" s="130">
        <f>IF(SER_hh_fec_in!P19=0,0,11630*1000*SER_hh_fec_in!P19/SER_hh_num_in!P19)</f>
        <v>12336.441782665093</v>
      </c>
      <c r="Q19" s="130">
        <f>IF(SER_hh_fec_in!Q19=0,0,11630*1000*SER_hh_fec_in!Q19/SER_hh_num_in!Q19)</f>
        <v>12459.88395374691</v>
      </c>
      <c r="R19" s="130">
        <f>IF(SER_hh_fec_in!R19=0,0,11630*1000*SER_hh_fec_in!R19/SER_hh_num_in!R19)</f>
        <v>12318.563567002435</v>
      </c>
      <c r="S19" s="130">
        <f>IF(SER_hh_fec_in!S19=0,0,11630*1000*SER_hh_fec_in!S19/SER_hh_num_in!S19)</f>
        <v>12553.015807026315</v>
      </c>
      <c r="T19" s="130">
        <f>IF(SER_hh_fec_in!T19=0,0,11630*1000*SER_hh_fec_in!T19/SER_hh_num_in!T19)</f>
        <v>12342.195976548473</v>
      </c>
      <c r="U19" s="130">
        <f>IF(SER_hh_fec_in!U19=0,0,11630*1000*SER_hh_fec_in!U19/SER_hh_num_in!U19)</f>
        <v>12387.528342245148</v>
      </c>
      <c r="V19" s="130">
        <f>IF(SER_hh_fec_in!V19=0,0,11630*1000*SER_hh_fec_in!V19/SER_hh_num_in!V19)</f>
        <v>10868.570721325692</v>
      </c>
      <c r="W19" s="130">
        <f>IF(SER_hh_fec_in!W19=0,0,11630*1000*SER_hh_fec_in!W19/SER_hh_num_in!W19)</f>
        <v>11703.479489506852</v>
      </c>
      <c r="X19" s="130">
        <f>IF(SER_hh_fec_in!X19=0,0,11630*1000*SER_hh_fec_in!X19/SER_hh_num_in!X19)</f>
        <v>11731.890195588376</v>
      </c>
      <c r="Y19" s="130">
        <f>IF(SER_hh_fec_in!Y19=0,0,11630*1000*SER_hh_fec_in!Y19/SER_hh_num_in!Y19)</f>
        <v>11986.835435524896</v>
      </c>
      <c r="DA19" s="155" t="s">
        <v>740</v>
      </c>
    </row>
    <row r="20" spans="1:105" ht="12" customHeight="1" x14ac:dyDescent="0.25">
      <c r="A20" s="131" t="s">
        <v>29</v>
      </c>
      <c r="B20" s="132"/>
      <c r="C20" s="132">
        <f>IF(SER_hh_fec_in!C20=0,0,11630*1000*SER_hh_fec_in!C20/SER_hh_num_in!C20)</f>
        <v>0</v>
      </c>
      <c r="D20" s="132">
        <f>IF(SER_hh_fec_in!D20=0,0,11630*1000*SER_hh_fec_in!D20/SER_hh_num_in!D20)</f>
        <v>0</v>
      </c>
      <c r="E20" s="132">
        <f>IF(SER_hh_fec_in!E20=0,0,11630*1000*SER_hh_fec_in!E20/SER_hh_num_in!E20)</f>
        <v>0</v>
      </c>
      <c r="F20" s="132">
        <f>IF(SER_hh_fec_in!F20=0,0,11630*1000*SER_hh_fec_in!F20/SER_hh_num_in!F20)</f>
        <v>0</v>
      </c>
      <c r="G20" s="132">
        <f>IF(SER_hh_fec_in!G20=0,0,11630*1000*SER_hh_fec_in!G20/SER_hh_num_in!G20)</f>
        <v>0</v>
      </c>
      <c r="H20" s="132">
        <f>IF(SER_hh_fec_in!H20=0,0,11630*1000*SER_hh_fec_in!H20/SER_hh_num_in!H20)</f>
        <v>0</v>
      </c>
      <c r="I20" s="132">
        <f>IF(SER_hh_fec_in!I20=0,0,11630*1000*SER_hh_fec_in!I20/SER_hh_num_in!I20)</f>
        <v>0</v>
      </c>
      <c r="J20" s="132">
        <f>IF(SER_hh_fec_in!J20=0,0,11630*1000*SER_hh_fec_in!J20/SER_hh_num_in!J20)</f>
        <v>0</v>
      </c>
      <c r="K20" s="132">
        <f>IF(SER_hh_fec_in!K20=0,0,11630*1000*SER_hh_fec_in!K20/SER_hh_num_in!K20)</f>
        <v>0</v>
      </c>
      <c r="L20" s="132">
        <f>IF(SER_hh_fec_in!L20=0,0,11630*1000*SER_hh_fec_in!L20/SER_hh_num_in!L20)</f>
        <v>0</v>
      </c>
      <c r="M20" s="132">
        <f>IF(SER_hh_fec_in!M20=0,0,11630*1000*SER_hh_fec_in!M20/SER_hh_num_in!M20)</f>
        <v>0</v>
      </c>
      <c r="N20" s="132">
        <f>IF(SER_hh_fec_in!N20=0,0,11630*1000*SER_hh_fec_in!N20/SER_hh_num_in!N20)</f>
        <v>0</v>
      </c>
      <c r="O20" s="132">
        <f>IF(SER_hh_fec_in!O20=0,0,11630*1000*SER_hh_fec_in!O20/SER_hh_num_in!O20)</f>
        <v>0</v>
      </c>
      <c r="P20" s="132">
        <f>IF(SER_hh_fec_in!P20=0,0,11630*1000*SER_hh_fec_in!P20/SER_hh_num_in!P20)</f>
        <v>0</v>
      </c>
      <c r="Q20" s="132">
        <f>IF(SER_hh_fec_in!Q20=0,0,11630*1000*SER_hh_fec_in!Q20/SER_hh_num_in!Q20)</f>
        <v>0</v>
      </c>
      <c r="R20" s="132">
        <f>IF(SER_hh_fec_in!R20=0,0,11630*1000*SER_hh_fec_in!R20/SER_hh_num_in!R20)</f>
        <v>0</v>
      </c>
      <c r="S20" s="132">
        <f>IF(SER_hh_fec_in!S20=0,0,11630*1000*SER_hh_fec_in!S20/SER_hh_num_in!S20)</f>
        <v>0</v>
      </c>
      <c r="T20" s="132">
        <f>IF(SER_hh_fec_in!T20=0,0,11630*1000*SER_hh_fec_in!T20/SER_hh_num_in!T20)</f>
        <v>0</v>
      </c>
      <c r="U20" s="132">
        <f>IF(SER_hh_fec_in!U20=0,0,11630*1000*SER_hh_fec_in!U20/SER_hh_num_in!U20)</f>
        <v>0</v>
      </c>
      <c r="V20" s="132">
        <f>IF(SER_hh_fec_in!V20=0,0,11630*1000*SER_hh_fec_in!V20/SER_hh_num_in!V20)</f>
        <v>0</v>
      </c>
      <c r="W20" s="132">
        <f>IF(SER_hh_fec_in!W20=0,0,11630*1000*SER_hh_fec_in!W20/SER_hh_num_in!W20)</f>
        <v>0</v>
      </c>
      <c r="X20" s="132">
        <f>IF(SER_hh_fec_in!X20=0,0,11630*1000*SER_hh_fec_in!X20/SER_hh_num_in!X20)</f>
        <v>0</v>
      </c>
      <c r="Y20" s="132">
        <f>IF(SER_hh_fec_in!Y20=0,0,11630*1000*SER_hh_fec_in!Y20/SER_hh_num_in!Y20)</f>
        <v>0</v>
      </c>
      <c r="DA20" s="156" t="s">
        <v>741</v>
      </c>
    </row>
    <row r="21" spans="1:105" s="2" customFormat="1" ht="12" customHeight="1" x14ac:dyDescent="0.25">
      <c r="A21" s="131" t="s">
        <v>52</v>
      </c>
      <c r="B21" s="132"/>
      <c r="C21" s="132">
        <f>IF(SER_hh_fec_in!C21=0,0,11630*1000*SER_hh_fec_in!C21/SER_hh_num_in!C21)</f>
        <v>0</v>
      </c>
      <c r="D21" s="132">
        <f>IF(SER_hh_fec_in!D21=0,0,11630*1000*SER_hh_fec_in!D21/SER_hh_num_in!D21)</f>
        <v>0</v>
      </c>
      <c r="E21" s="132">
        <f>IF(SER_hh_fec_in!E21=0,0,11630*1000*SER_hh_fec_in!E21/SER_hh_num_in!E21)</f>
        <v>0</v>
      </c>
      <c r="F21" s="132">
        <f>IF(SER_hh_fec_in!F21=0,0,11630*1000*SER_hh_fec_in!F21/SER_hh_num_in!F21)</f>
        <v>0</v>
      </c>
      <c r="G21" s="132">
        <f>IF(SER_hh_fec_in!G21=0,0,11630*1000*SER_hh_fec_in!G21/SER_hh_num_in!G21)</f>
        <v>0</v>
      </c>
      <c r="H21" s="132">
        <f>IF(SER_hh_fec_in!H21=0,0,11630*1000*SER_hh_fec_in!H21/SER_hh_num_in!H21)</f>
        <v>0</v>
      </c>
      <c r="I21" s="132">
        <f>IF(SER_hh_fec_in!I21=0,0,11630*1000*SER_hh_fec_in!I21/SER_hh_num_in!I21)</f>
        <v>0</v>
      </c>
      <c r="J21" s="132">
        <f>IF(SER_hh_fec_in!J21=0,0,11630*1000*SER_hh_fec_in!J21/SER_hh_num_in!J21)</f>
        <v>0</v>
      </c>
      <c r="K21" s="132">
        <f>IF(SER_hh_fec_in!K21=0,0,11630*1000*SER_hh_fec_in!K21/SER_hh_num_in!K21)</f>
        <v>0</v>
      </c>
      <c r="L21" s="132">
        <f>IF(SER_hh_fec_in!L21=0,0,11630*1000*SER_hh_fec_in!L21/SER_hh_num_in!L21)</f>
        <v>0</v>
      </c>
      <c r="M21" s="132">
        <f>IF(SER_hh_fec_in!M21=0,0,11630*1000*SER_hh_fec_in!M21/SER_hh_num_in!M21)</f>
        <v>0</v>
      </c>
      <c r="N21" s="132">
        <f>IF(SER_hh_fec_in!N21=0,0,11630*1000*SER_hh_fec_in!N21/SER_hh_num_in!N21)</f>
        <v>0</v>
      </c>
      <c r="O21" s="132">
        <f>IF(SER_hh_fec_in!O21=0,0,11630*1000*SER_hh_fec_in!O21/SER_hh_num_in!O21)</f>
        <v>0</v>
      </c>
      <c r="P21" s="132">
        <f>IF(SER_hh_fec_in!P21=0,0,11630*1000*SER_hh_fec_in!P21/SER_hh_num_in!P21)</f>
        <v>0</v>
      </c>
      <c r="Q21" s="132">
        <f>IF(SER_hh_fec_in!Q21=0,0,11630*1000*SER_hh_fec_in!Q21/SER_hh_num_in!Q21)</f>
        <v>0</v>
      </c>
      <c r="R21" s="132">
        <f>IF(SER_hh_fec_in!R21=0,0,11630*1000*SER_hh_fec_in!R21/SER_hh_num_in!R21)</f>
        <v>0</v>
      </c>
      <c r="S21" s="132">
        <f>IF(SER_hh_fec_in!S21=0,0,11630*1000*SER_hh_fec_in!S21/SER_hh_num_in!S21)</f>
        <v>0</v>
      </c>
      <c r="T21" s="132">
        <f>IF(SER_hh_fec_in!T21=0,0,11630*1000*SER_hh_fec_in!T21/SER_hh_num_in!T21)</f>
        <v>0</v>
      </c>
      <c r="U21" s="132">
        <f>IF(SER_hh_fec_in!U21=0,0,11630*1000*SER_hh_fec_in!U21/SER_hh_num_in!U21)</f>
        <v>0</v>
      </c>
      <c r="V21" s="132">
        <f>IF(SER_hh_fec_in!V21=0,0,11630*1000*SER_hh_fec_in!V21/SER_hh_num_in!V21)</f>
        <v>0</v>
      </c>
      <c r="W21" s="132">
        <f>IF(SER_hh_fec_in!W21=0,0,11630*1000*SER_hh_fec_in!W21/SER_hh_num_in!W21)</f>
        <v>0</v>
      </c>
      <c r="X21" s="132">
        <f>IF(SER_hh_fec_in!X21=0,0,11630*1000*SER_hh_fec_in!X21/SER_hh_num_in!X21)</f>
        <v>0</v>
      </c>
      <c r="Y21" s="132">
        <f>IF(SER_hh_fec_in!Y21=0,0,11630*1000*SER_hh_fec_in!Y21/SER_hh_num_in!Y21)</f>
        <v>0</v>
      </c>
      <c r="DA21" s="156" t="s">
        <v>742</v>
      </c>
    </row>
    <row r="22" spans="1:105" ht="12" customHeight="1" x14ac:dyDescent="0.25">
      <c r="A22" s="131" t="s">
        <v>161</v>
      </c>
      <c r="B22" s="132"/>
      <c r="C22" s="132">
        <f>IF(SER_hh_fec_in!C22=0,0,11630*1000*SER_hh_fec_in!C22/SER_hh_num_in!C22)</f>
        <v>0</v>
      </c>
      <c r="D22" s="132">
        <f>IF(SER_hh_fec_in!D22=0,0,11630*1000*SER_hh_fec_in!D22/SER_hh_num_in!D22)</f>
        <v>0</v>
      </c>
      <c r="E22" s="132">
        <f>IF(SER_hh_fec_in!E22=0,0,11630*1000*SER_hh_fec_in!E22/SER_hh_num_in!E22)</f>
        <v>0</v>
      </c>
      <c r="F22" s="132">
        <f>IF(SER_hh_fec_in!F22=0,0,11630*1000*SER_hh_fec_in!F22/SER_hh_num_in!F22)</f>
        <v>0</v>
      </c>
      <c r="G22" s="132">
        <f>IF(SER_hh_fec_in!G22=0,0,11630*1000*SER_hh_fec_in!G22/SER_hh_num_in!G22)</f>
        <v>0</v>
      </c>
      <c r="H22" s="132">
        <f>IF(SER_hh_fec_in!H22=0,0,11630*1000*SER_hh_fec_in!H22/SER_hh_num_in!H22)</f>
        <v>0</v>
      </c>
      <c r="I22" s="132">
        <f>IF(SER_hh_fec_in!I22=0,0,11630*1000*SER_hh_fec_in!I22/SER_hh_num_in!I22)</f>
        <v>0</v>
      </c>
      <c r="J22" s="132">
        <f>IF(SER_hh_fec_in!J22=0,0,11630*1000*SER_hh_fec_in!J22/SER_hh_num_in!J22)</f>
        <v>0</v>
      </c>
      <c r="K22" s="132">
        <f>IF(SER_hh_fec_in!K22=0,0,11630*1000*SER_hh_fec_in!K22/SER_hh_num_in!K22)</f>
        <v>16324.751727964576</v>
      </c>
      <c r="L22" s="132">
        <f>IF(SER_hh_fec_in!L22=0,0,11630*1000*SER_hh_fec_in!L22/SER_hh_num_in!L22)</f>
        <v>17372.396197246435</v>
      </c>
      <c r="M22" s="132">
        <f>IF(SER_hh_fec_in!M22=0,0,11630*1000*SER_hh_fec_in!M22/SER_hh_num_in!M22)</f>
        <v>17234.963392791436</v>
      </c>
      <c r="N22" s="132">
        <f>IF(SER_hh_fec_in!N22=0,0,11630*1000*SER_hh_fec_in!N22/SER_hh_num_in!N22)</f>
        <v>15372.623112916048</v>
      </c>
      <c r="O22" s="132">
        <f>IF(SER_hh_fec_in!O22=0,0,11630*1000*SER_hh_fec_in!O22/SER_hh_num_in!O22)</f>
        <v>16474.904118711751</v>
      </c>
      <c r="P22" s="132">
        <f>IF(SER_hh_fec_in!P22=0,0,11630*1000*SER_hh_fec_in!P22/SER_hh_num_in!P22)</f>
        <v>0</v>
      </c>
      <c r="Q22" s="132">
        <f>IF(SER_hh_fec_in!Q22=0,0,11630*1000*SER_hh_fec_in!Q22/SER_hh_num_in!Q22)</f>
        <v>14906.516444060979</v>
      </c>
      <c r="R22" s="132">
        <f>IF(SER_hh_fec_in!R22=0,0,11630*1000*SER_hh_fec_in!R22/SER_hh_num_in!R22)</f>
        <v>0</v>
      </c>
      <c r="S22" s="132">
        <f>IF(SER_hh_fec_in!S22=0,0,11630*1000*SER_hh_fec_in!S22/SER_hh_num_in!S22)</f>
        <v>15879.333224472957</v>
      </c>
      <c r="T22" s="132">
        <f>IF(SER_hh_fec_in!T22=0,0,11630*1000*SER_hh_fec_in!T22/SER_hh_num_in!T22)</f>
        <v>11429.240513256906</v>
      </c>
      <c r="U22" s="132">
        <f>IF(SER_hh_fec_in!U22=0,0,11630*1000*SER_hh_fec_in!U22/SER_hh_num_in!U22)</f>
        <v>13038.759422336789</v>
      </c>
      <c r="V22" s="132">
        <f>IF(SER_hh_fec_in!V22=0,0,11630*1000*SER_hh_fec_in!V22/SER_hh_num_in!V22)</f>
        <v>13272.367125918807</v>
      </c>
      <c r="W22" s="132">
        <f>IF(SER_hh_fec_in!W22=0,0,11630*1000*SER_hh_fec_in!W22/SER_hh_num_in!W22)</f>
        <v>14849.05096233624</v>
      </c>
      <c r="X22" s="132">
        <f>IF(SER_hh_fec_in!X22=0,0,11630*1000*SER_hh_fec_in!X22/SER_hh_num_in!X22)</f>
        <v>0</v>
      </c>
      <c r="Y22" s="132">
        <f>IF(SER_hh_fec_in!Y22=0,0,11630*1000*SER_hh_fec_in!Y22/SER_hh_num_in!Y22)</f>
        <v>0</v>
      </c>
      <c r="DA22" s="156" t="s">
        <v>743</v>
      </c>
    </row>
    <row r="23" spans="1:105" ht="12" customHeight="1" x14ac:dyDescent="0.25">
      <c r="A23" s="131" t="s">
        <v>149</v>
      </c>
      <c r="B23" s="132"/>
      <c r="C23" s="132">
        <f>IF(SER_hh_fec_in!C23=0,0,11630*1000*SER_hh_fec_in!C23/SER_hh_num_in!C23)</f>
        <v>14951.214460622379</v>
      </c>
      <c r="D23" s="132">
        <f>IF(SER_hh_fec_in!D23=0,0,11630*1000*SER_hh_fec_in!D23/SER_hh_num_in!D23)</f>
        <v>15042.335802576943</v>
      </c>
      <c r="E23" s="132">
        <f>IF(SER_hh_fec_in!E23=0,0,11630*1000*SER_hh_fec_in!E23/SER_hh_num_in!E23)</f>
        <v>14329.948893328336</v>
      </c>
      <c r="F23" s="132">
        <f>IF(SER_hh_fec_in!F23=0,0,11630*1000*SER_hh_fec_in!F23/SER_hh_num_in!F23)</f>
        <v>15869.029065192537</v>
      </c>
      <c r="G23" s="132">
        <f>IF(SER_hh_fec_in!G23=0,0,11630*1000*SER_hh_fec_in!G23/SER_hh_num_in!G23)</f>
        <v>14356.693207115641</v>
      </c>
      <c r="H23" s="132">
        <f>IF(SER_hh_fec_in!H23=0,0,11630*1000*SER_hh_fec_in!H23/SER_hh_num_in!H23)</f>
        <v>13986.693391826171</v>
      </c>
      <c r="I23" s="132">
        <f>IF(SER_hh_fec_in!I23=0,0,11630*1000*SER_hh_fec_in!I23/SER_hh_num_in!I23)</f>
        <v>16774.681661294959</v>
      </c>
      <c r="J23" s="132">
        <f>IF(SER_hh_fec_in!J23=0,0,11630*1000*SER_hh_fec_in!J23/SER_hh_num_in!J23)</f>
        <v>16599.702268747198</v>
      </c>
      <c r="K23" s="132">
        <f>IF(SER_hh_fec_in!K23=0,0,11630*1000*SER_hh_fec_in!K23/SER_hh_num_in!K23)</f>
        <v>15616.641586796992</v>
      </c>
      <c r="L23" s="132">
        <f>IF(SER_hh_fec_in!L23=0,0,11630*1000*SER_hh_fec_in!L23/SER_hh_num_in!L23)</f>
        <v>15467.066513398509</v>
      </c>
      <c r="M23" s="132">
        <f>IF(SER_hh_fec_in!M23=0,0,11630*1000*SER_hh_fec_in!M23/SER_hh_num_in!M23)</f>
        <v>15473.889548969593</v>
      </c>
      <c r="N23" s="132">
        <f>IF(SER_hh_fec_in!N23=0,0,11630*1000*SER_hh_fec_in!N23/SER_hh_num_in!N23)</f>
        <v>15084.500966995633</v>
      </c>
      <c r="O23" s="132">
        <f>IF(SER_hh_fec_in!O23=0,0,11630*1000*SER_hh_fec_in!O23/SER_hh_num_in!O23)</f>
        <v>14785.924704472349</v>
      </c>
      <c r="P23" s="132">
        <f>IF(SER_hh_fec_in!P23=0,0,11630*1000*SER_hh_fec_in!P23/SER_hh_num_in!P23)</f>
        <v>13276.919516627053</v>
      </c>
      <c r="Q23" s="132">
        <f>IF(SER_hh_fec_in!Q23=0,0,11630*1000*SER_hh_fec_in!Q23/SER_hh_num_in!Q23)</f>
        <v>13450.861871848017</v>
      </c>
      <c r="R23" s="132">
        <f>IF(SER_hh_fec_in!R23=0,0,11630*1000*SER_hh_fec_in!R23/SER_hh_num_in!R23)</f>
        <v>13600.335925012832</v>
      </c>
      <c r="S23" s="132">
        <f>IF(SER_hh_fec_in!S23=0,0,11630*1000*SER_hh_fec_in!S23/SER_hh_num_in!S23)</f>
        <v>13100.673651990684</v>
      </c>
      <c r="T23" s="132">
        <f>IF(SER_hh_fec_in!T23=0,0,11630*1000*SER_hh_fec_in!T23/SER_hh_num_in!T23)</f>
        <v>12959.876493277829</v>
      </c>
      <c r="U23" s="132">
        <f>IF(SER_hh_fec_in!U23=0,0,11630*1000*SER_hh_fec_in!U23/SER_hh_num_in!U23)</f>
        <v>12653.520571716313</v>
      </c>
      <c r="V23" s="132">
        <f>IF(SER_hh_fec_in!V23=0,0,11630*1000*SER_hh_fec_in!V23/SER_hh_num_in!V23)</f>
        <v>12109.95412566802</v>
      </c>
      <c r="W23" s="132">
        <f>IF(SER_hh_fec_in!W23=0,0,11630*1000*SER_hh_fec_in!W23/SER_hh_num_in!W23)</f>
        <v>12577.214715551489</v>
      </c>
      <c r="X23" s="132">
        <f>IF(SER_hh_fec_in!X23=0,0,11630*1000*SER_hh_fec_in!X23/SER_hh_num_in!X23)</f>
        <v>12732.137066706598</v>
      </c>
      <c r="Y23" s="132">
        <f>IF(SER_hh_fec_in!Y23=0,0,11630*1000*SER_hh_fec_in!Y23/SER_hh_num_in!Y23)</f>
        <v>12922.418853865522</v>
      </c>
      <c r="DA23" s="156" t="s">
        <v>744</v>
      </c>
    </row>
    <row r="24" spans="1:105" ht="12" customHeight="1" x14ac:dyDescent="0.25">
      <c r="A24" s="131" t="s">
        <v>128</v>
      </c>
      <c r="B24" s="132"/>
      <c r="C24" s="132">
        <f>IF(SER_hh_fec_in!C24=0,0,11630*1000*SER_hh_fec_in!C24/SER_hh_num_in!C24)</f>
        <v>14866.319049326736</v>
      </c>
      <c r="D24" s="132">
        <f>IF(SER_hh_fec_in!D24=0,0,11630*1000*SER_hh_fec_in!D24/SER_hh_num_in!D24)</f>
        <v>14914.994201868391</v>
      </c>
      <c r="E24" s="132">
        <f>IF(SER_hh_fec_in!E24=0,0,11630*1000*SER_hh_fec_in!E24/SER_hh_num_in!E24)</f>
        <v>15131.758960615743</v>
      </c>
      <c r="F24" s="132">
        <f>IF(SER_hh_fec_in!F24=0,0,11630*1000*SER_hh_fec_in!F24/SER_hh_num_in!F24)</f>
        <v>15157.98983602209</v>
      </c>
      <c r="G24" s="132">
        <f>IF(SER_hh_fec_in!G24=0,0,11630*1000*SER_hh_fec_in!G24/SER_hh_num_in!G24)</f>
        <v>15309.696644052747</v>
      </c>
      <c r="H24" s="132">
        <f>IF(SER_hh_fec_in!H24=0,0,11630*1000*SER_hh_fec_in!H24/SER_hh_num_in!H24)</f>
        <v>15861.138610649083</v>
      </c>
      <c r="I24" s="132">
        <f>IF(SER_hh_fec_in!I24=0,0,11630*1000*SER_hh_fec_in!I24/SER_hh_num_in!I24)</f>
        <v>14963.149030526974</v>
      </c>
      <c r="J24" s="132">
        <f>IF(SER_hh_fec_in!J24=0,0,11630*1000*SER_hh_fec_in!J24/SER_hh_num_in!J24)</f>
        <v>14998.514586566273</v>
      </c>
      <c r="K24" s="132">
        <f>IF(SER_hh_fec_in!K24=0,0,11630*1000*SER_hh_fec_in!K24/SER_hh_num_in!K24)</f>
        <v>14820.390048025109</v>
      </c>
      <c r="L24" s="132">
        <f>IF(SER_hh_fec_in!L24=0,0,11630*1000*SER_hh_fec_in!L24/SER_hh_num_in!L24)</f>
        <v>14790.911426951143</v>
      </c>
      <c r="M24" s="132">
        <f>IF(SER_hh_fec_in!M24=0,0,11630*1000*SER_hh_fec_in!M24/SER_hh_num_in!M24)</f>
        <v>14940.788504416969</v>
      </c>
      <c r="N24" s="132">
        <f>IF(SER_hh_fec_in!N24=0,0,11630*1000*SER_hh_fec_in!N24/SER_hh_num_in!N24)</f>
        <v>14816.597714119265</v>
      </c>
      <c r="O24" s="132">
        <f>IF(SER_hh_fec_in!O24=0,0,11630*1000*SER_hh_fec_in!O24/SER_hh_num_in!O24)</f>
        <v>14980.674827169498</v>
      </c>
      <c r="P24" s="132">
        <f>IF(SER_hh_fec_in!P24=0,0,11630*1000*SER_hh_fec_in!P24/SER_hh_num_in!P24)</f>
        <v>14999.820574320094</v>
      </c>
      <c r="Q24" s="132">
        <f>IF(SER_hh_fec_in!Q24=0,0,11630*1000*SER_hh_fec_in!Q24/SER_hh_num_in!Q24)</f>
        <v>15280.061454944665</v>
      </c>
      <c r="R24" s="132">
        <f>IF(SER_hh_fec_in!R24=0,0,11630*1000*SER_hh_fec_in!R24/SER_hh_num_in!R24)</f>
        <v>15006.654250761292</v>
      </c>
      <c r="S24" s="132">
        <f>IF(SER_hh_fec_in!S24=0,0,11630*1000*SER_hh_fec_in!S24/SER_hh_num_in!S24)</f>
        <v>0</v>
      </c>
      <c r="T24" s="132">
        <f>IF(SER_hh_fec_in!T24=0,0,11630*1000*SER_hh_fec_in!T24/SER_hh_num_in!T24)</f>
        <v>14178.603696677921</v>
      </c>
      <c r="U24" s="132">
        <f>IF(SER_hh_fec_in!U24=0,0,11630*1000*SER_hh_fec_in!U24/SER_hh_num_in!U24)</f>
        <v>13346.845140321411</v>
      </c>
      <c r="V24" s="132">
        <f>IF(SER_hh_fec_in!V24=0,0,11630*1000*SER_hh_fec_in!V24/SER_hh_num_in!V24)</f>
        <v>14013.613660743677</v>
      </c>
      <c r="W24" s="132">
        <f>IF(SER_hh_fec_in!W24=0,0,11630*1000*SER_hh_fec_in!W24/SER_hh_num_in!W24)</f>
        <v>13782.381986255106</v>
      </c>
      <c r="X24" s="132">
        <f>IF(SER_hh_fec_in!X24=0,0,11630*1000*SER_hh_fec_in!X24/SER_hh_num_in!X24)</f>
        <v>13606.093633616225</v>
      </c>
      <c r="Y24" s="132">
        <f>IF(SER_hh_fec_in!Y24=0,0,11630*1000*SER_hh_fec_in!Y24/SER_hh_num_in!Y24)</f>
        <v>13807.139875718365</v>
      </c>
      <c r="DA24" s="156" t="s">
        <v>745</v>
      </c>
    </row>
    <row r="25" spans="1:105" ht="12" customHeight="1" x14ac:dyDescent="0.25">
      <c r="A25" s="131" t="s">
        <v>162</v>
      </c>
      <c r="B25" s="132"/>
      <c r="C25" s="132">
        <f>IF(SER_hh_fec_in!C25=0,0,11630*1000*SER_hh_fec_in!C25/SER_hh_num_in!C25)</f>
        <v>11031.352130507717</v>
      </c>
      <c r="D25" s="132">
        <f>IF(SER_hh_fec_in!D25=0,0,11630*1000*SER_hh_fec_in!D25/SER_hh_num_in!D25)</f>
        <v>10836.225875256985</v>
      </c>
      <c r="E25" s="132">
        <f>IF(SER_hh_fec_in!E25=0,0,11630*1000*SER_hh_fec_in!E25/SER_hh_num_in!E25)</f>
        <v>10815.245067694952</v>
      </c>
      <c r="F25" s="132">
        <f>IF(SER_hh_fec_in!F25=0,0,11630*1000*SER_hh_fec_in!F25/SER_hh_num_in!F25)</f>
        <v>11247.849273930909</v>
      </c>
      <c r="G25" s="132">
        <f>IF(SER_hh_fec_in!G25=0,0,11630*1000*SER_hh_fec_in!G25/SER_hh_num_in!G25)</f>
        <v>11712.899631823761</v>
      </c>
      <c r="H25" s="132">
        <f>IF(SER_hh_fec_in!H25=0,0,11630*1000*SER_hh_fec_in!H25/SER_hh_num_in!H25)</f>
        <v>12339.904374718004</v>
      </c>
      <c r="I25" s="132">
        <f>IF(SER_hh_fec_in!I25=0,0,11630*1000*SER_hh_fec_in!I25/SER_hh_num_in!I25)</f>
        <v>11061.834726775192</v>
      </c>
      <c r="J25" s="132">
        <f>IF(SER_hh_fec_in!J25=0,0,11630*1000*SER_hh_fec_in!J25/SER_hh_num_in!J25)</f>
        <v>11106.473679208981</v>
      </c>
      <c r="K25" s="132">
        <f>IF(SER_hh_fec_in!K25=0,0,11630*1000*SER_hh_fec_in!K25/SER_hh_num_in!K25)</f>
        <v>12027.16994406632</v>
      </c>
      <c r="L25" s="132">
        <f>IF(SER_hh_fec_in!L25=0,0,11630*1000*SER_hh_fec_in!L25/SER_hh_num_in!L25)</f>
        <v>12358.24432893013</v>
      </c>
      <c r="M25" s="132">
        <f>IF(SER_hh_fec_in!M25=0,0,11630*1000*SER_hh_fec_in!M25/SER_hh_num_in!M25)</f>
        <v>12061.076225351509</v>
      </c>
      <c r="N25" s="132">
        <f>IF(SER_hh_fec_in!N25=0,0,11630*1000*SER_hh_fec_in!N25/SER_hh_num_in!N25)</f>
        <v>12093.544726327335</v>
      </c>
      <c r="O25" s="132">
        <f>IF(SER_hh_fec_in!O25=0,0,11630*1000*SER_hh_fec_in!O25/SER_hh_num_in!O25)</f>
        <v>12279.839207768886</v>
      </c>
      <c r="P25" s="132">
        <f>IF(SER_hh_fec_in!P25=0,0,11630*1000*SER_hh_fec_in!P25/SER_hh_num_in!P25)</f>
        <v>11864.304105196921</v>
      </c>
      <c r="Q25" s="132">
        <f>IF(SER_hh_fec_in!Q25=0,0,11630*1000*SER_hh_fec_in!Q25/SER_hh_num_in!Q25)</f>
        <v>12259.61072261148</v>
      </c>
      <c r="R25" s="132">
        <f>IF(SER_hh_fec_in!R25=0,0,11630*1000*SER_hh_fec_in!R25/SER_hh_num_in!R25)</f>
        <v>12173.540952593103</v>
      </c>
      <c r="S25" s="132">
        <f>IF(SER_hh_fec_in!S25=0,0,11630*1000*SER_hh_fec_in!S25/SER_hh_num_in!S25)</f>
        <v>12403.905140875022</v>
      </c>
      <c r="T25" s="132">
        <f>IF(SER_hh_fec_in!T25=0,0,11630*1000*SER_hh_fec_in!T25/SER_hh_num_in!T25)</f>
        <v>12127.496358550296</v>
      </c>
      <c r="U25" s="132">
        <f>IF(SER_hh_fec_in!U25=0,0,11630*1000*SER_hh_fec_in!U25/SER_hh_num_in!U25)</f>
        <v>11985.085010711147</v>
      </c>
      <c r="V25" s="132">
        <f>IF(SER_hh_fec_in!V25=0,0,11630*1000*SER_hh_fec_in!V25/SER_hh_num_in!V25)</f>
        <v>10426.063787591411</v>
      </c>
      <c r="W25" s="132">
        <f>IF(SER_hh_fec_in!W25=0,0,11630*1000*SER_hh_fec_in!W25/SER_hh_num_in!W25)</f>
        <v>11684.411838635886</v>
      </c>
      <c r="X25" s="132">
        <f>IF(SER_hh_fec_in!X25=0,0,11630*1000*SER_hh_fec_in!X25/SER_hh_num_in!X25)</f>
        <v>11751.356210549666</v>
      </c>
      <c r="Y25" s="132">
        <f>IF(SER_hh_fec_in!Y25=0,0,11630*1000*SER_hh_fec_in!Y25/SER_hh_num_in!Y25)</f>
        <v>11923.034279172804</v>
      </c>
      <c r="DA25" s="156" t="s">
        <v>746</v>
      </c>
    </row>
    <row r="26" spans="1:105" ht="12" customHeight="1" x14ac:dyDescent="0.25">
      <c r="A26" s="131" t="s">
        <v>24</v>
      </c>
      <c r="B26" s="65"/>
      <c r="C26" s="65">
        <f>IF(SER_hh_fec_in!C26=0,0,11630*1000*SER_hh_fec_in!C26/SER_hh_num_in!C26)</f>
        <v>13173.345813117907</v>
      </c>
      <c r="D26" s="65">
        <f>IF(SER_hh_fec_in!D26=0,0,11630*1000*SER_hh_fec_in!D26/SER_hh_num_in!D26)</f>
        <v>13350.090302232196</v>
      </c>
      <c r="E26" s="65">
        <f>IF(SER_hh_fec_in!E26=0,0,11630*1000*SER_hh_fec_in!E26/SER_hh_num_in!E26)</f>
        <v>13249.338765474638</v>
      </c>
      <c r="F26" s="65">
        <f>IF(SER_hh_fec_in!F26=0,0,11630*1000*SER_hh_fec_in!F26/SER_hh_num_in!F26)</f>
        <v>13394.85103339094</v>
      </c>
      <c r="G26" s="65">
        <f>IF(SER_hh_fec_in!G26=0,0,11630*1000*SER_hh_fec_in!G26/SER_hh_num_in!G26)</f>
        <v>13817.708916352751</v>
      </c>
      <c r="H26" s="65">
        <f>IF(SER_hh_fec_in!H26=0,0,11630*1000*SER_hh_fec_in!H26/SER_hh_num_in!H26)</f>
        <v>14063.473532077402</v>
      </c>
      <c r="I26" s="65">
        <f>IF(SER_hh_fec_in!I26=0,0,11630*1000*SER_hh_fec_in!I26/SER_hh_num_in!I26)</f>
        <v>14679.891561603497</v>
      </c>
      <c r="J26" s="65">
        <f>IF(SER_hh_fec_in!J26=0,0,11630*1000*SER_hh_fec_in!J26/SER_hh_num_in!J26)</f>
        <v>14680.023298574999</v>
      </c>
      <c r="K26" s="65">
        <f>IF(SER_hh_fec_in!K26=0,0,11630*1000*SER_hh_fec_in!K26/SER_hh_num_in!K26)</f>
        <v>14081.41440469468</v>
      </c>
      <c r="L26" s="65">
        <f>IF(SER_hh_fec_in!L26=0,0,11630*1000*SER_hh_fec_in!L26/SER_hh_num_in!L26)</f>
        <v>14005.654983911294</v>
      </c>
      <c r="M26" s="65">
        <f>IF(SER_hh_fec_in!M26=0,0,11630*1000*SER_hh_fec_in!M26/SER_hh_num_in!M26)</f>
        <v>14546.671263536373</v>
      </c>
      <c r="N26" s="65">
        <f>IF(SER_hh_fec_in!N26=0,0,11630*1000*SER_hh_fec_in!N26/SER_hh_num_in!N26)</f>
        <v>14371.900614762331</v>
      </c>
      <c r="O26" s="65">
        <f>IF(SER_hh_fec_in!O26=0,0,11630*1000*SER_hh_fec_in!O26/SER_hh_num_in!O26)</f>
        <v>13903.923410531213</v>
      </c>
      <c r="P26" s="65">
        <f>IF(SER_hh_fec_in!P26=0,0,11630*1000*SER_hh_fec_in!P26/SER_hh_num_in!P26)</f>
        <v>13951.447349231041</v>
      </c>
      <c r="Q26" s="65">
        <f>IF(SER_hh_fec_in!Q26=0,0,11630*1000*SER_hh_fec_in!Q26/SER_hh_num_in!Q26)</f>
        <v>12617.744792933338</v>
      </c>
      <c r="R26" s="65">
        <f>IF(SER_hh_fec_in!R26=0,0,11630*1000*SER_hh_fec_in!R26/SER_hh_num_in!R26)</f>
        <v>12070.585152688323</v>
      </c>
      <c r="S26" s="65">
        <f>IF(SER_hh_fec_in!S26=0,0,11630*1000*SER_hh_fec_in!S26/SER_hh_num_in!S26)</f>
        <v>12607.168260134908</v>
      </c>
      <c r="T26" s="65">
        <f>IF(SER_hh_fec_in!T26=0,0,11630*1000*SER_hh_fec_in!T26/SER_hh_num_in!T26)</f>
        <v>12294.854720066054</v>
      </c>
      <c r="U26" s="65">
        <f>IF(SER_hh_fec_in!U26=0,0,11630*1000*SER_hh_fec_in!U26/SER_hh_num_in!U26)</f>
        <v>12550.705422242258</v>
      </c>
      <c r="V26" s="65">
        <f>IF(SER_hh_fec_in!V26=0,0,11630*1000*SER_hh_fec_in!V26/SER_hh_num_in!V26)</f>
        <v>10561.653460848775</v>
      </c>
      <c r="W26" s="65">
        <f>IF(SER_hh_fec_in!W26=0,0,11630*1000*SER_hh_fec_in!W26/SER_hh_num_in!W26)</f>
        <v>11324.371912725486</v>
      </c>
      <c r="X26" s="65">
        <f>IF(SER_hh_fec_in!X26=0,0,11630*1000*SER_hh_fec_in!X26/SER_hh_num_in!X26)</f>
        <v>11347.195353692996</v>
      </c>
      <c r="Y26" s="65">
        <f>IF(SER_hh_fec_in!Y26=0,0,11630*1000*SER_hh_fec_in!Y26/SER_hh_num_in!Y26)</f>
        <v>11786.328706507582</v>
      </c>
      <c r="DA26" s="109" t="s">
        <v>747</v>
      </c>
    </row>
    <row r="27" spans="1:105" ht="12" customHeight="1" x14ac:dyDescent="0.25">
      <c r="A27" s="144" t="s">
        <v>86</v>
      </c>
      <c r="B27" s="147"/>
      <c r="C27" s="145">
        <f>IF(SER_hh_fec_in!C27=0,0,11630*1000*SER_hh_fec_in!C27/SER_hh_num_in!C19)</f>
        <v>0</v>
      </c>
      <c r="D27" s="145">
        <f>IF(SER_hh_fec_in!D27=0,0,11630*1000*SER_hh_fec_in!D27/SER_hh_num_in!D19)</f>
        <v>0</v>
      </c>
      <c r="E27" s="145">
        <f>IF(SER_hh_fec_in!E27=0,0,11630*1000*SER_hh_fec_in!E27/SER_hh_num_in!E19)</f>
        <v>0</v>
      </c>
      <c r="F27" s="145">
        <f>IF(SER_hh_fec_in!F27=0,0,11630*1000*SER_hh_fec_in!F27/SER_hh_num_in!F19)</f>
        <v>0</v>
      </c>
      <c r="G27" s="145">
        <f>IF(SER_hh_fec_in!G27=0,0,11630*1000*SER_hh_fec_in!G27/SER_hh_num_in!G19)</f>
        <v>0</v>
      </c>
      <c r="H27" s="145">
        <f>IF(SER_hh_fec_in!H27=0,0,11630*1000*SER_hh_fec_in!H27/SER_hh_num_in!H19)</f>
        <v>0</v>
      </c>
      <c r="I27" s="145">
        <f>IF(SER_hh_fec_in!I27=0,0,11630*1000*SER_hh_fec_in!I27/SER_hh_num_in!I19)</f>
        <v>0</v>
      </c>
      <c r="J27" s="145">
        <f>IF(SER_hh_fec_in!J27=0,0,11630*1000*SER_hh_fec_in!J27/SER_hh_num_in!J19)</f>
        <v>0</v>
      </c>
      <c r="K27" s="145">
        <f>IF(SER_hh_fec_in!K27=0,0,11630*1000*SER_hh_fec_in!K27/SER_hh_num_in!K19)</f>
        <v>0</v>
      </c>
      <c r="L27" s="145">
        <f>IF(SER_hh_fec_in!L27=0,0,11630*1000*SER_hh_fec_in!L27/SER_hh_num_in!L19)</f>
        <v>0</v>
      </c>
      <c r="M27" s="145">
        <f>IF(SER_hh_fec_in!M27=0,0,11630*1000*SER_hh_fec_in!M27/SER_hh_num_in!M19)</f>
        <v>0</v>
      </c>
      <c r="N27" s="145">
        <f>IF(SER_hh_fec_in!N27=0,0,11630*1000*SER_hh_fec_in!N27/SER_hh_num_in!N19)</f>
        <v>0</v>
      </c>
      <c r="O27" s="145">
        <f>IF(SER_hh_fec_in!O27=0,0,11630*1000*SER_hh_fec_in!O27/SER_hh_num_in!O19)</f>
        <v>0</v>
      </c>
      <c r="P27" s="145">
        <f>IF(SER_hh_fec_in!P27=0,0,11630*1000*SER_hh_fec_in!P27/SER_hh_num_in!P19)</f>
        <v>0</v>
      </c>
      <c r="Q27" s="145">
        <f>IF(SER_hh_fec_in!Q27=0,0,11630*1000*SER_hh_fec_in!Q27/SER_hh_num_in!Q19)</f>
        <v>0</v>
      </c>
      <c r="R27" s="145">
        <f>IF(SER_hh_fec_in!R27=0,0,11630*1000*SER_hh_fec_in!R27/SER_hh_num_in!R19)</f>
        <v>0</v>
      </c>
      <c r="S27" s="145">
        <f>IF(SER_hh_fec_in!S27=0,0,11630*1000*SER_hh_fec_in!S27/SER_hh_num_in!S19)</f>
        <v>0</v>
      </c>
      <c r="T27" s="145">
        <f>IF(SER_hh_fec_in!T27=0,0,11630*1000*SER_hh_fec_in!T27/SER_hh_num_in!T19)</f>
        <v>0</v>
      </c>
      <c r="U27" s="145">
        <f>IF(SER_hh_fec_in!U27=0,0,11630*1000*SER_hh_fec_in!U27/SER_hh_num_in!U19)</f>
        <v>0</v>
      </c>
      <c r="V27" s="145">
        <f>IF(SER_hh_fec_in!V27=0,0,11630*1000*SER_hh_fec_in!V27/SER_hh_num_in!V19)</f>
        <v>0</v>
      </c>
      <c r="W27" s="145">
        <f>IF(SER_hh_fec_in!W27=0,0,11630*1000*SER_hh_fec_in!W27/SER_hh_num_in!W19)</f>
        <v>0</v>
      </c>
      <c r="X27" s="145">
        <f>IF(SER_hh_fec_in!X27=0,0,11630*1000*SER_hh_fec_in!X27/SER_hh_num_in!X19)</f>
        <v>0</v>
      </c>
      <c r="Y27" s="145">
        <f>IF(SER_hh_fec_in!Y27=0,0,11630*1000*SER_hh_fec_in!Y27/SER_hh_num_in!Y19)</f>
        <v>0</v>
      </c>
      <c r="DA27" s="158" t="s">
        <v>748</v>
      </c>
    </row>
    <row r="28" spans="1:105" ht="12" customHeight="1" x14ac:dyDescent="0.25">
      <c r="A28" s="78" t="s">
        <v>85</v>
      </c>
      <c r="B28" s="68"/>
      <c r="C28" s="146">
        <f>IF(SER_hh_fec_in!C27=0,0,11630*1000*SER_hh_fec_in!C27/SER_hh_num_in!C27)</f>
        <v>0</v>
      </c>
      <c r="D28" s="146">
        <f>IF(SER_hh_fec_in!D27=0,0,11630*1000*SER_hh_fec_in!D27/SER_hh_num_in!D27)</f>
        <v>0</v>
      </c>
      <c r="E28" s="146">
        <f>IF(SER_hh_fec_in!E27=0,0,11630*1000*SER_hh_fec_in!E27/SER_hh_num_in!E27)</f>
        <v>0</v>
      </c>
      <c r="F28" s="146">
        <f>IF(SER_hh_fec_in!F27=0,0,11630*1000*SER_hh_fec_in!F27/SER_hh_num_in!F27)</f>
        <v>0</v>
      </c>
      <c r="G28" s="146">
        <f>IF(SER_hh_fec_in!G27=0,0,11630*1000*SER_hh_fec_in!G27/SER_hh_num_in!G27)</f>
        <v>0</v>
      </c>
      <c r="H28" s="146">
        <f>IF(SER_hh_fec_in!H27=0,0,11630*1000*SER_hh_fec_in!H27/SER_hh_num_in!H27)</f>
        <v>0</v>
      </c>
      <c r="I28" s="146">
        <f>IF(SER_hh_fec_in!I27=0,0,11630*1000*SER_hh_fec_in!I27/SER_hh_num_in!I27)</f>
        <v>0</v>
      </c>
      <c r="J28" s="146">
        <f>IF(SER_hh_fec_in!J27=0,0,11630*1000*SER_hh_fec_in!J27/SER_hh_num_in!J27)</f>
        <v>0</v>
      </c>
      <c r="K28" s="146">
        <f>IF(SER_hh_fec_in!K27=0,0,11630*1000*SER_hh_fec_in!K27/SER_hh_num_in!K27)</f>
        <v>0</v>
      </c>
      <c r="L28" s="146">
        <f>IF(SER_hh_fec_in!L27=0,0,11630*1000*SER_hh_fec_in!L27/SER_hh_num_in!L27)</f>
        <v>0</v>
      </c>
      <c r="M28" s="146">
        <f>IF(SER_hh_fec_in!M27=0,0,11630*1000*SER_hh_fec_in!M27/SER_hh_num_in!M27)</f>
        <v>0</v>
      </c>
      <c r="N28" s="146">
        <f>IF(SER_hh_fec_in!N27=0,0,11630*1000*SER_hh_fec_in!N27/SER_hh_num_in!N27)</f>
        <v>0</v>
      </c>
      <c r="O28" s="146">
        <f>IF(SER_hh_fec_in!O27=0,0,11630*1000*SER_hh_fec_in!O27/SER_hh_num_in!O27)</f>
        <v>0</v>
      </c>
      <c r="P28" s="146">
        <f>IF(SER_hh_fec_in!P27=0,0,11630*1000*SER_hh_fec_in!P27/SER_hh_num_in!P27)</f>
        <v>0</v>
      </c>
      <c r="Q28" s="146">
        <f>IF(SER_hh_fec_in!Q27=0,0,11630*1000*SER_hh_fec_in!Q27/SER_hh_num_in!Q27)</f>
        <v>0</v>
      </c>
      <c r="R28" s="146">
        <f>IF(SER_hh_fec_in!R27=0,0,11630*1000*SER_hh_fec_in!R27/SER_hh_num_in!R27)</f>
        <v>0</v>
      </c>
      <c r="S28" s="146">
        <f>IF(SER_hh_fec_in!S27=0,0,11630*1000*SER_hh_fec_in!S27/SER_hh_num_in!S27)</f>
        <v>0</v>
      </c>
      <c r="T28" s="146">
        <f>IF(SER_hh_fec_in!T27=0,0,11630*1000*SER_hh_fec_in!T27/SER_hh_num_in!T27)</f>
        <v>0</v>
      </c>
      <c r="U28" s="146">
        <f>IF(SER_hh_fec_in!U27=0,0,11630*1000*SER_hh_fec_in!U27/SER_hh_num_in!U27)</f>
        <v>0</v>
      </c>
      <c r="V28" s="146">
        <f>IF(SER_hh_fec_in!V27=0,0,11630*1000*SER_hh_fec_in!V27/SER_hh_num_in!V27)</f>
        <v>0</v>
      </c>
      <c r="W28" s="146">
        <f>IF(SER_hh_fec_in!W27=0,0,11630*1000*SER_hh_fec_in!W27/SER_hh_num_in!W27)</f>
        <v>0</v>
      </c>
      <c r="X28" s="146">
        <f>IF(SER_hh_fec_in!X27=0,0,11630*1000*SER_hh_fec_in!X27/SER_hh_num_in!X27)</f>
        <v>0</v>
      </c>
      <c r="Y28" s="146">
        <f>IF(SER_hh_fec_in!Y27=0,0,11630*1000*SER_hh_fec_in!Y27/SER_hh_num_in!Y27)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IF(SER_hh_fec_in!C29=0,0,11630*1000*SER_hh_fec_in!C29/SER_hh_num_in!C29)</f>
        <v>13179.866682023858</v>
      </c>
      <c r="D29" s="130">
        <f>IF(SER_hh_fec_in!D29=0,0,11630*1000*SER_hh_fec_in!D29/SER_hh_num_in!D29)</f>
        <v>13285.444238780501</v>
      </c>
      <c r="E29" s="130">
        <f>IF(SER_hh_fec_in!E29=0,0,11630*1000*SER_hh_fec_in!E29/SER_hh_num_in!E29)</f>
        <v>12772.91269750299</v>
      </c>
      <c r="F29" s="130">
        <f>IF(SER_hh_fec_in!F29=0,0,11630*1000*SER_hh_fec_in!F29/SER_hh_num_in!F29)</f>
        <v>12701.20690448421</v>
      </c>
      <c r="G29" s="130">
        <f>IF(SER_hh_fec_in!G29=0,0,11630*1000*SER_hh_fec_in!G29/SER_hh_num_in!G29)</f>
        <v>13695.887275327388</v>
      </c>
      <c r="H29" s="130">
        <f>IF(SER_hh_fec_in!H29=0,0,11630*1000*SER_hh_fec_in!H29/SER_hh_num_in!H29)</f>
        <v>14092.261993166985</v>
      </c>
      <c r="I29" s="130">
        <f>IF(SER_hh_fec_in!I29=0,0,11630*1000*SER_hh_fec_in!I29/SER_hh_num_in!I29)</f>
        <v>13713.377803304331</v>
      </c>
      <c r="J29" s="130">
        <f>IF(SER_hh_fec_in!J29=0,0,11630*1000*SER_hh_fec_in!J29/SER_hh_num_in!J29)</f>
        <v>13478.357286215616</v>
      </c>
      <c r="K29" s="130">
        <f>IF(SER_hh_fec_in!K29=0,0,11630*1000*SER_hh_fec_in!K29/SER_hh_num_in!K29)</f>
        <v>13420.719339519934</v>
      </c>
      <c r="L29" s="130">
        <f>IF(SER_hh_fec_in!L29=0,0,11630*1000*SER_hh_fec_in!L29/SER_hh_num_in!L29)</f>
        <v>12785.699664418693</v>
      </c>
      <c r="M29" s="130">
        <f>IF(SER_hh_fec_in!M29=0,0,11630*1000*SER_hh_fec_in!M29/SER_hh_num_in!M29)</f>
        <v>12041.946314302053</v>
      </c>
      <c r="N29" s="130">
        <f>IF(SER_hh_fec_in!N29=0,0,11630*1000*SER_hh_fec_in!N29/SER_hh_num_in!N29)</f>
        <v>12754.931658317524</v>
      </c>
      <c r="O29" s="130">
        <f>IF(SER_hh_fec_in!O29=0,0,11630*1000*SER_hh_fec_in!O29/SER_hh_num_in!O29)</f>
        <v>12885.089240475485</v>
      </c>
      <c r="P29" s="130">
        <f>IF(SER_hh_fec_in!P29=0,0,11630*1000*SER_hh_fec_in!P29/SER_hh_num_in!P29)</f>
        <v>12900.761348457798</v>
      </c>
      <c r="Q29" s="130">
        <f>IF(SER_hh_fec_in!Q29=0,0,11630*1000*SER_hh_fec_in!Q29/SER_hh_num_in!Q29)</f>
        <v>13027.504383583848</v>
      </c>
      <c r="R29" s="130">
        <f>IF(SER_hh_fec_in!R29=0,0,11630*1000*SER_hh_fec_in!R29/SER_hh_num_in!R29)</f>
        <v>13154.987660719336</v>
      </c>
      <c r="S29" s="130">
        <f>IF(SER_hh_fec_in!S29=0,0,11630*1000*SER_hh_fec_in!S29/SER_hh_num_in!S29)</f>
        <v>12989.729258728936</v>
      </c>
      <c r="T29" s="130">
        <f>IF(SER_hh_fec_in!T29=0,0,11630*1000*SER_hh_fec_in!T29/SER_hh_num_in!T29)</f>
        <v>12630.64782183772</v>
      </c>
      <c r="U29" s="130">
        <f>IF(SER_hh_fec_in!U29=0,0,11630*1000*SER_hh_fec_in!U29/SER_hh_num_in!U29)</f>
        <v>13337.438714597831</v>
      </c>
      <c r="V29" s="130">
        <f>IF(SER_hh_fec_in!V29=0,0,11630*1000*SER_hh_fec_in!V29/SER_hh_num_in!V29)</f>
        <v>12504.628510781604</v>
      </c>
      <c r="W29" s="130">
        <f>IF(SER_hh_fec_in!W29=0,0,11630*1000*SER_hh_fec_in!W29/SER_hh_num_in!W29)</f>
        <v>13704.787976448368</v>
      </c>
      <c r="X29" s="130">
        <f>IF(SER_hh_fec_in!X29=0,0,11630*1000*SER_hh_fec_in!X29/SER_hh_num_in!X29)</f>
        <v>13793.867627444932</v>
      </c>
      <c r="Y29" s="130">
        <f>IF(SER_hh_fec_in!Y29=0,0,11630*1000*SER_hh_fec_in!Y29/SER_hh_num_in!Y29)</f>
        <v>14403.159986799999</v>
      </c>
      <c r="DA29" s="155" t="s">
        <v>749</v>
      </c>
    </row>
    <row r="30" spans="1:105" s="2" customFormat="1" ht="12" customHeight="1" x14ac:dyDescent="0.25">
      <c r="A30" s="131" t="s">
        <v>52</v>
      </c>
      <c r="B30" s="132"/>
      <c r="C30" s="132">
        <f>IF(SER_hh_fec_in!C30=0,0,11630*1000*SER_hh_fec_in!C30/SER_hh_num_in!C30)</f>
        <v>0</v>
      </c>
      <c r="D30" s="132">
        <f>IF(SER_hh_fec_in!D30=0,0,11630*1000*SER_hh_fec_in!D30/SER_hh_num_in!D30)</f>
        <v>0</v>
      </c>
      <c r="E30" s="132">
        <f>IF(SER_hh_fec_in!E30=0,0,11630*1000*SER_hh_fec_in!E30/SER_hh_num_in!E30)</f>
        <v>0</v>
      </c>
      <c r="F30" s="132">
        <f>IF(SER_hh_fec_in!F30=0,0,11630*1000*SER_hh_fec_in!F30/SER_hh_num_in!F30)</f>
        <v>0</v>
      </c>
      <c r="G30" s="132">
        <f>IF(SER_hh_fec_in!G30=0,0,11630*1000*SER_hh_fec_in!G30/SER_hh_num_in!G30)</f>
        <v>0</v>
      </c>
      <c r="H30" s="132">
        <f>IF(SER_hh_fec_in!H30=0,0,11630*1000*SER_hh_fec_in!H30/SER_hh_num_in!H30)</f>
        <v>0</v>
      </c>
      <c r="I30" s="132">
        <f>IF(SER_hh_fec_in!I30=0,0,11630*1000*SER_hh_fec_in!I30/SER_hh_num_in!I30)</f>
        <v>0</v>
      </c>
      <c r="J30" s="132">
        <f>IF(SER_hh_fec_in!J30=0,0,11630*1000*SER_hh_fec_in!J30/SER_hh_num_in!J30)</f>
        <v>0</v>
      </c>
      <c r="K30" s="132">
        <f>IF(SER_hh_fec_in!K30=0,0,11630*1000*SER_hh_fec_in!K30/SER_hh_num_in!K30)</f>
        <v>0</v>
      </c>
      <c r="L30" s="132">
        <f>IF(SER_hh_fec_in!L30=0,0,11630*1000*SER_hh_fec_in!L30/SER_hh_num_in!L30)</f>
        <v>0</v>
      </c>
      <c r="M30" s="132">
        <f>IF(SER_hh_fec_in!M30=0,0,11630*1000*SER_hh_fec_in!M30/SER_hh_num_in!M30)</f>
        <v>0</v>
      </c>
      <c r="N30" s="132">
        <f>IF(SER_hh_fec_in!N30=0,0,11630*1000*SER_hh_fec_in!N30/SER_hh_num_in!N30)</f>
        <v>0</v>
      </c>
      <c r="O30" s="132">
        <f>IF(SER_hh_fec_in!O30=0,0,11630*1000*SER_hh_fec_in!O30/SER_hh_num_in!O30)</f>
        <v>0</v>
      </c>
      <c r="P30" s="132">
        <f>IF(SER_hh_fec_in!P30=0,0,11630*1000*SER_hh_fec_in!P30/SER_hh_num_in!P30)</f>
        <v>0</v>
      </c>
      <c r="Q30" s="132">
        <f>IF(SER_hh_fec_in!Q30=0,0,11630*1000*SER_hh_fec_in!Q30/SER_hh_num_in!Q30)</f>
        <v>0</v>
      </c>
      <c r="R30" s="132">
        <f>IF(SER_hh_fec_in!R30=0,0,11630*1000*SER_hh_fec_in!R30/SER_hh_num_in!R30)</f>
        <v>0</v>
      </c>
      <c r="S30" s="132">
        <f>IF(SER_hh_fec_in!S30=0,0,11630*1000*SER_hh_fec_in!S30/SER_hh_num_in!S30)</f>
        <v>0</v>
      </c>
      <c r="T30" s="132">
        <f>IF(SER_hh_fec_in!T30=0,0,11630*1000*SER_hh_fec_in!T30/SER_hh_num_in!T30)</f>
        <v>0</v>
      </c>
      <c r="U30" s="132">
        <f>IF(SER_hh_fec_in!U30=0,0,11630*1000*SER_hh_fec_in!U30/SER_hh_num_in!U30)</f>
        <v>0</v>
      </c>
      <c r="V30" s="132">
        <f>IF(SER_hh_fec_in!V30=0,0,11630*1000*SER_hh_fec_in!V30/SER_hh_num_in!V30)</f>
        <v>0</v>
      </c>
      <c r="W30" s="132">
        <f>IF(SER_hh_fec_in!W30=0,0,11630*1000*SER_hh_fec_in!W30/SER_hh_num_in!W30)</f>
        <v>0</v>
      </c>
      <c r="X30" s="132">
        <f>IF(SER_hh_fec_in!X30=0,0,11630*1000*SER_hh_fec_in!X30/SER_hh_num_in!X30)</f>
        <v>0</v>
      </c>
      <c r="Y30" s="132">
        <f>IF(SER_hh_fec_in!Y30=0,0,11630*1000*SER_hh_fec_in!Y30/SER_hh_num_in!Y30)</f>
        <v>0</v>
      </c>
      <c r="DA30" s="156" t="s">
        <v>750</v>
      </c>
    </row>
    <row r="31" spans="1:105" ht="12" customHeight="1" x14ac:dyDescent="0.25">
      <c r="A31" s="131" t="s">
        <v>149</v>
      </c>
      <c r="B31" s="132"/>
      <c r="C31" s="132">
        <f>IF(SER_hh_fec_in!C31=0,0,11630*1000*SER_hh_fec_in!C31/SER_hh_num_in!C31)</f>
        <v>15899.125382373393</v>
      </c>
      <c r="D31" s="132">
        <f>IF(SER_hh_fec_in!D31=0,0,11630*1000*SER_hh_fec_in!D31/SER_hh_num_in!D31)</f>
        <v>16743.113136206215</v>
      </c>
      <c r="E31" s="132">
        <f>IF(SER_hh_fec_in!E31=0,0,11630*1000*SER_hh_fec_in!E31/SER_hh_num_in!E31)</f>
        <v>16743.038332545057</v>
      </c>
      <c r="F31" s="132">
        <f>IF(SER_hh_fec_in!F31=0,0,11630*1000*SER_hh_fec_in!F31/SER_hh_num_in!F31)</f>
        <v>15446.743440898563</v>
      </c>
      <c r="G31" s="132">
        <f>IF(SER_hh_fec_in!G31=0,0,11630*1000*SER_hh_fec_in!G31/SER_hh_num_in!G31)</f>
        <v>15884.690361105106</v>
      </c>
      <c r="H31" s="132">
        <f>IF(SER_hh_fec_in!H31=0,0,11630*1000*SER_hh_fec_in!H31/SER_hh_num_in!H31)</f>
        <v>15405.457699596944</v>
      </c>
      <c r="I31" s="132">
        <f>IF(SER_hh_fec_in!I31=0,0,11630*1000*SER_hh_fec_in!I31/SER_hh_num_in!I31)</f>
        <v>17393.236600503518</v>
      </c>
      <c r="J31" s="132">
        <f>IF(SER_hh_fec_in!J31=0,0,11630*1000*SER_hh_fec_in!J31/SER_hh_num_in!J31)</f>
        <v>17208.635472748127</v>
      </c>
      <c r="K31" s="132">
        <f>IF(SER_hh_fec_in!K31=0,0,11630*1000*SER_hh_fec_in!K31/SER_hh_num_in!K31)</f>
        <v>16771.669899129396</v>
      </c>
      <c r="L31" s="132">
        <f>IF(SER_hh_fec_in!L31=0,0,11630*1000*SER_hh_fec_in!L31/SER_hh_num_in!L31)</f>
        <v>16339.478982509576</v>
      </c>
      <c r="M31" s="132">
        <f>IF(SER_hh_fec_in!M31=0,0,11630*1000*SER_hh_fec_in!M31/SER_hh_num_in!M31)</f>
        <v>0</v>
      </c>
      <c r="N31" s="132">
        <f>IF(SER_hh_fec_in!N31=0,0,11630*1000*SER_hh_fec_in!N31/SER_hh_num_in!N31)</f>
        <v>0</v>
      </c>
      <c r="O31" s="132">
        <f>IF(SER_hh_fec_in!O31=0,0,11630*1000*SER_hh_fec_in!O31/SER_hh_num_in!O31)</f>
        <v>0</v>
      </c>
      <c r="P31" s="132">
        <f>IF(SER_hh_fec_in!P31=0,0,11630*1000*SER_hh_fec_in!P31/SER_hh_num_in!P31)</f>
        <v>15189.895614874886</v>
      </c>
      <c r="Q31" s="132">
        <f>IF(SER_hh_fec_in!Q31=0,0,11630*1000*SER_hh_fec_in!Q31/SER_hh_num_in!Q31)</f>
        <v>16925.230312317079</v>
      </c>
      <c r="R31" s="132">
        <f>IF(SER_hh_fec_in!R31=0,0,11630*1000*SER_hh_fec_in!R31/SER_hh_num_in!R31)</f>
        <v>17498.737858559398</v>
      </c>
      <c r="S31" s="132">
        <f>IF(SER_hh_fec_in!S31=0,0,11630*1000*SER_hh_fec_in!S31/SER_hh_num_in!S31)</f>
        <v>16818.174933898841</v>
      </c>
      <c r="T31" s="132">
        <f>IF(SER_hh_fec_in!T31=0,0,11630*1000*SER_hh_fec_in!T31/SER_hh_num_in!T31)</f>
        <v>19273.808983567676</v>
      </c>
      <c r="U31" s="132">
        <f>IF(SER_hh_fec_in!U31=0,0,11630*1000*SER_hh_fec_in!U31/SER_hh_num_in!U31)</f>
        <v>0</v>
      </c>
      <c r="V31" s="132">
        <f>IF(SER_hh_fec_in!V31=0,0,11630*1000*SER_hh_fec_in!V31/SER_hh_num_in!V31)</f>
        <v>0</v>
      </c>
      <c r="W31" s="132">
        <f>IF(SER_hh_fec_in!W31=0,0,11630*1000*SER_hh_fec_in!W31/SER_hh_num_in!W31)</f>
        <v>15974.922393091254</v>
      </c>
      <c r="X31" s="132">
        <f>IF(SER_hh_fec_in!X31=0,0,11630*1000*SER_hh_fec_in!X31/SER_hh_num_in!X31)</f>
        <v>18471.738854074014</v>
      </c>
      <c r="Y31" s="132">
        <f>IF(SER_hh_fec_in!Y31=0,0,11630*1000*SER_hh_fec_in!Y31/SER_hh_num_in!Y31)</f>
        <v>20228.229284228408</v>
      </c>
      <c r="DA31" s="156" t="s">
        <v>751</v>
      </c>
    </row>
    <row r="32" spans="1:105" ht="12" customHeight="1" x14ac:dyDescent="0.25">
      <c r="A32" s="131" t="s">
        <v>128</v>
      </c>
      <c r="B32" s="132"/>
      <c r="C32" s="132">
        <f>IF(SER_hh_fec_in!C32=0,0,11630*1000*SER_hh_fec_in!C32/SER_hh_num_in!C32)</f>
        <v>0</v>
      </c>
      <c r="D32" s="132">
        <f>IF(SER_hh_fec_in!D32=0,0,11630*1000*SER_hh_fec_in!D32/SER_hh_num_in!D32)</f>
        <v>0</v>
      </c>
      <c r="E32" s="132">
        <f>IF(SER_hh_fec_in!E32=0,0,11630*1000*SER_hh_fec_in!E32/SER_hh_num_in!E32)</f>
        <v>0</v>
      </c>
      <c r="F32" s="132">
        <f>IF(SER_hh_fec_in!F32=0,0,11630*1000*SER_hh_fec_in!F32/SER_hh_num_in!F32)</f>
        <v>0</v>
      </c>
      <c r="G32" s="132">
        <f>IF(SER_hh_fec_in!G32=0,0,11630*1000*SER_hh_fec_in!G32/SER_hh_num_in!G32)</f>
        <v>23810.329168302997</v>
      </c>
      <c r="H32" s="132">
        <f>IF(SER_hh_fec_in!H32=0,0,11630*1000*SER_hh_fec_in!H32/SER_hh_num_in!H32)</f>
        <v>16258.071687689384</v>
      </c>
      <c r="I32" s="132">
        <f>IF(SER_hh_fec_in!I32=0,0,11630*1000*SER_hh_fec_in!I32/SER_hh_num_in!I32)</f>
        <v>13001.014402098368</v>
      </c>
      <c r="J32" s="132">
        <f>IF(SER_hh_fec_in!J32=0,0,11630*1000*SER_hh_fec_in!J32/SER_hh_num_in!J32)</f>
        <v>22187.24632228804</v>
      </c>
      <c r="K32" s="132">
        <f>IF(SER_hh_fec_in!K32=0,0,11630*1000*SER_hh_fec_in!K32/SER_hh_num_in!K32)</f>
        <v>10988.633579537576</v>
      </c>
      <c r="L32" s="132">
        <f>IF(SER_hh_fec_in!L32=0,0,11630*1000*SER_hh_fec_in!L32/SER_hh_num_in!L32)</f>
        <v>19361.607960696052</v>
      </c>
      <c r="M32" s="132">
        <f>IF(SER_hh_fec_in!M32=0,0,11630*1000*SER_hh_fec_in!M32/SER_hh_num_in!M32)</f>
        <v>0</v>
      </c>
      <c r="N32" s="132">
        <f>IF(SER_hh_fec_in!N32=0,0,11630*1000*SER_hh_fec_in!N32/SER_hh_num_in!N32)</f>
        <v>9917.5369902675957</v>
      </c>
      <c r="O32" s="132">
        <f>IF(SER_hh_fec_in!O32=0,0,11630*1000*SER_hh_fec_in!O32/SER_hh_num_in!O32)</f>
        <v>0</v>
      </c>
      <c r="P32" s="132">
        <f>IF(SER_hh_fec_in!P32=0,0,11630*1000*SER_hh_fec_in!P32/SER_hh_num_in!P32)</f>
        <v>9977.1633441985614</v>
      </c>
      <c r="Q32" s="132">
        <f>IF(SER_hh_fec_in!Q32=0,0,11630*1000*SER_hh_fec_in!Q32/SER_hh_num_in!Q32)</f>
        <v>19468.105550508877</v>
      </c>
      <c r="R32" s="132">
        <f>IF(SER_hh_fec_in!R32=0,0,11630*1000*SER_hh_fec_in!R32/SER_hh_num_in!R32)</f>
        <v>16780.004942136857</v>
      </c>
      <c r="S32" s="132">
        <f>IF(SER_hh_fec_in!S32=0,0,11630*1000*SER_hh_fec_in!S32/SER_hh_num_in!S32)</f>
        <v>16753.630435554474</v>
      </c>
      <c r="T32" s="132">
        <f>IF(SER_hh_fec_in!T32=0,0,11630*1000*SER_hh_fec_in!T32/SER_hh_num_in!T32)</f>
        <v>16821.44084849452</v>
      </c>
      <c r="U32" s="132">
        <f>IF(SER_hh_fec_in!U32=0,0,11630*1000*SER_hh_fec_in!U32/SER_hh_num_in!U32)</f>
        <v>19175.206784675407</v>
      </c>
      <c r="V32" s="132">
        <f>IF(SER_hh_fec_in!V32=0,0,11630*1000*SER_hh_fec_in!V32/SER_hh_num_in!V32)</f>
        <v>16771.592509502807</v>
      </c>
      <c r="W32" s="132">
        <f>IF(SER_hh_fec_in!W32=0,0,11630*1000*SER_hh_fec_in!W32/SER_hh_num_in!W32)</f>
        <v>21731.667034968817</v>
      </c>
      <c r="X32" s="132">
        <f>IF(SER_hh_fec_in!X32=0,0,11630*1000*SER_hh_fec_in!X32/SER_hh_num_in!X32)</f>
        <v>20695.232903151846</v>
      </c>
      <c r="Y32" s="132">
        <f>IF(SER_hh_fec_in!Y32=0,0,11630*1000*SER_hh_fec_in!Y32/SER_hh_num_in!Y32)</f>
        <v>19522.157741185983</v>
      </c>
      <c r="DA32" s="156" t="s">
        <v>752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12266.011383794148</v>
      </c>
      <c r="D33" s="68">
        <f>IF(SER_hh_fec_in!D33=0,0,11630*1000*SER_hh_fec_in!D33/SER_hh_num_in!D33)</f>
        <v>12126.350491743322</v>
      </c>
      <c r="E33" s="68">
        <f>IF(SER_hh_fec_in!E33=0,0,11630*1000*SER_hh_fec_in!E33/SER_hh_num_in!E33)</f>
        <v>11955.680612946615</v>
      </c>
      <c r="F33" s="68">
        <f>IF(SER_hh_fec_in!F33=0,0,11630*1000*SER_hh_fec_in!F33/SER_hh_num_in!F33)</f>
        <v>12324.652772244695</v>
      </c>
      <c r="G33" s="68">
        <f>IF(SER_hh_fec_in!G33=0,0,11630*1000*SER_hh_fec_in!G33/SER_hh_num_in!G33)</f>
        <v>12390.33901545407</v>
      </c>
      <c r="H33" s="68">
        <f>IF(SER_hh_fec_in!H33=0,0,11630*1000*SER_hh_fec_in!H33/SER_hh_num_in!H33)</f>
        <v>13480.561392971797</v>
      </c>
      <c r="I33" s="68">
        <f>IF(SER_hh_fec_in!I33=0,0,11630*1000*SER_hh_fec_in!I33/SER_hh_num_in!I33)</f>
        <v>12398.523637845843</v>
      </c>
      <c r="J33" s="68">
        <f>IF(SER_hh_fec_in!J33=0,0,11630*1000*SER_hh_fec_in!J33/SER_hh_num_in!J33)</f>
        <v>11576.472217782648</v>
      </c>
      <c r="K33" s="68">
        <f>IF(SER_hh_fec_in!K33=0,0,11630*1000*SER_hh_fec_in!K33/SER_hh_num_in!K33)</f>
        <v>12435.909815999012</v>
      </c>
      <c r="L33" s="68">
        <f>IF(SER_hh_fec_in!L33=0,0,11630*1000*SER_hh_fec_in!L33/SER_hh_num_in!L33)</f>
        <v>12340.737249361946</v>
      </c>
      <c r="M33" s="68">
        <f>IF(SER_hh_fec_in!M33=0,0,11630*1000*SER_hh_fec_in!M33/SER_hh_num_in!M33)</f>
        <v>12041.946314302053</v>
      </c>
      <c r="N33" s="68">
        <f>IF(SER_hh_fec_in!N33=0,0,11630*1000*SER_hh_fec_in!N33/SER_hh_num_in!N33)</f>
        <v>12787.559471748345</v>
      </c>
      <c r="O33" s="68">
        <f>IF(SER_hh_fec_in!O33=0,0,11630*1000*SER_hh_fec_in!O33/SER_hh_num_in!O33)</f>
        <v>12885.089240475485</v>
      </c>
      <c r="P33" s="68">
        <f>IF(SER_hh_fec_in!P33=0,0,11630*1000*SER_hh_fec_in!P33/SER_hh_num_in!P33)</f>
        <v>12823.377409641216</v>
      </c>
      <c r="Q33" s="68">
        <f>IF(SER_hh_fec_in!Q33=0,0,11630*1000*SER_hh_fec_in!Q33/SER_hh_num_in!Q33)</f>
        <v>11905.017176015514</v>
      </c>
      <c r="R33" s="68">
        <f>IF(SER_hh_fec_in!R33=0,0,11630*1000*SER_hh_fec_in!R33/SER_hh_num_in!R33)</f>
        <v>11744.935806707217</v>
      </c>
      <c r="S33" s="68">
        <f>IF(SER_hh_fec_in!S33=0,0,11630*1000*SER_hh_fec_in!S33/SER_hh_num_in!S33)</f>
        <v>12158.663697912101</v>
      </c>
      <c r="T33" s="68">
        <f>IF(SER_hh_fec_in!T33=0,0,11630*1000*SER_hh_fec_in!T33/SER_hh_num_in!T33)</f>
        <v>11806.137464002515</v>
      </c>
      <c r="U33" s="68">
        <f>IF(SER_hh_fec_in!U33=0,0,11630*1000*SER_hh_fec_in!U33/SER_hh_num_in!U33)</f>
        <v>13005.806611405711</v>
      </c>
      <c r="V33" s="68">
        <f>IF(SER_hh_fec_in!V33=0,0,11630*1000*SER_hh_fec_in!V33/SER_hh_num_in!V33)</f>
        <v>12231.894096898402</v>
      </c>
      <c r="W33" s="68">
        <f>IF(SER_hh_fec_in!W33=0,0,11630*1000*SER_hh_fec_in!W33/SER_hh_num_in!W33)</f>
        <v>13031.167696667719</v>
      </c>
      <c r="X33" s="68">
        <f>IF(SER_hh_fec_in!X33=0,0,11630*1000*SER_hh_fec_in!X33/SER_hh_num_in!X33)</f>
        <v>12823.148463241487</v>
      </c>
      <c r="Y33" s="68">
        <f>IF(SER_hh_fec_in!Y33=0,0,11630*1000*SER_hh_fec_in!Y33/SER_hh_num_in!Y33)</f>
        <v>12957.878185332742</v>
      </c>
      <c r="DA33" s="111" t="s">
        <v>753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/>
      <c r="C3" s="125">
        <f>IF(SER_hh_tes_in!C3=0,0,11630*1000*SER_hh_tes_in!C3/SER_hh_num_in!C3)</f>
        <v>92353.032973882669</v>
      </c>
      <c r="D3" s="125">
        <f>IF(SER_hh_tes_in!D3=0,0,11630*1000*SER_hh_tes_in!D3/SER_hh_num_in!D3)</f>
        <v>88180.939868441972</v>
      </c>
      <c r="E3" s="125">
        <f>IF(SER_hh_tes_in!E3=0,0,11630*1000*SER_hh_tes_in!E3/SER_hh_num_in!E3)</f>
        <v>86850.673200158009</v>
      </c>
      <c r="F3" s="125">
        <f>IF(SER_hh_tes_in!F3=0,0,11630*1000*SER_hh_tes_in!F3/SER_hh_num_in!F3)</f>
        <v>86139.005763196765</v>
      </c>
      <c r="G3" s="125">
        <f>IF(SER_hh_tes_in!G3=0,0,11630*1000*SER_hh_tes_in!G3/SER_hh_num_in!G3)</f>
        <v>82975.655667297775</v>
      </c>
      <c r="H3" s="125">
        <f>IF(SER_hh_tes_in!H3=0,0,11630*1000*SER_hh_tes_in!H3/SER_hh_num_in!H3)</f>
        <v>88492.645295187729</v>
      </c>
      <c r="I3" s="125">
        <f>IF(SER_hh_tes_in!I3=0,0,11630*1000*SER_hh_tes_in!I3/SER_hh_num_in!I3)</f>
        <v>79674.582705253866</v>
      </c>
      <c r="J3" s="125">
        <f>IF(SER_hh_tes_in!J3=0,0,11630*1000*SER_hh_tes_in!J3/SER_hh_num_in!J3)</f>
        <v>72105.543469022479</v>
      </c>
      <c r="K3" s="125">
        <f>IF(SER_hh_tes_in!K3=0,0,11630*1000*SER_hh_tes_in!K3/SER_hh_num_in!K3)</f>
        <v>84342.686245962439</v>
      </c>
      <c r="L3" s="125">
        <f>IF(SER_hh_tes_in!L3=0,0,11630*1000*SER_hh_tes_in!L3/SER_hh_num_in!L3)</f>
        <v>84867.226392877143</v>
      </c>
      <c r="M3" s="125">
        <f>IF(SER_hh_tes_in!M3=0,0,11630*1000*SER_hh_tes_in!M3/SER_hh_num_in!M3)</f>
        <v>70546.698240626851</v>
      </c>
      <c r="N3" s="125">
        <f>IF(SER_hh_tes_in!N3=0,0,11630*1000*SER_hh_tes_in!N3/SER_hh_num_in!N3)</f>
        <v>82220.199270154684</v>
      </c>
      <c r="O3" s="125">
        <f>IF(SER_hh_tes_in!O3=0,0,11630*1000*SER_hh_tes_in!O3/SER_hh_num_in!O3)</f>
        <v>75042.715944407333</v>
      </c>
      <c r="P3" s="125">
        <f>IF(SER_hh_tes_in!P3=0,0,11630*1000*SER_hh_tes_in!P3/SER_hh_num_in!P3)</f>
        <v>70390.261159190341</v>
      </c>
      <c r="Q3" s="125">
        <f>IF(SER_hh_tes_in!Q3=0,0,11630*1000*SER_hh_tes_in!Q3/SER_hh_num_in!Q3)</f>
        <v>74612.761011376817</v>
      </c>
      <c r="R3" s="125">
        <f>IF(SER_hh_tes_in!R3=0,0,11630*1000*SER_hh_tes_in!R3/SER_hh_num_in!R3)</f>
        <v>74568.615740248992</v>
      </c>
      <c r="S3" s="125">
        <f>IF(SER_hh_tes_in!S3=0,0,11630*1000*SER_hh_tes_in!S3/SER_hh_num_in!S3)</f>
        <v>76513.285928140423</v>
      </c>
      <c r="T3" s="125">
        <f>IF(SER_hh_tes_in!T3=0,0,11630*1000*SER_hh_tes_in!T3/SER_hh_num_in!T3)</f>
        <v>79608.22946815961</v>
      </c>
      <c r="U3" s="125">
        <f>IF(SER_hh_tes_in!U3=0,0,11630*1000*SER_hh_tes_in!U3/SER_hh_num_in!U3)</f>
        <v>75985.950003133097</v>
      </c>
      <c r="V3" s="125">
        <f>IF(SER_hh_tes_in!V3=0,0,11630*1000*SER_hh_tes_in!V3/SER_hh_num_in!V3)</f>
        <v>67852.572817260312</v>
      </c>
      <c r="W3" s="125">
        <f>IF(SER_hh_tes_in!W3=0,0,11630*1000*SER_hh_tes_in!W3/SER_hh_num_in!W3)</f>
        <v>77485.317528989734</v>
      </c>
      <c r="X3" s="125">
        <f>IF(SER_hh_tes_in!X3=0,0,11630*1000*SER_hh_tes_in!X3/SER_hh_num_in!X3)</f>
        <v>72714.180146563755</v>
      </c>
      <c r="Y3" s="125">
        <f>IF(SER_hh_tes_in!Y3=0,0,11630*1000*SER_hh_tes_in!Y3/SER_hh_num_in!Y3)</f>
        <v>74917.067328259291</v>
      </c>
      <c r="DA3" s="154" t="s">
        <v>755</v>
      </c>
    </row>
    <row r="4" spans="1:105" ht="12.95" customHeight="1" x14ac:dyDescent="0.25">
      <c r="A4" s="129" t="s">
        <v>32</v>
      </c>
      <c r="B4" s="130"/>
      <c r="C4" s="130">
        <f>IF(SER_hh_tes_in!C4=0,0,11630*1000*SER_hh_tes_in!C4/SER_hh_num_in!C4)</f>
        <v>70502.035230613634</v>
      </c>
      <c r="D4" s="130">
        <f>IF(SER_hh_tes_in!D4=0,0,11630*1000*SER_hh_tes_in!D4/SER_hh_num_in!D4)</f>
        <v>66165.009967724822</v>
      </c>
      <c r="E4" s="130">
        <f>IF(SER_hh_tes_in!E4=0,0,11630*1000*SER_hh_tes_in!E4/SER_hh_num_in!E4)</f>
        <v>66683.386242106571</v>
      </c>
      <c r="F4" s="130">
        <f>IF(SER_hh_tes_in!F4=0,0,11630*1000*SER_hh_tes_in!F4/SER_hh_num_in!F4)</f>
        <v>64715.068484765936</v>
      </c>
      <c r="G4" s="130">
        <f>IF(SER_hh_tes_in!G4=0,0,11630*1000*SER_hh_tes_in!G4/SER_hh_num_in!G4)</f>
        <v>61040.952854017727</v>
      </c>
      <c r="H4" s="130">
        <f>IF(SER_hh_tes_in!H4=0,0,11630*1000*SER_hh_tes_in!H4/SER_hh_num_in!H4)</f>
        <v>63453.599883785137</v>
      </c>
      <c r="I4" s="130">
        <f>IF(SER_hh_tes_in!I4=0,0,11630*1000*SER_hh_tes_in!I4/SER_hh_num_in!I4)</f>
        <v>58601.85740929743</v>
      </c>
      <c r="J4" s="130">
        <f>IF(SER_hh_tes_in!J4=0,0,11630*1000*SER_hh_tes_in!J4/SER_hh_num_in!J4)</f>
        <v>48381.749114986509</v>
      </c>
      <c r="K4" s="130">
        <f>IF(SER_hh_tes_in!K4=0,0,11630*1000*SER_hh_tes_in!K4/SER_hh_num_in!K4)</f>
        <v>47476.828594873907</v>
      </c>
      <c r="L4" s="130">
        <f>IF(SER_hh_tes_in!L4=0,0,11630*1000*SER_hh_tes_in!L4/SER_hh_num_in!L4)</f>
        <v>48359.849175585965</v>
      </c>
      <c r="M4" s="130">
        <f>IF(SER_hh_tes_in!M4=0,0,11630*1000*SER_hh_tes_in!M4/SER_hh_num_in!M4)</f>
        <v>42119.444373929917</v>
      </c>
      <c r="N4" s="130">
        <f>IF(SER_hh_tes_in!N4=0,0,11630*1000*SER_hh_tes_in!N4/SER_hh_num_in!N4)</f>
        <v>44684.975434087282</v>
      </c>
      <c r="O4" s="130">
        <f>IF(SER_hh_tes_in!O4=0,0,11630*1000*SER_hh_tes_in!O4/SER_hh_num_in!O4)</f>
        <v>39737.753082889547</v>
      </c>
      <c r="P4" s="130">
        <f>IF(SER_hh_tes_in!P4=0,0,11630*1000*SER_hh_tes_in!P4/SER_hh_num_in!P4)</f>
        <v>36051.54157545387</v>
      </c>
      <c r="Q4" s="130">
        <f>IF(SER_hh_tes_in!Q4=0,0,11630*1000*SER_hh_tes_in!Q4/SER_hh_num_in!Q4)</f>
        <v>35471.551226717704</v>
      </c>
      <c r="R4" s="130">
        <f>IF(SER_hh_tes_in!R4=0,0,11630*1000*SER_hh_tes_in!R4/SER_hh_num_in!R4)</f>
        <v>36462.740179233413</v>
      </c>
      <c r="S4" s="130">
        <f>IF(SER_hh_tes_in!S4=0,0,11630*1000*SER_hh_tes_in!S4/SER_hh_num_in!S4)</f>
        <v>37938.466303455301</v>
      </c>
      <c r="T4" s="130">
        <f>IF(SER_hh_tes_in!T4=0,0,11630*1000*SER_hh_tes_in!T4/SER_hh_num_in!T4)</f>
        <v>39986.433154103863</v>
      </c>
      <c r="U4" s="130">
        <f>IF(SER_hh_tes_in!U4=0,0,11630*1000*SER_hh_tes_in!U4/SER_hh_num_in!U4)</f>
        <v>35782.263780043635</v>
      </c>
      <c r="V4" s="130">
        <f>IF(SER_hh_tes_in!V4=0,0,11630*1000*SER_hh_tes_in!V4/SER_hh_num_in!V4)</f>
        <v>30236.331728895173</v>
      </c>
      <c r="W4" s="130">
        <f>IF(SER_hh_tes_in!W4=0,0,11630*1000*SER_hh_tes_in!W4/SER_hh_num_in!W4)</f>
        <v>35277.383593744446</v>
      </c>
      <c r="X4" s="130">
        <f>IF(SER_hh_tes_in!X4=0,0,11630*1000*SER_hh_tes_in!X4/SER_hh_num_in!X4)</f>
        <v>32525.347222948269</v>
      </c>
      <c r="Y4" s="130">
        <f>IF(SER_hh_tes_in!Y4=0,0,11630*1000*SER_hh_tes_in!Y4/SER_hh_num_in!Y4)</f>
        <v>34345.179779092236</v>
      </c>
      <c r="DA4" s="155" t="s">
        <v>756</v>
      </c>
    </row>
    <row r="5" spans="1:105" ht="12" customHeight="1" x14ac:dyDescent="0.25">
      <c r="A5" s="131" t="s">
        <v>29</v>
      </c>
      <c r="B5" s="132"/>
      <c r="C5" s="132">
        <f>IF(SER_hh_tes_in!C5=0,0,11630*1000*SER_hh_tes_in!C5/SER_hh_num_in!C5)</f>
        <v>62863.33626481198</v>
      </c>
      <c r="D5" s="132">
        <f>IF(SER_hh_tes_in!D5=0,0,11630*1000*SER_hh_tes_in!D5/SER_hh_num_in!D5)</f>
        <v>68534.892425535349</v>
      </c>
      <c r="E5" s="132">
        <f>IF(SER_hh_tes_in!E5=0,0,11630*1000*SER_hh_tes_in!E5/SER_hh_num_in!E5)</f>
        <v>65295.720557834917</v>
      </c>
      <c r="F5" s="132">
        <f>IF(SER_hh_tes_in!F5=0,0,11630*1000*SER_hh_tes_in!F5/SER_hh_num_in!F5)</f>
        <v>57986.421752670882</v>
      </c>
      <c r="G5" s="132">
        <f>IF(SER_hh_tes_in!G5=0,0,11630*1000*SER_hh_tes_in!G5/SER_hh_num_in!G5)</f>
        <v>60340.764699144645</v>
      </c>
      <c r="H5" s="132">
        <f>IF(SER_hh_tes_in!H5=0,0,11630*1000*SER_hh_tes_in!H5/SER_hh_num_in!H5)</f>
        <v>76406.681139259032</v>
      </c>
      <c r="I5" s="132">
        <f>IF(SER_hh_tes_in!I5=0,0,11630*1000*SER_hh_tes_in!I5/SER_hh_num_in!I5)</f>
        <v>56384.800859324838</v>
      </c>
      <c r="J5" s="132">
        <f>IF(SER_hh_tes_in!J5=0,0,11630*1000*SER_hh_tes_in!J5/SER_hh_num_in!J5)</f>
        <v>41530.61912841702</v>
      </c>
      <c r="K5" s="132">
        <f>IF(SER_hh_tes_in!K5=0,0,11630*1000*SER_hh_tes_in!K5/SER_hh_num_in!K5)</f>
        <v>47925.570057174533</v>
      </c>
      <c r="L5" s="132">
        <f>IF(SER_hh_tes_in!L5=0,0,11630*1000*SER_hh_tes_in!L5/SER_hh_num_in!L5)</f>
        <v>45504.692233761467</v>
      </c>
      <c r="M5" s="132">
        <f>IF(SER_hh_tes_in!M5=0,0,11630*1000*SER_hh_tes_in!M5/SER_hh_num_in!M5)</f>
        <v>53297.725856729405</v>
      </c>
      <c r="N5" s="132">
        <f>IF(SER_hh_tes_in!N5=0,0,11630*1000*SER_hh_tes_in!N5/SER_hh_num_in!N5)</f>
        <v>36823.565219784032</v>
      </c>
      <c r="O5" s="132">
        <f>IF(SER_hh_tes_in!O5=0,0,11630*1000*SER_hh_tes_in!O5/SER_hh_num_in!O5)</f>
        <v>42841.667050359378</v>
      </c>
      <c r="P5" s="132">
        <f>IF(SER_hh_tes_in!P5=0,0,11630*1000*SER_hh_tes_in!P5/SER_hh_num_in!P5)</f>
        <v>38251.220613357487</v>
      </c>
      <c r="Q5" s="132">
        <f>IF(SER_hh_tes_in!Q5=0,0,11630*1000*SER_hh_tes_in!Q5/SER_hh_num_in!Q5)</f>
        <v>0</v>
      </c>
      <c r="R5" s="132">
        <f>IF(SER_hh_tes_in!R5=0,0,11630*1000*SER_hh_tes_in!R5/SER_hh_num_in!R5)</f>
        <v>36270.979202423434</v>
      </c>
      <c r="S5" s="132">
        <f>IF(SER_hh_tes_in!S5=0,0,11630*1000*SER_hh_tes_in!S5/SER_hh_num_in!S5)</f>
        <v>38095.951120985257</v>
      </c>
      <c r="T5" s="132">
        <f>IF(SER_hh_tes_in!T5=0,0,11630*1000*SER_hh_tes_in!T5/SER_hh_num_in!T5)</f>
        <v>40395.280066498904</v>
      </c>
      <c r="U5" s="132">
        <f>IF(SER_hh_tes_in!U5=0,0,11630*1000*SER_hh_tes_in!U5/SER_hh_num_in!U5)</f>
        <v>36333.314831275231</v>
      </c>
      <c r="V5" s="132">
        <f>IF(SER_hh_tes_in!V5=0,0,11630*1000*SER_hh_tes_in!V5/SER_hh_num_in!V5)</f>
        <v>26585.015916616463</v>
      </c>
      <c r="W5" s="132">
        <f>IF(SER_hh_tes_in!W5=0,0,11630*1000*SER_hh_tes_in!W5/SER_hh_num_in!W5)</f>
        <v>34648.839608692448</v>
      </c>
      <c r="X5" s="132">
        <f>IF(SER_hh_tes_in!X5=0,0,11630*1000*SER_hh_tes_in!X5/SER_hh_num_in!X5)</f>
        <v>36606.551925036125</v>
      </c>
      <c r="Y5" s="132">
        <f>IF(SER_hh_tes_in!Y5=0,0,11630*1000*SER_hh_tes_in!Y5/SER_hh_num_in!Y5)</f>
        <v>0</v>
      </c>
      <c r="DA5" s="156" t="s">
        <v>757</v>
      </c>
    </row>
    <row r="6" spans="1:105" ht="12" customHeight="1" x14ac:dyDescent="0.25">
      <c r="A6" s="131" t="s">
        <v>52</v>
      </c>
      <c r="B6" s="132"/>
      <c r="C6" s="132">
        <f>IF(SER_hh_tes_in!C6=0,0,11630*1000*SER_hh_tes_in!C6/SER_hh_num_in!C6)</f>
        <v>0</v>
      </c>
      <c r="D6" s="132">
        <f>IF(SER_hh_tes_in!D6=0,0,11630*1000*SER_hh_tes_in!D6/SER_hh_num_in!D6)</f>
        <v>0</v>
      </c>
      <c r="E6" s="132">
        <f>IF(SER_hh_tes_in!E6=0,0,11630*1000*SER_hh_tes_in!E6/SER_hh_num_in!E6)</f>
        <v>0</v>
      </c>
      <c r="F6" s="132">
        <f>IF(SER_hh_tes_in!F6=0,0,11630*1000*SER_hh_tes_in!F6/SER_hh_num_in!F6)</f>
        <v>0</v>
      </c>
      <c r="G6" s="132">
        <f>IF(SER_hh_tes_in!G6=0,0,11630*1000*SER_hh_tes_in!G6/SER_hh_num_in!G6)</f>
        <v>0</v>
      </c>
      <c r="H6" s="132">
        <f>IF(SER_hh_tes_in!H6=0,0,11630*1000*SER_hh_tes_in!H6/SER_hh_num_in!H6)</f>
        <v>0</v>
      </c>
      <c r="I6" s="132">
        <f>IF(SER_hh_tes_in!I6=0,0,11630*1000*SER_hh_tes_in!I6/SER_hh_num_in!I6)</f>
        <v>0</v>
      </c>
      <c r="J6" s="132">
        <f>IF(SER_hh_tes_in!J6=0,0,11630*1000*SER_hh_tes_in!J6/SER_hh_num_in!J6)</f>
        <v>0</v>
      </c>
      <c r="K6" s="132">
        <f>IF(SER_hh_tes_in!K6=0,0,11630*1000*SER_hh_tes_in!K6/SER_hh_num_in!K6)</f>
        <v>0</v>
      </c>
      <c r="L6" s="132">
        <f>IF(SER_hh_tes_in!L6=0,0,11630*1000*SER_hh_tes_in!L6/SER_hh_num_in!L6)</f>
        <v>0</v>
      </c>
      <c r="M6" s="132">
        <f>IF(SER_hh_tes_in!M6=0,0,11630*1000*SER_hh_tes_in!M6/SER_hh_num_in!M6)</f>
        <v>0</v>
      </c>
      <c r="N6" s="132">
        <f>IF(SER_hh_tes_in!N6=0,0,11630*1000*SER_hh_tes_in!N6/SER_hh_num_in!N6)</f>
        <v>0</v>
      </c>
      <c r="O6" s="132">
        <f>IF(SER_hh_tes_in!O6=0,0,11630*1000*SER_hh_tes_in!O6/SER_hh_num_in!O6)</f>
        <v>0</v>
      </c>
      <c r="P6" s="132">
        <f>IF(SER_hh_tes_in!P6=0,0,11630*1000*SER_hh_tes_in!P6/SER_hh_num_in!P6)</f>
        <v>0</v>
      </c>
      <c r="Q6" s="132">
        <f>IF(SER_hh_tes_in!Q6=0,0,11630*1000*SER_hh_tes_in!Q6/SER_hh_num_in!Q6)</f>
        <v>0</v>
      </c>
      <c r="R6" s="132">
        <f>IF(SER_hh_tes_in!R6=0,0,11630*1000*SER_hh_tes_in!R6/SER_hh_num_in!R6)</f>
        <v>0</v>
      </c>
      <c r="S6" s="132">
        <f>IF(SER_hh_tes_in!S6=0,0,11630*1000*SER_hh_tes_in!S6/SER_hh_num_in!S6)</f>
        <v>0</v>
      </c>
      <c r="T6" s="132">
        <f>IF(SER_hh_tes_in!T6=0,0,11630*1000*SER_hh_tes_in!T6/SER_hh_num_in!T6)</f>
        <v>0</v>
      </c>
      <c r="U6" s="132">
        <f>IF(SER_hh_tes_in!U6=0,0,11630*1000*SER_hh_tes_in!U6/SER_hh_num_in!U6)</f>
        <v>0</v>
      </c>
      <c r="V6" s="132">
        <f>IF(SER_hh_tes_in!V6=0,0,11630*1000*SER_hh_tes_in!V6/SER_hh_num_in!V6)</f>
        <v>0</v>
      </c>
      <c r="W6" s="132">
        <f>IF(SER_hh_tes_in!W6=0,0,11630*1000*SER_hh_tes_in!W6/SER_hh_num_in!W6)</f>
        <v>0</v>
      </c>
      <c r="X6" s="132">
        <f>IF(SER_hh_tes_in!X6=0,0,11630*1000*SER_hh_tes_in!X6/SER_hh_num_in!X6)</f>
        <v>0</v>
      </c>
      <c r="Y6" s="132">
        <f>IF(SER_hh_tes_in!Y6=0,0,11630*1000*SER_hh_tes_in!Y6/SER_hh_num_in!Y6)</f>
        <v>0</v>
      </c>
      <c r="DA6" s="156" t="s">
        <v>758</v>
      </c>
    </row>
    <row r="7" spans="1:105" ht="12" customHeight="1" x14ac:dyDescent="0.25">
      <c r="A7" s="131" t="s">
        <v>161</v>
      </c>
      <c r="B7" s="132"/>
      <c r="C7" s="132">
        <f>IF(SER_hh_tes_in!C7=0,0,11630*1000*SER_hh_tes_in!C7/SER_hh_num_in!C7)</f>
        <v>0</v>
      </c>
      <c r="D7" s="132">
        <f>IF(SER_hh_tes_in!D7=0,0,11630*1000*SER_hh_tes_in!D7/SER_hh_num_in!D7)</f>
        <v>0</v>
      </c>
      <c r="E7" s="132">
        <f>IF(SER_hh_tes_in!E7=0,0,11630*1000*SER_hh_tes_in!E7/SER_hh_num_in!E7)</f>
        <v>0</v>
      </c>
      <c r="F7" s="132">
        <f>IF(SER_hh_tes_in!F7=0,0,11630*1000*SER_hh_tes_in!F7/SER_hh_num_in!F7)</f>
        <v>0</v>
      </c>
      <c r="G7" s="132">
        <f>IF(SER_hh_tes_in!G7=0,0,11630*1000*SER_hh_tes_in!G7/SER_hh_num_in!G7)</f>
        <v>0</v>
      </c>
      <c r="H7" s="132">
        <f>IF(SER_hh_tes_in!H7=0,0,11630*1000*SER_hh_tes_in!H7/SER_hh_num_in!H7)</f>
        <v>0</v>
      </c>
      <c r="I7" s="132">
        <f>IF(SER_hh_tes_in!I7=0,0,11630*1000*SER_hh_tes_in!I7/SER_hh_num_in!I7)</f>
        <v>0</v>
      </c>
      <c r="J7" s="132">
        <f>IF(SER_hh_tes_in!J7=0,0,11630*1000*SER_hh_tes_in!J7/SER_hh_num_in!J7)</f>
        <v>83932.202579629491</v>
      </c>
      <c r="K7" s="132">
        <f>IF(SER_hh_tes_in!K7=0,0,11630*1000*SER_hh_tes_in!K7/SER_hh_num_in!K7)</f>
        <v>26197.669338012754</v>
      </c>
      <c r="L7" s="132">
        <f>IF(SER_hh_tes_in!L7=0,0,11630*1000*SER_hh_tes_in!L7/SER_hh_num_in!L7)</f>
        <v>39877.085296713209</v>
      </c>
      <c r="M7" s="132">
        <f>IF(SER_hh_tes_in!M7=0,0,11630*1000*SER_hh_tes_in!M7/SER_hh_num_in!M7)</f>
        <v>54131.223138675465</v>
      </c>
      <c r="N7" s="132">
        <f>IF(SER_hh_tes_in!N7=0,0,11630*1000*SER_hh_tes_in!N7/SER_hh_num_in!N7)</f>
        <v>34741.026414891166</v>
      </c>
      <c r="O7" s="132">
        <f>IF(SER_hh_tes_in!O7=0,0,11630*1000*SER_hh_tes_in!O7/SER_hh_num_in!O7)</f>
        <v>36301.060799476858</v>
      </c>
      <c r="P7" s="132">
        <f>IF(SER_hh_tes_in!P7=0,0,11630*1000*SER_hh_tes_in!P7/SER_hh_num_in!P7)</f>
        <v>0</v>
      </c>
      <c r="Q7" s="132">
        <f>IF(SER_hh_tes_in!Q7=0,0,11630*1000*SER_hh_tes_in!Q7/SER_hh_num_in!Q7)</f>
        <v>0</v>
      </c>
      <c r="R7" s="132">
        <f>IF(SER_hh_tes_in!R7=0,0,11630*1000*SER_hh_tes_in!R7/SER_hh_num_in!R7)</f>
        <v>0</v>
      </c>
      <c r="S7" s="132">
        <f>IF(SER_hh_tes_in!S7=0,0,11630*1000*SER_hh_tes_in!S7/SER_hh_num_in!S7)</f>
        <v>0</v>
      </c>
      <c r="T7" s="132">
        <f>IF(SER_hh_tes_in!T7=0,0,11630*1000*SER_hh_tes_in!T7/SER_hh_num_in!T7)</f>
        <v>0</v>
      </c>
      <c r="U7" s="132">
        <f>IF(SER_hh_tes_in!U7=0,0,11630*1000*SER_hh_tes_in!U7/SER_hh_num_in!U7)</f>
        <v>33449.893887534083</v>
      </c>
      <c r="V7" s="132">
        <f>IF(SER_hh_tes_in!V7=0,0,11630*1000*SER_hh_tes_in!V7/SER_hh_num_in!V7)</f>
        <v>33061.873372040522</v>
      </c>
      <c r="W7" s="132">
        <f>IF(SER_hh_tes_in!W7=0,0,11630*1000*SER_hh_tes_in!W7/SER_hh_num_in!W7)</f>
        <v>33339.509184700568</v>
      </c>
      <c r="X7" s="132">
        <f>IF(SER_hh_tes_in!X7=0,0,11630*1000*SER_hh_tes_in!X7/SER_hh_num_in!X7)</f>
        <v>28046.264580706629</v>
      </c>
      <c r="Y7" s="132">
        <f>IF(SER_hh_tes_in!Y7=0,0,11630*1000*SER_hh_tes_in!Y7/SER_hh_num_in!Y7)</f>
        <v>37230.234934775268</v>
      </c>
      <c r="DA7" s="156" t="s">
        <v>759</v>
      </c>
    </row>
    <row r="8" spans="1:105" ht="12" customHeight="1" x14ac:dyDescent="0.25">
      <c r="A8" s="131" t="s">
        <v>73</v>
      </c>
      <c r="B8" s="132"/>
      <c r="C8" s="132">
        <f>IF(SER_hh_tes_in!C8=0,0,11630*1000*SER_hh_tes_in!C8/SER_hh_num_in!C8)</f>
        <v>0</v>
      </c>
      <c r="D8" s="132">
        <f>IF(SER_hh_tes_in!D8=0,0,11630*1000*SER_hh_tes_in!D8/SER_hh_num_in!D8)</f>
        <v>0</v>
      </c>
      <c r="E8" s="132">
        <f>IF(SER_hh_tes_in!E8=0,0,11630*1000*SER_hh_tes_in!E8/SER_hh_num_in!E8)</f>
        <v>0</v>
      </c>
      <c r="F8" s="132">
        <f>IF(SER_hh_tes_in!F8=0,0,11630*1000*SER_hh_tes_in!F8/SER_hh_num_in!F8)</f>
        <v>0</v>
      </c>
      <c r="G8" s="132">
        <f>IF(SER_hh_tes_in!G8=0,0,11630*1000*SER_hh_tes_in!G8/SER_hh_num_in!G8)</f>
        <v>0</v>
      </c>
      <c r="H8" s="132">
        <f>IF(SER_hh_tes_in!H8=0,0,11630*1000*SER_hh_tes_in!H8/SER_hh_num_in!H8)</f>
        <v>0</v>
      </c>
      <c r="I8" s="132">
        <f>IF(SER_hh_tes_in!I8=0,0,11630*1000*SER_hh_tes_in!I8/SER_hh_num_in!I8)</f>
        <v>0</v>
      </c>
      <c r="J8" s="132">
        <f>IF(SER_hh_tes_in!J8=0,0,11630*1000*SER_hh_tes_in!J8/SER_hh_num_in!J8)</f>
        <v>0</v>
      </c>
      <c r="K8" s="132">
        <f>IF(SER_hh_tes_in!K8=0,0,11630*1000*SER_hh_tes_in!K8/SER_hh_num_in!K8)</f>
        <v>0</v>
      </c>
      <c r="L8" s="132">
        <f>IF(SER_hh_tes_in!L8=0,0,11630*1000*SER_hh_tes_in!L8/SER_hh_num_in!L8)</f>
        <v>0</v>
      </c>
      <c r="M8" s="132">
        <f>IF(SER_hh_tes_in!M8=0,0,11630*1000*SER_hh_tes_in!M8/SER_hh_num_in!M8)</f>
        <v>0</v>
      </c>
      <c r="N8" s="132">
        <f>IF(SER_hh_tes_in!N8=0,0,11630*1000*SER_hh_tes_in!N8/SER_hh_num_in!N8)</f>
        <v>0</v>
      </c>
      <c r="O8" s="132">
        <f>IF(SER_hh_tes_in!O8=0,0,11630*1000*SER_hh_tes_in!O8/SER_hh_num_in!O8)</f>
        <v>0</v>
      </c>
      <c r="P8" s="132">
        <f>IF(SER_hh_tes_in!P8=0,0,11630*1000*SER_hh_tes_in!P8/SER_hh_num_in!P8)</f>
        <v>0</v>
      </c>
      <c r="Q8" s="132">
        <f>IF(SER_hh_tes_in!Q8=0,0,11630*1000*SER_hh_tes_in!Q8/SER_hh_num_in!Q8)</f>
        <v>0</v>
      </c>
      <c r="R8" s="132">
        <f>IF(SER_hh_tes_in!R8=0,0,11630*1000*SER_hh_tes_in!R8/SER_hh_num_in!R8)</f>
        <v>0</v>
      </c>
      <c r="S8" s="132">
        <f>IF(SER_hh_tes_in!S8=0,0,11630*1000*SER_hh_tes_in!S8/SER_hh_num_in!S8)</f>
        <v>0</v>
      </c>
      <c r="T8" s="132">
        <f>IF(SER_hh_tes_in!T8=0,0,11630*1000*SER_hh_tes_in!T8/SER_hh_num_in!T8)</f>
        <v>0</v>
      </c>
      <c r="U8" s="132">
        <f>IF(SER_hh_tes_in!U8=0,0,11630*1000*SER_hh_tes_in!U8/SER_hh_num_in!U8)</f>
        <v>0</v>
      </c>
      <c r="V8" s="132">
        <f>IF(SER_hh_tes_in!V8=0,0,11630*1000*SER_hh_tes_in!V8/SER_hh_num_in!V8)</f>
        <v>0</v>
      </c>
      <c r="W8" s="132">
        <f>IF(SER_hh_tes_in!W8=0,0,11630*1000*SER_hh_tes_in!W8/SER_hh_num_in!W8)</f>
        <v>0</v>
      </c>
      <c r="X8" s="132">
        <f>IF(SER_hh_tes_in!X8=0,0,11630*1000*SER_hh_tes_in!X8/SER_hh_num_in!X8)</f>
        <v>0</v>
      </c>
      <c r="Y8" s="132">
        <f>IF(SER_hh_tes_in!Y8=0,0,11630*1000*SER_hh_tes_in!Y8/SER_hh_num_in!Y8)</f>
        <v>0</v>
      </c>
      <c r="DA8" s="156" t="s">
        <v>760</v>
      </c>
    </row>
    <row r="9" spans="1:105" ht="12" customHeight="1" x14ac:dyDescent="0.25">
      <c r="A9" s="131" t="s">
        <v>78</v>
      </c>
      <c r="B9" s="132"/>
      <c r="C9" s="132">
        <f>IF(SER_hh_tes_in!C9=0,0,11630*1000*SER_hh_tes_in!C9/SER_hh_num_in!C9)</f>
        <v>66851.313071637036</v>
      </c>
      <c r="D9" s="132">
        <f>IF(SER_hh_tes_in!D9=0,0,11630*1000*SER_hh_tes_in!D9/SER_hh_num_in!D9)</f>
        <v>65858.431091144754</v>
      </c>
      <c r="E9" s="132">
        <f>IF(SER_hh_tes_in!E9=0,0,11630*1000*SER_hh_tes_in!E9/SER_hh_num_in!E9)</f>
        <v>58991.110827260891</v>
      </c>
      <c r="F9" s="132">
        <f>IF(SER_hh_tes_in!F9=0,0,11630*1000*SER_hh_tes_in!F9/SER_hh_num_in!F9)</f>
        <v>70150.594253192263</v>
      </c>
      <c r="G9" s="132">
        <f>IF(SER_hh_tes_in!G9=0,0,11630*1000*SER_hh_tes_in!G9/SER_hh_num_in!G9)</f>
        <v>59024.035221801598</v>
      </c>
      <c r="H9" s="132">
        <f>IF(SER_hh_tes_in!H9=0,0,11630*1000*SER_hh_tes_in!H9/SER_hh_num_in!H9)</f>
        <v>55029.3982479728</v>
      </c>
      <c r="I9" s="132">
        <f>IF(SER_hh_tes_in!I9=0,0,11630*1000*SER_hh_tes_in!I9/SER_hh_num_in!I9)</f>
        <v>63029.107057542373</v>
      </c>
      <c r="J9" s="132">
        <f>IF(SER_hh_tes_in!J9=0,0,11630*1000*SER_hh_tes_in!J9/SER_hh_num_in!J9)</f>
        <v>52401.658798708122</v>
      </c>
      <c r="K9" s="132">
        <f>IF(SER_hh_tes_in!K9=0,0,11630*1000*SER_hh_tes_in!K9/SER_hh_num_in!K9)</f>
        <v>44226.621555486039</v>
      </c>
      <c r="L9" s="132">
        <f>IF(SER_hh_tes_in!L9=0,0,11630*1000*SER_hh_tes_in!L9/SER_hh_num_in!L9)</f>
        <v>47823.082072019264</v>
      </c>
      <c r="M9" s="132">
        <f>IF(SER_hh_tes_in!M9=0,0,11630*1000*SER_hh_tes_in!M9/SER_hh_num_in!M9)</f>
        <v>40636.718273767525</v>
      </c>
      <c r="N9" s="132">
        <f>IF(SER_hh_tes_in!N9=0,0,11630*1000*SER_hh_tes_in!N9/SER_hh_num_in!N9)</f>
        <v>42480.385291395178</v>
      </c>
      <c r="O9" s="132">
        <f>IF(SER_hh_tes_in!O9=0,0,11630*1000*SER_hh_tes_in!O9/SER_hh_num_in!O9)</f>
        <v>40589.724047527336</v>
      </c>
      <c r="P9" s="132">
        <f>IF(SER_hh_tes_in!P9=0,0,11630*1000*SER_hh_tes_in!P9/SER_hh_num_in!P9)</f>
        <v>33879.707358146974</v>
      </c>
      <c r="Q9" s="132">
        <f>IF(SER_hh_tes_in!Q9=0,0,11630*1000*SER_hh_tes_in!Q9/SER_hh_num_in!Q9)</f>
        <v>35313.071366312179</v>
      </c>
      <c r="R9" s="132">
        <f>IF(SER_hh_tes_in!R9=0,0,11630*1000*SER_hh_tes_in!R9/SER_hh_num_in!R9)</f>
        <v>36189.550595373003</v>
      </c>
      <c r="S9" s="132">
        <f>IF(SER_hh_tes_in!S9=0,0,11630*1000*SER_hh_tes_in!S9/SER_hh_num_in!S9)</f>
        <v>36931.213390002689</v>
      </c>
      <c r="T9" s="132">
        <f>IF(SER_hh_tes_in!T9=0,0,11630*1000*SER_hh_tes_in!T9/SER_hh_num_in!T9)</f>
        <v>37035.603368191223</v>
      </c>
      <c r="U9" s="132">
        <f>IF(SER_hh_tes_in!U9=0,0,11630*1000*SER_hh_tes_in!U9/SER_hh_num_in!U9)</f>
        <v>35679.726937375606</v>
      </c>
      <c r="V9" s="132">
        <f>IF(SER_hh_tes_in!V9=0,0,11630*1000*SER_hh_tes_in!V9/SER_hh_num_in!V9)</f>
        <v>34023.677212232666</v>
      </c>
      <c r="W9" s="132">
        <f>IF(SER_hh_tes_in!W9=0,0,11630*1000*SER_hh_tes_in!W9/SER_hh_num_in!W9)</f>
        <v>32730.910102381727</v>
      </c>
      <c r="X9" s="132">
        <f>IF(SER_hh_tes_in!X9=0,0,11630*1000*SER_hh_tes_in!X9/SER_hh_num_in!X9)</f>
        <v>29737.898320659297</v>
      </c>
      <c r="Y9" s="132">
        <f>IF(SER_hh_tes_in!Y9=0,0,11630*1000*SER_hh_tes_in!Y9/SER_hh_num_in!Y9)</f>
        <v>35595.865080567928</v>
      </c>
      <c r="DA9" s="156" t="s">
        <v>761</v>
      </c>
    </row>
    <row r="10" spans="1:105" ht="12" customHeight="1" x14ac:dyDescent="0.25">
      <c r="A10" s="131" t="s">
        <v>128</v>
      </c>
      <c r="B10" s="132"/>
      <c r="C10" s="132">
        <f>IF(SER_hh_tes_in!C10=0,0,11630*1000*SER_hh_tes_in!C10/SER_hh_num_in!C10)</f>
        <v>69277.498038895006</v>
      </c>
      <c r="D10" s="132">
        <f>IF(SER_hh_tes_in!D10=0,0,11630*1000*SER_hh_tes_in!D10/SER_hh_num_in!D10)</f>
        <v>70304.746423616598</v>
      </c>
      <c r="E10" s="132">
        <f>IF(SER_hh_tes_in!E10=0,0,11630*1000*SER_hh_tes_in!E10/SER_hh_num_in!E10)</f>
        <v>63344.445473083382</v>
      </c>
      <c r="F10" s="132">
        <f>IF(SER_hh_tes_in!F10=0,0,11630*1000*SER_hh_tes_in!F10/SER_hh_num_in!F10)</f>
        <v>61014.533478247737</v>
      </c>
      <c r="G10" s="132">
        <f>IF(SER_hh_tes_in!G10=0,0,11630*1000*SER_hh_tes_in!G10/SER_hh_num_in!G10)</f>
        <v>61305.446146903916</v>
      </c>
      <c r="H10" s="132">
        <f>IF(SER_hh_tes_in!H10=0,0,11630*1000*SER_hh_tes_in!H10/SER_hh_num_in!H10)</f>
        <v>59765.594659522438</v>
      </c>
      <c r="I10" s="132">
        <f>IF(SER_hh_tes_in!I10=0,0,11630*1000*SER_hh_tes_in!I10/SER_hh_num_in!I10)</f>
        <v>54227.92641227576</v>
      </c>
      <c r="J10" s="132">
        <f>IF(SER_hh_tes_in!J10=0,0,11630*1000*SER_hh_tes_in!J10/SER_hh_num_in!J10)</f>
        <v>51880.084446828907</v>
      </c>
      <c r="K10" s="132">
        <f>IF(SER_hh_tes_in!K10=0,0,11630*1000*SER_hh_tes_in!K10/SER_hh_num_in!K10)</f>
        <v>47145.880032765839</v>
      </c>
      <c r="L10" s="132">
        <f>IF(SER_hh_tes_in!L10=0,0,11630*1000*SER_hh_tes_in!L10/SER_hh_num_in!L10)</f>
        <v>44027.126703407601</v>
      </c>
      <c r="M10" s="132">
        <f>IF(SER_hh_tes_in!M10=0,0,11630*1000*SER_hh_tes_in!M10/SER_hh_num_in!M10)</f>
        <v>43557.335762523078</v>
      </c>
      <c r="N10" s="132">
        <f>IF(SER_hh_tes_in!N10=0,0,11630*1000*SER_hh_tes_in!N10/SER_hh_num_in!N10)</f>
        <v>42795.864697637517</v>
      </c>
      <c r="O10" s="132">
        <f>IF(SER_hh_tes_in!O10=0,0,11630*1000*SER_hh_tes_in!O10/SER_hh_num_in!O10)</f>
        <v>41023.228167297762</v>
      </c>
      <c r="P10" s="132">
        <f>IF(SER_hh_tes_in!P10=0,0,11630*1000*SER_hh_tes_in!P10/SER_hh_num_in!P10)</f>
        <v>37014.38695183544</v>
      </c>
      <c r="Q10" s="132">
        <f>IF(SER_hh_tes_in!Q10=0,0,11630*1000*SER_hh_tes_in!Q10/SER_hh_num_in!Q10)</f>
        <v>35166.900061027802</v>
      </c>
      <c r="R10" s="132">
        <f>IF(SER_hh_tes_in!R10=0,0,11630*1000*SER_hh_tes_in!R10/SER_hh_num_in!R10)</f>
        <v>0</v>
      </c>
      <c r="S10" s="132">
        <f>IF(SER_hh_tes_in!S10=0,0,11630*1000*SER_hh_tes_in!S10/SER_hh_num_in!S10)</f>
        <v>0</v>
      </c>
      <c r="T10" s="132">
        <f>IF(SER_hh_tes_in!T10=0,0,11630*1000*SER_hh_tes_in!T10/SER_hh_num_in!T10)</f>
        <v>0</v>
      </c>
      <c r="U10" s="132">
        <f>IF(SER_hh_tes_in!U10=0,0,11630*1000*SER_hh_tes_in!U10/SER_hh_num_in!U10)</f>
        <v>33729.09702294811</v>
      </c>
      <c r="V10" s="132">
        <f>IF(SER_hh_tes_in!V10=0,0,11630*1000*SER_hh_tes_in!V10/SER_hh_num_in!V10)</f>
        <v>35974.415209856234</v>
      </c>
      <c r="W10" s="132">
        <f>IF(SER_hh_tes_in!W10=0,0,11630*1000*SER_hh_tes_in!W10/SER_hh_num_in!W10)</f>
        <v>32927.150434423456</v>
      </c>
      <c r="X10" s="132">
        <f>IF(SER_hh_tes_in!X10=0,0,11630*1000*SER_hh_tes_in!X10/SER_hh_num_in!X10)</f>
        <v>31422.749663550141</v>
      </c>
      <c r="Y10" s="132">
        <f>IF(SER_hh_tes_in!Y10=0,0,11630*1000*SER_hh_tes_in!Y10/SER_hh_num_in!Y10)</f>
        <v>33640.753151790319</v>
      </c>
      <c r="DA10" s="156" t="s">
        <v>762</v>
      </c>
    </row>
    <row r="11" spans="1:105" ht="12" customHeight="1" x14ac:dyDescent="0.25">
      <c r="A11" s="131" t="s">
        <v>25</v>
      </c>
      <c r="B11" s="132"/>
      <c r="C11" s="132">
        <f>IF(SER_hh_tes_in!C11=0,0,11630*1000*SER_hh_tes_in!C11/SER_hh_num_in!C11)</f>
        <v>0</v>
      </c>
      <c r="D11" s="132">
        <f>IF(SER_hh_tes_in!D11=0,0,11630*1000*SER_hh_tes_in!D11/SER_hh_num_in!D11)</f>
        <v>0</v>
      </c>
      <c r="E11" s="132">
        <f>IF(SER_hh_tes_in!E11=0,0,11630*1000*SER_hh_tes_in!E11/SER_hh_num_in!E11)</f>
        <v>0</v>
      </c>
      <c r="F11" s="132">
        <f>IF(SER_hh_tes_in!F11=0,0,11630*1000*SER_hh_tes_in!F11/SER_hh_num_in!F11)</f>
        <v>0</v>
      </c>
      <c r="G11" s="132">
        <f>IF(SER_hh_tes_in!G11=0,0,11630*1000*SER_hh_tes_in!G11/SER_hh_num_in!G11)</f>
        <v>0</v>
      </c>
      <c r="H11" s="132">
        <f>IF(SER_hh_tes_in!H11=0,0,11630*1000*SER_hh_tes_in!H11/SER_hh_num_in!H11)</f>
        <v>0</v>
      </c>
      <c r="I11" s="132">
        <f>IF(SER_hh_tes_in!I11=0,0,11630*1000*SER_hh_tes_in!I11/SER_hh_num_in!I11)</f>
        <v>0</v>
      </c>
      <c r="J11" s="132">
        <f>IF(SER_hh_tes_in!J11=0,0,11630*1000*SER_hh_tes_in!J11/SER_hh_num_in!J11)</f>
        <v>0</v>
      </c>
      <c r="K11" s="132">
        <f>IF(SER_hh_tes_in!K11=0,0,11630*1000*SER_hh_tes_in!K11/SER_hh_num_in!K11)</f>
        <v>0</v>
      </c>
      <c r="L11" s="132">
        <f>IF(SER_hh_tes_in!L11=0,0,11630*1000*SER_hh_tes_in!L11/SER_hh_num_in!L11)</f>
        <v>0</v>
      </c>
      <c r="M11" s="132">
        <f>IF(SER_hh_tes_in!M11=0,0,11630*1000*SER_hh_tes_in!M11/SER_hh_num_in!M11)</f>
        <v>0</v>
      </c>
      <c r="N11" s="132">
        <f>IF(SER_hh_tes_in!N11=0,0,11630*1000*SER_hh_tes_in!N11/SER_hh_num_in!N11)</f>
        <v>0</v>
      </c>
      <c r="O11" s="132">
        <f>IF(SER_hh_tes_in!O11=0,0,11630*1000*SER_hh_tes_in!O11/SER_hh_num_in!O11)</f>
        <v>0</v>
      </c>
      <c r="P11" s="132">
        <f>IF(SER_hh_tes_in!P11=0,0,11630*1000*SER_hh_tes_in!P11/SER_hh_num_in!P11)</f>
        <v>0</v>
      </c>
      <c r="Q11" s="132">
        <f>IF(SER_hh_tes_in!Q11=0,0,11630*1000*SER_hh_tes_in!Q11/SER_hh_num_in!Q11)</f>
        <v>0</v>
      </c>
      <c r="R11" s="132">
        <f>IF(SER_hh_tes_in!R11=0,0,11630*1000*SER_hh_tes_in!R11/SER_hh_num_in!R11)</f>
        <v>0</v>
      </c>
      <c r="S11" s="132">
        <f>IF(SER_hh_tes_in!S11=0,0,11630*1000*SER_hh_tes_in!S11/SER_hh_num_in!S11)</f>
        <v>0</v>
      </c>
      <c r="T11" s="132">
        <f>IF(SER_hh_tes_in!T11=0,0,11630*1000*SER_hh_tes_in!T11/SER_hh_num_in!T11)</f>
        <v>0</v>
      </c>
      <c r="U11" s="132">
        <f>IF(SER_hh_tes_in!U11=0,0,11630*1000*SER_hh_tes_in!U11/SER_hh_num_in!U11)</f>
        <v>0</v>
      </c>
      <c r="V11" s="132">
        <f>IF(SER_hh_tes_in!V11=0,0,11630*1000*SER_hh_tes_in!V11/SER_hh_num_in!V11)</f>
        <v>0</v>
      </c>
      <c r="W11" s="132">
        <f>IF(SER_hh_tes_in!W11=0,0,11630*1000*SER_hh_tes_in!W11/SER_hh_num_in!W11)</f>
        <v>0</v>
      </c>
      <c r="X11" s="132">
        <f>IF(SER_hh_tes_in!X11=0,0,11630*1000*SER_hh_tes_in!X11/SER_hh_num_in!X11)</f>
        <v>0</v>
      </c>
      <c r="Y11" s="132">
        <f>IF(SER_hh_tes_in!Y11=0,0,11630*1000*SER_hh_tes_in!Y11/SER_hh_num_in!Y11)</f>
        <v>0</v>
      </c>
      <c r="DA11" s="156" t="s">
        <v>763</v>
      </c>
    </row>
    <row r="12" spans="1:105" ht="12" customHeight="1" x14ac:dyDescent="0.25">
      <c r="A12" s="131" t="s">
        <v>162</v>
      </c>
      <c r="B12" s="132"/>
      <c r="C12" s="132">
        <f>IF(SER_hh_tes_in!C12=0,0,11630*1000*SER_hh_tes_in!C12/SER_hh_num_in!C12)</f>
        <v>70987.868134419288</v>
      </c>
      <c r="D12" s="132">
        <f>IF(SER_hh_tes_in!D12=0,0,11630*1000*SER_hh_tes_in!D12/SER_hh_num_in!D12)</f>
        <v>67040.281414259865</v>
      </c>
      <c r="E12" s="132">
        <f>IF(SER_hh_tes_in!E12=0,0,11630*1000*SER_hh_tes_in!E12/SER_hh_num_in!E12)</f>
        <v>66295.040233877837</v>
      </c>
      <c r="F12" s="132">
        <f>IF(SER_hh_tes_in!F12=0,0,11630*1000*SER_hh_tes_in!F12/SER_hh_num_in!F12)</f>
        <v>64076.743608385827</v>
      </c>
      <c r="G12" s="132">
        <f>IF(SER_hh_tes_in!G12=0,0,11630*1000*SER_hh_tes_in!G12/SER_hh_num_in!G12)</f>
        <v>60592.39111788306</v>
      </c>
      <c r="H12" s="132">
        <f>IF(SER_hh_tes_in!H12=0,0,11630*1000*SER_hh_tes_in!H12/SER_hh_num_in!H12)</f>
        <v>63268.31954605451</v>
      </c>
      <c r="I12" s="132">
        <f>IF(SER_hh_tes_in!I12=0,0,11630*1000*SER_hh_tes_in!I12/SER_hh_num_in!I12)</f>
        <v>58047.836585882964</v>
      </c>
      <c r="J12" s="132">
        <f>IF(SER_hh_tes_in!J12=0,0,11630*1000*SER_hh_tes_in!J12/SER_hh_num_in!J12)</f>
        <v>45340.531526854</v>
      </c>
      <c r="K12" s="132">
        <f>IF(SER_hh_tes_in!K12=0,0,11630*1000*SER_hh_tes_in!K12/SER_hh_num_in!K12)</f>
        <v>48301.305496634312</v>
      </c>
      <c r="L12" s="132">
        <f>IF(SER_hh_tes_in!L12=0,0,11630*1000*SER_hh_tes_in!L12/SER_hh_num_in!L12)</f>
        <v>49957.116842161922</v>
      </c>
      <c r="M12" s="132">
        <f>IF(SER_hh_tes_in!M12=0,0,11630*1000*SER_hh_tes_in!M12/SER_hh_num_in!M12)</f>
        <v>38890.787459993917</v>
      </c>
      <c r="N12" s="132">
        <f>IF(SER_hh_tes_in!N12=0,0,11630*1000*SER_hh_tes_in!N12/SER_hh_num_in!N12)</f>
        <v>46399.047720469862</v>
      </c>
      <c r="O12" s="132">
        <f>IF(SER_hh_tes_in!O12=0,0,11630*1000*SER_hh_tes_in!O12/SER_hh_num_in!O12)</f>
        <v>37976.660000648837</v>
      </c>
      <c r="P12" s="132">
        <f>IF(SER_hh_tes_in!P12=0,0,11630*1000*SER_hh_tes_in!P12/SER_hh_num_in!P12)</f>
        <v>36008.775107992304</v>
      </c>
      <c r="Q12" s="132">
        <f>IF(SER_hh_tes_in!Q12=0,0,11630*1000*SER_hh_tes_in!Q12/SER_hh_num_in!Q12)</f>
        <v>35587.340646982455</v>
      </c>
      <c r="R12" s="132">
        <f>IF(SER_hh_tes_in!R12=0,0,11630*1000*SER_hh_tes_in!R12/SER_hh_num_in!R12)</f>
        <v>34346.808005467741</v>
      </c>
      <c r="S12" s="132">
        <f>IF(SER_hh_tes_in!S12=0,0,11630*1000*SER_hh_tes_in!S12/SER_hh_num_in!S12)</f>
        <v>39802.837597391255</v>
      </c>
      <c r="T12" s="132">
        <f>IF(SER_hh_tes_in!T12=0,0,11630*1000*SER_hh_tes_in!T12/SER_hh_num_in!T12)</f>
        <v>39810.585858553888</v>
      </c>
      <c r="U12" s="132">
        <f>IF(SER_hh_tes_in!U12=0,0,11630*1000*SER_hh_tes_in!U12/SER_hh_num_in!U12)</f>
        <v>33515.26782107132</v>
      </c>
      <c r="V12" s="132">
        <f>IF(SER_hh_tes_in!V12=0,0,11630*1000*SER_hh_tes_in!V12/SER_hh_num_in!V12)</f>
        <v>29185.003274073999</v>
      </c>
      <c r="W12" s="132">
        <f>IF(SER_hh_tes_in!W12=0,0,11630*1000*SER_hh_tes_in!W12/SER_hh_num_in!W12)</f>
        <v>36717.097267698984</v>
      </c>
      <c r="X12" s="132">
        <f>IF(SER_hh_tes_in!X12=0,0,11630*1000*SER_hh_tes_in!X12/SER_hh_num_in!X12)</f>
        <v>34202.799140613526</v>
      </c>
      <c r="Y12" s="132">
        <f>IF(SER_hh_tes_in!Y12=0,0,11630*1000*SER_hh_tes_in!Y12/SER_hh_num_in!Y12)</f>
        <v>32651.123319252729</v>
      </c>
      <c r="DA12" s="156" t="s">
        <v>764</v>
      </c>
    </row>
    <row r="13" spans="1:105" ht="12" customHeight="1" x14ac:dyDescent="0.25">
      <c r="A13" s="131" t="s">
        <v>77</v>
      </c>
      <c r="B13" s="132"/>
      <c r="C13" s="132">
        <f>IF(SER_hh_tes_in!C13=0,0,11630*1000*SER_hh_tes_in!C13/SER_hh_num_in!C13)</f>
        <v>68371.57840773341</v>
      </c>
      <c r="D13" s="132">
        <f>IF(SER_hh_tes_in!D13=0,0,11630*1000*SER_hh_tes_in!D13/SER_hh_num_in!D13)</f>
        <v>53629.233084034859</v>
      </c>
      <c r="E13" s="132">
        <f>IF(SER_hh_tes_in!E13=0,0,11630*1000*SER_hh_tes_in!E13/SER_hh_num_in!E13)</f>
        <v>65765.246164661396</v>
      </c>
      <c r="F13" s="132">
        <f>IF(SER_hh_tes_in!F13=0,0,11630*1000*SER_hh_tes_in!F13/SER_hh_num_in!F13)</f>
        <v>61891.561404067594</v>
      </c>
      <c r="G13" s="132">
        <f>IF(SER_hh_tes_in!G13=0,0,11630*1000*SER_hh_tes_in!G13/SER_hh_num_in!G13)</f>
        <v>62887.422975870941</v>
      </c>
      <c r="H13" s="132">
        <f>IF(SER_hh_tes_in!H13=0,0,11630*1000*SER_hh_tes_in!H13/SER_hh_num_in!H13)</f>
        <v>55831.623003218177</v>
      </c>
      <c r="I13" s="132">
        <f>IF(SER_hh_tes_in!I13=0,0,11630*1000*SER_hh_tes_in!I13/SER_hh_num_in!I13)</f>
        <v>47865.575552853705</v>
      </c>
      <c r="J13" s="132">
        <f>IF(SER_hh_tes_in!J13=0,0,11630*1000*SER_hh_tes_in!J13/SER_hh_num_in!J13)</f>
        <v>56986.912855127019</v>
      </c>
      <c r="K13" s="132">
        <f>IF(SER_hh_tes_in!K13=0,0,11630*1000*SER_hh_tes_in!K13/SER_hh_num_in!K13)</f>
        <v>45319.595341650645</v>
      </c>
      <c r="L13" s="132">
        <f>IF(SER_hh_tes_in!L13=0,0,11630*1000*SER_hh_tes_in!L13/SER_hh_num_in!L13)</f>
        <v>35209.178013141776</v>
      </c>
      <c r="M13" s="132">
        <f>IF(SER_hh_tes_in!M13=0,0,11630*1000*SER_hh_tes_in!M13/SER_hh_num_in!M13)</f>
        <v>40461.719605444239</v>
      </c>
      <c r="N13" s="132">
        <f>IF(SER_hh_tes_in!N13=0,0,11630*1000*SER_hh_tes_in!N13/SER_hh_num_in!N13)</f>
        <v>39214.845027254247</v>
      </c>
      <c r="O13" s="132">
        <f>IF(SER_hh_tes_in!O13=0,0,11630*1000*SER_hh_tes_in!O13/SER_hh_num_in!O13)</f>
        <v>35600.59189881356</v>
      </c>
      <c r="P13" s="132">
        <f>IF(SER_hh_tes_in!P13=0,0,11630*1000*SER_hh_tes_in!P13/SER_hh_num_in!P13)</f>
        <v>41259.501090875987</v>
      </c>
      <c r="Q13" s="132">
        <f>IF(SER_hh_tes_in!Q13=0,0,11630*1000*SER_hh_tes_in!Q13/SER_hh_num_in!Q13)</f>
        <v>37828.634517492115</v>
      </c>
      <c r="R13" s="132">
        <f>IF(SER_hh_tes_in!R13=0,0,11630*1000*SER_hh_tes_in!R13/SER_hh_num_in!R13)</f>
        <v>37447.987240206901</v>
      </c>
      <c r="S13" s="132">
        <f>IF(SER_hh_tes_in!S13=0,0,11630*1000*SER_hh_tes_in!S13/SER_hh_num_in!S13)</f>
        <v>37698.187673620982</v>
      </c>
      <c r="T13" s="132">
        <f>IF(SER_hh_tes_in!T13=0,0,11630*1000*SER_hh_tes_in!T13/SER_hh_num_in!T13)</f>
        <v>38009.51935516626</v>
      </c>
      <c r="U13" s="132">
        <f>IF(SER_hh_tes_in!U13=0,0,11630*1000*SER_hh_tes_in!U13/SER_hh_num_in!U13)</f>
        <v>33114.322726720195</v>
      </c>
      <c r="V13" s="132">
        <f>IF(SER_hh_tes_in!V13=0,0,11630*1000*SER_hh_tes_in!V13/SER_hh_num_in!V13)</f>
        <v>25747.923839541822</v>
      </c>
      <c r="W13" s="132">
        <f>IF(SER_hh_tes_in!W13=0,0,11630*1000*SER_hh_tes_in!W13/SER_hh_num_in!W13)</f>
        <v>36523.525836303059</v>
      </c>
      <c r="X13" s="132">
        <f>IF(SER_hh_tes_in!X13=0,0,11630*1000*SER_hh_tes_in!X13/SER_hh_num_in!X13)</f>
        <v>31419.745050023153</v>
      </c>
      <c r="Y13" s="132">
        <f>IF(SER_hh_tes_in!Y13=0,0,11630*1000*SER_hh_tes_in!Y13/SER_hh_num_in!Y13)</f>
        <v>37258.398642636676</v>
      </c>
      <c r="DA13" s="156" t="s">
        <v>765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71684.958685651</v>
      </c>
      <c r="D14" s="65">
        <f>IF(SER_hh_tes_in!D14=0,0,11630*1000*SER_hh_tes_in!D14/SER_hh_num_in!D14)</f>
        <v>58851.774407256911</v>
      </c>
      <c r="E14" s="65">
        <f>IF(SER_hh_tes_in!E14=0,0,11630*1000*SER_hh_tes_in!E14/SER_hh_num_in!E14)</f>
        <v>71459.14223087157</v>
      </c>
      <c r="F14" s="65">
        <f>IF(SER_hh_tes_in!F14=0,0,11630*1000*SER_hh_tes_in!F14/SER_hh_num_in!F14)</f>
        <v>66851.241984304492</v>
      </c>
      <c r="G14" s="65">
        <f>IF(SER_hh_tes_in!G14=0,0,11630*1000*SER_hh_tes_in!G14/SER_hh_num_in!G14)</f>
        <v>62852.284379725003</v>
      </c>
      <c r="H14" s="65">
        <f>IF(SER_hh_tes_in!H14=0,0,11630*1000*SER_hh_tes_in!H14/SER_hh_num_in!H14)</f>
        <v>58415.176815139777</v>
      </c>
      <c r="I14" s="65">
        <f>IF(SER_hh_tes_in!I14=0,0,11630*1000*SER_hh_tes_in!I14/SER_hh_num_in!I14)</f>
        <v>55914.321348515536</v>
      </c>
      <c r="J14" s="65">
        <f>IF(SER_hh_tes_in!J14=0,0,11630*1000*SER_hh_tes_in!J14/SER_hh_num_in!J14)</f>
        <v>77156.180788640006</v>
      </c>
      <c r="K14" s="65">
        <f>IF(SER_hh_tes_in!K14=0,0,11630*1000*SER_hh_tes_in!K14/SER_hh_num_in!K14)</f>
        <v>0</v>
      </c>
      <c r="L14" s="65">
        <f>IF(SER_hh_tes_in!L14=0,0,11630*1000*SER_hh_tes_in!L14/SER_hh_num_in!L14)</f>
        <v>0</v>
      </c>
      <c r="M14" s="65">
        <f>IF(SER_hh_tes_in!M14=0,0,11630*1000*SER_hh_tes_in!M14/SER_hh_num_in!M14)</f>
        <v>0</v>
      </c>
      <c r="N14" s="65">
        <f>IF(SER_hh_tes_in!N14=0,0,11630*1000*SER_hh_tes_in!N14/SER_hh_num_in!N14)</f>
        <v>54795.174023462023</v>
      </c>
      <c r="O14" s="65">
        <f>IF(SER_hh_tes_in!O14=0,0,11630*1000*SER_hh_tes_in!O14/SER_hh_num_in!O14)</f>
        <v>37464.54362229479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18041.500326656209</v>
      </c>
      <c r="R14" s="65">
        <f>IF(SER_hh_tes_in!R14=0,0,11630*1000*SER_hh_tes_in!R14/SER_hh_num_in!R14)</f>
        <v>44564.882245874469</v>
      </c>
      <c r="S14" s="65">
        <f>IF(SER_hh_tes_in!S14=0,0,11630*1000*SER_hh_tes_in!S14/SER_hh_num_in!S14)</f>
        <v>28335.857204420816</v>
      </c>
      <c r="T14" s="65">
        <f>IF(SER_hh_tes_in!T14=0,0,11630*1000*SER_hh_tes_in!T14/SER_hh_num_in!T14)</f>
        <v>41856.094200407948</v>
      </c>
      <c r="U14" s="65">
        <f>IF(SER_hh_tes_in!U14=0,0,11630*1000*SER_hh_tes_in!U14/SER_hh_num_in!U14)</f>
        <v>40607.600955070862</v>
      </c>
      <c r="V14" s="65">
        <f>IF(SER_hh_tes_in!V14=0,0,11630*1000*SER_hh_tes_in!V14/SER_hh_num_in!V14)</f>
        <v>29111.383749622441</v>
      </c>
      <c r="W14" s="65">
        <f>IF(SER_hh_tes_in!W14=0,0,11630*1000*SER_hh_tes_in!W14/SER_hh_num_in!W14)</f>
        <v>37317.735910582924</v>
      </c>
      <c r="X14" s="65">
        <f>IF(SER_hh_tes_in!X14=0,0,11630*1000*SER_hh_tes_in!X14/SER_hh_num_in!X14)</f>
        <v>0</v>
      </c>
      <c r="Y14" s="65">
        <f>IF(SER_hh_tes_in!Y14=0,0,11630*1000*SER_hh_tes_in!Y14/SER_hh_num_in!Y14)</f>
        <v>0</v>
      </c>
      <c r="DA14" s="109" t="s">
        <v>766</v>
      </c>
    </row>
    <row r="15" spans="1:105" ht="12" customHeight="1" x14ac:dyDescent="0.25">
      <c r="A15" s="133" t="s">
        <v>80</v>
      </c>
      <c r="B15" s="134"/>
      <c r="C15" s="134">
        <f>IF(SER_hh_tes_in!C15=0,0,11630*1000*SER_hh_tes_in!C15/SER_hh_num_in!C15)</f>
        <v>485.76120418750992</v>
      </c>
      <c r="D15" s="134">
        <f>IF(SER_hh_tes_in!D15=0,0,11630*1000*SER_hh_tes_in!D15/SER_hh_num_in!D15)</f>
        <v>541.22805477465749</v>
      </c>
      <c r="E15" s="134">
        <f>IF(SER_hh_tes_in!E15=0,0,11630*1000*SER_hh_tes_in!E15/SER_hh_num_in!E15)</f>
        <v>463.36859881184392</v>
      </c>
      <c r="F15" s="134">
        <f>IF(SER_hh_tes_in!F15=0,0,11630*1000*SER_hh_tes_in!F15/SER_hh_num_in!F15)</f>
        <v>528.59164404597561</v>
      </c>
      <c r="G15" s="134">
        <f>IF(SER_hh_tes_in!G15=0,0,11630*1000*SER_hh_tes_in!G15/SER_hh_num_in!G15)</f>
        <v>455.50579037402616</v>
      </c>
      <c r="H15" s="134">
        <f>IF(SER_hh_tes_in!H15=0,0,11630*1000*SER_hh_tes_in!H15/SER_hh_num_in!H15)</f>
        <v>508.91297420766409</v>
      </c>
      <c r="I15" s="134">
        <f>IF(SER_hh_tes_in!I15=0,0,11630*1000*SER_hh_tes_in!I15/SER_hh_num_in!I15)</f>
        <v>401.55353506926599</v>
      </c>
      <c r="J15" s="134">
        <f>IF(SER_hh_tes_in!J15=0,0,11630*1000*SER_hh_tes_in!J15/SER_hh_num_in!J15)</f>
        <v>344.71983856684449</v>
      </c>
      <c r="K15" s="134">
        <f>IF(SER_hh_tes_in!K15=0,0,11630*1000*SER_hh_tes_in!K15/SER_hh_num_in!K15)</f>
        <v>351.86425373632267</v>
      </c>
      <c r="L15" s="134">
        <f>IF(SER_hh_tes_in!L15=0,0,11630*1000*SER_hh_tes_in!L15/SER_hh_num_in!L15)</f>
        <v>331.88520235454905</v>
      </c>
      <c r="M15" s="134">
        <f>IF(SER_hh_tes_in!M15=0,0,11630*1000*SER_hh_tes_in!M15/SER_hh_num_in!M15)</f>
        <v>300.85114151560771</v>
      </c>
      <c r="N15" s="134">
        <f>IF(SER_hh_tes_in!N15=0,0,11630*1000*SER_hh_tes_in!N15/SER_hh_num_in!N15)</f>
        <v>325.14901068324508</v>
      </c>
      <c r="O15" s="134">
        <f>IF(SER_hh_tes_in!O15=0,0,11630*1000*SER_hh_tes_in!O15/SER_hh_num_in!O15)</f>
        <v>329.40448137398329</v>
      </c>
      <c r="P15" s="134">
        <f>IF(SER_hh_tes_in!P15=0,0,11630*1000*SER_hh_tes_in!P15/SER_hh_num_in!P15)</f>
        <v>259.84945248061132</v>
      </c>
      <c r="Q15" s="134">
        <f>IF(SER_hh_tes_in!Q15=0,0,11630*1000*SER_hh_tes_in!Q15/SER_hh_num_in!Q15)</f>
        <v>294.84243707247396</v>
      </c>
      <c r="R15" s="134">
        <f>IF(SER_hh_tes_in!R15=0,0,11630*1000*SER_hh_tes_in!R15/SER_hh_num_in!R15)</f>
        <v>255.88042273193489</v>
      </c>
      <c r="S15" s="134">
        <f>IF(SER_hh_tes_in!S15=0,0,11630*1000*SER_hh_tes_in!S15/SER_hh_num_in!S15)</f>
        <v>267.09811819892525</v>
      </c>
      <c r="T15" s="134">
        <f>IF(SER_hh_tes_in!T15=0,0,11630*1000*SER_hh_tes_in!T15/SER_hh_num_in!T15)</f>
        <v>317.27023238270516</v>
      </c>
      <c r="U15" s="134">
        <f>IF(SER_hh_tes_in!U15=0,0,11630*1000*SER_hh_tes_in!U15/SER_hh_num_in!U15)</f>
        <v>303.28470356973702</v>
      </c>
      <c r="V15" s="134">
        <f>IF(SER_hh_tes_in!V15=0,0,11630*1000*SER_hh_tes_in!V15/SER_hh_num_in!V15)</f>
        <v>196.60158184238455</v>
      </c>
      <c r="W15" s="134">
        <f>IF(SER_hh_tes_in!W15=0,0,11630*1000*SER_hh_tes_in!W15/SER_hh_num_in!W15)</f>
        <v>295.05857448788794</v>
      </c>
      <c r="X15" s="134">
        <f>IF(SER_hh_tes_in!X15=0,0,11630*1000*SER_hh_tes_in!X15/SER_hh_num_in!X15)</f>
        <v>290.92268970606796</v>
      </c>
      <c r="Y15" s="134">
        <f>IF(SER_hh_tes_in!Y15=0,0,11630*1000*SER_hh_tes_in!Y15/SER_hh_num_in!Y15)</f>
        <v>303.59016997779872</v>
      </c>
      <c r="DA15" s="157" t="s">
        <v>767</v>
      </c>
    </row>
    <row r="16" spans="1:105" ht="12.95" customHeight="1" x14ac:dyDescent="0.25">
      <c r="A16" s="129" t="s">
        <v>74</v>
      </c>
      <c r="B16" s="130"/>
      <c r="C16" s="130">
        <f>IF(SER_hh_tes_in!C16=0,0,11630*1000*SER_hh_tes_in!C16/SER_hh_num_in!C16)</f>
        <v>19511.072174578829</v>
      </c>
      <c r="D16" s="130">
        <f>IF(SER_hh_tes_in!D16=0,0,11630*1000*SER_hh_tes_in!D16/SER_hh_num_in!D16)</f>
        <v>20859.587842572088</v>
      </c>
      <c r="E16" s="130">
        <f>IF(SER_hh_tes_in!E16=0,0,11630*1000*SER_hh_tes_in!E16/SER_hh_num_in!E16)</f>
        <v>18621.490652329408</v>
      </c>
      <c r="F16" s="130">
        <f>IF(SER_hh_tes_in!F16=0,0,11630*1000*SER_hh_tes_in!F16/SER_hh_num_in!F16)</f>
        <v>18443.361775285804</v>
      </c>
      <c r="G16" s="130">
        <f>IF(SER_hh_tes_in!G16=0,0,11630*1000*SER_hh_tes_in!G16/SER_hh_num_in!G16)</f>
        <v>18415.89937055108</v>
      </c>
      <c r="H16" s="130">
        <f>IF(SER_hh_tes_in!H16=0,0,11630*1000*SER_hh_tes_in!H16/SER_hh_num_in!H16)</f>
        <v>20275.689666011654</v>
      </c>
      <c r="I16" s="130">
        <f>IF(SER_hh_tes_in!I16=0,0,11630*1000*SER_hh_tes_in!I16/SER_hh_num_in!I16)</f>
        <v>18663.339096918251</v>
      </c>
      <c r="J16" s="130">
        <f>IF(SER_hh_tes_in!J16=0,0,11630*1000*SER_hh_tes_in!J16/SER_hh_num_in!J16)</f>
        <v>18348.771692135859</v>
      </c>
      <c r="K16" s="130">
        <f>IF(SER_hh_tes_in!K16=0,0,11630*1000*SER_hh_tes_in!K16/SER_hh_num_in!K16)</f>
        <v>18245.314447558452</v>
      </c>
      <c r="L16" s="130">
        <f>IF(SER_hh_tes_in!L16=0,0,11630*1000*SER_hh_tes_in!L16/SER_hh_num_in!L16)</f>
        <v>23063.231578894531</v>
      </c>
      <c r="M16" s="130">
        <f>IF(SER_hh_tes_in!M16=0,0,11630*1000*SER_hh_tes_in!M16/SER_hh_num_in!M16)</f>
        <v>18258.283644643761</v>
      </c>
      <c r="N16" s="130">
        <f>IF(SER_hh_tes_in!N16=0,0,11630*1000*SER_hh_tes_in!N16/SER_hh_num_in!N16)</f>
        <v>19933.500780064544</v>
      </c>
      <c r="O16" s="130">
        <f>IF(SER_hh_tes_in!O16=0,0,11630*1000*SER_hh_tes_in!O16/SER_hh_num_in!O16)</f>
        <v>18492.911347644964</v>
      </c>
      <c r="P16" s="130">
        <f>IF(SER_hh_tes_in!P16=0,0,11630*1000*SER_hh_tes_in!P16/SER_hh_num_in!P16)</f>
        <v>20382.159130003176</v>
      </c>
      <c r="Q16" s="130">
        <f>IF(SER_hh_tes_in!Q16=0,0,11630*1000*SER_hh_tes_in!Q16/SER_hh_num_in!Q16)</f>
        <v>19689.522890572174</v>
      </c>
      <c r="R16" s="130">
        <f>IF(SER_hh_tes_in!R16=0,0,11630*1000*SER_hh_tes_in!R16/SER_hh_num_in!R16)</f>
        <v>18625.145808488131</v>
      </c>
      <c r="S16" s="130">
        <f>IF(SER_hh_tes_in!S16=0,0,11630*1000*SER_hh_tes_in!S16/SER_hh_num_in!S16)</f>
        <v>18441.989965846024</v>
      </c>
      <c r="T16" s="130">
        <f>IF(SER_hh_tes_in!T16=0,0,11630*1000*SER_hh_tes_in!T16/SER_hh_num_in!T16)</f>
        <v>19495.966249732239</v>
      </c>
      <c r="U16" s="130">
        <f>IF(SER_hh_tes_in!U16=0,0,11630*1000*SER_hh_tes_in!U16/SER_hh_num_in!U16)</f>
        <v>18789.632628816824</v>
      </c>
      <c r="V16" s="130">
        <f>IF(SER_hh_tes_in!V16=0,0,11630*1000*SER_hh_tes_in!V16/SER_hh_num_in!V16)</f>
        <v>17907.572109841014</v>
      </c>
      <c r="W16" s="130">
        <f>IF(SER_hh_tes_in!W16=0,0,11630*1000*SER_hh_tes_in!W16/SER_hh_num_in!W16)</f>
        <v>20682.73507126101</v>
      </c>
      <c r="X16" s="130">
        <f>IF(SER_hh_tes_in!X16=0,0,11630*1000*SER_hh_tes_in!X16/SER_hh_num_in!X16)</f>
        <v>18646.326226360205</v>
      </c>
      <c r="Y16" s="130">
        <f>IF(SER_hh_tes_in!Y16=0,0,11630*1000*SER_hh_tes_in!Y16/SER_hh_num_in!Y16)</f>
        <v>18349.800841508873</v>
      </c>
      <c r="DA16" s="155" t="s">
        <v>768</v>
      </c>
    </row>
    <row r="17" spans="1:105" ht="12.95" customHeight="1" x14ac:dyDescent="0.25">
      <c r="A17" s="131" t="s">
        <v>73</v>
      </c>
      <c r="B17" s="132"/>
      <c r="C17" s="132">
        <f>IF(SER_hh_tes_in!C17=0,0,11630*1000*SER_hh_tes_in!C17/SER_hh_num_in!C17)</f>
        <v>0</v>
      </c>
      <c r="D17" s="132">
        <f>IF(SER_hh_tes_in!D17=0,0,11630*1000*SER_hh_tes_in!D17/SER_hh_num_in!D17)</f>
        <v>0</v>
      </c>
      <c r="E17" s="132">
        <f>IF(SER_hh_tes_in!E17=0,0,11630*1000*SER_hh_tes_in!E17/SER_hh_num_in!E17)</f>
        <v>0</v>
      </c>
      <c r="F17" s="132">
        <f>IF(SER_hh_tes_in!F17=0,0,11630*1000*SER_hh_tes_in!F17/SER_hh_num_in!F17)</f>
        <v>0</v>
      </c>
      <c r="G17" s="132">
        <f>IF(SER_hh_tes_in!G17=0,0,11630*1000*SER_hh_tes_in!G17/SER_hh_num_in!G17)</f>
        <v>0</v>
      </c>
      <c r="H17" s="132">
        <f>IF(SER_hh_tes_in!H17=0,0,11630*1000*SER_hh_tes_in!H17/SER_hh_num_in!H17)</f>
        <v>0</v>
      </c>
      <c r="I17" s="132">
        <f>IF(SER_hh_tes_in!I17=0,0,11630*1000*SER_hh_tes_in!I17/SER_hh_num_in!I17)</f>
        <v>0</v>
      </c>
      <c r="J17" s="132">
        <f>IF(SER_hh_tes_in!J17=0,0,11630*1000*SER_hh_tes_in!J17/SER_hh_num_in!J17)</f>
        <v>0</v>
      </c>
      <c r="K17" s="132">
        <f>IF(SER_hh_tes_in!K17=0,0,11630*1000*SER_hh_tes_in!K17/SER_hh_num_in!K17)</f>
        <v>0</v>
      </c>
      <c r="L17" s="132">
        <f>IF(SER_hh_tes_in!L17=0,0,11630*1000*SER_hh_tes_in!L17/SER_hh_num_in!L17)</f>
        <v>0</v>
      </c>
      <c r="M17" s="132">
        <f>IF(SER_hh_tes_in!M17=0,0,11630*1000*SER_hh_tes_in!M17/SER_hh_num_in!M17)</f>
        <v>0</v>
      </c>
      <c r="N17" s="132">
        <f>IF(SER_hh_tes_in!N17=0,0,11630*1000*SER_hh_tes_in!N17/SER_hh_num_in!N17)</f>
        <v>0</v>
      </c>
      <c r="O17" s="132">
        <f>IF(SER_hh_tes_in!O17=0,0,11630*1000*SER_hh_tes_in!O17/SER_hh_num_in!O17)</f>
        <v>0</v>
      </c>
      <c r="P17" s="132">
        <f>IF(SER_hh_tes_in!P17=0,0,11630*1000*SER_hh_tes_in!P17/SER_hh_num_in!P17)</f>
        <v>0</v>
      </c>
      <c r="Q17" s="132">
        <f>IF(SER_hh_tes_in!Q17=0,0,11630*1000*SER_hh_tes_in!Q17/SER_hh_num_in!Q17)</f>
        <v>0</v>
      </c>
      <c r="R17" s="132">
        <f>IF(SER_hh_tes_in!R17=0,0,11630*1000*SER_hh_tes_in!R17/SER_hh_num_in!R17)</f>
        <v>0</v>
      </c>
      <c r="S17" s="132">
        <f>IF(SER_hh_tes_in!S17=0,0,11630*1000*SER_hh_tes_in!S17/SER_hh_num_in!S17)</f>
        <v>0</v>
      </c>
      <c r="T17" s="132">
        <f>IF(SER_hh_tes_in!T17=0,0,11630*1000*SER_hh_tes_in!T17/SER_hh_num_in!T17)</f>
        <v>0</v>
      </c>
      <c r="U17" s="132">
        <f>IF(SER_hh_tes_in!U17=0,0,11630*1000*SER_hh_tes_in!U17/SER_hh_num_in!U17)</f>
        <v>0</v>
      </c>
      <c r="V17" s="132">
        <f>IF(SER_hh_tes_in!V17=0,0,11630*1000*SER_hh_tes_in!V17/SER_hh_num_in!V17)</f>
        <v>0</v>
      </c>
      <c r="W17" s="132">
        <f>IF(SER_hh_tes_in!W17=0,0,11630*1000*SER_hh_tes_in!W17/SER_hh_num_in!W17)</f>
        <v>0</v>
      </c>
      <c r="X17" s="132">
        <f>IF(SER_hh_tes_in!X17=0,0,11630*1000*SER_hh_tes_in!X17/SER_hh_num_in!X17)</f>
        <v>0</v>
      </c>
      <c r="Y17" s="132">
        <f>IF(SER_hh_tes_in!Y17=0,0,11630*1000*SER_hh_tes_in!Y17/SER_hh_num_in!Y17)</f>
        <v>0</v>
      </c>
      <c r="DA17" s="156" t="s">
        <v>769</v>
      </c>
    </row>
    <row r="18" spans="1:105" ht="12" customHeight="1" x14ac:dyDescent="0.25">
      <c r="A18" s="131" t="s">
        <v>72</v>
      </c>
      <c r="B18" s="132"/>
      <c r="C18" s="132">
        <f>IF(SER_hh_tes_in!C18=0,0,11630*1000*SER_hh_tes_in!C18/SER_hh_num_in!C18)</f>
        <v>19511.072174578829</v>
      </c>
      <c r="D18" s="132">
        <f>IF(SER_hh_tes_in!D18=0,0,11630*1000*SER_hh_tes_in!D18/SER_hh_num_in!D18)</f>
        <v>20859.587842572088</v>
      </c>
      <c r="E18" s="132">
        <f>IF(SER_hh_tes_in!E18=0,0,11630*1000*SER_hh_tes_in!E18/SER_hh_num_in!E18)</f>
        <v>18621.490652329408</v>
      </c>
      <c r="F18" s="132">
        <f>IF(SER_hh_tes_in!F18=0,0,11630*1000*SER_hh_tes_in!F18/SER_hh_num_in!F18)</f>
        <v>18443.361775285804</v>
      </c>
      <c r="G18" s="132">
        <f>IF(SER_hh_tes_in!G18=0,0,11630*1000*SER_hh_tes_in!G18/SER_hh_num_in!G18)</f>
        <v>18415.89937055108</v>
      </c>
      <c r="H18" s="132">
        <f>IF(SER_hh_tes_in!H18=0,0,11630*1000*SER_hh_tes_in!H18/SER_hh_num_in!H18)</f>
        <v>20275.689666011654</v>
      </c>
      <c r="I18" s="132">
        <f>IF(SER_hh_tes_in!I18=0,0,11630*1000*SER_hh_tes_in!I18/SER_hh_num_in!I18)</f>
        <v>18663.339096918251</v>
      </c>
      <c r="J18" s="132">
        <f>IF(SER_hh_tes_in!J18=0,0,11630*1000*SER_hh_tes_in!J18/SER_hh_num_in!J18)</f>
        <v>18348.771692135859</v>
      </c>
      <c r="K18" s="132">
        <f>IF(SER_hh_tes_in!K18=0,0,11630*1000*SER_hh_tes_in!K18/SER_hh_num_in!K18)</f>
        <v>18245.314447558452</v>
      </c>
      <c r="L18" s="132">
        <f>IF(SER_hh_tes_in!L18=0,0,11630*1000*SER_hh_tes_in!L18/SER_hh_num_in!L18)</f>
        <v>23063.231578894531</v>
      </c>
      <c r="M18" s="132">
        <f>IF(SER_hh_tes_in!M18=0,0,11630*1000*SER_hh_tes_in!M18/SER_hh_num_in!M18)</f>
        <v>18258.283644643761</v>
      </c>
      <c r="N18" s="132">
        <f>IF(SER_hh_tes_in!N18=0,0,11630*1000*SER_hh_tes_in!N18/SER_hh_num_in!N18)</f>
        <v>19933.500780064544</v>
      </c>
      <c r="O18" s="132">
        <f>IF(SER_hh_tes_in!O18=0,0,11630*1000*SER_hh_tes_in!O18/SER_hh_num_in!O18)</f>
        <v>18492.911347644964</v>
      </c>
      <c r="P18" s="132">
        <f>IF(SER_hh_tes_in!P18=0,0,11630*1000*SER_hh_tes_in!P18/SER_hh_num_in!P18)</f>
        <v>20382.159130003176</v>
      </c>
      <c r="Q18" s="132">
        <f>IF(SER_hh_tes_in!Q18=0,0,11630*1000*SER_hh_tes_in!Q18/SER_hh_num_in!Q18)</f>
        <v>19689.522890572174</v>
      </c>
      <c r="R18" s="132">
        <f>IF(SER_hh_tes_in!R18=0,0,11630*1000*SER_hh_tes_in!R18/SER_hh_num_in!R18)</f>
        <v>18625.145808488131</v>
      </c>
      <c r="S18" s="132">
        <f>IF(SER_hh_tes_in!S18=0,0,11630*1000*SER_hh_tes_in!S18/SER_hh_num_in!S18)</f>
        <v>18441.989965846024</v>
      </c>
      <c r="T18" s="132">
        <f>IF(SER_hh_tes_in!T18=0,0,11630*1000*SER_hh_tes_in!T18/SER_hh_num_in!T18)</f>
        <v>19495.966249732239</v>
      </c>
      <c r="U18" s="132">
        <f>IF(SER_hh_tes_in!U18=0,0,11630*1000*SER_hh_tes_in!U18/SER_hh_num_in!U18)</f>
        <v>18789.632628816824</v>
      </c>
      <c r="V18" s="132">
        <f>IF(SER_hh_tes_in!V18=0,0,11630*1000*SER_hh_tes_in!V18/SER_hh_num_in!V18)</f>
        <v>17907.572109841014</v>
      </c>
      <c r="W18" s="132">
        <f>IF(SER_hh_tes_in!W18=0,0,11630*1000*SER_hh_tes_in!W18/SER_hh_num_in!W18)</f>
        <v>20682.73507126101</v>
      </c>
      <c r="X18" s="132">
        <f>IF(SER_hh_tes_in!X18=0,0,11630*1000*SER_hh_tes_in!X18/SER_hh_num_in!X18)</f>
        <v>18646.326226360205</v>
      </c>
      <c r="Y18" s="132">
        <f>IF(SER_hh_tes_in!Y18=0,0,11630*1000*SER_hh_tes_in!Y18/SER_hh_num_in!Y18)</f>
        <v>18349.800841508873</v>
      </c>
      <c r="DA18" s="156" t="s">
        <v>770</v>
      </c>
    </row>
    <row r="19" spans="1:105" ht="12.95" customHeight="1" x14ac:dyDescent="0.25">
      <c r="A19" s="129" t="s">
        <v>35</v>
      </c>
      <c r="B19" s="130"/>
      <c r="C19" s="130">
        <f>IF(SER_hh_tes_in!C19=0,0,11630*1000*SER_hh_tes_in!C19/SER_hh_num_in!C19)</f>
        <v>8185.6438165310674</v>
      </c>
      <c r="D19" s="130">
        <f>IF(SER_hh_tes_in!D19=0,0,11630*1000*SER_hh_tes_in!D19/SER_hh_num_in!D19)</f>
        <v>8209.2256382975538</v>
      </c>
      <c r="E19" s="130">
        <f>IF(SER_hh_tes_in!E19=0,0,11630*1000*SER_hh_tes_in!E19/SER_hh_num_in!E19)</f>
        <v>8182.969997921472</v>
      </c>
      <c r="F19" s="130">
        <f>IF(SER_hh_tes_in!F19=0,0,11630*1000*SER_hh_tes_in!F19/SER_hh_num_in!F19)</f>
        <v>8487.2115836589037</v>
      </c>
      <c r="G19" s="130">
        <f>IF(SER_hh_tes_in!G19=0,0,11630*1000*SER_hh_tes_in!G19/SER_hh_num_in!G19)</f>
        <v>8757.1268576543043</v>
      </c>
      <c r="H19" s="130">
        <f>IF(SER_hh_tes_in!H19=0,0,11630*1000*SER_hh_tes_in!H19/SER_hh_num_in!H19)</f>
        <v>9017.3065271064497</v>
      </c>
      <c r="I19" s="130">
        <f>IF(SER_hh_tes_in!I19=0,0,11630*1000*SER_hh_tes_in!I19/SER_hh_num_in!I19)</f>
        <v>8924.5921014539872</v>
      </c>
      <c r="J19" s="130">
        <f>IF(SER_hh_tes_in!J19=0,0,11630*1000*SER_hh_tes_in!J19/SER_hh_num_in!J19)</f>
        <v>8954.642643905232</v>
      </c>
      <c r="K19" s="130">
        <f>IF(SER_hh_tes_in!K19=0,0,11630*1000*SER_hh_tes_in!K19/SER_hh_num_in!K19)</f>
        <v>9215.8347757181327</v>
      </c>
      <c r="L19" s="130">
        <f>IF(SER_hh_tes_in!L19=0,0,11630*1000*SER_hh_tes_in!L19/SER_hh_num_in!L19)</f>
        <v>9453.5256799718409</v>
      </c>
      <c r="M19" s="130">
        <f>IF(SER_hh_tes_in!M19=0,0,11630*1000*SER_hh_tes_in!M19/SER_hh_num_in!M19)</f>
        <v>9480.6229081429574</v>
      </c>
      <c r="N19" s="130">
        <f>IF(SER_hh_tes_in!N19=0,0,11630*1000*SER_hh_tes_in!N19/SER_hh_num_in!N19)</f>
        <v>9584.9983532873539</v>
      </c>
      <c r="O19" s="130">
        <f>IF(SER_hh_tes_in!O19=0,0,11630*1000*SER_hh_tes_in!O19/SER_hh_num_in!O19)</f>
        <v>9783.5293192854515</v>
      </c>
      <c r="P19" s="130">
        <f>IF(SER_hh_tes_in!P19=0,0,11630*1000*SER_hh_tes_in!P19/SER_hh_num_in!P19)</f>
        <v>9679.5941233648682</v>
      </c>
      <c r="Q19" s="130">
        <f>IF(SER_hh_tes_in!Q19=0,0,11630*1000*SER_hh_tes_in!Q19/SER_hh_num_in!Q19)</f>
        <v>9980.7988427832861</v>
      </c>
      <c r="R19" s="130">
        <f>IF(SER_hh_tes_in!R19=0,0,11630*1000*SER_hh_tes_in!R19/SER_hh_num_in!R19)</f>
        <v>9916.8505320061649</v>
      </c>
      <c r="S19" s="130">
        <f>IF(SER_hh_tes_in!S19=0,0,11630*1000*SER_hh_tes_in!S19/SER_hh_num_in!S19)</f>
        <v>10215.484193551916</v>
      </c>
      <c r="T19" s="130">
        <f>IF(SER_hh_tes_in!T19=0,0,11630*1000*SER_hh_tes_in!T19/SER_hh_num_in!T19)</f>
        <v>10129.721316531281</v>
      </c>
      <c r="U19" s="130">
        <f>IF(SER_hh_tes_in!U19=0,0,11630*1000*SER_hh_tes_in!U19/SER_hh_num_in!U19)</f>
        <v>10314.99686632374</v>
      </c>
      <c r="V19" s="130">
        <f>IF(SER_hh_tes_in!V19=0,0,11630*1000*SER_hh_tes_in!V19/SER_hh_num_in!V19)</f>
        <v>9143.9935831918501</v>
      </c>
      <c r="W19" s="130">
        <f>IF(SER_hh_tes_in!W19=0,0,11630*1000*SER_hh_tes_in!W19/SER_hh_num_in!W19)</f>
        <v>10022.939753358904</v>
      </c>
      <c r="X19" s="130">
        <f>IF(SER_hh_tes_in!X19=0,0,11630*1000*SER_hh_tes_in!X19/SER_hh_num_in!X19)</f>
        <v>10154.353342759654</v>
      </c>
      <c r="Y19" s="130">
        <f>IF(SER_hh_tes_in!Y19=0,0,11630*1000*SER_hh_tes_in!Y19/SER_hh_num_in!Y19)</f>
        <v>10492.784222564787</v>
      </c>
      <c r="DA19" s="155" t="s">
        <v>771</v>
      </c>
    </row>
    <row r="20" spans="1:105" ht="12" customHeight="1" x14ac:dyDescent="0.25">
      <c r="A20" s="131" t="s">
        <v>29</v>
      </c>
      <c r="B20" s="132"/>
      <c r="C20" s="132">
        <f>IF(SER_hh_tes_in!C20=0,0,11630*1000*SER_hh_tes_in!C20/SER_hh_num_in!C20)</f>
        <v>0</v>
      </c>
      <c r="D20" s="132">
        <f>IF(SER_hh_tes_in!D20=0,0,11630*1000*SER_hh_tes_in!D20/SER_hh_num_in!D20)</f>
        <v>0</v>
      </c>
      <c r="E20" s="132">
        <f>IF(SER_hh_tes_in!E20=0,0,11630*1000*SER_hh_tes_in!E20/SER_hh_num_in!E20)</f>
        <v>0</v>
      </c>
      <c r="F20" s="132">
        <f>IF(SER_hh_tes_in!F20=0,0,11630*1000*SER_hh_tes_in!F20/SER_hh_num_in!F20)</f>
        <v>0</v>
      </c>
      <c r="G20" s="132">
        <f>IF(SER_hh_tes_in!G20=0,0,11630*1000*SER_hh_tes_in!G20/SER_hh_num_in!G20)</f>
        <v>0</v>
      </c>
      <c r="H20" s="132">
        <f>IF(SER_hh_tes_in!H20=0,0,11630*1000*SER_hh_tes_in!H20/SER_hh_num_in!H20)</f>
        <v>0</v>
      </c>
      <c r="I20" s="132">
        <f>IF(SER_hh_tes_in!I20=0,0,11630*1000*SER_hh_tes_in!I20/SER_hh_num_in!I20)</f>
        <v>0</v>
      </c>
      <c r="J20" s="132">
        <f>IF(SER_hh_tes_in!J20=0,0,11630*1000*SER_hh_tes_in!J20/SER_hh_num_in!J20)</f>
        <v>0</v>
      </c>
      <c r="K20" s="132">
        <f>IF(SER_hh_tes_in!K20=0,0,11630*1000*SER_hh_tes_in!K20/SER_hh_num_in!K20)</f>
        <v>0</v>
      </c>
      <c r="L20" s="132">
        <f>IF(SER_hh_tes_in!L20=0,0,11630*1000*SER_hh_tes_in!L20/SER_hh_num_in!L20)</f>
        <v>0</v>
      </c>
      <c r="M20" s="132">
        <f>IF(SER_hh_tes_in!M20=0,0,11630*1000*SER_hh_tes_in!M20/SER_hh_num_in!M20)</f>
        <v>0</v>
      </c>
      <c r="N20" s="132">
        <f>IF(SER_hh_tes_in!N20=0,0,11630*1000*SER_hh_tes_in!N20/SER_hh_num_in!N20)</f>
        <v>0</v>
      </c>
      <c r="O20" s="132">
        <f>IF(SER_hh_tes_in!O20=0,0,11630*1000*SER_hh_tes_in!O20/SER_hh_num_in!O20)</f>
        <v>0</v>
      </c>
      <c r="P20" s="132">
        <f>IF(SER_hh_tes_in!P20=0,0,11630*1000*SER_hh_tes_in!P20/SER_hh_num_in!P20)</f>
        <v>0</v>
      </c>
      <c r="Q20" s="132">
        <f>IF(SER_hh_tes_in!Q20=0,0,11630*1000*SER_hh_tes_in!Q20/SER_hh_num_in!Q20)</f>
        <v>0</v>
      </c>
      <c r="R20" s="132">
        <f>IF(SER_hh_tes_in!R20=0,0,11630*1000*SER_hh_tes_in!R20/SER_hh_num_in!R20)</f>
        <v>0</v>
      </c>
      <c r="S20" s="132">
        <f>IF(SER_hh_tes_in!S20=0,0,11630*1000*SER_hh_tes_in!S20/SER_hh_num_in!S20)</f>
        <v>0</v>
      </c>
      <c r="T20" s="132">
        <f>IF(SER_hh_tes_in!T20=0,0,11630*1000*SER_hh_tes_in!T20/SER_hh_num_in!T20)</f>
        <v>0</v>
      </c>
      <c r="U20" s="132">
        <f>IF(SER_hh_tes_in!U20=0,0,11630*1000*SER_hh_tes_in!U20/SER_hh_num_in!U20)</f>
        <v>0</v>
      </c>
      <c r="V20" s="132">
        <f>IF(SER_hh_tes_in!V20=0,0,11630*1000*SER_hh_tes_in!V20/SER_hh_num_in!V20)</f>
        <v>0</v>
      </c>
      <c r="W20" s="132">
        <f>IF(SER_hh_tes_in!W20=0,0,11630*1000*SER_hh_tes_in!W20/SER_hh_num_in!W20)</f>
        <v>0</v>
      </c>
      <c r="X20" s="132">
        <f>IF(SER_hh_tes_in!X20=0,0,11630*1000*SER_hh_tes_in!X20/SER_hh_num_in!X20)</f>
        <v>0</v>
      </c>
      <c r="Y20" s="132">
        <f>IF(SER_hh_tes_in!Y20=0,0,11630*1000*SER_hh_tes_in!Y20/SER_hh_num_in!Y20)</f>
        <v>0</v>
      </c>
      <c r="DA20" s="156" t="s">
        <v>772</v>
      </c>
    </row>
    <row r="21" spans="1:105" s="2" customFormat="1" ht="12" customHeight="1" x14ac:dyDescent="0.25">
      <c r="A21" s="131" t="s">
        <v>52</v>
      </c>
      <c r="B21" s="132"/>
      <c r="C21" s="132">
        <f>IF(SER_hh_tes_in!C21=0,0,11630*1000*SER_hh_tes_in!C21/SER_hh_num_in!C21)</f>
        <v>0</v>
      </c>
      <c r="D21" s="132">
        <f>IF(SER_hh_tes_in!D21=0,0,11630*1000*SER_hh_tes_in!D21/SER_hh_num_in!D21)</f>
        <v>0</v>
      </c>
      <c r="E21" s="132">
        <f>IF(SER_hh_tes_in!E21=0,0,11630*1000*SER_hh_tes_in!E21/SER_hh_num_in!E21)</f>
        <v>0</v>
      </c>
      <c r="F21" s="132">
        <f>IF(SER_hh_tes_in!F21=0,0,11630*1000*SER_hh_tes_in!F21/SER_hh_num_in!F21)</f>
        <v>0</v>
      </c>
      <c r="G21" s="132">
        <f>IF(SER_hh_tes_in!G21=0,0,11630*1000*SER_hh_tes_in!G21/SER_hh_num_in!G21)</f>
        <v>0</v>
      </c>
      <c r="H21" s="132">
        <f>IF(SER_hh_tes_in!H21=0,0,11630*1000*SER_hh_tes_in!H21/SER_hh_num_in!H21)</f>
        <v>0</v>
      </c>
      <c r="I21" s="132">
        <f>IF(SER_hh_tes_in!I21=0,0,11630*1000*SER_hh_tes_in!I21/SER_hh_num_in!I21)</f>
        <v>0</v>
      </c>
      <c r="J21" s="132">
        <f>IF(SER_hh_tes_in!J21=0,0,11630*1000*SER_hh_tes_in!J21/SER_hh_num_in!J21)</f>
        <v>0</v>
      </c>
      <c r="K21" s="132">
        <f>IF(SER_hh_tes_in!K21=0,0,11630*1000*SER_hh_tes_in!K21/SER_hh_num_in!K21)</f>
        <v>0</v>
      </c>
      <c r="L21" s="132">
        <f>IF(SER_hh_tes_in!L21=0,0,11630*1000*SER_hh_tes_in!L21/SER_hh_num_in!L21)</f>
        <v>0</v>
      </c>
      <c r="M21" s="132">
        <f>IF(SER_hh_tes_in!M21=0,0,11630*1000*SER_hh_tes_in!M21/SER_hh_num_in!M21)</f>
        <v>0</v>
      </c>
      <c r="N21" s="132">
        <f>IF(SER_hh_tes_in!N21=0,0,11630*1000*SER_hh_tes_in!N21/SER_hh_num_in!N21)</f>
        <v>0</v>
      </c>
      <c r="O21" s="132">
        <f>IF(SER_hh_tes_in!O21=0,0,11630*1000*SER_hh_tes_in!O21/SER_hh_num_in!O21)</f>
        <v>0</v>
      </c>
      <c r="P21" s="132">
        <f>IF(SER_hh_tes_in!P21=0,0,11630*1000*SER_hh_tes_in!P21/SER_hh_num_in!P21)</f>
        <v>0</v>
      </c>
      <c r="Q21" s="132">
        <f>IF(SER_hh_tes_in!Q21=0,0,11630*1000*SER_hh_tes_in!Q21/SER_hh_num_in!Q21)</f>
        <v>0</v>
      </c>
      <c r="R21" s="132">
        <f>IF(SER_hh_tes_in!R21=0,0,11630*1000*SER_hh_tes_in!R21/SER_hh_num_in!R21)</f>
        <v>0</v>
      </c>
      <c r="S21" s="132">
        <f>IF(SER_hh_tes_in!S21=0,0,11630*1000*SER_hh_tes_in!S21/SER_hh_num_in!S21)</f>
        <v>0</v>
      </c>
      <c r="T21" s="132">
        <f>IF(SER_hh_tes_in!T21=0,0,11630*1000*SER_hh_tes_in!T21/SER_hh_num_in!T21)</f>
        <v>0</v>
      </c>
      <c r="U21" s="132">
        <f>IF(SER_hh_tes_in!U21=0,0,11630*1000*SER_hh_tes_in!U21/SER_hh_num_in!U21)</f>
        <v>0</v>
      </c>
      <c r="V21" s="132">
        <f>IF(SER_hh_tes_in!V21=0,0,11630*1000*SER_hh_tes_in!V21/SER_hh_num_in!V21)</f>
        <v>0</v>
      </c>
      <c r="W21" s="132">
        <f>IF(SER_hh_tes_in!W21=0,0,11630*1000*SER_hh_tes_in!W21/SER_hh_num_in!W21)</f>
        <v>0</v>
      </c>
      <c r="X21" s="132">
        <f>IF(SER_hh_tes_in!X21=0,0,11630*1000*SER_hh_tes_in!X21/SER_hh_num_in!X21)</f>
        <v>0</v>
      </c>
      <c r="Y21" s="132">
        <f>IF(SER_hh_tes_in!Y21=0,0,11630*1000*SER_hh_tes_in!Y21/SER_hh_num_in!Y21)</f>
        <v>0</v>
      </c>
      <c r="DA21" s="156" t="s">
        <v>773</v>
      </c>
    </row>
    <row r="22" spans="1:105" ht="12" customHeight="1" x14ac:dyDescent="0.25">
      <c r="A22" s="131" t="s">
        <v>161</v>
      </c>
      <c r="B22" s="132"/>
      <c r="C22" s="132">
        <f>IF(SER_hh_tes_in!C22=0,0,11630*1000*SER_hh_tes_in!C22/SER_hh_num_in!C22)</f>
        <v>0</v>
      </c>
      <c r="D22" s="132">
        <f>IF(SER_hh_tes_in!D22=0,0,11630*1000*SER_hh_tes_in!D22/SER_hh_num_in!D22)</f>
        <v>0</v>
      </c>
      <c r="E22" s="132">
        <f>IF(SER_hh_tes_in!E22=0,0,11630*1000*SER_hh_tes_in!E22/SER_hh_num_in!E22)</f>
        <v>0</v>
      </c>
      <c r="F22" s="132">
        <f>IF(SER_hh_tes_in!F22=0,0,11630*1000*SER_hh_tes_in!F22/SER_hh_num_in!F22)</f>
        <v>0</v>
      </c>
      <c r="G22" s="132">
        <f>IF(SER_hh_tes_in!G22=0,0,11630*1000*SER_hh_tes_in!G22/SER_hh_num_in!G22)</f>
        <v>0</v>
      </c>
      <c r="H22" s="132">
        <f>IF(SER_hh_tes_in!H22=0,0,11630*1000*SER_hh_tes_in!H22/SER_hh_num_in!H22)</f>
        <v>0</v>
      </c>
      <c r="I22" s="132">
        <f>IF(SER_hh_tes_in!I22=0,0,11630*1000*SER_hh_tes_in!I22/SER_hh_num_in!I22)</f>
        <v>0</v>
      </c>
      <c r="J22" s="132">
        <f>IF(SER_hh_tes_in!J22=0,0,11630*1000*SER_hh_tes_in!J22/SER_hh_num_in!J22)</f>
        <v>0</v>
      </c>
      <c r="K22" s="132">
        <f>IF(SER_hh_tes_in!K22=0,0,11630*1000*SER_hh_tes_in!K22/SER_hh_num_in!K22)</f>
        <v>8494.1155294912132</v>
      </c>
      <c r="L22" s="132">
        <f>IF(SER_hh_tes_in!L22=0,0,11630*1000*SER_hh_tes_in!L22/SER_hh_num_in!L22)</f>
        <v>9146.2031660241682</v>
      </c>
      <c r="M22" s="132">
        <f>IF(SER_hh_tes_in!M22=0,0,11630*1000*SER_hh_tes_in!M22/SER_hh_num_in!M22)</f>
        <v>9290.1996945065748</v>
      </c>
      <c r="N22" s="132">
        <f>IF(SER_hh_tes_in!N22=0,0,11630*1000*SER_hh_tes_in!N22/SER_hh_num_in!N22)</f>
        <v>8604.4341756772828</v>
      </c>
      <c r="O22" s="132">
        <f>IF(SER_hh_tes_in!O22=0,0,11630*1000*SER_hh_tes_in!O22/SER_hh_num_in!O22)</f>
        <v>9719.7902753194776</v>
      </c>
      <c r="P22" s="132">
        <f>IF(SER_hh_tes_in!P22=0,0,11630*1000*SER_hh_tes_in!P22/SER_hh_num_in!P22)</f>
        <v>0</v>
      </c>
      <c r="Q22" s="132">
        <f>IF(SER_hh_tes_in!Q22=0,0,11630*1000*SER_hh_tes_in!Q22/SER_hh_num_in!Q22)</f>
        <v>9833.6163809424197</v>
      </c>
      <c r="R22" s="132">
        <f>IF(SER_hh_tes_in!R22=0,0,11630*1000*SER_hh_tes_in!R22/SER_hh_num_in!R22)</f>
        <v>0</v>
      </c>
      <c r="S22" s="132">
        <f>IF(SER_hh_tes_in!S22=0,0,11630*1000*SER_hh_tes_in!S22/SER_hh_num_in!S22)</f>
        <v>11132.436007298902</v>
      </c>
      <c r="T22" s="132">
        <f>IF(SER_hh_tes_in!T22=0,0,11630*1000*SER_hh_tes_in!T22/SER_hh_num_in!T22)</f>
        <v>8217.0620316723089</v>
      </c>
      <c r="U22" s="132">
        <f>IF(SER_hh_tes_in!U22=0,0,11630*1000*SER_hh_tes_in!U22/SER_hh_num_in!U22)</f>
        <v>9572.8513450738301</v>
      </c>
      <c r="V22" s="132">
        <f>IF(SER_hh_tes_in!V22=0,0,11630*1000*SER_hh_tes_in!V22/SER_hh_num_in!V22)</f>
        <v>9903.5259062738733</v>
      </c>
      <c r="W22" s="132">
        <f>IF(SER_hh_tes_in!W22=0,0,11630*1000*SER_hh_tes_in!W22/SER_hh_num_in!W22)</f>
        <v>11189.462036059835</v>
      </c>
      <c r="X22" s="132">
        <f>IF(SER_hh_tes_in!X22=0,0,11630*1000*SER_hh_tes_in!X22/SER_hh_num_in!X22)</f>
        <v>0</v>
      </c>
      <c r="Y22" s="132">
        <f>IF(SER_hh_tes_in!Y22=0,0,11630*1000*SER_hh_tes_in!Y22/SER_hh_num_in!Y22)</f>
        <v>0</v>
      </c>
      <c r="DA22" s="156" t="s">
        <v>774</v>
      </c>
    </row>
    <row r="23" spans="1:105" ht="12" customHeight="1" x14ac:dyDescent="0.25">
      <c r="A23" s="131" t="s">
        <v>149</v>
      </c>
      <c r="B23" s="132"/>
      <c r="C23" s="132">
        <f>IF(SER_hh_tes_in!C23=0,0,11630*1000*SER_hh_tes_in!C23/SER_hh_num_in!C23)</f>
        <v>7989.2690473266211</v>
      </c>
      <c r="D23" s="132">
        <f>IF(SER_hh_tes_in!D23=0,0,11630*1000*SER_hh_tes_in!D23/SER_hh_num_in!D23)</f>
        <v>8135.3942176598566</v>
      </c>
      <c r="E23" s="132">
        <f>IF(SER_hh_tes_in!E23=0,0,11630*1000*SER_hh_tes_in!E23/SER_hh_num_in!E23)</f>
        <v>7847.1355185057373</v>
      </c>
      <c r="F23" s="132">
        <f>IF(SER_hh_tes_in!F23=0,0,11630*1000*SER_hh_tes_in!F23/SER_hh_num_in!F23)</f>
        <v>8798.2139778933997</v>
      </c>
      <c r="G23" s="132">
        <f>IF(SER_hh_tes_in!G23=0,0,11630*1000*SER_hh_tes_in!G23/SER_hh_num_in!G23)</f>
        <v>8061.5371987499129</v>
      </c>
      <c r="H23" s="132">
        <f>IF(SER_hh_tes_in!H23=0,0,11630*1000*SER_hh_tes_in!H23/SER_hh_num_in!H23)</f>
        <v>7956.3035126442064</v>
      </c>
      <c r="I23" s="132">
        <f>IF(SER_hh_tes_in!I23=0,0,11630*1000*SER_hh_tes_in!I23/SER_hh_num_in!I23)</f>
        <v>9670.0802931317176</v>
      </c>
      <c r="J23" s="132">
        <f>IF(SER_hh_tes_in!J23=0,0,11630*1000*SER_hh_tes_in!J23/SER_hh_num_in!J23)</f>
        <v>9704.0794512942484</v>
      </c>
      <c r="K23" s="132">
        <f>IF(SER_hh_tes_in!K23=0,0,11630*1000*SER_hh_tes_in!K23/SER_hh_num_in!K23)</f>
        <v>9266.9341057865295</v>
      </c>
      <c r="L23" s="132">
        <f>IF(SER_hh_tes_in!L23=0,0,11630*1000*SER_hh_tes_in!L23/SER_hh_num_in!L23)</f>
        <v>9325.6224927100448</v>
      </c>
      <c r="M23" s="132">
        <f>IF(SER_hh_tes_in!M23=0,0,11630*1000*SER_hh_tes_in!M23/SER_hh_num_in!M23)</f>
        <v>9557.3203889155066</v>
      </c>
      <c r="N23" s="132">
        <f>IF(SER_hh_tes_in!N23=0,0,11630*1000*SER_hh_tes_in!N23/SER_hh_num_in!N23)</f>
        <v>9637.4557769715429</v>
      </c>
      <c r="O23" s="132">
        <f>IF(SER_hh_tes_in!O23=0,0,11630*1000*SER_hh_tes_in!O23/SER_hh_num_in!O23)</f>
        <v>9872.3115243934953</v>
      </c>
      <c r="P23" s="132">
        <f>IF(SER_hh_tes_in!P23=0,0,11630*1000*SER_hh_tes_in!P23/SER_hh_num_in!P23)</f>
        <v>9309.1463729038496</v>
      </c>
      <c r="Q23" s="132">
        <f>IF(SER_hh_tes_in!Q23=0,0,11630*1000*SER_hh_tes_in!Q23/SER_hh_num_in!Q23)</f>
        <v>9825.2622714643549</v>
      </c>
      <c r="R23" s="132">
        <f>IF(SER_hh_tes_in!R23=0,0,11630*1000*SER_hh_tes_in!R23/SER_hh_num_in!R23)</f>
        <v>10178.060773051267</v>
      </c>
      <c r="S23" s="132">
        <f>IF(SER_hh_tes_in!S23=0,0,11630*1000*SER_hh_tes_in!S23/SER_hh_num_in!S23)</f>
        <v>10003.972403792441</v>
      </c>
      <c r="T23" s="132">
        <f>IF(SER_hh_tes_in!T23=0,0,11630*1000*SER_hh_tes_in!T23/SER_hh_num_in!T23)</f>
        <v>10062.807998985812</v>
      </c>
      <c r="U23" s="132">
        <f>IF(SER_hh_tes_in!U23=0,0,11630*1000*SER_hh_tes_in!U23/SER_hh_num_in!U23)</f>
        <v>9959.6367594540225</v>
      </c>
      <c r="V23" s="132">
        <f>IF(SER_hh_tes_in!V23=0,0,11630*1000*SER_hh_tes_in!V23/SER_hh_num_in!V23)</f>
        <v>9636.6031724565928</v>
      </c>
      <c r="W23" s="132">
        <f>IF(SER_hh_tes_in!W23=0,0,11630*1000*SER_hh_tes_in!W23/SER_hh_num_in!W23)</f>
        <v>10080.47000491785</v>
      </c>
      <c r="X23" s="132">
        <f>IF(SER_hh_tes_in!X23=0,0,11630*1000*SER_hh_tes_in!X23/SER_hh_num_in!X23)</f>
        <v>10237.852661413515</v>
      </c>
      <c r="Y23" s="132">
        <f>IF(SER_hh_tes_in!Y23=0,0,11630*1000*SER_hh_tes_in!Y23/SER_hh_num_in!Y23)</f>
        <v>10410.622986584505</v>
      </c>
      <c r="DA23" s="156" t="s">
        <v>775</v>
      </c>
    </row>
    <row r="24" spans="1:105" ht="12" customHeight="1" x14ac:dyDescent="0.25">
      <c r="A24" s="131" t="s">
        <v>128</v>
      </c>
      <c r="B24" s="132"/>
      <c r="C24" s="132">
        <f>IF(SER_hh_tes_in!C24=0,0,11630*1000*SER_hh_tes_in!C24/SER_hh_num_in!C24)</f>
        <v>7787.6933778426855</v>
      </c>
      <c r="D24" s="132">
        <f>IF(SER_hh_tes_in!D24=0,0,11630*1000*SER_hh_tes_in!D24/SER_hh_num_in!D24)</f>
        <v>7981.6382556677927</v>
      </c>
      <c r="E24" s="132">
        <f>IF(SER_hh_tes_in!E24=0,0,11630*1000*SER_hh_tes_in!E24/SER_hh_num_in!E24)</f>
        <v>8270.1596370430943</v>
      </c>
      <c r="F24" s="132">
        <f>IF(SER_hh_tes_in!F24=0,0,11630*1000*SER_hh_tes_in!F24/SER_hh_num_in!F24)</f>
        <v>8458.7771758429735</v>
      </c>
      <c r="G24" s="132">
        <f>IF(SER_hh_tes_in!G24=0,0,11630*1000*SER_hh_tes_in!G24/SER_hh_num_in!G24)</f>
        <v>8720.7629052898919</v>
      </c>
      <c r="H24" s="132">
        <f>IF(SER_hh_tes_in!H24=0,0,11630*1000*SER_hh_tes_in!H24/SER_hh_num_in!H24)</f>
        <v>9219.7281318262576</v>
      </c>
      <c r="I24" s="132">
        <f>IF(SER_hh_tes_in!I24=0,0,11630*1000*SER_hh_tes_in!I24/SER_hh_num_in!I24)</f>
        <v>8872.9407433586712</v>
      </c>
      <c r="J24" s="132">
        <f>IF(SER_hh_tes_in!J24=0,0,11630*1000*SER_hh_tes_in!J24/SER_hh_num_in!J24)</f>
        <v>9069.7596832996078</v>
      </c>
      <c r="K24" s="132">
        <f>IF(SER_hh_tes_in!K24=0,0,11630*1000*SER_hh_tes_in!K24/SER_hh_num_in!K24)</f>
        <v>9135.29585660681</v>
      </c>
      <c r="L24" s="132">
        <f>IF(SER_hh_tes_in!L24=0,0,11630*1000*SER_hh_tes_in!L24/SER_hh_num_in!L24)</f>
        <v>9288.8614838082121</v>
      </c>
      <c r="M24" s="132">
        <f>IF(SER_hh_tes_in!M24=0,0,11630*1000*SER_hh_tes_in!M24/SER_hh_num_in!M24)</f>
        <v>9542.3384151029895</v>
      </c>
      <c r="N24" s="132">
        <f>IF(SER_hh_tes_in!N24=0,0,11630*1000*SER_hh_tes_in!N24/SER_hh_num_in!N24)</f>
        <v>9600.0184306782212</v>
      </c>
      <c r="O24" s="132">
        <f>IF(SER_hh_tes_in!O24=0,0,11630*1000*SER_hh_tes_in!O24/SER_hh_num_in!O24)</f>
        <v>9819.478524210208</v>
      </c>
      <c r="P24" s="132">
        <f>IF(SER_hh_tes_in!P24=0,0,11630*1000*SER_hh_tes_in!P24/SER_hh_num_in!P24)</f>
        <v>9929.7415998655324</v>
      </c>
      <c r="Q24" s="132">
        <f>IF(SER_hh_tes_in!Q24=0,0,11630*1000*SER_hh_tes_in!Q24/SER_hh_num_in!Q24)</f>
        <v>10234.027171203152</v>
      </c>
      <c r="R24" s="132">
        <f>IF(SER_hh_tes_in!R24=0,0,11630*1000*SER_hh_tes_in!R24/SER_hh_num_in!R24)</f>
        <v>10225.626007646448</v>
      </c>
      <c r="S24" s="132">
        <f>IF(SER_hh_tes_in!S24=0,0,11630*1000*SER_hh_tes_in!S24/SER_hh_num_in!S24)</f>
        <v>0</v>
      </c>
      <c r="T24" s="132">
        <f>IF(SER_hh_tes_in!T24=0,0,11630*1000*SER_hh_tes_in!T24/SER_hh_num_in!T24)</f>
        <v>10034.582871986338</v>
      </c>
      <c r="U24" s="132">
        <f>IF(SER_hh_tes_in!U24=0,0,11630*1000*SER_hh_tes_in!U24/SER_hh_num_in!U24)</f>
        <v>9608.8837581325297</v>
      </c>
      <c r="V24" s="132">
        <f>IF(SER_hh_tes_in!V24=0,0,11630*1000*SER_hh_tes_in!V24/SER_hh_num_in!V24)</f>
        <v>10232.437357642464</v>
      </c>
      <c r="W24" s="132">
        <f>IF(SER_hh_tes_in!W24=0,0,11630*1000*SER_hh_tes_in!W24/SER_hh_num_in!W24)</f>
        <v>10176.989911216362</v>
      </c>
      <c r="X24" s="132">
        <f>IF(SER_hh_tes_in!X24=0,0,11630*1000*SER_hh_tes_in!X24/SER_hh_num_in!X24)</f>
        <v>10143.431764603112</v>
      </c>
      <c r="Y24" s="132">
        <f>IF(SER_hh_tes_in!Y24=0,0,11630*1000*SER_hh_tes_in!Y24/SER_hh_num_in!Y24)</f>
        <v>10385.70796335784</v>
      </c>
      <c r="DA24" s="156" t="s">
        <v>776</v>
      </c>
    </row>
    <row r="25" spans="1:105" ht="12" customHeight="1" x14ac:dyDescent="0.25">
      <c r="A25" s="131" t="s">
        <v>162</v>
      </c>
      <c r="B25" s="132"/>
      <c r="C25" s="132">
        <f>IF(SER_hh_tes_in!C25=0,0,11630*1000*SER_hh_tes_in!C25/SER_hh_num_in!C25)</f>
        <v>8238.798076101948</v>
      </c>
      <c r="D25" s="132">
        <f>IF(SER_hh_tes_in!D25=0,0,11630*1000*SER_hh_tes_in!D25/SER_hh_num_in!D25)</f>
        <v>8124.9633128650084</v>
      </c>
      <c r="E25" s="132">
        <f>IF(SER_hh_tes_in!E25=0,0,11630*1000*SER_hh_tes_in!E25/SER_hh_num_in!E25)</f>
        <v>8141.9255199855952</v>
      </c>
      <c r="F25" s="132">
        <f>IF(SER_hh_tes_in!F25=0,0,11630*1000*SER_hh_tes_in!F25/SER_hh_num_in!F25)</f>
        <v>8501.7214776430719</v>
      </c>
      <c r="G25" s="132">
        <f>IF(SER_hh_tes_in!G25=0,0,11630*1000*SER_hh_tes_in!G25/SER_hh_num_in!G25)</f>
        <v>8889.6224019961483</v>
      </c>
      <c r="H25" s="132">
        <f>IF(SER_hh_tes_in!H25=0,0,11630*1000*SER_hh_tes_in!H25/SER_hh_num_in!H25)</f>
        <v>9404.6420801433196</v>
      </c>
      <c r="I25" s="132">
        <f>IF(SER_hh_tes_in!I25=0,0,11630*1000*SER_hh_tes_in!I25/SER_hh_num_in!I25)</f>
        <v>8466.5722365198071</v>
      </c>
      <c r="J25" s="132">
        <f>IF(SER_hh_tes_in!J25=0,0,11630*1000*SER_hh_tes_in!J25/SER_hh_num_in!J25)</f>
        <v>8538.4697011923727</v>
      </c>
      <c r="K25" s="132">
        <f>IF(SER_hh_tes_in!K25=0,0,11630*1000*SER_hh_tes_in!K25/SER_hh_num_in!K25)</f>
        <v>9289.5184052854729</v>
      </c>
      <c r="L25" s="132">
        <f>IF(SER_hh_tes_in!L25=0,0,11630*1000*SER_hh_tes_in!L25/SER_hh_num_in!L25)</f>
        <v>9592.2718426079991</v>
      </c>
      <c r="M25" s="132">
        <f>IF(SER_hh_tes_in!M25=0,0,11630*1000*SER_hh_tes_in!M25/SER_hh_num_in!M25)</f>
        <v>9425.1798501324411</v>
      </c>
      <c r="N25" s="132">
        <f>IF(SER_hh_tes_in!N25=0,0,11630*1000*SER_hh_tes_in!N25/SER_hh_num_in!N25)</f>
        <v>9536.7820390912129</v>
      </c>
      <c r="O25" s="132">
        <f>IF(SER_hh_tes_in!O25=0,0,11630*1000*SER_hh_tes_in!O25/SER_hh_num_in!O25)</f>
        <v>9798.3509343511669</v>
      </c>
      <c r="P25" s="132">
        <f>IF(SER_hh_tes_in!P25=0,0,11630*1000*SER_hh_tes_in!P25/SER_hh_num_in!P25)</f>
        <v>9595.9164595540715</v>
      </c>
      <c r="Q25" s="132">
        <f>IF(SER_hh_tes_in!Q25=0,0,11630*1000*SER_hh_tes_in!Q25/SER_hh_num_in!Q25)</f>
        <v>10041.533204083549</v>
      </c>
      <c r="R25" s="132">
        <f>IF(SER_hh_tes_in!R25=0,0,11630*1000*SER_hh_tes_in!R25/SER_hh_num_in!R25)</f>
        <v>10066.824108973979</v>
      </c>
      <c r="S25" s="132">
        <f>IF(SER_hh_tes_in!S25=0,0,11630*1000*SER_hh_tes_in!S25/SER_hh_num_in!S25)</f>
        <v>10352.271697722996</v>
      </c>
      <c r="T25" s="132">
        <f>IF(SER_hh_tes_in!T25=0,0,11630*1000*SER_hh_tes_in!T25/SER_hh_num_in!T25)</f>
        <v>10211.202494444158</v>
      </c>
      <c r="U25" s="132">
        <f>IF(SER_hh_tes_in!U25=0,0,11630*1000*SER_hh_tes_in!U25/SER_hh_num_in!U25)</f>
        <v>10176.074444622427</v>
      </c>
      <c r="V25" s="132">
        <f>IF(SER_hh_tes_in!V25=0,0,11630*1000*SER_hh_tes_in!V25/SER_hh_num_in!V25)</f>
        <v>8922.2933010925681</v>
      </c>
      <c r="W25" s="132">
        <f>IF(SER_hh_tes_in!W25=0,0,11630*1000*SER_hh_tes_in!W25/SER_hh_num_in!W25)</f>
        <v>10071.334962353829</v>
      </c>
      <c r="X25" s="132">
        <f>IF(SER_hh_tes_in!X25=0,0,11630*1000*SER_hh_tes_in!X25/SER_hh_num_in!X25)</f>
        <v>10182.95178862713</v>
      </c>
      <c r="Y25" s="132">
        <f>IF(SER_hh_tes_in!Y25=0,0,11630*1000*SER_hh_tes_in!Y25/SER_hh_num_in!Y25)</f>
        <v>10384.282363916112</v>
      </c>
      <c r="DA25" s="156" t="s">
        <v>777</v>
      </c>
    </row>
    <row r="26" spans="1:105" ht="12" customHeight="1" x14ac:dyDescent="0.25">
      <c r="A26" s="131" t="s">
        <v>24</v>
      </c>
      <c r="B26" s="65"/>
      <c r="C26" s="65">
        <f>IF(SER_hh_tes_in!C26=0,0,11630*1000*SER_hh_tes_in!C26/SER_hh_num_in!C26)</f>
        <v>8169.08203573837</v>
      </c>
      <c r="D26" s="65">
        <f>IF(SER_hh_tes_in!D26=0,0,11630*1000*SER_hh_tes_in!D26/SER_hh_num_in!D26)</f>
        <v>8311.1419946057922</v>
      </c>
      <c r="E26" s="65">
        <f>IF(SER_hh_tes_in!E26=0,0,11630*1000*SER_hh_tes_in!E26/SER_hh_num_in!E26)</f>
        <v>8283.6828061562028</v>
      </c>
      <c r="F26" s="65">
        <f>IF(SER_hh_tes_in!F26=0,0,11630*1000*SER_hh_tes_in!F26/SER_hh_num_in!F26)</f>
        <v>8410.7406789752131</v>
      </c>
      <c r="G26" s="65">
        <f>IF(SER_hh_tes_in!G26=0,0,11630*1000*SER_hh_tes_in!G26/SER_hh_num_in!G26)</f>
        <v>8716.4334923627066</v>
      </c>
      <c r="H26" s="65">
        <f>IF(SER_hh_tes_in!H26=0,0,11630*1000*SER_hh_tes_in!H26/SER_hh_num_in!H26)</f>
        <v>8915.0773156742962</v>
      </c>
      <c r="I26" s="65">
        <f>IF(SER_hh_tes_in!I26=0,0,11630*1000*SER_hh_tes_in!I26/SER_hh_num_in!I26)</f>
        <v>9354.8900745868486</v>
      </c>
      <c r="J26" s="65">
        <f>IF(SER_hh_tes_in!J26=0,0,11630*1000*SER_hh_tes_in!J26/SER_hh_num_in!J26)</f>
        <v>9410.3368452331142</v>
      </c>
      <c r="K26" s="65">
        <f>IF(SER_hh_tes_in!K26=0,0,11630*1000*SER_hh_tes_in!K26/SER_hh_num_in!K26)</f>
        <v>9088.1184360038787</v>
      </c>
      <c r="L26" s="65">
        <f>IF(SER_hh_tes_in!L26=0,0,11630*1000*SER_hh_tes_in!L26/SER_hh_num_in!L26)</f>
        <v>9109.5622529900411</v>
      </c>
      <c r="M26" s="65">
        <f>IF(SER_hh_tes_in!M26=0,0,11630*1000*SER_hh_tes_in!M26/SER_hh_num_in!M26)</f>
        <v>9600.3382517256086</v>
      </c>
      <c r="N26" s="65">
        <f>IF(SER_hh_tes_in!N26=0,0,11630*1000*SER_hh_tes_in!N26/SER_hh_num_in!N26)</f>
        <v>9711.2575793543747</v>
      </c>
      <c r="O26" s="65">
        <f>IF(SER_hh_tes_in!O26=0,0,11630*1000*SER_hh_tes_in!O26/SER_hh_num_in!O26)</f>
        <v>9728.8261869348025</v>
      </c>
      <c r="P26" s="65">
        <f>IF(SER_hh_tes_in!P26=0,0,11630*1000*SER_hh_tes_in!P26/SER_hh_num_in!P26)</f>
        <v>10196.411633168123</v>
      </c>
      <c r="Q26" s="65">
        <f>IF(SER_hh_tes_in!Q26=0,0,11630*1000*SER_hh_tes_in!Q26/SER_hh_num_in!Q26)</f>
        <v>9600.6551651171594</v>
      </c>
      <c r="R26" s="65">
        <f>IF(SER_hh_tes_in!R26=0,0,11630*1000*SER_hh_tes_in!R26/SER_hh_num_in!R26)</f>
        <v>9429.6783098494616</v>
      </c>
      <c r="S26" s="65">
        <f>IF(SER_hh_tes_in!S26=0,0,11630*1000*SER_hh_tes_in!S26/SER_hh_num_in!S26)</f>
        <v>10097.130535214646</v>
      </c>
      <c r="T26" s="65">
        <f>IF(SER_hh_tes_in!T26=0,0,11630*1000*SER_hh_tes_in!T26/SER_hh_num_in!T26)</f>
        <v>10087.235587231678</v>
      </c>
      <c r="U26" s="65">
        <f>IF(SER_hh_tes_in!U26=0,0,11630*1000*SER_hh_tes_in!U26/SER_hh_num_in!U26)</f>
        <v>10542.93136527179</v>
      </c>
      <c r="V26" s="65">
        <f>IF(SER_hh_tes_in!V26=0,0,11630*1000*SER_hh_tes_in!V26/SER_hh_num_in!V26)</f>
        <v>9075.2628964411797</v>
      </c>
      <c r="W26" s="65">
        <f>IF(SER_hh_tes_in!W26=0,0,11630*1000*SER_hh_tes_in!W26/SER_hh_num_in!W26)</f>
        <v>9929.6210147772781</v>
      </c>
      <c r="X26" s="65">
        <f>IF(SER_hh_tes_in!X26=0,0,11630*1000*SER_hh_tes_in!X26/SER_hh_num_in!X26)</f>
        <v>10101.3636507099</v>
      </c>
      <c r="Y26" s="65">
        <f>IF(SER_hh_tes_in!Y26=0,0,11630*1000*SER_hh_tes_in!Y26/SER_hh_num_in!Y26)</f>
        <v>10639.31686673701</v>
      </c>
      <c r="DA26" s="109" t="s">
        <v>778</v>
      </c>
    </row>
    <row r="27" spans="1:105" ht="12" customHeight="1" x14ac:dyDescent="0.25">
      <c r="A27" s="144" t="s">
        <v>86</v>
      </c>
      <c r="B27" s="147"/>
      <c r="C27" s="145">
        <f>IF(SER_hh_tes_in!C27=0,0,11630*1000*SER_hh_tes_in!C27/SER_hh_num_in!C19)</f>
        <v>0</v>
      </c>
      <c r="D27" s="145">
        <f>IF(SER_hh_tes_in!D27=0,0,11630*1000*SER_hh_tes_in!D27/SER_hh_num_in!D19)</f>
        <v>0</v>
      </c>
      <c r="E27" s="145">
        <f>IF(SER_hh_tes_in!E27=0,0,11630*1000*SER_hh_tes_in!E27/SER_hh_num_in!E19)</f>
        <v>0</v>
      </c>
      <c r="F27" s="145">
        <f>IF(SER_hh_tes_in!F27=0,0,11630*1000*SER_hh_tes_in!F27/SER_hh_num_in!F19)</f>
        <v>0</v>
      </c>
      <c r="G27" s="145">
        <f>IF(SER_hh_tes_in!G27=0,0,11630*1000*SER_hh_tes_in!G27/SER_hh_num_in!G19)</f>
        <v>0</v>
      </c>
      <c r="H27" s="145">
        <f>IF(SER_hh_tes_in!H27=0,0,11630*1000*SER_hh_tes_in!H27/SER_hh_num_in!H19)</f>
        <v>0</v>
      </c>
      <c r="I27" s="145">
        <f>IF(SER_hh_tes_in!I27=0,0,11630*1000*SER_hh_tes_in!I27/SER_hh_num_in!I19)</f>
        <v>0</v>
      </c>
      <c r="J27" s="145">
        <f>IF(SER_hh_tes_in!J27=0,0,11630*1000*SER_hh_tes_in!J27/SER_hh_num_in!J19)</f>
        <v>0</v>
      </c>
      <c r="K27" s="145">
        <f>IF(SER_hh_tes_in!K27=0,0,11630*1000*SER_hh_tes_in!K27/SER_hh_num_in!K19)</f>
        <v>0</v>
      </c>
      <c r="L27" s="145">
        <f>IF(SER_hh_tes_in!L27=0,0,11630*1000*SER_hh_tes_in!L27/SER_hh_num_in!L19)</f>
        <v>0</v>
      </c>
      <c r="M27" s="145">
        <f>IF(SER_hh_tes_in!M27=0,0,11630*1000*SER_hh_tes_in!M27/SER_hh_num_in!M19)</f>
        <v>0</v>
      </c>
      <c r="N27" s="145">
        <f>IF(SER_hh_tes_in!N27=0,0,11630*1000*SER_hh_tes_in!N27/SER_hh_num_in!N19)</f>
        <v>0</v>
      </c>
      <c r="O27" s="145">
        <f>IF(SER_hh_tes_in!O27=0,0,11630*1000*SER_hh_tes_in!O27/SER_hh_num_in!O19)</f>
        <v>0</v>
      </c>
      <c r="P27" s="145">
        <f>IF(SER_hh_tes_in!P27=0,0,11630*1000*SER_hh_tes_in!P27/SER_hh_num_in!P19)</f>
        <v>0</v>
      </c>
      <c r="Q27" s="145">
        <f>IF(SER_hh_tes_in!Q27=0,0,11630*1000*SER_hh_tes_in!Q27/SER_hh_num_in!Q19)</f>
        <v>0</v>
      </c>
      <c r="R27" s="145">
        <f>IF(SER_hh_tes_in!R27=0,0,11630*1000*SER_hh_tes_in!R27/SER_hh_num_in!R19)</f>
        <v>0</v>
      </c>
      <c r="S27" s="145">
        <f>IF(SER_hh_tes_in!S27=0,0,11630*1000*SER_hh_tes_in!S27/SER_hh_num_in!S19)</f>
        <v>0</v>
      </c>
      <c r="T27" s="145">
        <f>IF(SER_hh_tes_in!T27=0,0,11630*1000*SER_hh_tes_in!T27/SER_hh_num_in!T19)</f>
        <v>0</v>
      </c>
      <c r="U27" s="145">
        <f>IF(SER_hh_tes_in!U27=0,0,11630*1000*SER_hh_tes_in!U27/SER_hh_num_in!U19)</f>
        <v>0</v>
      </c>
      <c r="V27" s="145">
        <f>IF(SER_hh_tes_in!V27=0,0,11630*1000*SER_hh_tes_in!V27/SER_hh_num_in!V19)</f>
        <v>0</v>
      </c>
      <c r="W27" s="145">
        <f>IF(SER_hh_tes_in!W27=0,0,11630*1000*SER_hh_tes_in!W27/SER_hh_num_in!W19)</f>
        <v>0</v>
      </c>
      <c r="X27" s="145">
        <f>IF(SER_hh_tes_in!X27=0,0,11630*1000*SER_hh_tes_in!X27/SER_hh_num_in!X19)</f>
        <v>0</v>
      </c>
      <c r="Y27" s="145">
        <f>IF(SER_hh_tes_in!Y27=0,0,11630*1000*SER_hh_tes_in!Y27/SER_hh_num_in!Y19)</f>
        <v>0</v>
      </c>
      <c r="DA27" s="158" t="s">
        <v>779</v>
      </c>
    </row>
    <row r="28" spans="1:105" ht="12" customHeight="1" x14ac:dyDescent="0.25">
      <c r="A28" s="78" t="s">
        <v>85</v>
      </c>
      <c r="B28" s="68"/>
      <c r="C28" s="146">
        <f>IF(SER_hh_tes_in!C27=0,0,11630*1000*SER_hh_tes_in!C27/SER_hh_num_in!C27)</f>
        <v>0</v>
      </c>
      <c r="D28" s="146">
        <f>IF(SER_hh_tes_in!D27=0,0,11630*1000*SER_hh_tes_in!D27/SER_hh_num_in!D27)</f>
        <v>0</v>
      </c>
      <c r="E28" s="146">
        <f>IF(SER_hh_tes_in!E27=0,0,11630*1000*SER_hh_tes_in!E27/SER_hh_num_in!E27)</f>
        <v>0</v>
      </c>
      <c r="F28" s="146">
        <f>IF(SER_hh_tes_in!F27=0,0,11630*1000*SER_hh_tes_in!F27/SER_hh_num_in!F27)</f>
        <v>0</v>
      </c>
      <c r="G28" s="146">
        <f>IF(SER_hh_tes_in!G27=0,0,11630*1000*SER_hh_tes_in!G27/SER_hh_num_in!G27)</f>
        <v>0</v>
      </c>
      <c r="H28" s="146">
        <f>IF(SER_hh_tes_in!H27=0,0,11630*1000*SER_hh_tes_in!H27/SER_hh_num_in!H27)</f>
        <v>0</v>
      </c>
      <c r="I28" s="146">
        <f>IF(SER_hh_tes_in!I27=0,0,11630*1000*SER_hh_tes_in!I27/SER_hh_num_in!I27)</f>
        <v>0</v>
      </c>
      <c r="J28" s="146">
        <f>IF(SER_hh_tes_in!J27=0,0,11630*1000*SER_hh_tes_in!J27/SER_hh_num_in!J27)</f>
        <v>0</v>
      </c>
      <c r="K28" s="146">
        <f>IF(SER_hh_tes_in!K27=0,0,11630*1000*SER_hh_tes_in!K27/SER_hh_num_in!K27)</f>
        <v>0</v>
      </c>
      <c r="L28" s="146">
        <f>IF(SER_hh_tes_in!L27=0,0,11630*1000*SER_hh_tes_in!L27/SER_hh_num_in!L27)</f>
        <v>0</v>
      </c>
      <c r="M28" s="146">
        <f>IF(SER_hh_tes_in!M27=0,0,11630*1000*SER_hh_tes_in!M27/SER_hh_num_in!M27)</f>
        <v>0</v>
      </c>
      <c r="N28" s="146">
        <f>IF(SER_hh_tes_in!N27=0,0,11630*1000*SER_hh_tes_in!N27/SER_hh_num_in!N27)</f>
        <v>0</v>
      </c>
      <c r="O28" s="146">
        <f>IF(SER_hh_tes_in!O27=0,0,11630*1000*SER_hh_tes_in!O27/SER_hh_num_in!O27)</f>
        <v>0</v>
      </c>
      <c r="P28" s="146">
        <f>IF(SER_hh_tes_in!P27=0,0,11630*1000*SER_hh_tes_in!P27/SER_hh_num_in!P27)</f>
        <v>0</v>
      </c>
      <c r="Q28" s="146">
        <f>IF(SER_hh_tes_in!Q27=0,0,11630*1000*SER_hh_tes_in!Q27/SER_hh_num_in!Q27)</f>
        <v>0</v>
      </c>
      <c r="R28" s="146">
        <f>IF(SER_hh_tes_in!R27=0,0,11630*1000*SER_hh_tes_in!R27/SER_hh_num_in!R27)</f>
        <v>0</v>
      </c>
      <c r="S28" s="146">
        <f>IF(SER_hh_tes_in!S27=0,0,11630*1000*SER_hh_tes_in!S27/SER_hh_num_in!S27)</f>
        <v>0</v>
      </c>
      <c r="T28" s="146">
        <f>IF(SER_hh_tes_in!T27=0,0,11630*1000*SER_hh_tes_in!T27/SER_hh_num_in!T27)</f>
        <v>0</v>
      </c>
      <c r="U28" s="146">
        <f>IF(SER_hh_tes_in!U27=0,0,11630*1000*SER_hh_tes_in!U27/SER_hh_num_in!U27)</f>
        <v>0</v>
      </c>
      <c r="V28" s="146">
        <f>IF(SER_hh_tes_in!V27=0,0,11630*1000*SER_hh_tes_in!V27/SER_hh_num_in!V27)</f>
        <v>0</v>
      </c>
      <c r="W28" s="146">
        <f>IF(SER_hh_tes_in!W27=0,0,11630*1000*SER_hh_tes_in!W27/SER_hh_num_in!W27)</f>
        <v>0</v>
      </c>
      <c r="X28" s="146">
        <f>IF(SER_hh_tes_in!X27=0,0,11630*1000*SER_hh_tes_in!X27/SER_hh_num_in!X27)</f>
        <v>0</v>
      </c>
      <c r="Y28" s="146">
        <f>IF(SER_hh_tes_in!Y27=0,0,11630*1000*SER_hh_tes_in!Y27/SER_hh_num_in!Y27)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IF(SER_hh_tes_in!C29=0,0,11630*1000*SER_hh_tes_in!C29/SER_hh_num_in!C29)</f>
        <v>9054.6172141407715</v>
      </c>
      <c r="D29" s="130">
        <f>IF(SER_hh_tes_in!D29=0,0,11630*1000*SER_hh_tes_in!D29/SER_hh_num_in!D29)</f>
        <v>9112.8056730924491</v>
      </c>
      <c r="E29" s="130">
        <f>IF(SER_hh_tes_in!E29=0,0,11630*1000*SER_hh_tes_in!E29/SER_hh_num_in!E29)</f>
        <v>8988.8011222533714</v>
      </c>
      <c r="F29" s="130">
        <f>IF(SER_hh_tes_in!F29=0,0,11630*1000*SER_hh_tes_in!F29/SER_hh_num_in!F29)</f>
        <v>9130.9374524840932</v>
      </c>
      <c r="G29" s="130">
        <f>IF(SER_hh_tes_in!G29=0,0,11630*1000*SER_hh_tes_in!G29/SER_hh_num_in!G29)</f>
        <v>9450.8943765055901</v>
      </c>
      <c r="H29" s="130">
        <f>IF(SER_hh_tes_in!H29=0,0,11630*1000*SER_hh_tes_in!H29/SER_hh_num_in!H29)</f>
        <v>9691.5339940448248</v>
      </c>
      <c r="I29" s="130">
        <f>IF(SER_hh_tes_in!I29=0,0,11630*1000*SER_hh_tes_in!I29/SER_hh_num_in!I29)</f>
        <v>9423.0629055011668</v>
      </c>
      <c r="J29" s="130">
        <f>IF(SER_hh_tes_in!J29=0,0,11630*1000*SER_hh_tes_in!J29/SER_hh_num_in!J29)</f>
        <v>9129.1894943018106</v>
      </c>
      <c r="K29" s="130">
        <f>IF(SER_hh_tes_in!K29=0,0,11630*1000*SER_hh_tes_in!K29/SER_hh_num_in!K29)</f>
        <v>9404.7084278119455</v>
      </c>
      <c r="L29" s="130">
        <f>IF(SER_hh_tes_in!L29=0,0,11630*1000*SER_hh_tes_in!L29/SER_hh_num_in!L29)</f>
        <v>9374.5995373592032</v>
      </c>
      <c r="M29" s="130">
        <f>IF(SER_hh_tes_in!M29=0,0,11630*1000*SER_hh_tes_in!M29/SER_hh_num_in!M29)</f>
        <v>9140.5854266454317</v>
      </c>
      <c r="N29" s="130">
        <f>IF(SER_hh_tes_in!N29=0,0,11630*1000*SER_hh_tes_in!N29/SER_hh_num_in!N29)</f>
        <v>9713.2780466482473</v>
      </c>
      <c r="O29" s="130">
        <f>IF(SER_hh_tes_in!O29=0,0,11630*1000*SER_hh_tes_in!O29/SER_hh_num_in!O29)</f>
        <v>9910.1335945925784</v>
      </c>
      <c r="P29" s="130">
        <f>IF(SER_hh_tes_in!P29=0,0,11630*1000*SER_hh_tes_in!P29/SER_hh_num_in!P29)</f>
        <v>9799.2012296527555</v>
      </c>
      <c r="Q29" s="130">
        <f>IF(SER_hh_tes_in!Q29=0,0,11630*1000*SER_hh_tes_in!Q29/SER_hh_num_in!Q29)</f>
        <v>9470.8880513036456</v>
      </c>
      <c r="R29" s="130">
        <f>IF(SER_hh_tes_in!R29=0,0,11630*1000*SER_hh_tes_in!R29/SER_hh_num_in!R29)</f>
        <v>9563.8792205212812</v>
      </c>
      <c r="S29" s="130">
        <f>IF(SER_hh_tes_in!S29=0,0,11630*1000*SER_hh_tes_in!S29/SER_hh_num_in!S29)</f>
        <v>9917.3454652871769</v>
      </c>
      <c r="T29" s="130">
        <f>IF(SER_hh_tes_in!T29=0,0,11630*1000*SER_hh_tes_in!T29/SER_hh_num_in!T29)</f>
        <v>9996.1087477922429</v>
      </c>
      <c r="U29" s="130">
        <f>IF(SER_hh_tes_in!U29=0,0,11630*1000*SER_hh_tes_in!U29/SER_hh_num_in!U29)</f>
        <v>11099.056727948899</v>
      </c>
      <c r="V29" s="130">
        <f>IF(SER_hh_tes_in!V29=0,0,11630*1000*SER_hh_tes_in!V29/SER_hh_num_in!V29)</f>
        <v>10564.675395332262</v>
      </c>
      <c r="W29" s="130">
        <f>IF(SER_hh_tes_in!W29=0,0,11630*1000*SER_hh_tes_in!W29/SER_hh_num_in!W29)</f>
        <v>11502.259110625393</v>
      </c>
      <c r="X29" s="130">
        <f>IF(SER_hh_tes_in!X29=0,0,11630*1000*SER_hh_tes_in!X29/SER_hh_num_in!X29)</f>
        <v>11388.153354495618</v>
      </c>
      <c r="Y29" s="130">
        <f>IF(SER_hh_tes_in!Y29=0,0,11630*1000*SER_hh_tes_in!Y29/SER_hh_num_in!Y29)</f>
        <v>11729.302485093387</v>
      </c>
      <c r="DA29" s="155" t="s">
        <v>780</v>
      </c>
    </row>
    <row r="30" spans="1:105" s="2" customFormat="1" ht="12" customHeight="1" x14ac:dyDescent="0.25">
      <c r="A30" s="131" t="s">
        <v>52</v>
      </c>
      <c r="B30" s="132"/>
      <c r="C30" s="132">
        <f>IF(SER_hh_tes_in!C30=0,0,11630*1000*SER_hh_tes_in!C30/SER_hh_num_in!C30)</f>
        <v>0</v>
      </c>
      <c r="D30" s="132">
        <f>IF(SER_hh_tes_in!D30=0,0,11630*1000*SER_hh_tes_in!D30/SER_hh_num_in!D30)</f>
        <v>0</v>
      </c>
      <c r="E30" s="132">
        <f>IF(SER_hh_tes_in!E30=0,0,11630*1000*SER_hh_tes_in!E30/SER_hh_num_in!E30)</f>
        <v>0</v>
      </c>
      <c r="F30" s="132">
        <f>IF(SER_hh_tes_in!F30=0,0,11630*1000*SER_hh_tes_in!F30/SER_hh_num_in!F30)</f>
        <v>0</v>
      </c>
      <c r="G30" s="132">
        <f>IF(SER_hh_tes_in!G30=0,0,11630*1000*SER_hh_tes_in!G30/SER_hh_num_in!G30)</f>
        <v>0</v>
      </c>
      <c r="H30" s="132">
        <f>IF(SER_hh_tes_in!H30=0,0,11630*1000*SER_hh_tes_in!H30/SER_hh_num_in!H30)</f>
        <v>0</v>
      </c>
      <c r="I30" s="132">
        <f>IF(SER_hh_tes_in!I30=0,0,11630*1000*SER_hh_tes_in!I30/SER_hh_num_in!I30)</f>
        <v>0</v>
      </c>
      <c r="J30" s="132">
        <f>IF(SER_hh_tes_in!J30=0,0,11630*1000*SER_hh_tes_in!J30/SER_hh_num_in!J30)</f>
        <v>0</v>
      </c>
      <c r="K30" s="132">
        <f>IF(SER_hh_tes_in!K30=0,0,11630*1000*SER_hh_tes_in!K30/SER_hh_num_in!K30)</f>
        <v>0</v>
      </c>
      <c r="L30" s="132">
        <f>IF(SER_hh_tes_in!L30=0,0,11630*1000*SER_hh_tes_in!L30/SER_hh_num_in!L30)</f>
        <v>0</v>
      </c>
      <c r="M30" s="132">
        <f>IF(SER_hh_tes_in!M30=0,0,11630*1000*SER_hh_tes_in!M30/SER_hh_num_in!M30)</f>
        <v>0</v>
      </c>
      <c r="N30" s="132">
        <f>IF(SER_hh_tes_in!N30=0,0,11630*1000*SER_hh_tes_in!N30/SER_hh_num_in!N30)</f>
        <v>0</v>
      </c>
      <c r="O30" s="132">
        <f>IF(SER_hh_tes_in!O30=0,0,11630*1000*SER_hh_tes_in!O30/SER_hh_num_in!O30)</f>
        <v>0</v>
      </c>
      <c r="P30" s="132">
        <f>IF(SER_hh_tes_in!P30=0,0,11630*1000*SER_hh_tes_in!P30/SER_hh_num_in!P30)</f>
        <v>0</v>
      </c>
      <c r="Q30" s="132">
        <f>IF(SER_hh_tes_in!Q30=0,0,11630*1000*SER_hh_tes_in!Q30/SER_hh_num_in!Q30)</f>
        <v>0</v>
      </c>
      <c r="R30" s="132">
        <f>IF(SER_hh_tes_in!R30=0,0,11630*1000*SER_hh_tes_in!R30/SER_hh_num_in!R30)</f>
        <v>0</v>
      </c>
      <c r="S30" s="132">
        <f>IF(SER_hh_tes_in!S30=0,0,11630*1000*SER_hh_tes_in!S30/SER_hh_num_in!S30)</f>
        <v>0</v>
      </c>
      <c r="T30" s="132">
        <f>IF(SER_hh_tes_in!T30=0,0,11630*1000*SER_hh_tes_in!T30/SER_hh_num_in!T30)</f>
        <v>0</v>
      </c>
      <c r="U30" s="132">
        <f>IF(SER_hh_tes_in!U30=0,0,11630*1000*SER_hh_tes_in!U30/SER_hh_num_in!U30)</f>
        <v>0</v>
      </c>
      <c r="V30" s="132">
        <f>IF(SER_hh_tes_in!V30=0,0,11630*1000*SER_hh_tes_in!V30/SER_hh_num_in!V30)</f>
        <v>0</v>
      </c>
      <c r="W30" s="132">
        <f>IF(SER_hh_tes_in!W30=0,0,11630*1000*SER_hh_tes_in!W30/SER_hh_num_in!W30)</f>
        <v>0</v>
      </c>
      <c r="X30" s="132">
        <f>IF(SER_hh_tes_in!X30=0,0,11630*1000*SER_hh_tes_in!X30/SER_hh_num_in!X30)</f>
        <v>0</v>
      </c>
      <c r="Y30" s="132">
        <f>IF(SER_hh_tes_in!Y30=0,0,11630*1000*SER_hh_tes_in!Y30/SER_hh_num_in!Y30)</f>
        <v>0</v>
      </c>
      <c r="DA30" s="156" t="s">
        <v>781</v>
      </c>
    </row>
    <row r="31" spans="1:105" ht="12" customHeight="1" x14ac:dyDescent="0.25">
      <c r="A31" s="131" t="s">
        <v>149</v>
      </c>
      <c r="B31" s="132"/>
      <c r="C31" s="132">
        <f>IF(SER_hh_tes_in!C31=0,0,11630*1000*SER_hh_tes_in!C31/SER_hh_num_in!C31)</f>
        <v>8959.1107665749059</v>
      </c>
      <c r="D31" s="132">
        <f>IF(SER_hh_tes_in!D31=0,0,11630*1000*SER_hh_tes_in!D31/SER_hh_num_in!D31)</f>
        <v>9447.8632893357171</v>
      </c>
      <c r="E31" s="132">
        <f>IF(SER_hh_tes_in!E31=0,0,11630*1000*SER_hh_tes_in!E31/SER_hh_num_in!E31)</f>
        <v>9460.9900920164346</v>
      </c>
      <c r="F31" s="132">
        <f>IF(SER_hh_tes_in!F31=0,0,11630*1000*SER_hh_tes_in!F31/SER_hh_num_in!F31)</f>
        <v>8740.6422064889612</v>
      </c>
      <c r="G31" s="132">
        <f>IF(SER_hh_tes_in!G31=0,0,11630*1000*SER_hh_tes_in!G31/SER_hh_num_in!G31)</f>
        <v>9000.9524562439728</v>
      </c>
      <c r="H31" s="132">
        <f>IF(SER_hh_tes_in!H31=0,0,11630*1000*SER_hh_tes_in!H31/SER_hh_num_in!H31)</f>
        <v>8741.5175180944552</v>
      </c>
      <c r="I31" s="132">
        <f>IF(SER_hh_tes_in!I31=0,0,11630*1000*SER_hh_tes_in!I31/SER_hh_num_in!I31)</f>
        <v>9883.1267182425618</v>
      </c>
      <c r="J31" s="132">
        <f>IF(SER_hh_tes_in!J31=0,0,11630*1000*SER_hh_tes_in!J31/SER_hh_num_in!J31)</f>
        <v>9791.77424819931</v>
      </c>
      <c r="K31" s="132">
        <f>IF(SER_hh_tes_in!K31=0,0,11630*1000*SER_hh_tes_in!K31/SER_hh_num_in!K31)</f>
        <v>9556.3393773129264</v>
      </c>
      <c r="L31" s="132">
        <f>IF(SER_hh_tes_in!L31=0,0,11630*1000*SER_hh_tes_in!L31/SER_hh_num_in!L31)</f>
        <v>9322.9440779652177</v>
      </c>
      <c r="M31" s="132">
        <f>IF(SER_hh_tes_in!M31=0,0,11630*1000*SER_hh_tes_in!M31/SER_hh_num_in!M31)</f>
        <v>0</v>
      </c>
      <c r="N31" s="132">
        <f>IF(SER_hh_tes_in!N31=0,0,11630*1000*SER_hh_tes_in!N31/SER_hh_num_in!N31)</f>
        <v>0</v>
      </c>
      <c r="O31" s="132">
        <f>IF(SER_hh_tes_in!O31=0,0,11630*1000*SER_hh_tes_in!O31/SER_hh_num_in!O31)</f>
        <v>0</v>
      </c>
      <c r="P31" s="132">
        <f>IF(SER_hh_tes_in!P31=0,0,11630*1000*SER_hh_tes_in!P31/SER_hh_num_in!P31)</f>
        <v>8692.674144835215</v>
      </c>
      <c r="Q31" s="132">
        <f>IF(SER_hh_tes_in!Q31=0,0,11630*1000*SER_hh_tes_in!Q31/SER_hh_num_in!Q31)</f>
        <v>9724.1414627445047</v>
      </c>
      <c r="R31" s="132">
        <f>IF(SER_hh_tes_in!R31=0,0,11630*1000*SER_hh_tes_in!R31/SER_hh_num_in!R31)</f>
        <v>10157.907171588093</v>
      </c>
      <c r="S31" s="132">
        <f>IF(SER_hh_tes_in!S31=0,0,11630*1000*SER_hh_tes_in!S31/SER_hh_num_in!S31)</f>
        <v>9904.2027628666856</v>
      </c>
      <c r="T31" s="132">
        <f>IF(SER_hh_tes_in!T31=0,0,11630*1000*SER_hh_tes_in!T31/SER_hh_num_in!T31)</f>
        <v>11528.066108213687</v>
      </c>
      <c r="U31" s="132">
        <f>IF(SER_hh_tes_in!U31=0,0,11630*1000*SER_hh_tes_in!U31/SER_hh_num_in!U31)</f>
        <v>0</v>
      </c>
      <c r="V31" s="132">
        <f>IF(SER_hh_tes_in!V31=0,0,11630*1000*SER_hh_tes_in!V31/SER_hh_num_in!V31)</f>
        <v>0</v>
      </c>
      <c r="W31" s="132">
        <f>IF(SER_hh_tes_in!W31=0,0,11630*1000*SER_hh_tes_in!W31/SER_hh_num_in!W31)</f>
        <v>9830.4022751485427</v>
      </c>
      <c r="X31" s="132">
        <f>IF(SER_hh_tes_in!X31=0,0,11630*1000*SER_hh_tes_in!X31/SER_hh_num_in!X31)</f>
        <v>11374.370176977542</v>
      </c>
      <c r="Y31" s="132">
        <f>IF(SER_hh_tes_in!Y31=0,0,11630*1000*SER_hh_tes_in!Y31/SER_hh_num_in!Y31)</f>
        <v>12456.789907595165</v>
      </c>
      <c r="DA31" s="156" t="s">
        <v>782</v>
      </c>
    </row>
    <row r="32" spans="1:105" ht="12" customHeight="1" x14ac:dyDescent="0.25">
      <c r="A32" s="131" t="s">
        <v>128</v>
      </c>
      <c r="B32" s="132"/>
      <c r="C32" s="132">
        <f>IF(SER_hh_tes_in!C32=0,0,11630*1000*SER_hh_tes_in!C32/SER_hh_num_in!C32)</f>
        <v>0</v>
      </c>
      <c r="D32" s="132">
        <f>IF(SER_hh_tes_in!D32=0,0,11630*1000*SER_hh_tes_in!D32/SER_hh_num_in!D32)</f>
        <v>0</v>
      </c>
      <c r="E32" s="132">
        <f>IF(SER_hh_tes_in!E32=0,0,11630*1000*SER_hh_tes_in!E32/SER_hh_num_in!E32)</f>
        <v>0</v>
      </c>
      <c r="F32" s="132">
        <f>IF(SER_hh_tes_in!F32=0,0,11630*1000*SER_hh_tes_in!F32/SER_hh_num_in!F32)</f>
        <v>0</v>
      </c>
      <c r="G32" s="132">
        <f>IF(SER_hh_tes_in!G32=0,0,11630*1000*SER_hh_tes_in!G32/SER_hh_num_in!G32)</f>
        <v>13448.471524421115</v>
      </c>
      <c r="H32" s="132">
        <f>IF(SER_hh_tes_in!H32=0,0,11630*1000*SER_hh_tes_in!H32/SER_hh_num_in!H32)</f>
        <v>9187.4098028782828</v>
      </c>
      <c r="I32" s="132">
        <f>IF(SER_hh_tes_in!I32=0,0,11630*1000*SER_hh_tes_in!I32/SER_hh_num_in!I32)</f>
        <v>7350.514379210631</v>
      </c>
      <c r="J32" s="132">
        <f>IF(SER_hh_tes_in!J32=0,0,11630*1000*SER_hh_tes_in!J32/SER_hh_num_in!J32)</f>
        <v>12550.477872000387</v>
      </c>
      <c r="K32" s="132">
        <f>IF(SER_hh_tes_in!K32=0,0,11630*1000*SER_hh_tes_in!K32/SER_hh_num_in!K32)</f>
        <v>6218.9469939645405</v>
      </c>
      <c r="L32" s="132">
        <f>IF(SER_hh_tes_in!L32=0,0,11630*1000*SER_hh_tes_in!L32/SER_hh_num_in!L32)</f>
        <v>10963.035880679639</v>
      </c>
      <c r="M32" s="132">
        <f>IF(SER_hh_tes_in!M32=0,0,11630*1000*SER_hh_tes_in!M32/SER_hh_num_in!M32)</f>
        <v>0</v>
      </c>
      <c r="N32" s="132">
        <f>IF(SER_hh_tes_in!N32=0,0,11630*1000*SER_hh_tes_in!N32/SER_hh_num_in!N32)</f>
        <v>5618.8718775665593</v>
      </c>
      <c r="O32" s="132">
        <f>IF(SER_hh_tes_in!O32=0,0,11630*1000*SER_hh_tes_in!O32/SER_hh_num_in!O32)</f>
        <v>0</v>
      </c>
      <c r="P32" s="132">
        <f>IF(SER_hh_tes_in!P32=0,0,11630*1000*SER_hh_tes_in!P32/SER_hh_num_in!P32)</f>
        <v>5655.3581464255021</v>
      </c>
      <c r="Q32" s="132">
        <f>IF(SER_hh_tes_in!Q32=0,0,11630*1000*SER_hh_tes_in!Q32/SER_hh_num_in!Q32)</f>
        <v>11050.923446199959</v>
      </c>
      <c r="R32" s="132">
        <f>IF(SER_hh_tes_in!R32=0,0,11630*1000*SER_hh_tes_in!R32/SER_hh_num_in!R32)</f>
        <v>9560.8426745812649</v>
      </c>
      <c r="S32" s="132">
        <f>IF(SER_hh_tes_in!S32=0,0,11630*1000*SER_hh_tes_in!S32/SER_hh_num_in!S32)</f>
        <v>9596.2347276610781</v>
      </c>
      <c r="T32" s="132">
        <f>IF(SER_hh_tes_in!T32=0,0,11630*1000*SER_hh_tes_in!T32/SER_hh_num_in!T32)</f>
        <v>9690.6196501407903</v>
      </c>
      <c r="U32" s="132">
        <f>IF(SER_hh_tes_in!U32=0,0,11630*1000*SER_hh_tes_in!U32/SER_hh_num_in!U32)</f>
        <v>11104.330574139238</v>
      </c>
      <c r="V32" s="132">
        <f>IF(SER_hh_tes_in!V32=0,0,11630*1000*SER_hh_tes_in!V32/SER_hh_num_in!V32)</f>
        <v>9748.2332537452166</v>
      </c>
      <c r="W32" s="132">
        <f>IF(SER_hh_tes_in!W32=0,0,11630*1000*SER_hh_tes_in!W32/SER_hh_num_in!W32)</f>
        <v>12653.515178205464</v>
      </c>
      <c r="X32" s="132">
        <f>IF(SER_hh_tes_in!X32=0,0,11630*1000*SER_hh_tes_in!X32/SER_hh_num_in!X32)</f>
        <v>12058.006434775893</v>
      </c>
      <c r="Y32" s="132">
        <f>IF(SER_hh_tes_in!Y32=0,0,11630*1000*SER_hh_tes_in!Y32/SER_hh_num_in!Y32)</f>
        <v>11375.269762236407</v>
      </c>
      <c r="DA32" s="156" t="s">
        <v>783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9086.7138561822012</v>
      </c>
      <c r="D33" s="68">
        <f>IF(SER_hh_tes_in!D33=0,0,11630*1000*SER_hh_tes_in!D33/SER_hh_num_in!D33)</f>
        <v>9000.4863043484111</v>
      </c>
      <c r="E33" s="68">
        <f>IF(SER_hh_tes_in!E33=0,0,11630*1000*SER_hh_tes_in!E33/SER_hh_num_in!E33)</f>
        <v>8891.6031966618066</v>
      </c>
      <c r="F33" s="68">
        <f>IF(SER_hh_tes_in!F33=0,0,11630*1000*SER_hh_tes_in!F33/SER_hh_num_in!F33)</f>
        <v>9184.4669851359668</v>
      </c>
      <c r="G33" s="68">
        <f>IF(SER_hh_tes_in!G33=0,0,11630*1000*SER_hh_tes_in!G33/SER_hh_num_in!G33)</f>
        <v>9252.7342273369177</v>
      </c>
      <c r="H33" s="68">
        <f>IF(SER_hh_tes_in!H33=0,0,11630*1000*SER_hh_tes_in!H33/SER_hh_num_in!H33)</f>
        <v>10088.641667403685</v>
      </c>
      <c r="I33" s="68">
        <f>IF(SER_hh_tes_in!I33=0,0,11630*1000*SER_hh_tes_in!I33/SER_hh_num_in!I33)</f>
        <v>9299.722724120762</v>
      </c>
      <c r="J33" s="68">
        <f>IF(SER_hh_tes_in!J33=0,0,11630*1000*SER_hh_tes_in!J33/SER_hh_num_in!J33)</f>
        <v>8704.0114310605641</v>
      </c>
      <c r="K33" s="68">
        <f>IF(SER_hh_tes_in!K33=0,0,11630*1000*SER_hh_tes_in!K33/SER_hh_num_in!K33)</f>
        <v>9374.6996945874434</v>
      </c>
      <c r="L33" s="68">
        <f>IF(SER_hh_tes_in!L33=0,0,11630*1000*SER_hh_tes_in!L33/SER_hh_num_in!L33)</f>
        <v>9329.4721798661412</v>
      </c>
      <c r="M33" s="68">
        <f>IF(SER_hh_tes_in!M33=0,0,11630*1000*SER_hh_tes_in!M33/SER_hh_num_in!M33)</f>
        <v>9140.5854266454317</v>
      </c>
      <c r="N33" s="68">
        <f>IF(SER_hh_tes_in!N33=0,0,11630*1000*SER_hh_tes_in!N33/SER_hh_num_in!N33)</f>
        <v>9760.3605065185966</v>
      </c>
      <c r="O33" s="68">
        <f>IF(SER_hh_tes_in!O33=0,0,11630*1000*SER_hh_tes_in!O33/SER_hh_num_in!O33)</f>
        <v>9910.1335945925784</v>
      </c>
      <c r="P33" s="68">
        <f>IF(SER_hh_tes_in!P33=0,0,11630*1000*SER_hh_tes_in!P33/SER_hh_num_in!P33)</f>
        <v>9961.8157125978778</v>
      </c>
      <c r="Q33" s="68">
        <f>IF(SER_hh_tes_in!Q33=0,0,11630*1000*SER_hh_tes_in!Q33/SER_hh_num_in!Q33)</f>
        <v>9367.4968370836104</v>
      </c>
      <c r="R33" s="68">
        <f>IF(SER_hh_tes_in!R33=0,0,11630*1000*SER_hh_tes_in!R33/SER_hh_num_in!R33)</f>
        <v>9401.4337832238707</v>
      </c>
      <c r="S33" s="68">
        <f>IF(SER_hh_tes_in!S33=0,0,11630*1000*SER_hh_tes_in!S33/SER_hh_num_in!S33)</f>
        <v>9939.7413657696998</v>
      </c>
      <c r="T33" s="68">
        <f>IF(SER_hh_tes_in!T33=0,0,11630*1000*SER_hh_tes_in!T33/SER_hh_num_in!T33)</f>
        <v>9868.0739097705919</v>
      </c>
      <c r="U33" s="68">
        <f>IF(SER_hh_tes_in!U33=0,0,11630*1000*SER_hh_tes_in!U33/SER_hh_num_in!U33)</f>
        <v>11098.757131136723</v>
      </c>
      <c r="V33" s="68">
        <f>IF(SER_hh_tes_in!V33=0,0,11630*1000*SER_hh_tes_in!V33/SER_hh_num_in!V33)</f>
        <v>10616.860477986353</v>
      </c>
      <c r="W33" s="68">
        <f>IF(SER_hh_tes_in!W33=0,0,11630*1000*SER_hh_tes_in!W33/SER_hh_num_in!W33)</f>
        <v>11453.027921293564</v>
      </c>
      <c r="X33" s="68">
        <f>IF(SER_hh_tes_in!X33=0,0,11630*1000*SER_hh_tes_in!X33/SER_hh_num_in!X33)</f>
        <v>11369.083713445669</v>
      </c>
      <c r="Y33" s="68">
        <f>IF(SER_hh_tes_in!Y33=0,0,11630*1000*SER_hh_tes_in!Y33/SER_hh_num_in!Y33)</f>
        <v>11577.146155784367</v>
      </c>
      <c r="DA33" s="111" t="s">
        <v>784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/>
      <c r="C3" s="125">
        <f>IF(SER_hh_emi_in!C3=0,0,1000000*SER_hh_emi_in!C3/SER_hh_num_in!C3)</f>
        <v>5730.5692321234555</v>
      </c>
      <c r="D3" s="125">
        <f>IF(SER_hh_emi_in!D3=0,0,1000000*SER_hh_emi_in!D3/SER_hh_num_in!D3)</f>
        <v>10265.711735932246</v>
      </c>
      <c r="E3" s="125">
        <f>IF(SER_hh_emi_in!E3=0,0,1000000*SER_hh_emi_in!E3/SER_hh_num_in!E3)</f>
        <v>7521.2194318291713</v>
      </c>
      <c r="F3" s="125">
        <f>IF(SER_hh_emi_in!F3=0,0,1000000*SER_hh_emi_in!F3/SER_hh_num_in!F3)</f>
        <v>10675.991939412204</v>
      </c>
      <c r="G3" s="125">
        <f>IF(SER_hh_emi_in!G3=0,0,1000000*SER_hh_emi_in!G3/SER_hh_num_in!G3)</f>
        <v>10404.353426853721</v>
      </c>
      <c r="H3" s="125">
        <f>IF(SER_hh_emi_in!H3=0,0,1000000*SER_hh_emi_in!H3/SER_hh_num_in!H3)</f>
        <v>11427.165454286642</v>
      </c>
      <c r="I3" s="125">
        <f>IF(SER_hh_emi_in!I3=0,0,1000000*SER_hh_emi_in!I3/SER_hh_num_in!I3)</f>
        <v>6618.1157733517148</v>
      </c>
      <c r="J3" s="125">
        <f>IF(SER_hh_emi_in!J3=0,0,1000000*SER_hh_emi_in!J3/SER_hh_num_in!J3)</f>
        <v>6593.0881468364332</v>
      </c>
      <c r="K3" s="125">
        <f>IF(SER_hh_emi_in!K3=0,0,1000000*SER_hh_emi_in!K3/SER_hh_num_in!K3)</f>
        <v>9349.8256733836515</v>
      </c>
      <c r="L3" s="125">
        <f>IF(SER_hh_emi_in!L3=0,0,1000000*SER_hh_emi_in!L3/SER_hh_num_in!L3)</f>
        <v>7132.6573547291109</v>
      </c>
      <c r="M3" s="125">
        <f>IF(SER_hh_emi_in!M3=0,0,1000000*SER_hh_emi_in!M3/SER_hh_num_in!M3)</f>
        <v>5802.96757111647</v>
      </c>
      <c r="N3" s="125">
        <f>IF(SER_hh_emi_in!N3=0,0,1000000*SER_hh_emi_in!N3/SER_hh_num_in!N3)</f>
        <v>5160.8052680745277</v>
      </c>
      <c r="O3" s="125">
        <f>IF(SER_hh_emi_in!O3=0,0,1000000*SER_hh_emi_in!O3/SER_hh_num_in!O3)</f>
        <v>5796.5756998766092</v>
      </c>
      <c r="P3" s="125">
        <f>IF(SER_hh_emi_in!P3=0,0,1000000*SER_hh_emi_in!P3/SER_hh_num_in!P3)</f>
        <v>2717.0666686641316</v>
      </c>
      <c r="Q3" s="125">
        <f>IF(SER_hh_emi_in!Q3=0,0,1000000*SER_hh_emi_in!Q3/SER_hh_num_in!Q3)</f>
        <v>4061.6396026672855</v>
      </c>
      <c r="R3" s="125">
        <f>IF(SER_hh_emi_in!R3=0,0,1000000*SER_hh_emi_in!R3/SER_hh_num_in!R3)</f>
        <v>4499.7163728197838</v>
      </c>
      <c r="S3" s="125">
        <f>IF(SER_hh_emi_in!S3=0,0,1000000*SER_hh_emi_in!S3/SER_hh_num_in!S3)</f>
        <v>4157.3195347541496</v>
      </c>
      <c r="T3" s="125">
        <f>IF(SER_hh_emi_in!T3=0,0,1000000*SER_hh_emi_in!T3/SER_hh_num_in!T3)</f>
        <v>4618.1706009305863</v>
      </c>
      <c r="U3" s="125">
        <f>IF(SER_hh_emi_in!U3=0,0,1000000*SER_hh_emi_in!U3/SER_hh_num_in!U3)</f>
        <v>3616.8897969503478</v>
      </c>
      <c r="V3" s="125">
        <f>IF(SER_hh_emi_in!V3=0,0,1000000*SER_hh_emi_in!V3/SER_hh_num_in!V3)</f>
        <v>1776.1387423468223</v>
      </c>
      <c r="W3" s="125">
        <f>IF(SER_hh_emi_in!W3=0,0,1000000*SER_hh_emi_in!W3/SER_hh_num_in!W3)</f>
        <v>3840.9625012150732</v>
      </c>
      <c r="X3" s="125">
        <f>IF(SER_hh_emi_in!X3=0,0,1000000*SER_hh_emi_in!X3/SER_hh_num_in!X3)</f>
        <v>4682.2867774457736</v>
      </c>
      <c r="Y3" s="125">
        <f>IF(SER_hh_emi_in!Y3=0,0,1000000*SER_hh_emi_in!Y3/SER_hh_num_in!Y3)</f>
        <v>4185.8312951039597</v>
      </c>
      <c r="DA3" s="154" t="s">
        <v>786</v>
      </c>
    </row>
    <row r="4" spans="1:105" ht="12.95" customHeight="1" x14ac:dyDescent="0.25">
      <c r="A4" s="129" t="s">
        <v>32</v>
      </c>
      <c r="B4" s="130"/>
      <c r="C4" s="130">
        <f>IF(SER_hh_emi_in!C4=0,0,1000000*SER_hh_emi_in!C4/SER_hh_num_in!C4)</f>
        <v>4812.3084783672311</v>
      </c>
      <c r="D4" s="130">
        <f>IF(SER_hh_emi_in!D4=0,0,1000000*SER_hh_emi_in!D4/SER_hh_num_in!D4)</f>
        <v>9278.5299058981127</v>
      </c>
      <c r="E4" s="130">
        <f>IF(SER_hh_emi_in!E4=0,0,1000000*SER_hh_emi_in!E4/SER_hh_num_in!E4)</f>
        <v>6830.3162023452514</v>
      </c>
      <c r="F4" s="130">
        <f>IF(SER_hh_emi_in!F4=0,0,1000000*SER_hh_emi_in!F4/SER_hh_num_in!F4)</f>
        <v>10100.072548577815</v>
      </c>
      <c r="G4" s="130">
        <f>IF(SER_hh_emi_in!G4=0,0,1000000*SER_hh_emi_in!G4/SER_hh_num_in!G4)</f>
        <v>9610.1699086360768</v>
      </c>
      <c r="H4" s="130">
        <f>IF(SER_hh_emi_in!H4=0,0,1000000*SER_hh_emi_in!H4/SER_hh_num_in!H4)</f>
        <v>10224.563590449812</v>
      </c>
      <c r="I4" s="130">
        <f>IF(SER_hh_emi_in!I4=0,0,1000000*SER_hh_emi_in!I4/SER_hh_num_in!I4)</f>
        <v>5368.7001122203592</v>
      </c>
      <c r="J4" s="130">
        <f>IF(SER_hh_emi_in!J4=0,0,1000000*SER_hh_emi_in!J4/SER_hh_num_in!J4)</f>
        <v>5274.4208466224463</v>
      </c>
      <c r="K4" s="130">
        <f>IF(SER_hh_emi_in!K4=0,0,1000000*SER_hh_emi_in!K4/SER_hh_num_in!K4)</f>
        <v>8250.1003118373392</v>
      </c>
      <c r="L4" s="130">
        <f>IF(SER_hh_emi_in!L4=0,0,1000000*SER_hh_emi_in!L4/SER_hh_num_in!L4)</f>
        <v>6739.3013117181345</v>
      </c>
      <c r="M4" s="130">
        <f>IF(SER_hh_emi_in!M4=0,0,1000000*SER_hh_emi_in!M4/SER_hh_num_in!M4)</f>
        <v>5639.0399771843922</v>
      </c>
      <c r="N4" s="130">
        <f>IF(SER_hh_emi_in!N4=0,0,1000000*SER_hh_emi_in!N4/SER_hh_num_in!N4)</f>
        <v>4977.9581048685941</v>
      </c>
      <c r="O4" s="130">
        <f>IF(SER_hh_emi_in!O4=0,0,1000000*SER_hh_emi_in!O4/SER_hh_num_in!O4)</f>
        <v>5595.1442035901182</v>
      </c>
      <c r="P4" s="130">
        <f>IF(SER_hh_emi_in!P4=0,0,1000000*SER_hh_emi_in!P4/SER_hh_num_in!P4)</f>
        <v>2418.3564997531416</v>
      </c>
      <c r="Q4" s="130">
        <f>IF(SER_hh_emi_in!Q4=0,0,1000000*SER_hh_emi_in!Q4/SER_hh_num_in!Q4)</f>
        <v>3188.0413577446425</v>
      </c>
      <c r="R4" s="130">
        <f>IF(SER_hh_emi_in!R4=0,0,1000000*SER_hh_emi_in!R4/SER_hh_num_in!R4)</f>
        <v>3549.1837343123821</v>
      </c>
      <c r="S4" s="130">
        <f>IF(SER_hh_emi_in!S4=0,0,1000000*SER_hh_emi_in!S4/SER_hh_num_in!S4)</f>
        <v>3520.4794650758977</v>
      </c>
      <c r="T4" s="130">
        <f>IF(SER_hh_emi_in!T4=0,0,1000000*SER_hh_emi_in!T4/SER_hh_num_in!T4)</f>
        <v>4020.3678579780708</v>
      </c>
      <c r="U4" s="130">
        <f>IF(SER_hh_emi_in!U4=0,0,1000000*SER_hh_emi_in!U4/SER_hh_num_in!U4)</f>
        <v>3286.0105176172201</v>
      </c>
      <c r="V4" s="130">
        <f>IF(SER_hh_emi_in!V4=0,0,1000000*SER_hh_emi_in!V4/SER_hh_num_in!V4)</f>
        <v>1383.4903810727742</v>
      </c>
      <c r="W4" s="130">
        <f>IF(SER_hh_emi_in!W4=0,0,1000000*SER_hh_emi_in!W4/SER_hh_num_in!W4)</f>
        <v>3499.3014452752018</v>
      </c>
      <c r="X4" s="130">
        <f>IF(SER_hh_emi_in!X4=0,0,1000000*SER_hh_emi_in!X4/SER_hh_num_in!X4)</f>
        <v>3986.4291519329759</v>
      </c>
      <c r="Y4" s="130">
        <f>IF(SER_hh_emi_in!Y4=0,0,1000000*SER_hh_emi_in!Y4/SER_hh_num_in!Y4)</f>
        <v>3315.3664500996206</v>
      </c>
      <c r="DA4" s="155" t="s">
        <v>787</v>
      </c>
    </row>
    <row r="5" spans="1:105" ht="12" customHeight="1" x14ac:dyDescent="0.25">
      <c r="A5" s="131" t="s">
        <v>29</v>
      </c>
      <c r="B5" s="132"/>
      <c r="C5" s="132">
        <f>IF(SER_hh_emi_in!C5=0,0,1000000*SER_hh_emi_in!C5/SER_hh_num_in!C5)</f>
        <v>38552.679967238444</v>
      </c>
      <c r="D5" s="132">
        <f>IF(SER_hh_emi_in!D5=0,0,1000000*SER_hh_emi_in!D5/SER_hh_num_in!D5)</f>
        <v>41408.710958593372</v>
      </c>
      <c r="E5" s="132">
        <f>IF(SER_hh_emi_in!E5=0,0,1000000*SER_hh_emi_in!E5/SER_hh_num_in!E5)</f>
        <v>38916.313871136743</v>
      </c>
      <c r="F5" s="132">
        <f>IF(SER_hh_emi_in!F5=0,0,1000000*SER_hh_emi_in!F5/SER_hh_num_in!F5)</f>
        <v>34162.768026315272</v>
      </c>
      <c r="G5" s="132">
        <f>IF(SER_hh_emi_in!G5=0,0,1000000*SER_hh_emi_in!G5/SER_hh_num_in!G5)</f>
        <v>35112.515055008029</v>
      </c>
      <c r="H5" s="132">
        <f>IF(SER_hh_emi_in!H5=0,0,1000000*SER_hh_emi_in!H5/SER_hh_num_in!H5)</f>
        <v>43855.640703039477</v>
      </c>
      <c r="I5" s="132">
        <f>IF(SER_hh_emi_in!I5=0,0,1000000*SER_hh_emi_in!I5/SER_hh_num_in!I5)</f>
        <v>32049.943658306787</v>
      </c>
      <c r="J5" s="132">
        <f>IF(SER_hh_emi_in!J5=0,0,1000000*SER_hh_emi_in!J5/SER_hh_num_in!J5)</f>
        <v>23383.732448550123</v>
      </c>
      <c r="K5" s="132">
        <f>IF(SER_hh_emi_in!K5=0,0,1000000*SER_hh_emi_in!K5/SER_hh_num_in!K5)</f>
        <v>26581.162662020626</v>
      </c>
      <c r="L5" s="132">
        <f>IF(SER_hh_emi_in!L5=0,0,1000000*SER_hh_emi_in!L5/SER_hh_num_in!L5)</f>
        <v>24995.844495386275</v>
      </c>
      <c r="M5" s="132">
        <f>IF(SER_hh_emi_in!M5=0,0,1000000*SER_hh_emi_in!M5/SER_hh_num_in!M5)</f>
        <v>28763.38841892995</v>
      </c>
      <c r="N5" s="132">
        <f>IF(SER_hh_emi_in!N5=0,0,1000000*SER_hh_emi_in!N5/SER_hh_num_in!N5)</f>
        <v>19885.428003565608</v>
      </c>
      <c r="O5" s="132">
        <f>IF(SER_hh_emi_in!O5=0,0,1000000*SER_hh_emi_in!O5/SER_hh_num_in!O5)</f>
        <v>22877.749186953435</v>
      </c>
      <c r="P5" s="132">
        <f>IF(SER_hh_emi_in!P5=0,0,1000000*SER_hh_emi_in!P5/SER_hh_num_in!P5)</f>
        <v>20290.461412596662</v>
      </c>
      <c r="Q5" s="132">
        <f>IF(SER_hh_emi_in!Q5=0,0,1000000*SER_hh_emi_in!Q5/SER_hh_num_in!Q5)</f>
        <v>0</v>
      </c>
      <c r="R5" s="132">
        <f>IF(SER_hh_emi_in!R5=0,0,1000000*SER_hh_emi_in!R5/SER_hh_num_in!R5)</f>
        <v>18661.606540922021</v>
      </c>
      <c r="S5" s="132">
        <f>IF(SER_hh_emi_in!S5=0,0,1000000*SER_hh_emi_in!S5/SER_hh_num_in!S5)</f>
        <v>19242.178574826896</v>
      </c>
      <c r="T5" s="132">
        <f>IF(SER_hh_emi_in!T5=0,0,1000000*SER_hh_emi_in!T5/SER_hh_num_in!T5)</f>
        <v>20058.905312934578</v>
      </c>
      <c r="U5" s="132">
        <f>IF(SER_hh_emi_in!U5=0,0,1000000*SER_hh_emi_in!U5/SER_hh_num_in!U5)</f>
        <v>17682.026752891263</v>
      </c>
      <c r="V5" s="132">
        <f>IF(SER_hh_emi_in!V5=0,0,1000000*SER_hh_emi_in!V5/SER_hh_num_in!V5)</f>
        <v>12741.904767249365</v>
      </c>
      <c r="W5" s="132">
        <f>IF(SER_hh_emi_in!W5=0,0,1000000*SER_hh_emi_in!W5/SER_hh_num_in!W5)</f>
        <v>16404.246401285753</v>
      </c>
      <c r="X5" s="132">
        <f>IF(SER_hh_emi_in!X5=0,0,1000000*SER_hh_emi_in!X5/SER_hh_num_in!X5)</f>
        <v>17356.836508920063</v>
      </c>
      <c r="Y5" s="132">
        <f>IF(SER_hh_emi_in!Y5=0,0,1000000*SER_hh_emi_in!Y5/SER_hh_num_in!Y5)</f>
        <v>0</v>
      </c>
      <c r="DA5" s="156" t="s">
        <v>788</v>
      </c>
    </row>
    <row r="6" spans="1:105" ht="12" customHeight="1" x14ac:dyDescent="0.25">
      <c r="A6" s="131" t="s">
        <v>52</v>
      </c>
      <c r="B6" s="132"/>
      <c r="C6" s="132">
        <f>IF(SER_hh_emi_in!C6=0,0,1000000*SER_hh_emi_in!C6/SER_hh_num_in!C6)</f>
        <v>0</v>
      </c>
      <c r="D6" s="132">
        <f>IF(SER_hh_emi_in!D6=0,0,1000000*SER_hh_emi_in!D6/SER_hh_num_in!D6)</f>
        <v>0</v>
      </c>
      <c r="E6" s="132">
        <f>IF(SER_hh_emi_in!E6=0,0,1000000*SER_hh_emi_in!E6/SER_hh_num_in!E6)</f>
        <v>0</v>
      </c>
      <c r="F6" s="132">
        <f>IF(SER_hh_emi_in!F6=0,0,1000000*SER_hh_emi_in!F6/SER_hh_num_in!F6)</f>
        <v>0</v>
      </c>
      <c r="G6" s="132">
        <f>IF(SER_hh_emi_in!G6=0,0,1000000*SER_hh_emi_in!G6/SER_hh_num_in!G6)</f>
        <v>0</v>
      </c>
      <c r="H6" s="132">
        <f>IF(SER_hh_emi_in!H6=0,0,1000000*SER_hh_emi_in!H6/SER_hh_num_in!H6)</f>
        <v>0</v>
      </c>
      <c r="I6" s="132">
        <f>IF(SER_hh_emi_in!I6=0,0,1000000*SER_hh_emi_in!I6/SER_hh_num_in!I6)</f>
        <v>0</v>
      </c>
      <c r="J6" s="132">
        <f>IF(SER_hh_emi_in!J6=0,0,1000000*SER_hh_emi_in!J6/SER_hh_num_in!J6)</f>
        <v>0</v>
      </c>
      <c r="K6" s="132">
        <f>IF(SER_hh_emi_in!K6=0,0,1000000*SER_hh_emi_in!K6/SER_hh_num_in!K6)</f>
        <v>0</v>
      </c>
      <c r="L6" s="132">
        <f>IF(SER_hh_emi_in!L6=0,0,1000000*SER_hh_emi_in!L6/SER_hh_num_in!L6)</f>
        <v>0</v>
      </c>
      <c r="M6" s="132">
        <f>IF(SER_hh_emi_in!M6=0,0,1000000*SER_hh_emi_in!M6/SER_hh_num_in!M6)</f>
        <v>0</v>
      </c>
      <c r="N6" s="132">
        <f>IF(SER_hh_emi_in!N6=0,0,1000000*SER_hh_emi_in!N6/SER_hh_num_in!N6)</f>
        <v>0</v>
      </c>
      <c r="O6" s="132">
        <f>IF(SER_hh_emi_in!O6=0,0,1000000*SER_hh_emi_in!O6/SER_hh_num_in!O6)</f>
        <v>0</v>
      </c>
      <c r="P6" s="132">
        <f>IF(SER_hh_emi_in!P6=0,0,1000000*SER_hh_emi_in!P6/SER_hh_num_in!P6)</f>
        <v>0</v>
      </c>
      <c r="Q6" s="132">
        <f>IF(SER_hh_emi_in!Q6=0,0,1000000*SER_hh_emi_in!Q6/SER_hh_num_in!Q6)</f>
        <v>0</v>
      </c>
      <c r="R6" s="132">
        <f>IF(SER_hh_emi_in!R6=0,0,1000000*SER_hh_emi_in!R6/SER_hh_num_in!R6)</f>
        <v>0</v>
      </c>
      <c r="S6" s="132">
        <f>IF(SER_hh_emi_in!S6=0,0,1000000*SER_hh_emi_in!S6/SER_hh_num_in!S6)</f>
        <v>0</v>
      </c>
      <c r="T6" s="132">
        <f>IF(SER_hh_emi_in!T6=0,0,1000000*SER_hh_emi_in!T6/SER_hh_num_in!T6)</f>
        <v>0</v>
      </c>
      <c r="U6" s="132">
        <f>IF(SER_hh_emi_in!U6=0,0,1000000*SER_hh_emi_in!U6/SER_hh_num_in!U6)</f>
        <v>0</v>
      </c>
      <c r="V6" s="132">
        <f>IF(SER_hh_emi_in!V6=0,0,1000000*SER_hh_emi_in!V6/SER_hh_num_in!V6)</f>
        <v>0</v>
      </c>
      <c r="W6" s="132">
        <f>IF(SER_hh_emi_in!W6=0,0,1000000*SER_hh_emi_in!W6/SER_hh_num_in!W6)</f>
        <v>0</v>
      </c>
      <c r="X6" s="132">
        <f>IF(SER_hh_emi_in!X6=0,0,1000000*SER_hh_emi_in!X6/SER_hh_num_in!X6)</f>
        <v>0</v>
      </c>
      <c r="Y6" s="132">
        <f>IF(SER_hh_emi_in!Y6=0,0,1000000*SER_hh_emi_in!Y6/SER_hh_num_in!Y6)</f>
        <v>0</v>
      </c>
      <c r="DA6" s="156" t="s">
        <v>789</v>
      </c>
    </row>
    <row r="7" spans="1:105" ht="12" customHeight="1" x14ac:dyDescent="0.25">
      <c r="A7" s="131" t="s">
        <v>161</v>
      </c>
      <c r="B7" s="132"/>
      <c r="C7" s="132">
        <f>IF(SER_hh_emi_in!C7=0,0,1000000*SER_hh_emi_in!C7/SER_hh_num_in!C7)</f>
        <v>0</v>
      </c>
      <c r="D7" s="132">
        <f>IF(SER_hh_emi_in!D7=0,0,1000000*SER_hh_emi_in!D7/SER_hh_num_in!D7)</f>
        <v>0</v>
      </c>
      <c r="E7" s="132">
        <f>IF(SER_hh_emi_in!E7=0,0,1000000*SER_hh_emi_in!E7/SER_hh_num_in!E7)</f>
        <v>0</v>
      </c>
      <c r="F7" s="132">
        <f>IF(SER_hh_emi_in!F7=0,0,1000000*SER_hh_emi_in!F7/SER_hh_num_in!F7)</f>
        <v>0</v>
      </c>
      <c r="G7" s="132">
        <f>IF(SER_hh_emi_in!G7=0,0,1000000*SER_hh_emi_in!G7/SER_hh_num_in!G7)</f>
        <v>0</v>
      </c>
      <c r="H7" s="132">
        <f>IF(SER_hh_emi_in!H7=0,0,1000000*SER_hh_emi_in!H7/SER_hh_num_in!H7)</f>
        <v>0</v>
      </c>
      <c r="I7" s="132">
        <f>IF(SER_hh_emi_in!I7=0,0,1000000*SER_hh_emi_in!I7/SER_hh_num_in!I7)</f>
        <v>0</v>
      </c>
      <c r="J7" s="132">
        <f>IF(SER_hh_emi_in!J7=0,0,1000000*SER_hh_emi_in!J7/SER_hh_num_in!J7)</f>
        <v>43767.011587320012</v>
      </c>
      <c r="K7" s="132">
        <f>IF(SER_hh_emi_in!K7=0,0,1000000*SER_hh_emi_in!K7/SER_hh_num_in!K7)</f>
        <v>13667.016018066544</v>
      </c>
      <c r="L7" s="132">
        <f>IF(SER_hh_emi_in!L7=0,0,1000000*SER_hh_emi_in!L7/SER_hh_num_in!L7)</f>
        <v>20411.634796437076</v>
      </c>
      <c r="M7" s="132">
        <f>IF(SER_hh_emi_in!M7=0,0,1000000*SER_hh_emi_in!M7/SER_hh_num_in!M7)</f>
        <v>26905.453422898587</v>
      </c>
      <c r="N7" s="132">
        <f>IF(SER_hh_emi_in!N7=0,0,1000000*SER_hh_emi_in!N7/SER_hh_num_in!N7)</f>
        <v>16432.72622535086</v>
      </c>
      <c r="O7" s="132">
        <f>IF(SER_hh_emi_in!O7=0,0,1000000*SER_hh_emi_in!O7/SER_hh_num_in!O7)</f>
        <v>16251.746968818908</v>
      </c>
      <c r="P7" s="132">
        <f>IF(SER_hh_emi_in!P7=0,0,1000000*SER_hh_emi_in!P7/SER_hh_num_in!P7)</f>
        <v>0</v>
      </c>
      <c r="Q7" s="132">
        <f>IF(SER_hh_emi_in!Q7=0,0,1000000*SER_hh_emi_in!Q7/SER_hh_num_in!Q7)</f>
        <v>0</v>
      </c>
      <c r="R7" s="132">
        <f>IF(SER_hh_emi_in!R7=0,0,1000000*SER_hh_emi_in!R7/SER_hh_num_in!R7)</f>
        <v>0</v>
      </c>
      <c r="S7" s="132">
        <f>IF(SER_hh_emi_in!S7=0,0,1000000*SER_hh_emi_in!S7/SER_hh_num_in!S7)</f>
        <v>0</v>
      </c>
      <c r="T7" s="132">
        <f>IF(SER_hh_emi_in!T7=0,0,1000000*SER_hh_emi_in!T7/SER_hh_num_in!T7)</f>
        <v>0</v>
      </c>
      <c r="U7" s="132">
        <f>IF(SER_hh_emi_in!U7=0,0,1000000*SER_hh_emi_in!U7/SER_hh_num_in!U7)</f>
        <v>12898.740062826435</v>
      </c>
      <c r="V7" s="132">
        <f>IF(SER_hh_emi_in!V7=0,0,1000000*SER_hh_emi_in!V7/SER_hh_num_in!V7)</f>
        <v>12746.559838363659</v>
      </c>
      <c r="W7" s="132">
        <f>IF(SER_hh_emi_in!W7=0,0,1000000*SER_hh_emi_in!W7/SER_hh_num_in!W7)</f>
        <v>12827.31387855604</v>
      </c>
      <c r="X7" s="132">
        <f>IF(SER_hh_emi_in!X7=0,0,1000000*SER_hh_emi_in!X7/SER_hh_num_in!X7)</f>
        <v>10769.28117301571</v>
      </c>
      <c r="Y7" s="132">
        <f>IF(SER_hh_emi_in!Y7=0,0,1000000*SER_hh_emi_in!Y7/SER_hh_num_in!Y7)</f>
        <v>14224.514764113976</v>
      </c>
      <c r="DA7" s="156" t="s">
        <v>790</v>
      </c>
    </row>
    <row r="8" spans="1:105" ht="12" customHeight="1" x14ac:dyDescent="0.25">
      <c r="A8" s="131" t="s">
        <v>73</v>
      </c>
      <c r="B8" s="132"/>
      <c r="C8" s="132">
        <f>IF(SER_hh_emi_in!C8=0,0,1000000*SER_hh_emi_in!C8/SER_hh_num_in!C8)</f>
        <v>0</v>
      </c>
      <c r="D8" s="132">
        <f>IF(SER_hh_emi_in!D8=0,0,1000000*SER_hh_emi_in!D8/SER_hh_num_in!D8)</f>
        <v>0</v>
      </c>
      <c r="E8" s="132">
        <f>IF(SER_hh_emi_in!E8=0,0,1000000*SER_hh_emi_in!E8/SER_hh_num_in!E8)</f>
        <v>0</v>
      </c>
      <c r="F8" s="132">
        <f>IF(SER_hh_emi_in!F8=0,0,1000000*SER_hh_emi_in!F8/SER_hh_num_in!F8)</f>
        <v>0</v>
      </c>
      <c r="G8" s="132">
        <f>IF(SER_hh_emi_in!G8=0,0,1000000*SER_hh_emi_in!G8/SER_hh_num_in!G8)</f>
        <v>0</v>
      </c>
      <c r="H8" s="132">
        <f>IF(SER_hh_emi_in!H8=0,0,1000000*SER_hh_emi_in!H8/SER_hh_num_in!H8)</f>
        <v>0</v>
      </c>
      <c r="I8" s="132">
        <f>IF(SER_hh_emi_in!I8=0,0,1000000*SER_hh_emi_in!I8/SER_hh_num_in!I8)</f>
        <v>0</v>
      </c>
      <c r="J8" s="132">
        <f>IF(SER_hh_emi_in!J8=0,0,1000000*SER_hh_emi_in!J8/SER_hh_num_in!J8)</f>
        <v>0</v>
      </c>
      <c r="K8" s="132">
        <f>IF(SER_hh_emi_in!K8=0,0,1000000*SER_hh_emi_in!K8/SER_hh_num_in!K8)</f>
        <v>0</v>
      </c>
      <c r="L8" s="132">
        <f>IF(SER_hh_emi_in!L8=0,0,1000000*SER_hh_emi_in!L8/SER_hh_num_in!L8)</f>
        <v>0</v>
      </c>
      <c r="M8" s="132">
        <f>IF(SER_hh_emi_in!M8=0,0,1000000*SER_hh_emi_in!M8/SER_hh_num_in!M8)</f>
        <v>0</v>
      </c>
      <c r="N8" s="132">
        <f>IF(SER_hh_emi_in!N8=0,0,1000000*SER_hh_emi_in!N8/SER_hh_num_in!N8)</f>
        <v>0</v>
      </c>
      <c r="O8" s="132">
        <f>IF(SER_hh_emi_in!O8=0,0,1000000*SER_hh_emi_in!O8/SER_hh_num_in!O8)</f>
        <v>0</v>
      </c>
      <c r="P8" s="132">
        <f>IF(SER_hh_emi_in!P8=0,0,1000000*SER_hh_emi_in!P8/SER_hh_num_in!P8)</f>
        <v>0</v>
      </c>
      <c r="Q8" s="132">
        <f>IF(SER_hh_emi_in!Q8=0,0,1000000*SER_hh_emi_in!Q8/SER_hh_num_in!Q8)</f>
        <v>0</v>
      </c>
      <c r="R8" s="132">
        <f>IF(SER_hh_emi_in!R8=0,0,1000000*SER_hh_emi_in!R8/SER_hh_num_in!R8)</f>
        <v>0</v>
      </c>
      <c r="S8" s="132">
        <f>IF(SER_hh_emi_in!S8=0,0,1000000*SER_hh_emi_in!S8/SER_hh_num_in!S8)</f>
        <v>0</v>
      </c>
      <c r="T8" s="132">
        <f>IF(SER_hh_emi_in!T8=0,0,1000000*SER_hh_emi_in!T8/SER_hh_num_in!T8)</f>
        <v>0</v>
      </c>
      <c r="U8" s="132">
        <f>IF(SER_hh_emi_in!U8=0,0,1000000*SER_hh_emi_in!U8/SER_hh_num_in!U8)</f>
        <v>0</v>
      </c>
      <c r="V8" s="132">
        <f>IF(SER_hh_emi_in!V8=0,0,1000000*SER_hh_emi_in!V8/SER_hh_num_in!V8)</f>
        <v>0</v>
      </c>
      <c r="W8" s="132">
        <f>IF(SER_hh_emi_in!W8=0,0,1000000*SER_hh_emi_in!W8/SER_hh_num_in!W8)</f>
        <v>0</v>
      </c>
      <c r="X8" s="132">
        <f>IF(SER_hh_emi_in!X8=0,0,1000000*SER_hh_emi_in!X8/SER_hh_num_in!X8)</f>
        <v>0</v>
      </c>
      <c r="Y8" s="132">
        <f>IF(SER_hh_emi_in!Y8=0,0,1000000*SER_hh_emi_in!Y8/SER_hh_num_in!Y8)</f>
        <v>0</v>
      </c>
      <c r="DA8" s="156" t="s">
        <v>791</v>
      </c>
    </row>
    <row r="9" spans="1:105" ht="12" customHeight="1" x14ac:dyDescent="0.25">
      <c r="A9" s="131" t="s">
        <v>78</v>
      </c>
      <c r="B9" s="132"/>
      <c r="C9" s="132">
        <f>IF(SER_hh_emi_in!C9=0,0,1000000*SER_hh_emi_in!C9/SER_hh_num_in!C9)</f>
        <v>26812.483705268842</v>
      </c>
      <c r="D9" s="132">
        <f>IF(SER_hh_emi_in!D9=0,0,1000000*SER_hh_emi_in!D9/SER_hh_num_in!D9)</f>
        <v>25662.103508868709</v>
      </c>
      <c r="E9" s="132">
        <f>IF(SER_hh_emi_in!E9=0,0,1000000*SER_hh_emi_in!E9/SER_hh_num_in!E9)</f>
        <v>22744.497939812889</v>
      </c>
      <c r="F9" s="132">
        <f>IF(SER_hh_emi_in!F9=0,0,1000000*SER_hh_emi_in!F9/SER_hh_num_in!F9)</f>
        <v>27283.926449802271</v>
      </c>
      <c r="G9" s="132">
        <f>IF(SER_hh_emi_in!G9=0,0,1000000*SER_hh_emi_in!G9/SER_hh_num_in!G9)</f>
        <v>22647.572018039671</v>
      </c>
      <c r="H9" s="132">
        <f>IF(SER_hh_emi_in!H9=0,0,1000000*SER_hh_emi_in!H9/SER_hh_num_in!H9)</f>
        <v>20911.545759921406</v>
      </c>
      <c r="I9" s="132">
        <f>IF(SER_hh_emi_in!I9=0,0,1000000*SER_hh_emi_in!I9/SER_hh_num_in!I9)</f>
        <v>23764.438372454446</v>
      </c>
      <c r="J9" s="132">
        <f>IF(SER_hh_emi_in!J9=0,0,1000000*SER_hh_emi_in!J9/SER_hh_num_in!J9)</f>
        <v>19512.882182449743</v>
      </c>
      <c r="K9" s="132">
        <f>IF(SER_hh_emi_in!K9=0,0,1000000*SER_hh_emi_in!K9/SER_hh_num_in!K9)</f>
        <v>16156.755027460738</v>
      </c>
      <c r="L9" s="132">
        <f>IF(SER_hh_emi_in!L9=0,0,1000000*SER_hh_emi_in!L9/SER_hh_num_in!L9)</f>
        <v>17162.843971548322</v>
      </c>
      <c r="M9" s="132">
        <f>IF(SER_hh_emi_in!M9=0,0,1000000*SER_hh_emi_in!M9/SER_hh_num_in!M9)</f>
        <v>14154.807221463925</v>
      </c>
      <c r="N9" s="132">
        <f>IF(SER_hh_emi_in!N9=0,0,1000000*SER_hh_emi_in!N9/SER_hh_num_in!N9)</f>
        <v>14313.738371826308</v>
      </c>
      <c r="O9" s="132">
        <f>IF(SER_hh_emi_in!O9=0,0,1000000*SER_hh_emi_in!O9/SER_hh_num_in!O9)</f>
        <v>12988.038923206883</v>
      </c>
      <c r="P9" s="132">
        <f>IF(SER_hh_emi_in!P9=0,0,1000000*SER_hh_emi_in!P9/SER_hh_num_in!P9)</f>
        <v>9799.6268787615809</v>
      </c>
      <c r="Q9" s="132">
        <f>IF(SER_hh_emi_in!Q9=0,0,1000000*SER_hh_emi_in!Q9/SER_hh_num_in!Q9)</f>
        <v>9859.4783857987168</v>
      </c>
      <c r="R9" s="132">
        <f>IF(SER_hh_emi_in!R9=0,0,1000000*SER_hh_emi_in!R9/SER_hh_num_in!R9)</f>
        <v>9835.5632376923913</v>
      </c>
      <c r="S9" s="132">
        <f>IF(SER_hh_emi_in!S9=0,0,1000000*SER_hh_emi_in!S9/SER_hh_num_in!S9)</f>
        <v>9978.447252639322</v>
      </c>
      <c r="T9" s="132">
        <f>IF(SER_hh_emi_in!T9=0,0,1000000*SER_hh_emi_in!T9/SER_hh_num_in!T9)</f>
        <v>9908.0010131310682</v>
      </c>
      <c r="U9" s="132">
        <f>IF(SER_hh_emi_in!U9=0,0,1000000*SER_hh_emi_in!U9/SER_hh_num_in!U9)</f>
        <v>9457.463368096769</v>
      </c>
      <c r="V9" s="132">
        <f>IF(SER_hh_emi_in!V9=0,0,1000000*SER_hh_emi_in!V9/SER_hh_num_in!V9)</f>
        <v>8907.8103265574046</v>
      </c>
      <c r="W9" s="132">
        <f>IF(SER_hh_emi_in!W9=0,0,1000000*SER_hh_emi_in!W9/SER_hh_num_in!W9)</f>
        <v>8410.6857692342728</v>
      </c>
      <c r="X9" s="132">
        <f>IF(SER_hh_emi_in!X9=0,0,1000000*SER_hh_emi_in!X9/SER_hh_num_in!X9)</f>
        <v>7601.3566675418888</v>
      </c>
      <c r="Y9" s="132">
        <f>IF(SER_hh_emi_in!Y9=0,0,1000000*SER_hh_emi_in!Y9/SER_hh_num_in!Y9)</f>
        <v>9183.0707302002957</v>
      </c>
      <c r="DA9" s="156" t="s">
        <v>792</v>
      </c>
    </row>
    <row r="10" spans="1:105" ht="12" customHeight="1" x14ac:dyDescent="0.25">
      <c r="A10" s="131" t="s">
        <v>128</v>
      </c>
      <c r="B10" s="132"/>
      <c r="C10" s="132">
        <f>IF(SER_hh_emi_in!C10=0,0,1000000*SER_hh_emi_in!C10/SER_hh_num_in!C10)</f>
        <v>0</v>
      </c>
      <c r="D10" s="132">
        <f>IF(SER_hh_emi_in!D10=0,0,1000000*SER_hh_emi_in!D10/SER_hh_num_in!D10)</f>
        <v>0</v>
      </c>
      <c r="E10" s="132">
        <f>IF(SER_hh_emi_in!E10=0,0,1000000*SER_hh_emi_in!E10/SER_hh_num_in!E10)</f>
        <v>0</v>
      </c>
      <c r="F10" s="132">
        <f>IF(SER_hh_emi_in!F10=0,0,1000000*SER_hh_emi_in!F10/SER_hh_num_in!F10)</f>
        <v>0</v>
      </c>
      <c r="G10" s="132">
        <f>IF(SER_hh_emi_in!G10=0,0,1000000*SER_hh_emi_in!G10/SER_hh_num_in!G10)</f>
        <v>0</v>
      </c>
      <c r="H10" s="132">
        <f>IF(SER_hh_emi_in!H10=0,0,1000000*SER_hh_emi_in!H10/SER_hh_num_in!H10)</f>
        <v>0</v>
      </c>
      <c r="I10" s="132">
        <f>IF(SER_hh_emi_in!I10=0,0,1000000*SER_hh_emi_in!I10/SER_hh_num_in!I10)</f>
        <v>0</v>
      </c>
      <c r="J10" s="132">
        <f>IF(SER_hh_emi_in!J10=0,0,1000000*SER_hh_emi_in!J10/SER_hh_num_in!J10)</f>
        <v>0</v>
      </c>
      <c r="K10" s="132">
        <f>IF(SER_hh_emi_in!K10=0,0,1000000*SER_hh_emi_in!K10/SER_hh_num_in!K10)</f>
        <v>0</v>
      </c>
      <c r="L10" s="132">
        <f>IF(SER_hh_emi_in!L10=0,0,1000000*SER_hh_emi_in!L10/SER_hh_num_in!L10)</f>
        <v>0</v>
      </c>
      <c r="M10" s="132">
        <f>IF(SER_hh_emi_in!M10=0,0,1000000*SER_hh_emi_in!M10/SER_hh_num_in!M10)</f>
        <v>0</v>
      </c>
      <c r="N10" s="132">
        <f>IF(SER_hh_emi_in!N10=0,0,1000000*SER_hh_emi_in!N10/SER_hh_num_in!N10)</f>
        <v>0</v>
      </c>
      <c r="O10" s="132">
        <f>IF(SER_hh_emi_in!O10=0,0,1000000*SER_hh_emi_in!O10/SER_hh_num_in!O10)</f>
        <v>0</v>
      </c>
      <c r="P10" s="132">
        <f>IF(SER_hh_emi_in!P10=0,0,1000000*SER_hh_emi_in!P10/SER_hh_num_in!P10)</f>
        <v>0</v>
      </c>
      <c r="Q10" s="132">
        <f>IF(SER_hh_emi_in!Q10=0,0,1000000*SER_hh_emi_in!Q10/SER_hh_num_in!Q10)</f>
        <v>0</v>
      </c>
      <c r="R10" s="132">
        <f>IF(SER_hh_emi_in!R10=0,0,1000000*SER_hh_emi_in!R10/SER_hh_num_in!R10)</f>
        <v>0</v>
      </c>
      <c r="S10" s="132">
        <f>IF(SER_hh_emi_in!S10=0,0,1000000*SER_hh_emi_in!S10/SER_hh_num_in!S10)</f>
        <v>0</v>
      </c>
      <c r="T10" s="132">
        <f>IF(SER_hh_emi_in!T10=0,0,1000000*SER_hh_emi_in!T10/SER_hh_num_in!T10)</f>
        <v>0</v>
      </c>
      <c r="U10" s="132">
        <f>IF(SER_hh_emi_in!U10=0,0,1000000*SER_hh_emi_in!U10/SER_hh_num_in!U10)</f>
        <v>0</v>
      </c>
      <c r="V10" s="132">
        <f>IF(SER_hh_emi_in!V10=0,0,1000000*SER_hh_emi_in!V10/SER_hh_num_in!V10)</f>
        <v>0</v>
      </c>
      <c r="W10" s="132">
        <f>IF(SER_hh_emi_in!W10=0,0,1000000*SER_hh_emi_in!W10/SER_hh_num_in!W10)</f>
        <v>0</v>
      </c>
      <c r="X10" s="132">
        <f>IF(SER_hh_emi_in!X10=0,0,1000000*SER_hh_emi_in!X10/SER_hh_num_in!X10)</f>
        <v>0</v>
      </c>
      <c r="Y10" s="132">
        <f>IF(SER_hh_emi_in!Y10=0,0,1000000*SER_hh_emi_in!Y10/SER_hh_num_in!Y10)</f>
        <v>0</v>
      </c>
      <c r="DA10" s="156" t="s">
        <v>793</v>
      </c>
    </row>
    <row r="11" spans="1:105" ht="12" customHeight="1" x14ac:dyDescent="0.25">
      <c r="A11" s="131" t="s">
        <v>25</v>
      </c>
      <c r="B11" s="132"/>
      <c r="C11" s="132">
        <f>IF(SER_hh_emi_in!C11=0,0,1000000*SER_hh_emi_in!C11/SER_hh_num_in!C11)</f>
        <v>0</v>
      </c>
      <c r="D11" s="132">
        <f>IF(SER_hh_emi_in!D11=0,0,1000000*SER_hh_emi_in!D11/SER_hh_num_in!D11)</f>
        <v>0</v>
      </c>
      <c r="E11" s="132">
        <f>IF(SER_hh_emi_in!E11=0,0,1000000*SER_hh_emi_in!E11/SER_hh_num_in!E11)</f>
        <v>0</v>
      </c>
      <c r="F11" s="132">
        <f>IF(SER_hh_emi_in!F11=0,0,1000000*SER_hh_emi_in!F11/SER_hh_num_in!F11)</f>
        <v>0</v>
      </c>
      <c r="G11" s="132">
        <f>IF(SER_hh_emi_in!G11=0,0,1000000*SER_hh_emi_in!G11/SER_hh_num_in!G11)</f>
        <v>0</v>
      </c>
      <c r="H11" s="132">
        <f>IF(SER_hh_emi_in!H11=0,0,1000000*SER_hh_emi_in!H11/SER_hh_num_in!H11)</f>
        <v>0</v>
      </c>
      <c r="I11" s="132">
        <f>IF(SER_hh_emi_in!I11=0,0,1000000*SER_hh_emi_in!I11/SER_hh_num_in!I11)</f>
        <v>0</v>
      </c>
      <c r="J11" s="132">
        <f>IF(SER_hh_emi_in!J11=0,0,1000000*SER_hh_emi_in!J11/SER_hh_num_in!J11)</f>
        <v>0</v>
      </c>
      <c r="K11" s="132">
        <f>IF(SER_hh_emi_in!K11=0,0,1000000*SER_hh_emi_in!K11/SER_hh_num_in!K11)</f>
        <v>0</v>
      </c>
      <c r="L11" s="132">
        <f>IF(SER_hh_emi_in!L11=0,0,1000000*SER_hh_emi_in!L11/SER_hh_num_in!L11)</f>
        <v>0</v>
      </c>
      <c r="M11" s="132">
        <f>IF(SER_hh_emi_in!M11=0,0,1000000*SER_hh_emi_in!M11/SER_hh_num_in!M11)</f>
        <v>0</v>
      </c>
      <c r="N11" s="132">
        <f>IF(SER_hh_emi_in!N11=0,0,1000000*SER_hh_emi_in!N11/SER_hh_num_in!N11)</f>
        <v>0</v>
      </c>
      <c r="O11" s="132">
        <f>IF(SER_hh_emi_in!O11=0,0,1000000*SER_hh_emi_in!O11/SER_hh_num_in!O11)</f>
        <v>0</v>
      </c>
      <c r="P11" s="132">
        <f>IF(SER_hh_emi_in!P11=0,0,1000000*SER_hh_emi_in!P11/SER_hh_num_in!P11)</f>
        <v>0</v>
      </c>
      <c r="Q11" s="132">
        <f>IF(SER_hh_emi_in!Q11=0,0,1000000*SER_hh_emi_in!Q11/SER_hh_num_in!Q11)</f>
        <v>0</v>
      </c>
      <c r="R11" s="132">
        <f>IF(SER_hh_emi_in!R11=0,0,1000000*SER_hh_emi_in!R11/SER_hh_num_in!R11)</f>
        <v>0</v>
      </c>
      <c r="S11" s="132">
        <f>IF(SER_hh_emi_in!S11=0,0,1000000*SER_hh_emi_in!S11/SER_hh_num_in!S11)</f>
        <v>0</v>
      </c>
      <c r="T11" s="132">
        <f>IF(SER_hh_emi_in!T11=0,0,1000000*SER_hh_emi_in!T11/SER_hh_num_in!T11)</f>
        <v>0</v>
      </c>
      <c r="U11" s="132">
        <f>IF(SER_hh_emi_in!U11=0,0,1000000*SER_hh_emi_in!U11/SER_hh_num_in!U11)</f>
        <v>0</v>
      </c>
      <c r="V11" s="132">
        <f>IF(SER_hh_emi_in!V11=0,0,1000000*SER_hh_emi_in!V11/SER_hh_num_in!V11)</f>
        <v>0</v>
      </c>
      <c r="W11" s="132">
        <f>IF(SER_hh_emi_in!W11=0,0,1000000*SER_hh_emi_in!W11/SER_hh_num_in!W11)</f>
        <v>0</v>
      </c>
      <c r="X11" s="132">
        <f>IF(SER_hh_emi_in!X11=0,0,1000000*SER_hh_emi_in!X11/SER_hh_num_in!X11)</f>
        <v>0</v>
      </c>
      <c r="Y11" s="132">
        <f>IF(SER_hh_emi_in!Y11=0,0,1000000*SER_hh_emi_in!Y11/SER_hh_num_in!Y11)</f>
        <v>0</v>
      </c>
      <c r="DA11" s="156" t="s">
        <v>794</v>
      </c>
    </row>
    <row r="12" spans="1:105" ht="12" customHeight="1" x14ac:dyDescent="0.25">
      <c r="A12" s="131" t="s">
        <v>162</v>
      </c>
      <c r="B12" s="132"/>
      <c r="C12" s="132">
        <f>IF(SER_hh_emi_in!C12=0,0,1000000*SER_hh_emi_in!C12/SER_hh_num_in!C12)</f>
        <v>0</v>
      </c>
      <c r="D12" s="132">
        <f>IF(SER_hh_emi_in!D12=0,0,1000000*SER_hh_emi_in!D12/SER_hh_num_in!D12)</f>
        <v>0</v>
      </c>
      <c r="E12" s="132">
        <f>IF(SER_hh_emi_in!E12=0,0,1000000*SER_hh_emi_in!E12/SER_hh_num_in!E12)</f>
        <v>0</v>
      </c>
      <c r="F12" s="132">
        <f>IF(SER_hh_emi_in!F12=0,0,1000000*SER_hh_emi_in!F12/SER_hh_num_in!F12)</f>
        <v>0</v>
      </c>
      <c r="G12" s="132">
        <f>IF(SER_hh_emi_in!G12=0,0,1000000*SER_hh_emi_in!G12/SER_hh_num_in!G12)</f>
        <v>0</v>
      </c>
      <c r="H12" s="132">
        <f>IF(SER_hh_emi_in!H12=0,0,1000000*SER_hh_emi_in!H12/SER_hh_num_in!H12)</f>
        <v>0</v>
      </c>
      <c r="I12" s="132">
        <f>IF(SER_hh_emi_in!I12=0,0,1000000*SER_hh_emi_in!I12/SER_hh_num_in!I12)</f>
        <v>0</v>
      </c>
      <c r="J12" s="132">
        <f>IF(SER_hh_emi_in!J12=0,0,1000000*SER_hh_emi_in!J12/SER_hh_num_in!J12)</f>
        <v>0</v>
      </c>
      <c r="K12" s="132">
        <f>IF(SER_hh_emi_in!K12=0,0,1000000*SER_hh_emi_in!K12/SER_hh_num_in!K12)</f>
        <v>0</v>
      </c>
      <c r="L12" s="132">
        <f>IF(SER_hh_emi_in!L12=0,0,1000000*SER_hh_emi_in!L12/SER_hh_num_in!L12)</f>
        <v>0</v>
      </c>
      <c r="M12" s="132">
        <f>IF(SER_hh_emi_in!M12=0,0,1000000*SER_hh_emi_in!M12/SER_hh_num_in!M12)</f>
        <v>0</v>
      </c>
      <c r="N12" s="132">
        <f>IF(SER_hh_emi_in!N12=0,0,1000000*SER_hh_emi_in!N12/SER_hh_num_in!N12)</f>
        <v>0</v>
      </c>
      <c r="O12" s="132">
        <f>IF(SER_hh_emi_in!O12=0,0,1000000*SER_hh_emi_in!O12/SER_hh_num_in!O12)</f>
        <v>0</v>
      </c>
      <c r="P12" s="132">
        <f>IF(SER_hh_emi_in!P12=0,0,1000000*SER_hh_emi_in!P12/SER_hh_num_in!P12)</f>
        <v>0</v>
      </c>
      <c r="Q12" s="132">
        <f>IF(SER_hh_emi_in!Q12=0,0,1000000*SER_hh_emi_in!Q12/SER_hh_num_in!Q12)</f>
        <v>0</v>
      </c>
      <c r="R12" s="132">
        <f>IF(SER_hh_emi_in!R12=0,0,1000000*SER_hh_emi_in!R12/SER_hh_num_in!R12)</f>
        <v>0</v>
      </c>
      <c r="S12" s="132">
        <f>IF(SER_hh_emi_in!S12=0,0,1000000*SER_hh_emi_in!S12/SER_hh_num_in!S12)</f>
        <v>0</v>
      </c>
      <c r="T12" s="132">
        <f>IF(SER_hh_emi_in!T12=0,0,1000000*SER_hh_emi_in!T12/SER_hh_num_in!T12)</f>
        <v>0</v>
      </c>
      <c r="U12" s="132">
        <f>IF(SER_hh_emi_in!U12=0,0,1000000*SER_hh_emi_in!U12/SER_hh_num_in!U12)</f>
        <v>0</v>
      </c>
      <c r="V12" s="132">
        <f>IF(SER_hh_emi_in!V12=0,0,1000000*SER_hh_emi_in!V12/SER_hh_num_in!V12)</f>
        <v>0</v>
      </c>
      <c r="W12" s="132">
        <f>IF(SER_hh_emi_in!W12=0,0,1000000*SER_hh_emi_in!W12/SER_hh_num_in!W12)</f>
        <v>0</v>
      </c>
      <c r="X12" s="132">
        <f>IF(SER_hh_emi_in!X12=0,0,1000000*SER_hh_emi_in!X12/SER_hh_num_in!X12)</f>
        <v>0</v>
      </c>
      <c r="Y12" s="132">
        <f>IF(SER_hh_emi_in!Y12=0,0,1000000*SER_hh_emi_in!Y12/SER_hh_num_in!Y12)</f>
        <v>0</v>
      </c>
      <c r="DA12" s="156" t="s">
        <v>795</v>
      </c>
    </row>
    <row r="13" spans="1:105" ht="12" customHeight="1" x14ac:dyDescent="0.25">
      <c r="A13" s="131" t="s">
        <v>77</v>
      </c>
      <c r="B13" s="132"/>
      <c r="C13" s="132">
        <f>IF(SER_hh_emi_in!C13=0,0,1000000*SER_hh_emi_in!C13/SER_hh_num_in!C13)</f>
        <v>0</v>
      </c>
      <c r="D13" s="132">
        <f>IF(SER_hh_emi_in!D13=0,0,1000000*SER_hh_emi_in!D13/SER_hh_num_in!D13)</f>
        <v>0</v>
      </c>
      <c r="E13" s="132">
        <f>IF(SER_hh_emi_in!E13=0,0,1000000*SER_hh_emi_in!E13/SER_hh_num_in!E13)</f>
        <v>0</v>
      </c>
      <c r="F13" s="132">
        <f>IF(SER_hh_emi_in!F13=0,0,1000000*SER_hh_emi_in!F13/SER_hh_num_in!F13)</f>
        <v>0</v>
      </c>
      <c r="G13" s="132">
        <f>IF(SER_hh_emi_in!G13=0,0,1000000*SER_hh_emi_in!G13/SER_hh_num_in!G13)</f>
        <v>0</v>
      </c>
      <c r="H13" s="132">
        <f>IF(SER_hh_emi_in!H13=0,0,1000000*SER_hh_emi_in!H13/SER_hh_num_in!H13)</f>
        <v>0</v>
      </c>
      <c r="I13" s="132">
        <f>IF(SER_hh_emi_in!I13=0,0,1000000*SER_hh_emi_in!I13/SER_hh_num_in!I13)</f>
        <v>0</v>
      </c>
      <c r="J13" s="132">
        <f>IF(SER_hh_emi_in!J13=0,0,1000000*SER_hh_emi_in!J13/SER_hh_num_in!J13)</f>
        <v>0</v>
      </c>
      <c r="K13" s="132">
        <f>IF(SER_hh_emi_in!K13=0,0,1000000*SER_hh_emi_in!K13/SER_hh_num_in!K13)</f>
        <v>0</v>
      </c>
      <c r="L13" s="132">
        <f>IF(SER_hh_emi_in!L13=0,0,1000000*SER_hh_emi_in!L13/SER_hh_num_in!L13)</f>
        <v>0</v>
      </c>
      <c r="M13" s="132">
        <f>IF(SER_hh_emi_in!M13=0,0,1000000*SER_hh_emi_in!M13/SER_hh_num_in!M13)</f>
        <v>0</v>
      </c>
      <c r="N13" s="132">
        <f>IF(SER_hh_emi_in!N13=0,0,1000000*SER_hh_emi_in!N13/SER_hh_num_in!N13)</f>
        <v>0</v>
      </c>
      <c r="O13" s="132">
        <f>IF(SER_hh_emi_in!O13=0,0,1000000*SER_hh_emi_in!O13/SER_hh_num_in!O13)</f>
        <v>0</v>
      </c>
      <c r="P13" s="132">
        <f>IF(SER_hh_emi_in!P13=0,0,1000000*SER_hh_emi_in!P13/SER_hh_num_in!P13)</f>
        <v>0</v>
      </c>
      <c r="Q13" s="132">
        <f>IF(SER_hh_emi_in!Q13=0,0,1000000*SER_hh_emi_in!Q13/SER_hh_num_in!Q13)</f>
        <v>0</v>
      </c>
      <c r="R13" s="132">
        <f>IF(SER_hh_emi_in!R13=0,0,1000000*SER_hh_emi_in!R13/SER_hh_num_in!R13)</f>
        <v>0</v>
      </c>
      <c r="S13" s="132">
        <f>IF(SER_hh_emi_in!S13=0,0,1000000*SER_hh_emi_in!S13/SER_hh_num_in!S13)</f>
        <v>0</v>
      </c>
      <c r="T13" s="132">
        <f>IF(SER_hh_emi_in!T13=0,0,1000000*SER_hh_emi_in!T13/SER_hh_num_in!T13)</f>
        <v>0</v>
      </c>
      <c r="U13" s="132">
        <f>IF(SER_hh_emi_in!U13=0,0,1000000*SER_hh_emi_in!U13/SER_hh_num_in!U13)</f>
        <v>0</v>
      </c>
      <c r="V13" s="132">
        <f>IF(SER_hh_emi_in!V13=0,0,1000000*SER_hh_emi_in!V13/SER_hh_num_in!V13)</f>
        <v>0</v>
      </c>
      <c r="W13" s="132">
        <f>IF(SER_hh_emi_in!W13=0,0,1000000*SER_hh_emi_in!W13/SER_hh_num_in!W13)</f>
        <v>0</v>
      </c>
      <c r="X13" s="132">
        <f>IF(SER_hh_emi_in!X13=0,0,1000000*SER_hh_emi_in!X13/SER_hh_num_in!X13)</f>
        <v>0</v>
      </c>
      <c r="Y13" s="132">
        <f>IF(SER_hh_emi_in!Y13=0,0,1000000*SER_hh_emi_in!Y13/SER_hh_num_in!Y13)</f>
        <v>0</v>
      </c>
      <c r="DA13" s="156" t="s">
        <v>796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X14" s="65">
        <f>IF(SER_hh_emi_in!X14=0,0,1000000*SER_hh_emi_in!X14/SER_hh_num_in!X14)</f>
        <v>0</v>
      </c>
      <c r="Y14" s="65">
        <f>IF(SER_hh_emi_in!Y14=0,0,1000000*SER_hh_emi_in!Y14/SER_hh_num_in!Y14)</f>
        <v>0</v>
      </c>
      <c r="DA14" s="109" t="s">
        <v>797</v>
      </c>
    </row>
    <row r="15" spans="1:105" ht="12" customHeight="1" x14ac:dyDescent="0.25">
      <c r="A15" s="133" t="s">
        <v>80</v>
      </c>
      <c r="B15" s="134"/>
      <c r="C15" s="134">
        <f>IF(SER_hh_emi_in!C15=0,0,1000000*SER_hh_emi_in!C15/SER_hh_num_in!C15)</f>
        <v>0</v>
      </c>
      <c r="D15" s="134">
        <f>IF(SER_hh_emi_in!D15=0,0,1000000*SER_hh_emi_in!D15/SER_hh_num_in!D15)</f>
        <v>0</v>
      </c>
      <c r="E15" s="134">
        <f>IF(SER_hh_emi_in!E15=0,0,1000000*SER_hh_emi_in!E15/SER_hh_num_in!E15)</f>
        <v>0</v>
      </c>
      <c r="F15" s="134">
        <f>IF(SER_hh_emi_in!F15=0,0,1000000*SER_hh_emi_in!F15/SER_hh_num_in!F15)</f>
        <v>0</v>
      </c>
      <c r="G15" s="134">
        <f>IF(SER_hh_emi_in!G15=0,0,1000000*SER_hh_emi_in!G15/SER_hh_num_in!G15)</f>
        <v>0</v>
      </c>
      <c r="H15" s="134">
        <f>IF(SER_hh_emi_in!H15=0,0,1000000*SER_hh_emi_in!H15/SER_hh_num_in!H15)</f>
        <v>0</v>
      </c>
      <c r="I15" s="134">
        <f>IF(SER_hh_emi_in!I15=0,0,1000000*SER_hh_emi_in!I15/SER_hh_num_in!I15)</f>
        <v>0</v>
      </c>
      <c r="J15" s="134">
        <f>IF(SER_hh_emi_in!J15=0,0,1000000*SER_hh_emi_in!J15/SER_hh_num_in!J15)</f>
        <v>0</v>
      </c>
      <c r="K15" s="134">
        <f>IF(SER_hh_emi_in!K15=0,0,1000000*SER_hh_emi_in!K15/SER_hh_num_in!K15)</f>
        <v>0</v>
      </c>
      <c r="L15" s="134">
        <f>IF(SER_hh_emi_in!L15=0,0,1000000*SER_hh_emi_in!L15/SER_hh_num_in!L15)</f>
        <v>0</v>
      </c>
      <c r="M15" s="134">
        <f>IF(SER_hh_emi_in!M15=0,0,1000000*SER_hh_emi_in!M15/SER_hh_num_in!M15)</f>
        <v>0</v>
      </c>
      <c r="N15" s="134">
        <f>IF(SER_hh_emi_in!N15=0,0,1000000*SER_hh_emi_in!N15/SER_hh_num_in!N15)</f>
        <v>0</v>
      </c>
      <c r="O15" s="134">
        <f>IF(SER_hh_emi_in!O15=0,0,1000000*SER_hh_emi_in!O15/SER_hh_num_in!O15)</f>
        <v>0</v>
      </c>
      <c r="P15" s="134">
        <f>IF(SER_hh_emi_in!P15=0,0,1000000*SER_hh_emi_in!P15/SER_hh_num_in!P15)</f>
        <v>0</v>
      </c>
      <c r="Q15" s="134">
        <f>IF(SER_hh_emi_in!Q15=0,0,1000000*SER_hh_emi_in!Q15/SER_hh_num_in!Q15)</f>
        <v>0</v>
      </c>
      <c r="R15" s="134">
        <f>IF(SER_hh_emi_in!R15=0,0,1000000*SER_hh_emi_in!R15/SER_hh_num_in!R15)</f>
        <v>0</v>
      </c>
      <c r="S15" s="134">
        <f>IF(SER_hh_emi_in!S15=0,0,1000000*SER_hh_emi_in!S15/SER_hh_num_in!S15)</f>
        <v>0</v>
      </c>
      <c r="T15" s="134">
        <f>IF(SER_hh_emi_in!T15=0,0,1000000*SER_hh_emi_in!T15/SER_hh_num_in!T15)</f>
        <v>0</v>
      </c>
      <c r="U15" s="134">
        <f>IF(SER_hh_emi_in!U15=0,0,1000000*SER_hh_emi_in!U15/SER_hh_num_in!U15)</f>
        <v>0</v>
      </c>
      <c r="V15" s="134">
        <f>IF(SER_hh_emi_in!V15=0,0,1000000*SER_hh_emi_in!V15/SER_hh_num_in!V15)</f>
        <v>0</v>
      </c>
      <c r="W15" s="134">
        <f>IF(SER_hh_emi_in!W15=0,0,1000000*SER_hh_emi_in!W15/SER_hh_num_in!W15)</f>
        <v>0</v>
      </c>
      <c r="X15" s="134">
        <f>IF(SER_hh_emi_in!X15=0,0,1000000*SER_hh_emi_in!X15/SER_hh_num_in!X15)</f>
        <v>0</v>
      </c>
      <c r="Y15" s="134">
        <f>IF(SER_hh_emi_in!Y15=0,0,1000000*SER_hh_emi_in!Y15/SER_hh_num_in!Y15)</f>
        <v>0</v>
      </c>
      <c r="DA15" s="157" t="s">
        <v>798</v>
      </c>
    </row>
    <row r="16" spans="1:105" ht="12.95" customHeight="1" x14ac:dyDescent="0.25">
      <c r="A16" s="129" t="s">
        <v>74</v>
      </c>
      <c r="B16" s="130"/>
      <c r="C16" s="130">
        <f>IF(SER_hh_emi_in!C16=0,0,1000000*SER_hh_emi_in!C16/SER_hh_num_in!C16)</f>
        <v>0</v>
      </c>
      <c r="D16" s="130">
        <f>IF(SER_hh_emi_in!D16=0,0,1000000*SER_hh_emi_in!D16/SER_hh_num_in!D16)</f>
        <v>0</v>
      </c>
      <c r="E16" s="130">
        <f>IF(SER_hh_emi_in!E16=0,0,1000000*SER_hh_emi_in!E16/SER_hh_num_in!E16)</f>
        <v>0</v>
      </c>
      <c r="F16" s="130">
        <f>IF(SER_hh_emi_in!F16=0,0,1000000*SER_hh_emi_in!F16/SER_hh_num_in!F16)</f>
        <v>0</v>
      </c>
      <c r="G16" s="130">
        <f>IF(SER_hh_emi_in!G16=0,0,1000000*SER_hh_emi_in!G16/SER_hh_num_in!G16)</f>
        <v>0</v>
      </c>
      <c r="H16" s="130">
        <f>IF(SER_hh_emi_in!H16=0,0,1000000*SER_hh_emi_in!H16/SER_hh_num_in!H16)</f>
        <v>0</v>
      </c>
      <c r="I16" s="130">
        <f>IF(SER_hh_emi_in!I16=0,0,1000000*SER_hh_emi_in!I16/SER_hh_num_in!I16)</f>
        <v>0</v>
      </c>
      <c r="J16" s="130">
        <f>IF(SER_hh_emi_in!J16=0,0,1000000*SER_hh_emi_in!J16/SER_hh_num_in!J16)</f>
        <v>0</v>
      </c>
      <c r="K16" s="130">
        <f>IF(SER_hh_emi_in!K16=0,0,1000000*SER_hh_emi_in!K16/SER_hh_num_in!K16)</f>
        <v>0</v>
      </c>
      <c r="L16" s="130">
        <f>IF(SER_hh_emi_in!L16=0,0,1000000*SER_hh_emi_in!L16/SER_hh_num_in!L16)</f>
        <v>0</v>
      </c>
      <c r="M16" s="130">
        <f>IF(SER_hh_emi_in!M16=0,0,1000000*SER_hh_emi_in!M16/SER_hh_num_in!M16)</f>
        <v>0</v>
      </c>
      <c r="N16" s="130">
        <f>IF(SER_hh_emi_in!N16=0,0,1000000*SER_hh_emi_in!N16/SER_hh_num_in!N16)</f>
        <v>0</v>
      </c>
      <c r="O16" s="130">
        <f>IF(SER_hh_emi_in!O16=0,0,1000000*SER_hh_emi_in!O16/SER_hh_num_in!O16)</f>
        <v>0</v>
      </c>
      <c r="P16" s="130">
        <f>IF(SER_hh_emi_in!P16=0,0,1000000*SER_hh_emi_in!P16/SER_hh_num_in!P16)</f>
        <v>0</v>
      </c>
      <c r="Q16" s="130">
        <f>IF(SER_hh_emi_in!Q16=0,0,1000000*SER_hh_emi_in!Q16/SER_hh_num_in!Q16)</f>
        <v>0</v>
      </c>
      <c r="R16" s="130">
        <f>IF(SER_hh_emi_in!R16=0,0,1000000*SER_hh_emi_in!R16/SER_hh_num_in!R16)</f>
        <v>0</v>
      </c>
      <c r="S16" s="130">
        <f>IF(SER_hh_emi_in!S16=0,0,1000000*SER_hh_emi_in!S16/SER_hh_num_in!S16)</f>
        <v>0</v>
      </c>
      <c r="T16" s="130">
        <f>IF(SER_hh_emi_in!T16=0,0,1000000*SER_hh_emi_in!T16/SER_hh_num_in!T16)</f>
        <v>0</v>
      </c>
      <c r="U16" s="130">
        <f>IF(SER_hh_emi_in!U16=0,0,1000000*SER_hh_emi_in!U16/SER_hh_num_in!U16)</f>
        <v>0</v>
      </c>
      <c r="V16" s="130">
        <f>IF(SER_hh_emi_in!V16=0,0,1000000*SER_hh_emi_in!V16/SER_hh_num_in!V16)</f>
        <v>0</v>
      </c>
      <c r="W16" s="130">
        <f>IF(SER_hh_emi_in!W16=0,0,1000000*SER_hh_emi_in!W16/SER_hh_num_in!W16)</f>
        <v>0</v>
      </c>
      <c r="X16" s="130">
        <f>IF(SER_hh_emi_in!X16=0,0,1000000*SER_hh_emi_in!X16/SER_hh_num_in!X16)</f>
        <v>0</v>
      </c>
      <c r="Y16" s="130">
        <f>IF(SER_hh_emi_in!Y16=0,0,1000000*SER_hh_emi_in!Y16/SER_hh_num_in!Y16)</f>
        <v>0</v>
      </c>
      <c r="DA16" s="155" t="s">
        <v>799</v>
      </c>
    </row>
    <row r="17" spans="1:105" ht="12.95" customHeight="1" x14ac:dyDescent="0.25">
      <c r="A17" s="131" t="s">
        <v>73</v>
      </c>
      <c r="B17" s="132"/>
      <c r="C17" s="132">
        <f>IF(SER_hh_emi_in!C17=0,0,1000000*SER_hh_emi_in!C17/SER_hh_num_in!C17)</f>
        <v>0</v>
      </c>
      <c r="D17" s="132">
        <f>IF(SER_hh_emi_in!D17=0,0,1000000*SER_hh_emi_in!D17/SER_hh_num_in!D17)</f>
        <v>0</v>
      </c>
      <c r="E17" s="132">
        <f>IF(SER_hh_emi_in!E17=0,0,1000000*SER_hh_emi_in!E17/SER_hh_num_in!E17)</f>
        <v>0</v>
      </c>
      <c r="F17" s="132">
        <f>IF(SER_hh_emi_in!F17=0,0,1000000*SER_hh_emi_in!F17/SER_hh_num_in!F17)</f>
        <v>0</v>
      </c>
      <c r="G17" s="132">
        <f>IF(SER_hh_emi_in!G17=0,0,1000000*SER_hh_emi_in!G17/SER_hh_num_in!G17)</f>
        <v>0</v>
      </c>
      <c r="H17" s="132">
        <f>IF(SER_hh_emi_in!H17=0,0,1000000*SER_hh_emi_in!H17/SER_hh_num_in!H17)</f>
        <v>0</v>
      </c>
      <c r="I17" s="132">
        <f>IF(SER_hh_emi_in!I17=0,0,1000000*SER_hh_emi_in!I17/SER_hh_num_in!I17)</f>
        <v>0</v>
      </c>
      <c r="J17" s="132">
        <f>IF(SER_hh_emi_in!J17=0,0,1000000*SER_hh_emi_in!J17/SER_hh_num_in!J17)</f>
        <v>0</v>
      </c>
      <c r="K17" s="132">
        <f>IF(SER_hh_emi_in!K17=0,0,1000000*SER_hh_emi_in!K17/SER_hh_num_in!K17)</f>
        <v>0</v>
      </c>
      <c r="L17" s="132">
        <f>IF(SER_hh_emi_in!L17=0,0,1000000*SER_hh_emi_in!L17/SER_hh_num_in!L17)</f>
        <v>0</v>
      </c>
      <c r="M17" s="132">
        <f>IF(SER_hh_emi_in!M17=0,0,1000000*SER_hh_emi_in!M17/SER_hh_num_in!M17)</f>
        <v>0</v>
      </c>
      <c r="N17" s="132">
        <f>IF(SER_hh_emi_in!N17=0,0,1000000*SER_hh_emi_in!N17/SER_hh_num_in!N17)</f>
        <v>0</v>
      </c>
      <c r="O17" s="132">
        <f>IF(SER_hh_emi_in!O17=0,0,1000000*SER_hh_emi_in!O17/SER_hh_num_in!O17)</f>
        <v>0</v>
      </c>
      <c r="P17" s="132">
        <f>IF(SER_hh_emi_in!P17=0,0,1000000*SER_hh_emi_in!P17/SER_hh_num_in!P17)</f>
        <v>0</v>
      </c>
      <c r="Q17" s="132">
        <f>IF(SER_hh_emi_in!Q17=0,0,1000000*SER_hh_emi_in!Q17/SER_hh_num_in!Q17)</f>
        <v>0</v>
      </c>
      <c r="R17" s="132">
        <f>IF(SER_hh_emi_in!R17=0,0,1000000*SER_hh_emi_in!R17/SER_hh_num_in!R17)</f>
        <v>0</v>
      </c>
      <c r="S17" s="132">
        <f>IF(SER_hh_emi_in!S17=0,0,1000000*SER_hh_emi_in!S17/SER_hh_num_in!S17)</f>
        <v>0</v>
      </c>
      <c r="T17" s="132">
        <f>IF(SER_hh_emi_in!T17=0,0,1000000*SER_hh_emi_in!T17/SER_hh_num_in!T17)</f>
        <v>0</v>
      </c>
      <c r="U17" s="132">
        <f>IF(SER_hh_emi_in!U17=0,0,1000000*SER_hh_emi_in!U17/SER_hh_num_in!U17)</f>
        <v>0</v>
      </c>
      <c r="V17" s="132">
        <f>IF(SER_hh_emi_in!V17=0,0,1000000*SER_hh_emi_in!V17/SER_hh_num_in!V17)</f>
        <v>0</v>
      </c>
      <c r="W17" s="132">
        <f>IF(SER_hh_emi_in!W17=0,0,1000000*SER_hh_emi_in!W17/SER_hh_num_in!W17)</f>
        <v>0</v>
      </c>
      <c r="X17" s="132">
        <f>IF(SER_hh_emi_in!X17=0,0,1000000*SER_hh_emi_in!X17/SER_hh_num_in!X17)</f>
        <v>0</v>
      </c>
      <c r="Y17" s="132">
        <f>IF(SER_hh_emi_in!Y17=0,0,1000000*SER_hh_emi_in!Y17/SER_hh_num_in!Y17)</f>
        <v>0</v>
      </c>
      <c r="DA17" s="156" t="s">
        <v>800</v>
      </c>
    </row>
    <row r="18" spans="1:105" ht="12" customHeight="1" x14ac:dyDescent="0.25">
      <c r="A18" s="131" t="s">
        <v>72</v>
      </c>
      <c r="B18" s="132"/>
      <c r="C18" s="132">
        <f>IF(SER_hh_emi_in!C18=0,0,1000000*SER_hh_emi_in!C18/SER_hh_num_in!C18)</f>
        <v>0</v>
      </c>
      <c r="D18" s="132">
        <f>IF(SER_hh_emi_in!D18=0,0,1000000*SER_hh_emi_in!D18/SER_hh_num_in!D18)</f>
        <v>0</v>
      </c>
      <c r="E18" s="132">
        <f>IF(SER_hh_emi_in!E18=0,0,1000000*SER_hh_emi_in!E18/SER_hh_num_in!E18)</f>
        <v>0</v>
      </c>
      <c r="F18" s="132">
        <f>IF(SER_hh_emi_in!F18=0,0,1000000*SER_hh_emi_in!F18/SER_hh_num_in!F18)</f>
        <v>0</v>
      </c>
      <c r="G18" s="132">
        <f>IF(SER_hh_emi_in!G18=0,0,1000000*SER_hh_emi_in!G18/SER_hh_num_in!G18)</f>
        <v>0</v>
      </c>
      <c r="H18" s="132">
        <f>IF(SER_hh_emi_in!H18=0,0,1000000*SER_hh_emi_in!H18/SER_hh_num_in!H18)</f>
        <v>0</v>
      </c>
      <c r="I18" s="132">
        <f>IF(SER_hh_emi_in!I18=0,0,1000000*SER_hh_emi_in!I18/SER_hh_num_in!I18)</f>
        <v>0</v>
      </c>
      <c r="J18" s="132">
        <f>IF(SER_hh_emi_in!J18=0,0,1000000*SER_hh_emi_in!J18/SER_hh_num_in!J18)</f>
        <v>0</v>
      </c>
      <c r="K18" s="132">
        <f>IF(SER_hh_emi_in!K18=0,0,1000000*SER_hh_emi_in!K18/SER_hh_num_in!K18)</f>
        <v>0</v>
      </c>
      <c r="L18" s="132">
        <f>IF(SER_hh_emi_in!L18=0,0,1000000*SER_hh_emi_in!L18/SER_hh_num_in!L18)</f>
        <v>0</v>
      </c>
      <c r="M18" s="132">
        <f>IF(SER_hh_emi_in!M18=0,0,1000000*SER_hh_emi_in!M18/SER_hh_num_in!M18)</f>
        <v>0</v>
      </c>
      <c r="N18" s="132">
        <f>IF(SER_hh_emi_in!N18=0,0,1000000*SER_hh_emi_in!N18/SER_hh_num_in!N18)</f>
        <v>0</v>
      </c>
      <c r="O18" s="132">
        <f>IF(SER_hh_emi_in!O18=0,0,1000000*SER_hh_emi_in!O18/SER_hh_num_in!O18)</f>
        <v>0</v>
      </c>
      <c r="P18" s="132">
        <f>IF(SER_hh_emi_in!P18=0,0,1000000*SER_hh_emi_in!P18/SER_hh_num_in!P18)</f>
        <v>0</v>
      </c>
      <c r="Q18" s="132">
        <f>IF(SER_hh_emi_in!Q18=0,0,1000000*SER_hh_emi_in!Q18/SER_hh_num_in!Q18)</f>
        <v>0</v>
      </c>
      <c r="R18" s="132">
        <f>IF(SER_hh_emi_in!R18=0,0,1000000*SER_hh_emi_in!R18/SER_hh_num_in!R18)</f>
        <v>0</v>
      </c>
      <c r="S18" s="132">
        <f>IF(SER_hh_emi_in!S18=0,0,1000000*SER_hh_emi_in!S18/SER_hh_num_in!S18)</f>
        <v>0</v>
      </c>
      <c r="T18" s="132">
        <f>IF(SER_hh_emi_in!T18=0,0,1000000*SER_hh_emi_in!T18/SER_hh_num_in!T18)</f>
        <v>0</v>
      </c>
      <c r="U18" s="132">
        <f>IF(SER_hh_emi_in!U18=0,0,1000000*SER_hh_emi_in!U18/SER_hh_num_in!U18)</f>
        <v>0</v>
      </c>
      <c r="V18" s="132">
        <f>IF(SER_hh_emi_in!V18=0,0,1000000*SER_hh_emi_in!V18/SER_hh_num_in!V18)</f>
        <v>0</v>
      </c>
      <c r="W18" s="132">
        <f>IF(SER_hh_emi_in!W18=0,0,1000000*SER_hh_emi_in!W18/SER_hh_num_in!W18)</f>
        <v>0</v>
      </c>
      <c r="X18" s="132">
        <f>IF(SER_hh_emi_in!X18=0,0,1000000*SER_hh_emi_in!X18/SER_hh_num_in!X18)</f>
        <v>0</v>
      </c>
      <c r="Y18" s="132">
        <f>IF(SER_hh_emi_in!Y18=0,0,1000000*SER_hh_emi_in!Y18/SER_hh_num_in!Y18)</f>
        <v>0</v>
      </c>
      <c r="DA18" s="156" t="s">
        <v>801</v>
      </c>
    </row>
    <row r="19" spans="1:105" ht="12.95" customHeight="1" x14ac:dyDescent="0.25">
      <c r="A19" s="129" t="s">
        <v>35</v>
      </c>
      <c r="B19" s="130"/>
      <c r="C19" s="130">
        <f>IF(SER_hh_emi_in!C19=0,0,1000000*SER_hh_emi_in!C19/SER_hh_num_in!C19)</f>
        <v>110.5850753534358</v>
      </c>
      <c r="D19" s="130">
        <f>IF(SER_hh_emi_in!D19=0,0,1000000*SER_hh_emi_in!D19/SER_hh_num_in!D19)</f>
        <v>155.7767954477508</v>
      </c>
      <c r="E19" s="130">
        <f>IF(SER_hh_emi_in!E19=0,0,1000000*SER_hh_emi_in!E19/SER_hh_num_in!E19)</f>
        <v>126.80742424664012</v>
      </c>
      <c r="F19" s="130">
        <f>IF(SER_hh_emi_in!F19=0,0,1000000*SER_hh_emi_in!F19/SER_hh_num_in!F19)</f>
        <v>201.89971955320377</v>
      </c>
      <c r="G19" s="130">
        <f>IF(SER_hh_emi_in!G19=0,0,1000000*SER_hh_emi_in!G19/SER_hh_num_in!G19)</f>
        <v>212.41336366665718</v>
      </c>
      <c r="H19" s="130">
        <f>IF(SER_hh_emi_in!H19=0,0,1000000*SER_hh_emi_in!H19/SER_hh_num_in!H19)</f>
        <v>357.06846279901299</v>
      </c>
      <c r="I19" s="130">
        <f>IF(SER_hh_emi_in!I19=0,0,1000000*SER_hh_emi_in!I19/SER_hh_num_in!I19)</f>
        <v>340.08531662170373</v>
      </c>
      <c r="J19" s="130">
        <f>IF(SER_hh_emi_in!J19=0,0,1000000*SER_hh_emi_in!J19/SER_hh_num_in!J19)</f>
        <v>367.45279131766671</v>
      </c>
      <c r="K19" s="130">
        <f>IF(SER_hh_emi_in!K19=0,0,1000000*SER_hh_emi_in!K19/SER_hh_num_in!K19)</f>
        <v>341.41273495606737</v>
      </c>
      <c r="L19" s="130">
        <f>IF(SER_hh_emi_in!L19=0,0,1000000*SER_hh_emi_in!L19/SER_hh_num_in!L19)</f>
        <v>192.70772436697834</v>
      </c>
      <c r="M19" s="130">
        <f>IF(SER_hh_emi_in!M19=0,0,1000000*SER_hh_emi_in!M19/SER_hh_num_in!M19)</f>
        <v>163.92759393207785</v>
      </c>
      <c r="N19" s="130">
        <f>IF(SER_hh_emi_in!N19=0,0,1000000*SER_hh_emi_in!N19/SER_hh_num_in!N19)</f>
        <v>182.84716320593378</v>
      </c>
      <c r="O19" s="130">
        <f>IF(SER_hh_emi_in!O19=0,0,1000000*SER_hh_emi_in!O19/SER_hh_num_in!O19)</f>
        <v>201.43149628649189</v>
      </c>
      <c r="P19" s="130">
        <f>IF(SER_hh_emi_in!P19=0,0,1000000*SER_hh_emi_in!P19/SER_hh_num_in!P19)</f>
        <v>135.32615847315893</v>
      </c>
      <c r="Q19" s="130">
        <f>IF(SER_hh_emi_in!Q19=0,0,1000000*SER_hh_emi_in!Q19/SER_hh_num_in!Q19)</f>
        <v>260.99895766218702</v>
      </c>
      <c r="R19" s="130">
        <f>IF(SER_hh_emi_in!R19=0,0,1000000*SER_hh_emi_in!R19/SER_hh_num_in!R19)</f>
        <v>279.47486532287309</v>
      </c>
      <c r="S19" s="130">
        <f>IF(SER_hh_emi_in!S19=0,0,1000000*SER_hh_emi_in!S19/SER_hh_num_in!S19)</f>
        <v>233.38255561255423</v>
      </c>
      <c r="T19" s="130">
        <f>IF(SER_hh_emi_in!T19=0,0,1000000*SER_hh_emi_in!T19/SER_hh_num_in!T19)</f>
        <v>299.56281548016983</v>
      </c>
      <c r="U19" s="130">
        <f>IF(SER_hh_emi_in!U19=0,0,1000000*SER_hh_emi_in!U19/SER_hh_num_in!U19)</f>
        <v>330.87927933312767</v>
      </c>
      <c r="V19" s="130">
        <f>IF(SER_hh_emi_in!V19=0,0,1000000*SER_hh_emi_in!V19/SER_hh_num_in!V19)</f>
        <v>392.64836127404783</v>
      </c>
      <c r="W19" s="130">
        <f>IF(SER_hh_emi_in!W19=0,0,1000000*SER_hh_emi_in!W19/SER_hh_num_in!W19)</f>
        <v>277.26018303367516</v>
      </c>
      <c r="X19" s="130">
        <f>IF(SER_hh_emi_in!X19=0,0,1000000*SER_hh_emi_in!X19/SER_hh_num_in!X19)</f>
        <v>230.56312677385549</v>
      </c>
      <c r="Y19" s="130">
        <f>IF(SER_hh_emi_in!Y19=0,0,1000000*SER_hh_emi_in!Y19/SER_hh_num_in!Y19)</f>
        <v>188.01797271120935</v>
      </c>
      <c r="DA19" s="155" t="s">
        <v>802</v>
      </c>
    </row>
    <row r="20" spans="1:105" ht="12" customHeight="1" x14ac:dyDescent="0.25">
      <c r="A20" s="131" t="s">
        <v>29</v>
      </c>
      <c r="B20" s="132"/>
      <c r="C20" s="132">
        <f>IF(SER_hh_emi_in!C20=0,0,1000000*SER_hh_emi_in!C20/SER_hh_num_in!C20)</f>
        <v>0</v>
      </c>
      <c r="D20" s="132">
        <f>IF(SER_hh_emi_in!D20=0,0,1000000*SER_hh_emi_in!D20/SER_hh_num_in!D20)</f>
        <v>0</v>
      </c>
      <c r="E20" s="132">
        <f>IF(SER_hh_emi_in!E20=0,0,1000000*SER_hh_emi_in!E20/SER_hh_num_in!E20)</f>
        <v>0</v>
      </c>
      <c r="F20" s="132">
        <f>IF(SER_hh_emi_in!F20=0,0,1000000*SER_hh_emi_in!F20/SER_hh_num_in!F20)</f>
        <v>0</v>
      </c>
      <c r="G20" s="132">
        <f>IF(SER_hh_emi_in!G20=0,0,1000000*SER_hh_emi_in!G20/SER_hh_num_in!G20)</f>
        <v>0</v>
      </c>
      <c r="H20" s="132">
        <f>IF(SER_hh_emi_in!H20=0,0,1000000*SER_hh_emi_in!H20/SER_hh_num_in!H20)</f>
        <v>0</v>
      </c>
      <c r="I20" s="132">
        <f>IF(SER_hh_emi_in!I20=0,0,1000000*SER_hh_emi_in!I20/SER_hh_num_in!I20)</f>
        <v>0</v>
      </c>
      <c r="J20" s="132">
        <f>IF(SER_hh_emi_in!J20=0,0,1000000*SER_hh_emi_in!J20/SER_hh_num_in!J20)</f>
        <v>0</v>
      </c>
      <c r="K20" s="132">
        <f>IF(SER_hh_emi_in!K20=0,0,1000000*SER_hh_emi_in!K20/SER_hh_num_in!K20)</f>
        <v>0</v>
      </c>
      <c r="L20" s="132">
        <f>IF(SER_hh_emi_in!L20=0,0,1000000*SER_hh_emi_in!L20/SER_hh_num_in!L20)</f>
        <v>0</v>
      </c>
      <c r="M20" s="132">
        <f>IF(SER_hh_emi_in!M20=0,0,1000000*SER_hh_emi_in!M20/SER_hh_num_in!M20)</f>
        <v>0</v>
      </c>
      <c r="N20" s="132">
        <f>IF(SER_hh_emi_in!N20=0,0,1000000*SER_hh_emi_in!N20/SER_hh_num_in!N20)</f>
        <v>0</v>
      </c>
      <c r="O20" s="132">
        <f>IF(SER_hh_emi_in!O20=0,0,1000000*SER_hh_emi_in!O20/SER_hh_num_in!O20)</f>
        <v>0</v>
      </c>
      <c r="P20" s="132">
        <f>IF(SER_hh_emi_in!P20=0,0,1000000*SER_hh_emi_in!P20/SER_hh_num_in!P20)</f>
        <v>0</v>
      </c>
      <c r="Q20" s="132">
        <f>IF(SER_hh_emi_in!Q20=0,0,1000000*SER_hh_emi_in!Q20/SER_hh_num_in!Q20)</f>
        <v>0</v>
      </c>
      <c r="R20" s="132">
        <f>IF(SER_hh_emi_in!R20=0,0,1000000*SER_hh_emi_in!R20/SER_hh_num_in!R20)</f>
        <v>0</v>
      </c>
      <c r="S20" s="132">
        <f>IF(SER_hh_emi_in!S20=0,0,1000000*SER_hh_emi_in!S20/SER_hh_num_in!S20)</f>
        <v>0</v>
      </c>
      <c r="T20" s="132">
        <f>IF(SER_hh_emi_in!T20=0,0,1000000*SER_hh_emi_in!T20/SER_hh_num_in!T20)</f>
        <v>0</v>
      </c>
      <c r="U20" s="132">
        <f>IF(SER_hh_emi_in!U20=0,0,1000000*SER_hh_emi_in!U20/SER_hh_num_in!U20)</f>
        <v>0</v>
      </c>
      <c r="V20" s="132">
        <f>IF(SER_hh_emi_in!V20=0,0,1000000*SER_hh_emi_in!V20/SER_hh_num_in!V20)</f>
        <v>0</v>
      </c>
      <c r="W20" s="132">
        <f>IF(SER_hh_emi_in!W20=0,0,1000000*SER_hh_emi_in!W20/SER_hh_num_in!W20)</f>
        <v>0</v>
      </c>
      <c r="X20" s="132">
        <f>IF(SER_hh_emi_in!X20=0,0,1000000*SER_hh_emi_in!X20/SER_hh_num_in!X20)</f>
        <v>0</v>
      </c>
      <c r="Y20" s="132">
        <f>IF(SER_hh_emi_in!Y20=0,0,1000000*SER_hh_emi_in!Y20/SER_hh_num_in!Y20)</f>
        <v>0</v>
      </c>
      <c r="DA20" s="156" t="s">
        <v>803</v>
      </c>
    </row>
    <row r="21" spans="1:105" s="2" customFormat="1" ht="12" customHeight="1" x14ac:dyDescent="0.25">
      <c r="A21" s="131" t="s">
        <v>52</v>
      </c>
      <c r="B21" s="132"/>
      <c r="C21" s="132">
        <f>IF(SER_hh_emi_in!C21=0,0,1000000*SER_hh_emi_in!C21/SER_hh_num_in!C21)</f>
        <v>0</v>
      </c>
      <c r="D21" s="132">
        <f>IF(SER_hh_emi_in!D21=0,0,1000000*SER_hh_emi_in!D21/SER_hh_num_in!D21)</f>
        <v>0</v>
      </c>
      <c r="E21" s="132">
        <f>IF(SER_hh_emi_in!E21=0,0,1000000*SER_hh_emi_in!E21/SER_hh_num_in!E21)</f>
        <v>0</v>
      </c>
      <c r="F21" s="132">
        <f>IF(SER_hh_emi_in!F21=0,0,1000000*SER_hh_emi_in!F21/SER_hh_num_in!F21)</f>
        <v>0</v>
      </c>
      <c r="G21" s="132">
        <f>IF(SER_hh_emi_in!G21=0,0,1000000*SER_hh_emi_in!G21/SER_hh_num_in!G21)</f>
        <v>0</v>
      </c>
      <c r="H21" s="132">
        <f>IF(SER_hh_emi_in!H21=0,0,1000000*SER_hh_emi_in!H21/SER_hh_num_in!H21)</f>
        <v>0</v>
      </c>
      <c r="I21" s="132">
        <f>IF(SER_hh_emi_in!I21=0,0,1000000*SER_hh_emi_in!I21/SER_hh_num_in!I21)</f>
        <v>0</v>
      </c>
      <c r="J21" s="132">
        <f>IF(SER_hh_emi_in!J21=0,0,1000000*SER_hh_emi_in!J21/SER_hh_num_in!J21)</f>
        <v>0</v>
      </c>
      <c r="K21" s="132">
        <f>IF(SER_hh_emi_in!K21=0,0,1000000*SER_hh_emi_in!K21/SER_hh_num_in!K21)</f>
        <v>0</v>
      </c>
      <c r="L21" s="132">
        <f>IF(SER_hh_emi_in!L21=0,0,1000000*SER_hh_emi_in!L21/SER_hh_num_in!L21)</f>
        <v>0</v>
      </c>
      <c r="M21" s="132">
        <f>IF(SER_hh_emi_in!M21=0,0,1000000*SER_hh_emi_in!M21/SER_hh_num_in!M21)</f>
        <v>0</v>
      </c>
      <c r="N21" s="132">
        <f>IF(SER_hh_emi_in!N21=0,0,1000000*SER_hh_emi_in!N21/SER_hh_num_in!N21)</f>
        <v>0</v>
      </c>
      <c r="O21" s="132">
        <f>IF(SER_hh_emi_in!O21=0,0,1000000*SER_hh_emi_in!O21/SER_hh_num_in!O21)</f>
        <v>0</v>
      </c>
      <c r="P21" s="132">
        <f>IF(SER_hh_emi_in!P21=0,0,1000000*SER_hh_emi_in!P21/SER_hh_num_in!P21)</f>
        <v>0</v>
      </c>
      <c r="Q21" s="132">
        <f>IF(SER_hh_emi_in!Q21=0,0,1000000*SER_hh_emi_in!Q21/SER_hh_num_in!Q21)</f>
        <v>0</v>
      </c>
      <c r="R21" s="132">
        <f>IF(SER_hh_emi_in!R21=0,0,1000000*SER_hh_emi_in!R21/SER_hh_num_in!R21)</f>
        <v>0</v>
      </c>
      <c r="S21" s="132">
        <f>IF(SER_hh_emi_in!S21=0,0,1000000*SER_hh_emi_in!S21/SER_hh_num_in!S21)</f>
        <v>0</v>
      </c>
      <c r="T21" s="132">
        <f>IF(SER_hh_emi_in!T21=0,0,1000000*SER_hh_emi_in!T21/SER_hh_num_in!T21)</f>
        <v>0</v>
      </c>
      <c r="U21" s="132">
        <f>IF(SER_hh_emi_in!U21=0,0,1000000*SER_hh_emi_in!U21/SER_hh_num_in!U21)</f>
        <v>0</v>
      </c>
      <c r="V21" s="132">
        <f>IF(SER_hh_emi_in!V21=0,0,1000000*SER_hh_emi_in!V21/SER_hh_num_in!V21)</f>
        <v>0</v>
      </c>
      <c r="W21" s="132">
        <f>IF(SER_hh_emi_in!W21=0,0,1000000*SER_hh_emi_in!W21/SER_hh_num_in!W21)</f>
        <v>0</v>
      </c>
      <c r="X21" s="132">
        <f>IF(SER_hh_emi_in!X21=0,0,1000000*SER_hh_emi_in!X21/SER_hh_num_in!X21)</f>
        <v>0</v>
      </c>
      <c r="Y21" s="132">
        <f>IF(SER_hh_emi_in!Y21=0,0,1000000*SER_hh_emi_in!Y21/SER_hh_num_in!Y21)</f>
        <v>0</v>
      </c>
      <c r="DA21" s="156" t="s">
        <v>804</v>
      </c>
    </row>
    <row r="22" spans="1:105" ht="12" customHeight="1" x14ac:dyDescent="0.25">
      <c r="A22" s="131" t="s">
        <v>161</v>
      </c>
      <c r="B22" s="132"/>
      <c r="C22" s="132">
        <f>IF(SER_hh_emi_in!C22=0,0,1000000*SER_hh_emi_in!C22/SER_hh_num_in!C22)</f>
        <v>0</v>
      </c>
      <c r="D22" s="132">
        <f>IF(SER_hh_emi_in!D22=0,0,1000000*SER_hh_emi_in!D22/SER_hh_num_in!D22)</f>
        <v>0</v>
      </c>
      <c r="E22" s="132">
        <f>IF(SER_hh_emi_in!E22=0,0,1000000*SER_hh_emi_in!E22/SER_hh_num_in!E22)</f>
        <v>0</v>
      </c>
      <c r="F22" s="132">
        <f>IF(SER_hh_emi_in!F22=0,0,1000000*SER_hh_emi_in!F22/SER_hh_num_in!F22)</f>
        <v>0</v>
      </c>
      <c r="G22" s="132">
        <f>IF(SER_hh_emi_in!G22=0,0,1000000*SER_hh_emi_in!G22/SER_hh_num_in!G22)</f>
        <v>0</v>
      </c>
      <c r="H22" s="132">
        <f>IF(SER_hh_emi_in!H22=0,0,1000000*SER_hh_emi_in!H22/SER_hh_num_in!H22)</f>
        <v>0</v>
      </c>
      <c r="I22" s="132">
        <f>IF(SER_hh_emi_in!I22=0,0,1000000*SER_hh_emi_in!I22/SER_hh_num_in!I22)</f>
        <v>0</v>
      </c>
      <c r="J22" s="132">
        <f>IF(SER_hh_emi_in!J22=0,0,1000000*SER_hh_emi_in!J22/SER_hh_num_in!J22)</f>
        <v>0</v>
      </c>
      <c r="K22" s="132">
        <f>IF(SER_hh_emi_in!K22=0,0,1000000*SER_hh_emi_in!K22/SER_hh_num_in!K22)</f>
        <v>4416.3534884974151</v>
      </c>
      <c r="L22" s="132">
        <f>IF(SER_hh_emi_in!L22=0,0,1000000*SER_hh_emi_in!L22/SER_hh_num_in!L22)</f>
        <v>4682.8324879386691</v>
      </c>
      <c r="M22" s="132">
        <f>IF(SER_hh_emi_in!M22=0,0,1000000*SER_hh_emi_in!M22/SER_hh_num_in!M22)</f>
        <v>4635.9990575754964</v>
      </c>
      <c r="N22" s="132">
        <f>IF(SER_hh_emi_in!N22=0,0,1000000*SER_hh_emi_in!N22/SER_hh_num_in!N22)</f>
        <v>4100.8009416014847</v>
      </c>
      <c r="O22" s="132">
        <f>IF(SER_hh_emi_in!O22=0,0,1000000*SER_hh_emi_in!O22/SER_hh_num_in!O22)</f>
        <v>4394.8454227075472</v>
      </c>
      <c r="P22" s="132">
        <f>IF(SER_hh_emi_in!P22=0,0,1000000*SER_hh_emi_in!P22/SER_hh_num_in!P22)</f>
        <v>0</v>
      </c>
      <c r="Q22" s="132">
        <f>IF(SER_hh_emi_in!Q22=0,0,1000000*SER_hh_emi_in!Q22/SER_hh_num_in!Q22)</f>
        <v>3976.4623266177064</v>
      </c>
      <c r="R22" s="132">
        <f>IF(SER_hh_emi_in!R22=0,0,1000000*SER_hh_emi_in!R22/SER_hh_num_in!R22)</f>
        <v>0</v>
      </c>
      <c r="S22" s="132">
        <f>IF(SER_hh_emi_in!S22=0,0,1000000*SER_hh_emi_in!S22/SER_hh_num_in!S22)</f>
        <v>4171.4167693174613</v>
      </c>
      <c r="T22" s="132">
        <f>IF(SER_hh_emi_in!T22=0,0,1000000*SER_hh_emi_in!T22/SER_hh_num_in!T22)</f>
        <v>2980.76038550673</v>
      </c>
      <c r="U22" s="132">
        <f>IF(SER_hh_emi_in!U22=0,0,1000000*SER_hh_emi_in!U22/SER_hh_num_in!U22)</f>
        <v>3422.2409648359408</v>
      </c>
      <c r="V22" s="132">
        <f>IF(SER_hh_emi_in!V22=0,0,1000000*SER_hh_emi_in!V22/SER_hh_num_in!V22)</f>
        <v>3490.3803014217765</v>
      </c>
      <c r="W22" s="132">
        <f>IF(SER_hh_emi_in!W22=0,0,1000000*SER_hh_emi_in!W22/SER_hh_num_in!W22)</f>
        <v>3908.6551504759623</v>
      </c>
      <c r="X22" s="132">
        <f>IF(SER_hh_emi_in!X22=0,0,1000000*SER_hh_emi_in!X22/SER_hh_num_in!X22)</f>
        <v>0</v>
      </c>
      <c r="Y22" s="132">
        <f>IF(SER_hh_emi_in!Y22=0,0,1000000*SER_hh_emi_in!Y22/SER_hh_num_in!Y22)</f>
        <v>0</v>
      </c>
      <c r="DA22" s="156" t="s">
        <v>805</v>
      </c>
    </row>
    <row r="23" spans="1:105" ht="12" customHeight="1" x14ac:dyDescent="0.25">
      <c r="A23" s="131" t="s">
        <v>149</v>
      </c>
      <c r="B23" s="132"/>
      <c r="C23" s="132">
        <f>IF(SER_hh_emi_in!C23=0,0,1000000*SER_hh_emi_in!C23/SER_hh_num_in!C23)</f>
        <v>3019.5472724672959</v>
      </c>
      <c r="D23" s="132">
        <f>IF(SER_hh_emi_in!D23=0,0,1000000*SER_hh_emi_in!D23/SER_hh_num_in!D23)</f>
        <v>2975.1625736700275</v>
      </c>
      <c r="E23" s="132">
        <f>IF(SER_hh_emi_in!E23=0,0,1000000*SER_hh_emi_in!E23/SER_hh_num_in!E23)</f>
        <v>2828.2234014248334</v>
      </c>
      <c r="F23" s="132">
        <f>IF(SER_hh_emi_in!F23=0,0,1000000*SER_hh_emi_in!F23/SER_hh_num_in!F23)</f>
        <v>3185.8546649625096</v>
      </c>
      <c r="G23" s="132">
        <f>IF(SER_hh_emi_in!G23=0,0,1000000*SER_hh_emi_in!G23/SER_hh_num_in!G23)</f>
        <v>2868.3248027528693</v>
      </c>
      <c r="H23" s="132">
        <f>IF(SER_hh_emi_in!H23=0,0,1000000*SER_hh_emi_in!H23/SER_hh_num_in!H23)</f>
        <v>2792.5358341634874</v>
      </c>
      <c r="I23" s="132">
        <f>IF(SER_hh_emi_in!I23=0,0,1000000*SER_hh_emi_in!I23/SER_hh_num_in!I23)</f>
        <v>3354.4286776541667</v>
      </c>
      <c r="J23" s="132">
        <f>IF(SER_hh_emi_in!J23=0,0,1000000*SER_hh_emi_in!J23/SER_hh_num_in!J23)</f>
        <v>3312.1243997520874</v>
      </c>
      <c r="K23" s="132">
        <f>IF(SER_hh_emi_in!K23=0,0,1000000*SER_hh_emi_in!K23/SER_hh_num_in!K23)</f>
        <v>3092.1411727129444</v>
      </c>
      <c r="L23" s="132">
        <f>IF(SER_hh_emi_in!L23=0,0,1000000*SER_hh_emi_in!L23/SER_hh_num_in!L23)</f>
        <v>3047.0099931788614</v>
      </c>
      <c r="M23" s="132">
        <f>IF(SER_hh_emi_in!M23=0,0,1000000*SER_hh_emi_in!M23/SER_hh_num_in!M23)</f>
        <v>3027.7176730613214</v>
      </c>
      <c r="N23" s="132">
        <f>IF(SER_hh_emi_in!N23=0,0,1000000*SER_hh_emi_in!N23/SER_hh_num_in!N23)</f>
        <v>2958.2354137724242</v>
      </c>
      <c r="O23" s="132">
        <f>IF(SER_hh_emi_in!O23=0,0,1000000*SER_hh_emi_in!O23/SER_hh_num_in!O23)</f>
        <v>2890.05052997548</v>
      </c>
      <c r="P23" s="132">
        <f>IF(SER_hh_emi_in!P23=0,0,1000000*SER_hh_emi_in!P23/SER_hh_num_in!P23)</f>
        <v>2476.1845951946116</v>
      </c>
      <c r="Q23" s="132">
        <f>IF(SER_hh_emi_in!Q23=0,0,1000000*SER_hh_emi_in!Q23/SER_hh_num_in!Q23)</f>
        <v>2528.9434411775828</v>
      </c>
      <c r="R23" s="132">
        <f>IF(SER_hh_emi_in!R23=0,0,1000000*SER_hh_emi_in!R23/SER_hh_num_in!R23)</f>
        <v>2542.6723041157643</v>
      </c>
      <c r="S23" s="132">
        <f>IF(SER_hh_emi_in!S23=0,0,1000000*SER_hh_emi_in!S23/SER_hh_num_in!S23)</f>
        <v>2474.1572711048329</v>
      </c>
      <c r="T23" s="132">
        <f>IF(SER_hh_emi_in!T23=0,0,1000000*SER_hh_emi_in!T23/SER_hh_num_in!T23)</f>
        <v>2454.5861423522397</v>
      </c>
      <c r="U23" s="132">
        <f>IF(SER_hh_emi_in!U23=0,0,1000000*SER_hh_emi_in!U23/SER_hh_num_in!U23)</f>
        <v>2400.6922717260445</v>
      </c>
      <c r="V23" s="132">
        <f>IF(SER_hh_emi_in!V23=0,0,1000000*SER_hh_emi_in!V23/SER_hh_num_in!V23)</f>
        <v>2291.8003176846591</v>
      </c>
      <c r="W23" s="132">
        <f>IF(SER_hh_emi_in!W23=0,0,1000000*SER_hh_emi_in!W23/SER_hh_num_in!W23)</f>
        <v>2353.1696052480565</v>
      </c>
      <c r="X23" s="132">
        <f>IF(SER_hh_emi_in!X23=0,0,1000000*SER_hh_emi_in!X23/SER_hh_num_in!X23)</f>
        <v>2380.6895551701864</v>
      </c>
      <c r="Y23" s="132">
        <f>IF(SER_hh_emi_in!Y23=0,0,1000000*SER_hh_emi_in!Y23/SER_hh_num_in!Y23)</f>
        <v>2446.4133171405588</v>
      </c>
      <c r="DA23" s="156" t="s">
        <v>806</v>
      </c>
    </row>
    <row r="24" spans="1:105" ht="12" customHeight="1" x14ac:dyDescent="0.25">
      <c r="A24" s="131" t="s">
        <v>128</v>
      </c>
      <c r="B24" s="132"/>
      <c r="C24" s="132">
        <f>IF(SER_hh_emi_in!C24=0,0,1000000*SER_hh_emi_in!C24/SER_hh_num_in!C24)</f>
        <v>0</v>
      </c>
      <c r="D24" s="132">
        <f>IF(SER_hh_emi_in!D24=0,0,1000000*SER_hh_emi_in!D24/SER_hh_num_in!D24)</f>
        <v>0</v>
      </c>
      <c r="E24" s="132">
        <f>IF(SER_hh_emi_in!E24=0,0,1000000*SER_hh_emi_in!E24/SER_hh_num_in!E24)</f>
        <v>0</v>
      </c>
      <c r="F24" s="132">
        <f>IF(SER_hh_emi_in!F24=0,0,1000000*SER_hh_emi_in!F24/SER_hh_num_in!F24)</f>
        <v>0</v>
      </c>
      <c r="G24" s="132">
        <f>IF(SER_hh_emi_in!G24=0,0,1000000*SER_hh_emi_in!G24/SER_hh_num_in!G24)</f>
        <v>0</v>
      </c>
      <c r="H24" s="132">
        <f>IF(SER_hh_emi_in!H24=0,0,1000000*SER_hh_emi_in!H24/SER_hh_num_in!H24)</f>
        <v>0</v>
      </c>
      <c r="I24" s="132">
        <f>IF(SER_hh_emi_in!I24=0,0,1000000*SER_hh_emi_in!I24/SER_hh_num_in!I24)</f>
        <v>0</v>
      </c>
      <c r="J24" s="132">
        <f>IF(SER_hh_emi_in!J24=0,0,1000000*SER_hh_emi_in!J24/SER_hh_num_in!J24)</f>
        <v>0</v>
      </c>
      <c r="K24" s="132">
        <f>IF(SER_hh_emi_in!K24=0,0,1000000*SER_hh_emi_in!K24/SER_hh_num_in!K24)</f>
        <v>0</v>
      </c>
      <c r="L24" s="132">
        <f>IF(SER_hh_emi_in!L24=0,0,1000000*SER_hh_emi_in!L24/SER_hh_num_in!L24)</f>
        <v>0</v>
      </c>
      <c r="M24" s="132">
        <f>IF(SER_hh_emi_in!M24=0,0,1000000*SER_hh_emi_in!M24/SER_hh_num_in!M24)</f>
        <v>0</v>
      </c>
      <c r="N24" s="132">
        <f>IF(SER_hh_emi_in!N24=0,0,1000000*SER_hh_emi_in!N24/SER_hh_num_in!N24)</f>
        <v>0</v>
      </c>
      <c r="O24" s="132">
        <f>IF(SER_hh_emi_in!O24=0,0,1000000*SER_hh_emi_in!O24/SER_hh_num_in!O24)</f>
        <v>0</v>
      </c>
      <c r="P24" s="132">
        <f>IF(SER_hh_emi_in!P24=0,0,1000000*SER_hh_emi_in!P24/SER_hh_num_in!P24)</f>
        <v>0</v>
      </c>
      <c r="Q24" s="132">
        <f>IF(SER_hh_emi_in!Q24=0,0,1000000*SER_hh_emi_in!Q24/SER_hh_num_in!Q24)</f>
        <v>0</v>
      </c>
      <c r="R24" s="132">
        <f>IF(SER_hh_emi_in!R24=0,0,1000000*SER_hh_emi_in!R24/SER_hh_num_in!R24)</f>
        <v>0</v>
      </c>
      <c r="S24" s="132">
        <f>IF(SER_hh_emi_in!S24=0,0,1000000*SER_hh_emi_in!S24/SER_hh_num_in!S24)</f>
        <v>0</v>
      </c>
      <c r="T24" s="132">
        <f>IF(SER_hh_emi_in!T24=0,0,1000000*SER_hh_emi_in!T24/SER_hh_num_in!T24)</f>
        <v>0</v>
      </c>
      <c r="U24" s="132">
        <f>IF(SER_hh_emi_in!U24=0,0,1000000*SER_hh_emi_in!U24/SER_hh_num_in!U24)</f>
        <v>0</v>
      </c>
      <c r="V24" s="132">
        <f>IF(SER_hh_emi_in!V24=0,0,1000000*SER_hh_emi_in!V24/SER_hh_num_in!V24)</f>
        <v>0</v>
      </c>
      <c r="W24" s="132">
        <f>IF(SER_hh_emi_in!W24=0,0,1000000*SER_hh_emi_in!W24/SER_hh_num_in!W24)</f>
        <v>0</v>
      </c>
      <c r="X24" s="132">
        <f>IF(SER_hh_emi_in!X24=0,0,1000000*SER_hh_emi_in!X24/SER_hh_num_in!X24)</f>
        <v>0</v>
      </c>
      <c r="Y24" s="132">
        <f>IF(SER_hh_emi_in!Y24=0,0,1000000*SER_hh_emi_in!Y24/SER_hh_num_in!Y24)</f>
        <v>0</v>
      </c>
      <c r="DA24" s="156" t="s">
        <v>807</v>
      </c>
    </row>
    <row r="25" spans="1:105" ht="12" customHeight="1" x14ac:dyDescent="0.25">
      <c r="A25" s="131" t="s">
        <v>162</v>
      </c>
      <c r="B25" s="132"/>
      <c r="C25" s="132">
        <f>IF(SER_hh_emi_in!C25=0,0,1000000*SER_hh_emi_in!C25/SER_hh_num_in!C25)</f>
        <v>0</v>
      </c>
      <c r="D25" s="132">
        <f>IF(SER_hh_emi_in!D25=0,0,1000000*SER_hh_emi_in!D25/SER_hh_num_in!D25)</f>
        <v>0</v>
      </c>
      <c r="E25" s="132">
        <f>IF(SER_hh_emi_in!E25=0,0,1000000*SER_hh_emi_in!E25/SER_hh_num_in!E25)</f>
        <v>0</v>
      </c>
      <c r="F25" s="132">
        <f>IF(SER_hh_emi_in!F25=0,0,1000000*SER_hh_emi_in!F25/SER_hh_num_in!F25)</f>
        <v>0</v>
      </c>
      <c r="G25" s="132">
        <f>IF(SER_hh_emi_in!G25=0,0,1000000*SER_hh_emi_in!G25/SER_hh_num_in!G25)</f>
        <v>0</v>
      </c>
      <c r="H25" s="132">
        <f>IF(SER_hh_emi_in!H25=0,0,1000000*SER_hh_emi_in!H25/SER_hh_num_in!H25)</f>
        <v>0</v>
      </c>
      <c r="I25" s="132">
        <f>IF(SER_hh_emi_in!I25=0,0,1000000*SER_hh_emi_in!I25/SER_hh_num_in!I25)</f>
        <v>0</v>
      </c>
      <c r="J25" s="132">
        <f>IF(SER_hh_emi_in!J25=0,0,1000000*SER_hh_emi_in!J25/SER_hh_num_in!J25)</f>
        <v>0</v>
      </c>
      <c r="K25" s="132">
        <f>IF(SER_hh_emi_in!K25=0,0,1000000*SER_hh_emi_in!K25/SER_hh_num_in!K25)</f>
        <v>0</v>
      </c>
      <c r="L25" s="132">
        <f>IF(SER_hh_emi_in!L25=0,0,1000000*SER_hh_emi_in!L25/SER_hh_num_in!L25)</f>
        <v>0</v>
      </c>
      <c r="M25" s="132">
        <f>IF(SER_hh_emi_in!M25=0,0,1000000*SER_hh_emi_in!M25/SER_hh_num_in!M25)</f>
        <v>0</v>
      </c>
      <c r="N25" s="132">
        <f>IF(SER_hh_emi_in!N25=0,0,1000000*SER_hh_emi_in!N25/SER_hh_num_in!N25)</f>
        <v>0</v>
      </c>
      <c r="O25" s="132">
        <f>IF(SER_hh_emi_in!O25=0,0,1000000*SER_hh_emi_in!O25/SER_hh_num_in!O25)</f>
        <v>0</v>
      </c>
      <c r="P25" s="132">
        <f>IF(SER_hh_emi_in!P25=0,0,1000000*SER_hh_emi_in!P25/SER_hh_num_in!P25)</f>
        <v>0</v>
      </c>
      <c r="Q25" s="132">
        <f>IF(SER_hh_emi_in!Q25=0,0,1000000*SER_hh_emi_in!Q25/SER_hh_num_in!Q25)</f>
        <v>0</v>
      </c>
      <c r="R25" s="132">
        <f>IF(SER_hh_emi_in!R25=0,0,1000000*SER_hh_emi_in!R25/SER_hh_num_in!R25)</f>
        <v>0</v>
      </c>
      <c r="S25" s="132">
        <f>IF(SER_hh_emi_in!S25=0,0,1000000*SER_hh_emi_in!S25/SER_hh_num_in!S25)</f>
        <v>0</v>
      </c>
      <c r="T25" s="132">
        <f>IF(SER_hh_emi_in!T25=0,0,1000000*SER_hh_emi_in!T25/SER_hh_num_in!T25)</f>
        <v>0</v>
      </c>
      <c r="U25" s="132">
        <f>IF(SER_hh_emi_in!U25=0,0,1000000*SER_hh_emi_in!U25/SER_hh_num_in!U25)</f>
        <v>0</v>
      </c>
      <c r="V25" s="132">
        <f>IF(SER_hh_emi_in!V25=0,0,1000000*SER_hh_emi_in!V25/SER_hh_num_in!V25)</f>
        <v>0</v>
      </c>
      <c r="W25" s="132">
        <f>IF(SER_hh_emi_in!W25=0,0,1000000*SER_hh_emi_in!W25/SER_hh_num_in!W25)</f>
        <v>0</v>
      </c>
      <c r="X25" s="132">
        <f>IF(SER_hh_emi_in!X25=0,0,1000000*SER_hh_emi_in!X25/SER_hh_num_in!X25)</f>
        <v>0</v>
      </c>
      <c r="Y25" s="132">
        <f>IF(SER_hh_emi_in!Y25=0,0,1000000*SER_hh_emi_in!Y25/SER_hh_num_in!Y25)</f>
        <v>0</v>
      </c>
      <c r="DA25" s="156" t="s">
        <v>808</v>
      </c>
    </row>
    <row r="26" spans="1:105" ht="12" customHeight="1" x14ac:dyDescent="0.25">
      <c r="A26" s="131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X26" s="65">
        <f>IF(SER_hh_emi_in!X26=0,0,1000000*SER_hh_emi_in!X26/SER_hh_num_in!X26)</f>
        <v>0</v>
      </c>
      <c r="Y26" s="65">
        <f>IF(SER_hh_emi_in!Y26=0,0,1000000*SER_hh_emi_in!Y26/SER_hh_num_in!Y26)</f>
        <v>0</v>
      </c>
      <c r="DA26" s="109" t="s">
        <v>809</v>
      </c>
    </row>
    <row r="27" spans="1:105" ht="12" customHeight="1" x14ac:dyDescent="0.25">
      <c r="A27" s="144" t="s">
        <v>86</v>
      </c>
      <c r="B27" s="147"/>
      <c r="C27" s="145">
        <f>IF(SER_hh_emi_in!C27=0,0,1000000*SER_hh_emi_in!C27/SER_hh_num_in!C19)</f>
        <v>0</v>
      </c>
      <c r="D27" s="145">
        <f>IF(SER_hh_emi_in!D27=0,0,1000000*SER_hh_emi_in!D27/SER_hh_num_in!D19)</f>
        <v>0</v>
      </c>
      <c r="E27" s="145">
        <f>IF(SER_hh_emi_in!E27=0,0,1000000*SER_hh_emi_in!E27/SER_hh_num_in!E19)</f>
        <v>0</v>
      </c>
      <c r="F27" s="145">
        <f>IF(SER_hh_emi_in!F27=0,0,1000000*SER_hh_emi_in!F27/SER_hh_num_in!F19)</f>
        <v>0</v>
      </c>
      <c r="G27" s="145">
        <f>IF(SER_hh_emi_in!G27=0,0,1000000*SER_hh_emi_in!G27/SER_hh_num_in!G19)</f>
        <v>0</v>
      </c>
      <c r="H27" s="145">
        <f>IF(SER_hh_emi_in!H27=0,0,1000000*SER_hh_emi_in!H27/SER_hh_num_in!H19)</f>
        <v>0</v>
      </c>
      <c r="I27" s="145">
        <f>IF(SER_hh_emi_in!I27=0,0,1000000*SER_hh_emi_in!I27/SER_hh_num_in!I19)</f>
        <v>0</v>
      </c>
      <c r="J27" s="145">
        <f>IF(SER_hh_emi_in!J27=0,0,1000000*SER_hh_emi_in!J27/SER_hh_num_in!J19)</f>
        <v>0</v>
      </c>
      <c r="K27" s="145">
        <f>IF(SER_hh_emi_in!K27=0,0,1000000*SER_hh_emi_in!K27/SER_hh_num_in!K19)</f>
        <v>0</v>
      </c>
      <c r="L27" s="145">
        <f>IF(SER_hh_emi_in!L27=0,0,1000000*SER_hh_emi_in!L27/SER_hh_num_in!L19)</f>
        <v>0</v>
      </c>
      <c r="M27" s="145">
        <f>IF(SER_hh_emi_in!M27=0,0,1000000*SER_hh_emi_in!M27/SER_hh_num_in!M19)</f>
        <v>0</v>
      </c>
      <c r="N27" s="145">
        <f>IF(SER_hh_emi_in!N27=0,0,1000000*SER_hh_emi_in!N27/SER_hh_num_in!N19)</f>
        <v>0</v>
      </c>
      <c r="O27" s="145">
        <f>IF(SER_hh_emi_in!O27=0,0,1000000*SER_hh_emi_in!O27/SER_hh_num_in!O19)</f>
        <v>0</v>
      </c>
      <c r="P27" s="145">
        <f>IF(SER_hh_emi_in!P27=0,0,1000000*SER_hh_emi_in!P27/SER_hh_num_in!P19)</f>
        <v>0</v>
      </c>
      <c r="Q27" s="145">
        <f>IF(SER_hh_emi_in!Q27=0,0,1000000*SER_hh_emi_in!Q27/SER_hh_num_in!Q19)</f>
        <v>0</v>
      </c>
      <c r="R27" s="145">
        <f>IF(SER_hh_emi_in!R27=0,0,1000000*SER_hh_emi_in!R27/SER_hh_num_in!R19)</f>
        <v>0</v>
      </c>
      <c r="S27" s="145">
        <f>IF(SER_hh_emi_in!S27=0,0,1000000*SER_hh_emi_in!S27/SER_hh_num_in!S19)</f>
        <v>0</v>
      </c>
      <c r="T27" s="145">
        <f>IF(SER_hh_emi_in!T27=0,0,1000000*SER_hh_emi_in!T27/SER_hh_num_in!T19)</f>
        <v>0</v>
      </c>
      <c r="U27" s="145">
        <f>IF(SER_hh_emi_in!U27=0,0,1000000*SER_hh_emi_in!U27/SER_hh_num_in!U19)</f>
        <v>0</v>
      </c>
      <c r="V27" s="145">
        <f>IF(SER_hh_emi_in!V27=0,0,1000000*SER_hh_emi_in!V27/SER_hh_num_in!V19)</f>
        <v>0</v>
      </c>
      <c r="W27" s="145">
        <f>IF(SER_hh_emi_in!W27=0,0,1000000*SER_hh_emi_in!W27/SER_hh_num_in!W19)</f>
        <v>0</v>
      </c>
      <c r="X27" s="145">
        <f>IF(SER_hh_emi_in!X27=0,0,1000000*SER_hh_emi_in!X27/SER_hh_num_in!X19)</f>
        <v>0</v>
      </c>
      <c r="Y27" s="145">
        <f>IF(SER_hh_emi_in!Y27=0,0,1000000*SER_hh_emi_in!Y27/SER_hh_num_in!Y19)</f>
        <v>0</v>
      </c>
      <c r="DA27" s="158" t="s">
        <v>810</v>
      </c>
    </row>
    <row r="28" spans="1:105" ht="12" customHeight="1" x14ac:dyDescent="0.25">
      <c r="A28" s="78" t="s">
        <v>85</v>
      </c>
      <c r="B28" s="68"/>
      <c r="C28" s="146">
        <f>IF(SER_hh_emi_in!C27=0,0,1000000*SER_hh_emi_in!C27/SER_hh_num_in!C27)</f>
        <v>0</v>
      </c>
      <c r="D28" s="146">
        <f>IF(SER_hh_emi_in!D27=0,0,1000000*SER_hh_emi_in!D27/SER_hh_num_in!D27)</f>
        <v>0</v>
      </c>
      <c r="E28" s="146">
        <f>IF(SER_hh_emi_in!E27=0,0,1000000*SER_hh_emi_in!E27/SER_hh_num_in!E27)</f>
        <v>0</v>
      </c>
      <c r="F28" s="146">
        <f>IF(SER_hh_emi_in!F27=0,0,1000000*SER_hh_emi_in!F27/SER_hh_num_in!F27)</f>
        <v>0</v>
      </c>
      <c r="G28" s="146">
        <f>IF(SER_hh_emi_in!G27=0,0,1000000*SER_hh_emi_in!G27/SER_hh_num_in!G27)</f>
        <v>0</v>
      </c>
      <c r="H28" s="146">
        <f>IF(SER_hh_emi_in!H27=0,0,1000000*SER_hh_emi_in!H27/SER_hh_num_in!H27)</f>
        <v>0</v>
      </c>
      <c r="I28" s="146">
        <f>IF(SER_hh_emi_in!I27=0,0,1000000*SER_hh_emi_in!I27/SER_hh_num_in!I27)</f>
        <v>0</v>
      </c>
      <c r="J28" s="146">
        <f>IF(SER_hh_emi_in!J27=0,0,1000000*SER_hh_emi_in!J27/SER_hh_num_in!J27)</f>
        <v>0</v>
      </c>
      <c r="K28" s="146">
        <f>IF(SER_hh_emi_in!K27=0,0,1000000*SER_hh_emi_in!K27/SER_hh_num_in!K27)</f>
        <v>0</v>
      </c>
      <c r="L28" s="146">
        <f>IF(SER_hh_emi_in!L27=0,0,1000000*SER_hh_emi_in!L27/SER_hh_num_in!L27)</f>
        <v>0</v>
      </c>
      <c r="M28" s="146">
        <f>IF(SER_hh_emi_in!M27=0,0,1000000*SER_hh_emi_in!M27/SER_hh_num_in!M27)</f>
        <v>0</v>
      </c>
      <c r="N28" s="146">
        <f>IF(SER_hh_emi_in!N27=0,0,1000000*SER_hh_emi_in!N27/SER_hh_num_in!N27)</f>
        <v>0</v>
      </c>
      <c r="O28" s="146">
        <f>IF(SER_hh_emi_in!O27=0,0,1000000*SER_hh_emi_in!O27/SER_hh_num_in!O27)</f>
        <v>0</v>
      </c>
      <c r="P28" s="146">
        <f>IF(SER_hh_emi_in!P27=0,0,1000000*SER_hh_emi_in!P27/SER_hh_num_in!P27)</f>
        <v>0</v>
      </c>
      <c r="Q28" s="146">
        <f>IF(SER_hh_emi_in!Q27=0,0,1000000*SER_hh_emi_in!Q27/SER_hh_num_in!Q27)</f>
        <v>0</v>
      </c>
      <c r="R28" s="146">
        <f>IF(SER_hh_emi_in!R27=0,0,1000000*SER_hh_emi_in!R27/SER_hh_num_in!R27)</f>
        <v>0</v>
      </c>
      <c r="S28" s="146">
        <f>IF(SER_hh_emi_in!S27=0,0,1000000*SER_hh_emi_in!S27/SER_hh_num_in!S27)</f>
        <v>0</v>
      </c>
      <c r="T28" s="146">
        <f>IF(SER_hh_emi_in!T27=0,0,1000000*SER_hh_emi_in!T27/SER_hh_num_in!T27)</f>
        <v>0</v>
      </c>
      <c r="U28" s="146">
        <f>IF(SER_hh_emi_in!U27=0,0,1000000*SER_hh_emi_in!U27/SER_hh_num_in!U27)</f>
        <v>0</v>
      </c>
      <c r="V28" s="146">
        <f>IF(SER_hh_emi_in!V27=0,0,1000000*SER_hh_emi_in!V27/SER_hh_num_in!V27)</f>
        <v>0</v>
      </c>
      <c r="W28" s="146">
        <f>IF(SER_hh_emi_in!W27=0,0,1000000*SER_hh_emi_in!W27/SER_hh_num_in!W27)</f>
        <v>0</v>
      </c>
      <c r="X28" s="146">
        <f>IF(SER_hh_emi_in!X27=0,0,1000000*SER_hh_emi_in!X27/SER_hh_num_in!X27)</f>
        <v>0</v>
      </c>
      <c r="Y28" s="146">
        <f>IF(SER_hh_emi_in!Y27=0,0,1000000*SER_hh_emi_in!Y27/SER_hh_num_in!Y27)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IF(SER_hh_emi_in!C29=0,0,1000000*SER_hh_emi_in!C29/SER_hh_num_in!C29)</f>
        <v>807.67567840278923</v>
      </c>
      <c r="D29" s="130">
        <f>IF(SER_hh_emi_in!D29=0,0,1000000*SER_hh_emi_in!D29/SER_hh_num_in!D29)</f>
        <v>831.40503458638113</v>
      </c>
      <c r="E29" s="130">
        <f>IF(SER_hh_emi_in!E29=0,0,1000000*SER_hh_emi_in!E29/SER_hh_num_in!E29)</f>
        <v>564.09580523727834</v>
      </c>
      <c r="F29" s="130">
        <f>IF(SER_hh_emi_in!F29=0,0,1000000*SER_hh_emi_in!F29/SER_hh_num_in!F29)</f>
        <v>374.01967128118798</v>
      </c>
      <c r="G29" s="130">
        <f>IF(SER_hh_emi_in!G29=0,0,1000000*SER_hh_emi_in!G29/SER_hh_num_in!G29)</f>
        <v>581.77015455098478</v>
      </c>
      <c r="H29" s="130">
        <f>IF(SER_hh_emi_in!H29=0,0,1000000*SER_hh_emi_in!H29/SER_hh_num_in!H29)</f>
        <v>845.53340103781534</v>
      </c>
      <c r="I29" s="130">
        <f>IF(SER_hh_emi_in!I29=0,0,1000000*SER_hh_emi_in!I29/SER_hh_num_in!I29)</f>
        <v>909.33034450965215</v>
      </c>
      <c r="J29" s="130">
        <f>IF(SER_hh_emi_in!J29=0,0,1000000*SER_hh_emi_in!J29/SER_hh_num_in!J29)</f>
        <v>951.2145088963199</v>
      </c>
      <c r="K29" s="130">
        <f>IF(SER_hh_emi_in!K29=0,0,1000000*SER_hh_emi_in!K29/SER_hh_num_in!K29)</f>
        <v>758.31262659024344</v>
      </c>
      <c r="L29" s="130">
        <f>IF(SER_hh_emi_in!L29=0,0,1000000*SER_hh_emi_in!L29/SER_hh_num_in!L29)</f>
        <v>200.64831864399864</v>
      </c>
      <c r="M29" s="130">
        <f>IF(SER_hh_emi_in!M29=0,0,1000000*SER_hh_emi_in!M29/SER_hh_num_in!M29)</f>
        <v>0</v>
      </c>
      <c r="N29" s="130">
        <f>IF(SER_hh_emi_in!N29=0,0,1000000*SER_hh_emi_in!N29/SER_hh_num_in!N29)</f>
        <v>0</v>
      </c>
      <c r="O29" s="130">
        <f>IF(SER_hh_emi_in!O29=0,0,1000000*SER_hh_emi_in!O29/SER_hh_num_in!O29)</f>
        <v>0</v>
      </c>
      <c r="P29" s="130">
        <f>IF(SER_hh_emi_in!P29=0,0,1000000*SER_hh_emi_in!P29/SER_hh_num_in!P29)</f>
        <v>163.38401043783097</v>
      </c>
      <c r="Q29" s="130">
        <f>IF(SER_hh_emi_in!Q29=0,0,1000000*SER_hh_emi_in!Q29/SER_hh_num_in!Q29)</f>
        <v>612.59928726045587</v>
      </c>
      <c r="R29" s="130">
        <f>IF(SER_hh_emi_in!R29=0,0,1000000*SER_hh_emi_in!R29/SER_hh_num_in!R29)</f>
        <v>671.05777318452988</v>
      </c>
      <c r="S29" s="130">
        <f>IF(SER_hh_emi_in!S29=0,0,1000000*SER_hh_emi_in!S29/SER_hh_num_in!S29)</f>
        <v>403.45751406569741</v>
      </c>
      <c r="T29" s="130">
        <f>IF(SER_hh_emi_in!T29=0,0,1000000*SER_hh_emi_in!T29/SER_hh_num_in!T29)</f>
        <v>298.23992747234564</v>
      </c>
      <c r="U29" s="130">
        <f>IF(SER_hh_emi_in!U29=0,0,1000000*SER_hh_emi_in!U29/SER_hh_num_in!U29)</f>
        <v>0</v>
      </c>
      <c r="V29" s="130">
        <f>IF(SER_hh_emi_in!V29=0,0,1000000*SER_hh_emi_in!V29/SER_hh_num_in!V29)</f>
        <v>0</v>
      </c>
      <c r="W29" s="130">
        <f>IF(SER_hh_emi_in!W29=0,0,1000000*SER_hh_emi_in!W29/SER_hh_num_in!W29)</f>
        <v>64.400872906195943</v>
      </c>
      <c r="X29" s="130">
        <f>IF(SER_hh_emi_in!X29=0,0,1000000*SER_hh_emi_in!X29/SER_hh_num_in!X29)</f>
        <v>465.29449873894225</v>
      </c>
      <c r="Y29" s="130">
        <f>IF(SER_hh_emi_in!Y29=0,0,1000000*SER_hh_emi_in!Y29/SER_hh_num_in!Y29)</f>
        <v>682.44687229313024</v>
      </c>
      <c r="DA29" s="155" t="s">
        <v>811</v>
      </c>
    </row>
    <row r="30" spans="1:105" s="2" customFormat="1" ht="12" customHeight="1" x14ac:dyDescent="0.25">
      <c r="A30" s="131" t="s">
        <v>52</v>
      </c>
      <c r="B30" s="132"/>
      <c r="C30" s="132">
        <f>IF(SER_hh_emi_in!C30=0,0,1000000*SER_hh_emi_in!C30/SER_hh_num_in!C30)</f>
        <v>0</v>
      </c>
      <c r="D30" s="132">
        <f>IF(SER_hh_emi_in!D30=0,0,1000000*SER_hh_emi_in!D30/SER_hh_num_in!D30)</f>
        <v>0</v>
      </c>
      <c r="E30" s="132">
        <f>IF(SER_hh_emi_in!E30=0,0,1000000*SER_hh_emi_in!E30/SER_hh_num_in!E30)</f>
        <v>0</v>
      </c>
      <c r="F30" s="132">
        <f>IF(SER_hh_emi_in!F30=0,0,1000000*SER_hh_emi_in!F30/SER_hh_num_in!F30)</f>
        <v>0</v>
      </c>
      <c r="G30" s="132">
        <f>IF(SER_hh_emi_in!G30=0,0,1000000*SER_hh_emi_in!G30/SER_hh_num_in!G30)</f>
        <v>0</v>
      </c>
      <c r="H30" s="132">
        <f>IF(SER_hh_emi_in!H30=0,0,1000000*SER_hh_emi_in!H30/SER_hh_num_in!H30)</f>
        <v>0</v>
      </c>
      <c r="I30" s="132">
        <f>IF(SER_hh_emi_in!I30=0,0,1000000*SER_hh_emi_in!I30/SER_hh_num_in!I30)</f>
        <v>0</v>
      </c>
      <c r="J30" s="132">
        <f>IF(SER_hh_emi_in!J30=0,0,1000000*SER_hh_emi_in!J30/SER_hh_num_in!J30)</f>
        <v>0</v>
      </c>
      <c r="K30" s="132">
        <f>IF(SER_hh_emi_in!K30=0,0,1000000*SER_hh_emi_in!K30/SER_hh_num_in!K30)</f>
        <v>0</v>
      </c>
      <c r="L30" s="132">
        <f>IF(SER_hh_emi_in!L30=0,0,1000000*SER_hh_emi_in!L30/SER_hh_num_in!L30)</f>
        <v>0</v>
      </c>
      <c r="M30" s="132">
        <f>IF(SER_hh_emi_in!M30=0,0,1000000*SER_hh_emi_in!M30/SER_hh_num_in!M30)</f>
        <v>0</v>
      </c>
      <c r="N30" s="132">
        <f>IF(SER_hh_emi_in!N30=0,0,1000000*SER_hh_emi_in!N30/SER_hh_num_in!N30)</f>
        <v>0</v>
      </c>
      <c r="O30" s="132">
        <f>IF(SER_hh_emi_in!O30=0,0,1000000*SER_hh_emi_in!O30/SER_hh_num_in!O30)</f>
        <v>0</v>
      </c>
      <c r="P30" s="132">
        <f>IF(SER_hh_emi_in!P30=0,0,1000000*SER_hh_emi_in!P30/SER_hh_num_in!P30)</f>
        <v>0</v>
      </c>
      <c r="Q30" s="132">
        <f>IF(SER_hh_emi_in!Q30=0,0,1000000*SER_hh_emi_in!Q30/SER_hh_num_in!Q30)</f>
        <v>0</v>
      </c>
      <c r="R30" s="132">
        <f>IF(SER_hh_emi_in!R30=0,0,1000000*SER_hh_emi_in!R30/SER_hh_num_in!R30)</f>
        <v>0</v>
      </c>
      <c r="S30" s="132">
        <f>IF(SER_hh_emi_in!S30=0,0,1000000*SER_hh_emi_in!S30/SER_hh_num_in!S30)</f>
        <v>0</v>
      </c>
      <c r="T30" s="132">
        <f>IF(SER_hh_emi_in!T30=0,0,1000000*SER_hh_emi_in!T30/SER_hh_num_in!T30)</f>
        <v>0</v>
      </c>
      <c r="U30" s="132">
        <f>IF(SER_hh_emi_in!U30=0,0,1000000*SER_hh_emi_in!U30/SER_hh_num_in!U30)</f>
        <v>0</v>
      </c>
      <c r="V30" s="132">
        <f>IF(SER_hh_emi_in!V30=0,0,1000000*SER_hh_emi_in!V30/SER_hh_num_in!V30)</f>
        <v>0</v>
      </c>
      <c r="W30" s="132">
        <f>IF(SER_hh_emi_in!W30=0,0,1000000*SER_hh_emi_in!W30/SER_hh_num_in!W30)</f>
        <v>0</v>
      </c>
      <c r="X30" s="132">
        <f>IF(SER_hh_emi_in!X30=0,0,1000000*SER_hh_emi_in!X30/SER_hh_num_in!X30)</f>
        <v>0</v>
      </c>
      <c r="Y30" s="132">
        <f>IF(SER_hh_emi_in!Y30=0,0,1000000*SER_hh_emi_in!Y30/SER_hh_num_in!Y30)</f>
        <v>0</v>
      </c>
      <c r="DA30" s="156" t="s">
        <v>812</v>
      </c>
    </row>
    <row r="31" spans="1:105" ht="12" customHeight="1" x14ac:dyDescent="0.25">
      <c r="A31" s="131" t="s">
        <v>149</v>
      </c>
      <c r="B31" s="132"/>
      <c r="C31" s="132">
        <f>IF(SER_hh_emi_in!C31=0,0,1000000*SER_hh_emi_in!C31/SER_hh_num_in!C31)</f>
        <v>3210.9873622241312</v>
      </c>
      <c r="D31" s="132">
        <f>IF(SER_hh_emi_in!D31=0,0,1000000*SER_hh_emi_in!D31/SER_hh_num_in!D31)</f>
        <v>3311.5524226649718</v>
      </c>
      <c r="E31" s="132">
        <f>IF(SER_hh_emi_in!E31=0,0,1000000*SER_hh_emi_in!E31/SER_hh_num_in!E31)</f>
        <v>3304.4816262466466</v>
      </c>
      <c r="F31" s="132">
        <f>IF(SER_hh_emi_in!F31=0,0,1000000*SER_hh_emi_in!F31/SER_hh_num_in!F31)</f>
        <v>3101.0769119836291</v>
      </c>
      <c r="G31" s="132">
        <f>IF(SER_hh_emi_in!G31=0,0,1000000*SER_hh_emi_in!G31/SER_hh_num_in!G31)</f>
        <v>3173.6034676999989</v>
      </c>
      <c r="H31" s="132">
        <f>IF(SER_hh_emi_in!H31=0,0,1000000*SER_hh_emi_in!H31/SER_hh_num_in!H31)</f>
        <v>3075.8015109529283</v>
      </c>
      <c r="I31" s="132">
        <f>IF(SER_hh_emi_in!I31=0,0,1000000*SER_hh_emi_in!I31/SER_hh_num_in!I31)</f>
        <v>3478.12094607875</v>
      </c>
      <c r="J31" s="132">
        <f>IF(SER_hh_emi_in!J31=0,0,1000000*SER_hh_emi_in!J31/SER_hh_num_in!J31)</f>
        <v>3433.6243212650115</v>
      </c>
      <c r="K31" s="132">
        <f>IF(SER_hh_emi_in!K31=0,0,1000000*SER_hh_emi_in!K31/SER_hh_num_in!K31)</f>
        <v>3320.8401910237494</v>
      </c>
      <c r="L31" s="132">
        <f>IF(SER_hh_emi_in!L31=0,0,1000000*SER_hh_emi_in!L31/SER_hh_num_in!L31)</f>
        <v>3218.8751305824226</v>
      </c>
      <c r="M31" s="132">
        <f>IF(SER_hh_emi_in!M31=0,0,1000000*SER_hh_emi_in!M31/SER_hh_num_in!M31)</f>
        <v>0</v>
      </c>
      <c r="N31" s="132">
        <f>IF(SER_hh_emi_in!N31=0,0,1000000*SER_hh_emi_in!N31/SER_hh_num_in!N31)</f>
        <v>0</v>
      </c>
      <c r="O31" s="132">
        <f>IF(SER_hh_emi_in!O31=0,0,1000000*SER_hh_emi_in!O31/SER_hh_num_in!O31)</f>
        <v>0</v>
      </c>
      <c r="P31" s="132">
        <f>IF(SER_hh_emi_in!P31=0,0,1000000*SER_hh_emi_in!P31/SER_hh_num_in!P31)</f>
        <v>2832.9602719262998</v>
      </c>
      <c r="Q31" s="132">
        <f>IF(SER_hh_emi_in!Q31=0,0,1000000*SER_hh_emi_in!Q31/SER_hh_num_in!Q31)</f>
        <v>3182.1715661461617</v>
      </c>
      <c r="R31" s="132">
        <f>IF(SER_hh_emi_in!R31=0,0,1000000*SER_hh_emi_in!R31/SER_hh_num_in!R31)</f>
        <v>3271.5042007242923</v>
      </c>
      <c r="S31" s="132">
        <f>IF(SER_hh_emi_in!S31=0,0,1000000*SER_hh_emi_in!S31/SER_hh_num_in!S31)</f>
        <v>3176.2343605205351</v>
      </c>
      <c r="T31" s="132">
        <f>IF(SER_hh_emi_in!T31=0,0,1000000*SER_hh_emi_in!T31/SER_hh_num_in!T31)</f>
        <v>3650.4379085671217</v>
      </c>
      <c r="U31" s="132">
        <f>IF(SER_hh_emi_in!U31=0,0,1000000*SER_hh_emi_in!U31/SER_hh_num_in!U31)</f>
        <v>0</v>
      </c>
      <c r="V31" s="132">
        <f>IF(SER_hh_emi_in!V31=0,0,1000000*SER_hh_emi_in!V31/SER_hh_num_in!V31)</f>
        <v>0</v>
      </c>
      <c r="W31" s="132">
        <f>IF(SER_hh_emi_in!W31=0,0,1000000*SER_hh_emi_in!W31/SER_hh_num_in!W31)</f>
        <v>2988.8733453152754</v>
      </c>
      <c r="X31" s="132">
        <f>IF(SER_hh_emi_in!X31=0,0,1000000*SER_hh_emi_in!X31/SER_hh_num_in!X31)</f>
        <v>3453.8958797983132</v>
      </c>
      <c r="Y31" s="132">
        <f>IF(SER_hh_emi_in!Y31=0,0,1000000*SER_hh_emi_in!Y31/SER_hh_num_in!Y31)</f>
        <v>3829.5159801530453</v>
      </c>
      <c r="DA31" s="156" t="s">
        <v>813</v>
      </c>
    </row>
    <row r="32" spans="1:105" ht="12" customHeight="1" x14ac:dyDescent="0.25">
      <c r="A32" s="131" t="s">
        <v>128</v>
      </c>
      <c r="B32" s="132"/>
      <c r="C32" s="132">
        <f>IF(SER_hh_emi_in!C32=0,0,1000000*SER_hh_emi_in!C32/SER_hh_num_in!C32)</f>
        <v>0</v>
      </c>
      <c r="D32" s="132">
        <f>IF(SER_hh_emi_in!D32=0,0,1000000*SER_hh_emi_in!D32/SER_hh_num_in!D32)</f>
        <v>0</v>
      </c>
      <c r="E32" s="132">
        <f>IF(SER_hh_emi_in!E32=0,0,1000000*SER_hh_emi_in!E32/SER_hh_num_in!E32)</f>
        <v>0</v>
      </c>
      <c r="F32" s="132">
        <f>IF(SER_hh_emi_in!F32=0,0,1000000*SER_hh_emi_in!F32/SER_hh_num_in!F32)</f>
        <v>0</v>
      </c>
      <c r="G32" s="132">
        <f>IF(SER_hh_emi_in!G32=0,0,1000000*SER_hh_emi_in!G32/SER_hh_num_in!G32)</f>
        <v>0</v>
      </c>
      <c r="H32" s="132">
        <f>IF(SER_hh_emi_in!H32=0,0,1000000*SER_hh_emi_in!H32/SER_hh_num_in!H32)</f>
        <v>0</v>
      </c>
      <c r="I32" s="132">
        <f>IF(SER_hh_emi_in!I32=0,0,1000000*SER_hh_emi_in!I32/SER_hh_num_in!I32)</f>
        <v>0</v>
      </c>
      <c r="J32" s="132">
        <f>IF(SER_hh_emi_in!J32=0,0,1000000*SER_hh_emi_in!J32/SER_hh_num_in!J32)</f>
        <v>0</v>
      </c>
      <c r="K32" s="132">
        <f>IF(SER_hh_emi_in!K32=0,0,1000000*SER_hh_emi_in!K32/SER_hh_num_in!K32)</f>
        <v>0</v>
      </c>
      <c r="L32" s="132">
        <f>IF(SER_hh_emi_in!L32=0,0,1000000*SER_hh_emi_in!L32/SER_hh_num_in!L32)</f>
        <v>0</v>
      </c>
      <c r="M32" s="132">
        <f>IF(SER_hh_emi_in!M32=0,0,1000000*SER_hh_emi_in!M32/SER_hh_num_in!M32)</f>
        <v>0</v>
      </c>
      <c r="N32" s="132">
        <f>IF(SER_hh_emi_in!N32=0,0,1000000*SER_hh_emi_in!N32/SER_hh_num_in!N32)</f>
        <v>0</v>
      </c>
      <c r="O32" s="132">
        <f>IF(SER_hh_emi_in!O32=0,0,1000000*SER_hh_emi_in!O32/SER_hh_num_in!O32)</f>
        <v>0</v>
      </c>
      <c r="P32" s="132">
        <f>IF(SER_hh_emi_in!P32=0,0,1000000*SER_hh_emi_in!P32/SER_hh_num_in!P32)</f>
        <v>0</v>
      </c>
      <c r="Q32" s="132">
        <f>IF(SER_hh_emi_in!Q32=0,0,1000000*SER_hh_emi_in!Q32/SER_hh_num_in!Q32)</f>
        <v>0</v>
      </c>
      <c r="R32" s="132">
        <f>IF(SER_hh_emi_in!R32=0,0,1000000*SER_hh_emi_in!R32/SER_hh_num_in!R32)</f>
        <v>0</v>
      </c>
      <c r="S32" s="132">
        <f>IF(SER_hh_emi_in!S32=0,0,1000000*SER_hh_emi_in!S32/SER_hh_num_in!S32)</f>
        <v>0</v>
      </c>
      <c r="T32" s="132">
        <f>IF(SER_hh_emi_in!T32=0,0,1000000*SER_hh_emi_in!T32/SER_hh_num_in!T32)</f>
        <v>0</v>
      </c>
      <c r="U32" s="132">
        <f>IF(SER_hh_emi_in!U32=0,0,1000000*SER_hh_emi_in!U32/SER_hh_num_in!U32)</f>
        <v>0</v>
      </c>
      <c r="V32" s="132">
        <f>IF(SER_hh_emi_in!V32=0,0,1000000*SER_hh_emi_in!V32/SER_hh_num_in!V32)</f>
        <v>0</v>
      </c>
      <c r="W32" s="132">
        <f>IF(SER_hh_emi_in!W32=0,0,1000000*SER_hh_emi_in!W32/SER_hh_num_in!W32)</f>
        <v>0</v>
      </c>
      <c r="X32" s="132">
        <f>IF(SER_hh_emi_in!X32=0,0,1000000*SER_hh_emi_in!X32/SER_hh_num_in!X32)</f>
        <v>0</v>
      </c>
      <c r="Y32" s="132">
        <f>IF(SER_hh_emi_in!Y32=0,0,1000000*SER_hh_emi_in!Y32/SER_hh_num_in!Y32)</f>
        <v>0</v>
      </c>
      <c r="DA32" s="156" t="s">
        <v>814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X33" s="68">
        <f>IF(SER_hh_emi_in!X33=0,0,1000000*SER_hh_emi_in!X33/SER_hh_num_in!X33)</f>
        <v>0</v>
      </c>
      <c r="Y33" s="68">
        <f>IF(SER_hh_emi_in!Y33=0,0,1000000*SER_hh_emi_in!Y33/SER_hh_num_in!Y33)</f>
        <v>0</v>
      </c>
      <c r="DA33" s="111" t="s">
        <v>815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/>
      <c r="C3" s="125">
        <f>IF(SER_hh_fech_in!C3=0,0,SER_hh_fech_in!C3/SER_summary!C$27)</f>
        <v>145.02919716348322</v>
      </c>
      <c r="D3" s="125">
        <f>IF(SER_hh_fech_in!D3=0,0,SER_hh_fech_in!D3/SER_summary!D$27)</f>
        <v>141.52272388879101</v>
      </c>
      <c r="E3" s="125">
        <f>IF(SER_hh_fech_in!E3=0,0,SER_hh_fech_in!E3/SER_summary!E$27)</f>
        <v>136.68205996042383</v>
      </c>
      <c r="F3" s="125">
        <f>IF(SER_hh_fech_in!F3=0,0,SER_hh_fech_in!F3/SER_summary!F$27)</f>
        <v>137.79967878620599</v>
      </c>
      <c r="G3" s="125">
        <f>IF(SER_hh_fech_in!G3=0,0,SER_hh_fech_in!G3/SER_summary!G$27)</f>
        <v>131.87416416481071</v>
      </c>
      <c r="H3" s="125">
        <f>IF(SER_hh_fech_in!H3=0,0,SER_hh_fech_in!H3/SER_summary!H$27)</f>
        <v>138.98339648316144</v>
      </c>
      <c r="I3" s="125">
        <f>IF(SER_hh_fech_in!I3=0,0,SER_hh_fech_in!I3/SER_summary!I$27)</f>
        <v>124.58299604000048</v>
      </c>
      <c r="J3" s="125">
        <f>IF(SER_hh_fech_in!J3=0,0,SER_hh_fech_in!J3/SER_summary!J$27)</f>
        <v>111.00046943717777</v>
      </c>
      <c r="K3" s="125">
        <f>IF(SER_hh_fech_in!K3=0,0,SER_hh_fech_in!K3/SER_summary!K$27)</f>
        <v>115.21519988667532</v>
      </c>
      <c r="L3" s="125">
        <f>IF(SER_hh_fech_in!L3=0,0,SER_hh_fech_in!L3/SER_summary!L$27)</f>
        <v>112.38268671532796</v>
      </c>
      <c r="M3" s="125">
        <f>IF(SER_hh_fech_in!M3=0,0,SER_hh_fech_in!M3/SER_summary!M$27)</f>
        <v>99.863824497427075</v>
      </c>
      <c r="N3" s="125">
        <f>IF(SER_hh_fech_in!N3=0,0,SER_hh_fech_in!N3/SER_summary!N$27)</f>
        <v>105.64699872791272</v>
      </c>
      <c r="O3" s="125">
        <f>IF(SER_hh_fech_in!O3=0,0,SER_hh_fech_in!O3/SER_summary!O$27)</f>
        <v>97.441886275162133</v>
      </c>
      <c r="P3" s="125">
        <f>IF(SER_hh_fech_in!P3=0,0,SER_hh_fech_in!P3/SER_summary!P$27)</f>
        <v>85.016066832801897</v>
      </c>
      <c r="Q3" s="125">
        <f>IF(SER_hh_fech_in!Q3=0,0,SER_hh_fech_in!Q3/SER_summary!Q$27)</f>
        <v>84.864599172280464</v>
      </c>
      <c r="R3" s="125">
        <f>IF(SER_hh_fech_in!R3=0,0,SER_hh_fech_in!R3/SER_summary!R$27)</f>
        <v>85.04877723483132</v>
      </c>
      <c r="S3" s="125">
        <f>IF(SER_hh_fech_in!S3=0,0,SER_hh_fech_in!S3/SER_summary!S$27)</f>
        <v>86.320268065647582</v>
      </c>
      <c r="T3" s="125">
        <f>IF(SER_hh_fech_in!T3=0,0,SER_hh_fech_in!T3/SER_summary!T$27)</f>
        <v>88.536878129277454</v>
      </c>
      <c r="U3" s="125">
        <f>IF(SER_hh_fech_in!U3=0,0,SER_hh_fech_in!U3/SER_summary!U$27)</f>
        <v>83.422510357281084</v>
      </c>
      <c r="V3" s="125">
        <f>IF(SER_hh_fech_in!V3=0,0,SER_hh_fech_in!V3/SER_summary!V$27)</f>
        <v>71.35026377143123</v>
      </c>
      <c r="W3" s="125">
        <f>IF(SER_hh_fech_in!W3=0,0,SER_hh_fech_in!W3/SER_summary!W$27)</f>
        <v>81.749381364828935</v>
      </c>
      <c r="X3" s="125">
        <f>IF(SER_hh_fech_in!X3=0,0,SER_hh_fech_in!X3/SER_summary!X$27)</f>
        <v>77.556528036779284</v>
      </c>
      <c r="Y3" s="125">
        <f>IF(SER_hh_fech_in!Y3=0,0,SER_hh_fech_in!Y3/SER_summary!Y$27)</f>
        <v>80.749117947442912</v>
      </c>
      <c r="DA3" s="154" t="s">
        <v>817</v>
      </c>
    </row>
    <row r="4" spans="1:105" ht="12.95" customHeight="1" x14ac:dyDescent="0.25">
      <c r="A4" s="129" t="s">
        <v>32</v>
      </c>
      <c r="B4" s="130"/>
      <c r="C4" s="130">
        <f>IF(SER_hh_fech_in!C4=0,0,SER_hh_fech_in!C4/SER_summary!C$27)</f>
        <v>114.90376703295388</v>
      </c>
      <c r="D4" s="130">
        <f>IF(SER_hh_fech_in!D4=0,0,SER_hh_fech_in!D4/SER_summary!D$27)</f>
        <v>111.16082569950083</v>
      </c>
      <c r="E4" s="130">
        <f>IF(SER_hh_fech_in!E4=0,0,SER_hh_fech_in!E4/SER_summary!E$27)</f>
        <v>108.05408553630531</v>
      </c>
      <c r="F4" s="130">
        <f>IF(SER_hh_fech_in!F4=0,0,SER_hh_fech_in!F4/SER_summary!F$27)</f>
        <v>108.49224941087853</v>
      </c>
      <c r="G4" s="130">
        <f>IF(SER_hh_fech_in!G4=0,0,SER_hh_fech_in!G4/SER_summary!G$27)</f>
        <v>101.09711234620828</v>
      </c>
      <c r="H4" s="130">
        <f>IF(SER_hh_fech_in!H4=0,0,SER_hh_fech_in!H4/SER_summary!H$27)</f>
        <v>106.33130613805147</v>
      </c>
      <c r="I4" s="130">
        <f>IF(SER_hh_fech_in!I4=0,0,SER_hh_fech_in!I4/SER_summary!I$27)</f>
        <v>93.954312185594631</v>
      </c>
      <c r="J4" s="130">
        <f>IF(SER_hh_fech_in!J4=0,0,SER_hh_fech_in!J4/SER_summary!J$27)</f>
        <v>79.874996900474912</v>
      </c>
      <c r="K4" s="130">
        <f>IF(SER_hh_fech_in!K4=0,0,SER_hh_fech_in!K4/SER_summary!K$27)</f>
        <v>80.144324660368127</v>
      </c>
      <c r="L4" s="130">
        <f>IF(SER_hh_fech_in!L4=0,0,SER_hh_fech_in!L4/SER_summary!L$27)</f>
        <v>78.546554656481121</v>
      </c>
      <c r="M4" s="130">
        <f>IF(SER_hh_fech_in!M4=0,0,SER_hh_fech_in!M4/SER_summary!M$27)</f>
        <v>69.266525575084117</v>
      </c>
      <c r="N4" s="130">
        <f>IF(SER_hh_fech_in!N4=0,0,SER_hh_fech_in!N4/SER_summary!N$27)</f>
        <v>72.02893295530609</v>
      </c>
      <c r="O4" s="130">
        <f>IF(SER_hh_fech_in!O4=0,0,SER_hh_fech_in!O4/SER_summary!O$27)</f>
        <v>64.740536763667706</v>
      </c>
      <c r="P4" s="130">
        <f>IF(SER_hh_fech_in!P4=0,0,SER_hh_fech_in!P4/SER_summary!P$27)</f>
        <v>53.368019897253276</v>
      </c>
      <c r="Q4" s="130">
        <f>IF(SER_hh_fech_in!Q4=0,0,SER_hh_fech_in!Q4/SER_summary!Q$27)</f>
        <v>51.932259071699107</v>
      </c>
      <c r="R4" s="130">
        <f>IF(SER_hh_fech_in!R4=0,0,SER_hh_fech_in!R4/SER_summary!R$27)</f>
        <v>52.422442997642015</v>
      </c>
      <c r="S4" s="130">
        <f>IF(SER_hh_fech_in!S4=0,0,SER_hh_fech_in!S4/SER_summary!S$27)</f>
        <v>53.663104654975776</v>
      </c>
      <c r="T4" s="130">
        <f>IF(SER_hh_fech_in!T4=0,0,SER_hh_fech_in!T4/SER_summary!T$27)</f>
        <v>56.27270145816027</v>
      </c>
      <c r="U4" s="130">
        <f>IF(SER_hh_fech_in!U4=0,0,SER_hh_fech_in!U4/SER_summary!U$27)</f>
        <v>50.490720992779529</v>
      </c>
      <c r="V4" s="130">
        <f>IF(SER_hh_fech_in!V4=0,0,SER_hh_fech_in!V4/SER_summary!V$27)</f>
        <v>41.247744985722854</v>
      </c>
      <c r="W4" s="130">
        <f>IF(SER_hh_fech_in!W4=0,0,SER_hh_fech_in!W4/SER_summary!W$27)</f>
        <v>48.790439079648898</v>
      </c>
      <c r="X4" s="130">
        <f>IF(SER_hh_fech_in!X4=0,0,SER_hh_fech_in!X4/SER_summary!X$27)</f>
        <v>44.985026274903504</v>
      </c>
      <c r="Y4" s="130">
        <f>IF(SER_hh_fech_in!Y4=0,0,SER_hh_fech_in!Y4/SER_summary!Y$27)</f>
        <v>47.339514545687223</v>
      </c>
      <c r="DA4" s="155" t="s">
        <v>818</v>
      </c>
    </row>
    <row r="5" spans="1:105" ht="12" customHeight="1" x14ac:dyDescent="0.25">
      <c r="A5" s="131" t="s">
        <v>29</v>
      </c>
      <c r="B5" s="132"/>
      <c r="C5" s="132">
        <f>IF(SER_hh_fech_in!C5=0,0,SER_hh_fech_in!C5/SER_summary!C$27)</f>
        <v>123.82091802579826</v>
      </c>
      <c r="D5" s="132">
        <f>IF(SER_hh_fech_in!D5=0,0,SER_hh_fech_in!D5/SER_summary!D$27)</f>
        <v>133.12985776296736</v>
      </c>
      <c r="E5" s="132">
        <f>IF(SER_hh_fech_in!E5=0,0,SER_hh_fech_in!E5/SER_summary!E$27)</f>
        <v>125.1167498429036</v>
      </c>
      <c r="F5" s="132">
        <f>IF(SER_hh_fech_in!F5=0,0,SER_hh_fech_in!F5/SER_summary!F$27)</f>
        <v>109.62417150222241</v>
      </c>
      <c r="G5" s="132">
        <f>IF(SER_hh_fech_in!G5=0,0,SER_hh_fech_in!G5/SER_summary!G$27)</f>
        <v>112.57275755556572</v>
      </c>
      <c r="H5" s="132">
        <f>IF(SER_hh_fech_in!H5=0,0,SER_hh_fech_in!H5/SER_summary!H$27)</f>
        <v>140.69714445078017</v>
      </c>
      <c r="I5" s="132">
        <f>IF(SER_hh_fech_in!I5=0,0,SER_hh_fech_in!I5/SER_summary!I$27)</f>
        <v>102.50312576954056</v>
      </c>
      <c r="J5" s="132">
        <f>IF(SER_hh_fech_in!J5=0,0,SER_hh_fech_in!J5/SER_summary!J$27)</f>
        <v>74.552895075352112</v>
      </c>
      <c r="K5" s="132">
        <f>IF(SER_hh_fech_in!K5=0,0,SER_hh_fech_in!K5/SER_summary!K$27)</f>
        <v>84.975210230260188</v>
      </c>
      <c r="L5" s="132">
        <f>IF(SER_hh_fech_in!L5=0,0,SER_hh_fech_in!L5/SER_summary!L$27)</f>
        <v>79.71086322115697</v>
      </c>
      <c r="M5" s="132">
        <f>IF(SER_hh_fech_in!M5=0,0,SER_hh_fech_in!M5/SER_summary!M$27)</f>
        <v>92.333908738800574</v>
      </c>
      <c r="N5" s="132">
        <f>IF(SER_hh_fech_in!N5=0,0,SER_hh_fech_in!N5/SER_summary!N$27)</f>
        <v>63.172452760701979</v>
      </c>
      <c r="O5" s="132">
        <f>IF(SER_hh_fech_in!O5=0,0,SER_hh_fech_in!O5/SER_summary!O$27)</f>
        <v>72.871342392681257</v>
      </c>
      <c r="P5" s="132">
        <f>IF(SER_hh_fech_in!P5=0,0,SER_hh_fech_in!P5/SER_summary!P$27)</f>
        <v>64.529579430199561</v>
      </c>
      <c r="Q5" s="132">
        <f>IF(SER_hh_fech_in!Q5=0,0,SER_hh_fech_in!Q5/SER_summary!Q$27)</f>
        <v>0</v>
      </c>
      <c r="R5" s="132">
        <f>IF(SER_hh_fech_in!R5=0,0,SER_hh_fech_in!R5/SER_summary!R$27)</f>
        <v>59.589593659839672</v>
      </c>
      <c r="S5" s="132">
        <f>IF(SER_hh_fech_in!S5=0,0,SER_hh_fech_in!S5/SER_summary!S$27)</f>
        <v>61.427480072692191</v>
      </c>
      <c r="T5" s="132">
        <f>IF(SER_hh_fech_in!T5=0,0,SER_hh_fech_in!T5/SER_summary!T$27)</f>
        <v>63.8825046201558</v>
      </c>
      <c r="U5" s="132">
        <f>IF(SER_hh_fech_in!U5=0,0,SER_hh_fech_in!U5/SER_summary!U$27)</f>
        <v>56.422386086793537</v>
      </c>
      <c r="V5" s="132">
        <f>IF(SER_hh_fech_in!V5=0,0,SER_hh_fech_in!V5/SER_summary!V$27)</f>
        <v>40.661277668487323</v>
      </c>
      <c r="W5" s="132">
        <f>IF(SER_hh_fech_in!W5=0,0,SER_hh_fech_in!W5/SER_summary!W$27)</f>
        <v>52.381414232967487</v>
      </c>
      <c r="X5" s="132">
        <f>IF(SER_hh_fech_in!X5=0,0,SER_hh_fech_in!X5/SER_summary!X$27)</f>
        <v>54.886402535063517</v>
      </c>
      <c r="Y5" s="132">
        <f>IF(SER_hh_fech_in!Y5=0,0,SER_hh_fech_in!Y5/SER_summary!Y$27)</f>
        <v>0</v>
      </c>
      <c r="DA5" s="156" t="s">
        <v>819</v>
      </c>
    </row>
    <row r="6" spans="1:105" ht="12" customHeight="1" x14ac:dyDescent="0.25">
      <c r="A6" s="131" t="s">
        <v>52</v>
      </c>
      <c r="B6" s="132"/>
      <c r="C6" s="132">
        <f>IF(SER_hh_fech_in!C6=0,0,SER_hh_fech_in!C6/SER_summary!C$27)</f>
        <v>0</v>
      </c>
      <c r="D6" s="132">
        <f>IF(SER_hh_fech_in!D6=0,0,SER_hh_fech_in!D6/SER_summary!D$27)</f>
        <v>0</v>
      </c>
      <c r="E6" s="132">
        <f>IF(SER_hh_fech_in!E6=0,0,SER_hh_fech_in!E6/SER_summary!E$27)</f>
        <v>0</v>
      </c>
      <c r="F6" s="132">
        <f>IF(SER_hh_fech_in!F6=0,0,SER_hh_fech_in!F6/SER_summary!F$27)</f>
        <v>0</v>
      </c>
      <c r="G6" s="132">
        <f>IF(SER_hh_fech_in!G6=0,0,SER_hh_fech_in!G6/SER_summary!G$27)</f>
        <v>0</v>
      </c>
      <c r="H6" s="132">
        <f>IF(SER_hh_fech_in!H6=0,0,SER_hh_fech_in!H6/SER_summary!H$27)</f>
        <v>0</v>
      </c>
      <c r="I6" s="132">
        <f>IF(SER_hh_fech_in!I6=0,0,SER_hh_fech_in!I6/SER_summary!I$27)</f>
        <v>0</v>
      </c>
      <c r="J6" s="132">
        <f>IF(SER_hh_fech_in!J6=0,0,SER_hh_fech_in!J6/SER_summary!J$27)</f>
        <v>0</v>
      </c>
      <c r="K6" s="132">
        <f>IF(SER_hh_fech_in!K6=0,0,SER_hh_fech_in!K6/SER_summary!K$27)</f>
        <v>0</v>
      </c>
      <c r="L6" s="132">
        <f>IF(SER_hh_fech_in!L6=0,0,SER_hh_fech_in!L6/SER_summary!L$27)</f>
        <v>0</v>
      </c>
      <c r="M6" s="132">
        <f>IF(SER_hh_fech_in!M6=0,0,SER_hh_fech_in!M6/SER_summary!M$27)</f>
        <v>0</v>
      </c>
      <c r="N6" s="132">
        <f>IF(SER_hh_fech_in!N6=0,0,SER_hh_fech_in!N6/SER_summary!N$27)</f>
        <v>0</v>
      </c>
      <c r="O6" s="132">
        <f>IF(SER_hh_fech_in!O6=0,0,SER_hh_fech_in!O6/SER_summary!O$27)</f>
        <v>0</v>
      </c>
      <c r="P6" s="132">
        <f>IF(SER_hh_fech_in!P6=0,0,SER_hh_fech_in!P6/SER_summary!P$27)</f>
        <v>0</v>
      </c>
      <c r="Q6" s="132">
        <f>IF(SER_hh_fech_in!Q6=0,0,SER_hh_fech_in!Q6/SER_summary!Q$27)</f>
        <v>0</v>
      </c>
      <c r="R6" s="132">
        <f>IF(SER_hh_fech_in!R6=0,0,SER_hh_fech_in!R6/SER_summary!R$27)</f>
        <v>0</v>
      </c>
      <c r="S6" s="132">
        <f>IF(SER_hh_fech_in!S6=0,0,SER_hh_fech_in!S6/SER_summary!S$27)</f>
        <v>0</v>
      </c>
      <c r="T6" s="132">
        <f>IF(SER_hh_fech_in!T6=0,0,SER_hh_fech_in!T6/SER_summary!T$27)</f>
        <v>0</v>
      </c>
      <c r="U6" s="132">
        <f>IF(SER_hh_fech_in!U6=0,0,SER_hh_fech_in!U6/SER_summary!U$27)</f>
        <v>0</v>
      </c>
      <c r="V6" s="132">
        <f>IF(SER_hh_fech_in!V6=0,0,SER_hh_fech_in!V6/SER_summary!V$27)</f>
        <v>0</v>
      </c>
      <c r="W6" s="132">
        <f>IF(SER_hh_fech_in!W6=0,0,SER_hh_fech_in!W6/SER_summary!W$27)</f>
        <v>0</v>
      </c>
      <c r="X6" s="132">
        <f>IF(SER_hh_fech_in!X6=0,0,SER_hh_fech_in!X6/SER_summary!X$27)</f>
        <v>0</v>
      </c>
      <c r="Y6" s="132">
        <f>IF(SER_hh_fech_in!Y6=0,0,SER_hh_fech_in!Y6/SER_summary!Y$27)</f>
        <v>0</v>
      </c>
      <c r="DA6" s="156" t="s">
        <v>820</v>
      </c>
    </row>
    <row r="7" spans="1:105" ht="12" customHeight="1" x14ac:dyDescent="0.25">
      <c r="A7" s="131" t="s">
        <v>161</v>
      </c>
      <c r="B7" s="132"/>
      <c r="C7" s="132">
        <f>IF(SER_hh_fech_in!C7=0,0,SER_hh_fech_in!C7/SER_summary!C$27)</f>
        <v>0</v>
      </c>
      <c r="D7" s="132">
        <f>IF(SER_hh_fech_in!D7=0,0,SER_hh_fech_in!D7/SER_summary!D$27)</f>
        <v>0</v>
      </c>
      <c r="E7" s="132">
        <f>IF(SER_hh_fech_in!E7=0,0,SER_hh_fech_in!E7/SER_summary!E$27)</f>
        <v>0</v>
      </c>
      <c r="F7" s="132">
        <f>IF(SER_hh_fech_in!F7=0,0,SER_hh_fech_in!F7/SER_summary!F$27)</f>
        <v>0</v>
      </c>
      <c r="G7" s="132">
        <f>IF(SER_hh_fech_in!G7=0,0,SER_hh_fech_in!G7/SER_summary!G$27)</f>
        <v>0</v>
      </c>
      <c r="H7" s="132">
        <f>IF(SER_hh_fech_in!H7=0,0,SER_hh_fech_in!H7/SER_summary!H$27)</f>
        <v>0</v>
      </c>
      <c r="I7" s="132">
        <f>IF(SER_hh_fech_in!I7=0,0,SER_hh_fech_in!I7/SER_summary!I$27)</f>
        <v>0</v>
      </c>
      <c r="J7" s="132">
        <f>IF(SER_hh_fech_in!J7=0,0,SER_hh_fech_in!J7/SER_summary!J$27)</f>
        <v>182.38987285423534</v>
      </c>
      <c r="K7" s="132">
        <f>IF(SER_hh_fech_in!K7=0,0,SER_hh_fech_in!K7/SER_summary!K$27)</f>
        <v>56.132443991821845</v>
      </c>
      <c r="L7" s="132">
        <f>IF(SER_hh_fech_in!L7=0,0,SER_hh_fech_in!L7/SER_summary!L$27)</f>
        <v>84.13687599700701</v>
      </c>
      <c r="M7" s="132">
        <f>IF(SER_hh_fech_in!M7=0,0,SER_hh_fech_in!M7/SER_summary!M$27)</f>
        <v>111.13857709612186</v>
      </c>
      <c r="N7" s="132">
        <f>IF(SER_hh_fech_in!N7=0,0,SER_hh_fech_in!N7/SER_summary!N$27)</f>
        <v>68.445736597819334</v>
      </c>
      <c r="O7" s="132">
        <f>IF(SER_hh_fech_in!O7=0,0,SER_hh_fech_in!O7/SER_summary!O$27)</f>
        <v>67.691920198009484</v>
      </c>
      <c r="P7" s="132">
        <f>IF(SER_hh_fech_in!P7=0,0,SER_hh_fech_in!P7/SER_summary!P$27)</f>
        <v>0</v>
      </c>
      <c r="Q7" s="132">
        <f>IF(SER_hh_fech_in!Q7=0,0,SER_hh_fech_in!Q7/SER_summary!Q$27)</f>
        <v>0</v>
      </c>
      <c r="R7" s="132">
        <f>IF(SER_hh_fech_in!R7=0,0,SER_hh_fech_in!R7/SER_summary!R$27)</f>
        <v>0</v>
      </c>
      <c r="S7" s="132">
        <f>IF(SER_hh_fech_in!S7=0,0,SER_hh_fech_in!S7/SER_summary!S$27)</f>
        <v>0</v>
      </c>
      <c r="T7" s="132">
        <f>IF(SER_hh_fech_in!T7=0,0,SER_hh_fech_in!T7/SER_summary!T$27)</f>
        <v>0</v>
      </c>
      <c r="U7" s="132">
        <f>IF(SER_hh_fech_in!U7=0,0,SER_hh_fech_in!U7/SER_summary!U$27)</f>
        <v>54.604755661750936</v>
      </c>
      <c r="V7" s="132">
        <f>IF(SER_hh_fech_in!V7=0,0,SER_hh_fech_in!V7/SER_summary!V$27)</f>
        <v>53.855010743016535</v>
      </c>
      <c r="W7" s="132">
        <f>IF(SER_hh_fech_in!W7=0,0,SER_hh_fech_in!W7/SER_summary!W$27)</f>
        <v>54.145772553954139</v>
      </c>
      <c r="X7" s="132">
        <f>IF(SER_hh_fech_in!X7=0,0,SER_hh_fech_in!X7/SER_summary!X$27)</f>
        <v>45.475984968699642</v>
      </c>
      <c r="Y7" s="132">
        <f>IF(SER_hh_fech_in!Y7=0,0,SER_hh_fech_in!Y7/SER_summary!Y$27)</f>
        <v>60.305366535670771</v>
      </c>
      <c r="DA7" s="156" t="s">
        <v>821</v>
      </c>
    </row>
    <row r="8" spans="1:105" ht="12" customHeight="1" x14ac:dyDescent="0.25">
      <c r="A8" s="131" t="s">
        <v>73</v>
      </c>
      <c r="B8" s="132"/>
      <c r="C8" s="132">
        <f>IF(SER_hh_fech_in!C8=0,0,SER_hh_fech_in!C8/SER_summary!C$27)</f>
        <v>0</v>
      </c>
      <c r="D8" s="132">
        <f>IF(SER_hh_fech_in!D8=0,0,SER_hh_fech_in!D8/SER_summary!D$27)</f>
        <v>0</v>
      </c>
      <c r="E8" s="132">
        <f>IF(SER_hh_fech_in!E8=0,0,SER_hh_fech_in!E8/SER_summary!E$27)</f>
        <v>0</v>
      </c>
      <c r="F8" s="132">
        <f>IF(SER_hh_fech_in!F8=0,0,SER_hh_fech_in!F8/SER_summary!F$27)</f>
        <v>0</v>
      </c>
      <c r="G8" s="132">
        <f>IF(SER_hh_fech_in!G8=0,0,SER_hh_fech_in!G8/SER_summary!G$27)</f>
        <v>0</v>
      </c>
      <c r="H8" s="132">
        <f>IF(SER_hh_fech_in!H8=0,0,SER_hh_fech_in!H8/SER_summary!H$27)</f>
        <v>0</v>
      </c>
      <c r="I8" s="132">
        <f>IF(SER_hh_fech_in!I8=0,0,SER_hh_fech_in!I8/SER_summary!I$27)</f>
        <v>0</v>
      </c>
      <c r="J8" s="132">
        <f>IF(SER_hh_fech_in!J8=0,0,SER_hh_fech_in!J8/SER_summary!J$27)</f>
        <v>0</v>
      </c>
      <c r="K8" s="132">
        <f>IF(SER_hh_fech_in!K8=0,0,SER_hh_fech_in!K8/SER_summary!K$27)</f>
        <v>0</v>
      </c>
      <c r="L8" s="132">
        <f>IF(SER_hh_fech_in!L8=0,0,SER_hh_fech_in!L8/SER_summary!L$27)</f>
        <v>0</v>
      </c>
      <c r="M8" s="132">
        <f>IF(SER_hh_fech_in!M8=0,0,SER_hh_fech_in!M8/SER_summary!M$27)</f>
        <v>0</v>
      </c>
      <c r="N8" s="132">
        <f>IF(SER_hh_fech_in!N8=0,0,SER_hh_fech_in!N8/SER_summary!N$27)</f>
        <v>0</v>
      </c>
      <c r="O8" s="132">
        <f>IF(SER_hh_fech_in!O8=0,0,SER_hh_fech_in!O8/SER_summary!O$27)</f>
        <v>0</v>
      </c>
      <c r="P8" s="132">
        <f>IF(SER_hh_fech_in!P8=0,0,SER_hh_fech_in!P8/SER_summary!P$27)</f>
        <v>0</v>
      </c>
      <c r="Q8" s="132">
        <f>IF(SER_hh_fech_in!Q8=0,0,SER_hh_fech_in!Q8/SER_summary!Q$27)</f>
        <v>0</v>
      </c>
      <c r="R8" s="132">
        <f>IF(SER_hh_fech_in!R8=0,0,SER_hh_fech_in!R8/SER_summary!R$27)</f>
        <v>0</v>
      </c>
      <c r="S8" s="132">
        <f>IF(SER_hh_fech_in!S8=0,0,SER_hh_fech_in!S8/SER_summary!S$27)</f>
        <v>0</v>
      </c>
      <c r="T8" s="132">
        <f>IF(SER_hh_fech_in!T8=0,0,SER_hh_fech_in!T8/SER_summary!T$27)</f>
        <v>0</v>
      </c>
      <c r="U8" s="132">
        <f>IF(SER_hh_fech_in!U8=0,0,SER_hh_fech_in!U8/SER_summary!U$27)</f>
        <v>0</v>
      </c>
      <c r="V8" s="132">
        <f>IF(SER_hh_fech_in!V8=0,0,SER_hh_fech_in!V8/SER_summary!V$27)</f>
        <v>0</v>
      </c>
      <c r="W8" s="132">
        <f>IF(SER_hh_fech_in!W8=0,0,SER_hh_fech_in!W8/SER_summary!W$27)</f>
        <v>0</v>
      </c>
      <c r="X8" s="132">
        <f>IF(SER_hh_fech_in!X8=0,0,SER_hh_fech_in!X8/SER_summary!X$27)</f>
        <v>0</v>
      </c>
      <c r="Y8" s="132">
        <f>IF(SER_hh_fech_in!Y8=0,0,SER_hh_fech_in!Y8/SER_summary!Y$27)</f>
        <v>0</v>
      </c>
      <c r="DA8" s="156" t="s">
        <v>822</v>
      </c>
    </row>
    <row r="9" spans="1:105" ht="12" customHeight="1" x14ac:dyDescent="0.25">
      <c r="A9" s="131" t="s">
        <v>78</v>
      </c>
      <c r="B9" s="132"/>
      <c r="C9" s="132">
        <f>IF(SER_hh_fech_in!C9=0,0,SER_hh_fech_in!C9/SER_summary!C$27)</f>
        <v>147.51261913948215</v>
      </c>
      <c r="D9" s="132">
        <f>IF(SER_hh_fech_in!D9=0,0,SER_hh_fech_in!D9/SER_summary!D$27)</f>
        <v>144.16316898561084</v>
      </c>
      <c r="E9" s="132">
        <f>IF(SER_hh_fech_in!E9=0,0,SER_hh_fech_in!E9/SER_summary!E$27)</f>
        <v>128.04563415940865</v>
      </c>
      <c r="F9" s="132">
        <f>IF(SER_hh_fech_in!F9=0,0,SER_hh_fech_in!F9/SER_summary!F$27)</f>
        <v>151.00410595422605</v>
      </c>
      <c r="G9" s="132">
        <f>IF(SER_hh_fech_in!G9=0,0,SER_hh_fech_in!G9/SER_summary!G$27)</f>
        <v>125.95204739442953</v>
      </c>
      <c r="H9" s="132">
        <f>IF(SER_hh_fech_in!H9=0,0,SER_hh_fech_in!H9/SER_summary!H$27)</f>
        <v>116.37506245317853</v>
      </c>
      <c r="I9" s="132">
        <f>IF(SER_hh_fech_in!I9=0,0,SER_hh_fech_in!I9/SER_summary!I$27)</f>
        <v>132.04463805415361</v>
      </c>
      <c r="J9" s="132">
        <f>IF(SER_hh_fech_in!J9=0,0,SER_hh_fech_in!J9/SER_summary!J$27)</f>
        <v>108.66071826490723</v>
      </c>
      <c r="K9" s="132">
        <f>IF(SER_hh_fech_in!K9=0,0,SER_hh_fech_in!K9/SER_summary!K$27)</f>
        <v>90.665061441753309</v>
      </c>
      <c r="L9" s="132">
        <f>IF(SER_hh_fech_in!L9=0,0,SER_hh_fech_in!L9/SER_summary!L$27)</f>
        <v>96.801217463562139</v>
      </c>
      <c r="M9" s="132">
        <f>IF(SER_hh_fech_in!M9=0,0,SER_hh_fech_in!M9/SER_summary!M$27)</f>
        <v>80.379549212074437</v>
      </c>
      <c r="N9" s="132">
        <f>IF(SER_hh_fech_in!N9=0,0,SER_hh_fech_in!N9/SER_summary!N$27)</f>
        <v>81.097745450215612</v>
      </c>
      <c r="O9" s="132">
        <f>IF(SER_hh_fech_in!O9=0,0,SER_hh_fech_in!O9/SER_summary!O$27)</f>
        <v>73.831913850432997</v>
      </c>
      <c r="P9" s="132">
        <f>IF(SER_hh_fech_in!P9=0,0,SER_hh_fech_in!P9/SER_summary!P$27)</f>
        <v>58.382318244675226</v>
      </c>
      <c r="Q9" s="132">
        <f>IF(SER_hh_fech_in!Q9=0,0,SER_hh_fech_in!Q9/SER_summary!Q$27)</f>
        <v>58.266968874777199</v>
      </c>
      <c r="R9" s="132">
        <f>IF(SER_hh_fech_in!R9=0,0,SER_hh_fech_in!R9/SER_summary!R$27)</f>
        <v>58.454233291747549</v>
      </c>
      <c r="S9" s="132">
        <f>IF(SER_hh_fech_in!S9=0,0,SER_hh_fech_in!S9/SER_summary!S$27)</f>
        <v>58.706580187989047</v>
      </c>
      <c r="T9" s="132">
        <f>IF(SER_hh_fech_in!T9=0,0,SER_hh_fech_in!T9/SER_summary!T$27)</f>
        <v>58.125421819762252</v>
      </c>
      <c r="U9" s="132">
        <f>IF(SER_hh_fech_in!U9=0,0,SER_hh_fech_in!U9/SER_summary!U$27)</f>
        <v>55.386897583145739</v>
      </c>
      <c r="V9" s="132">
        <f>IF(SER_hh_fech_in!V9=0,0,SER_hh_fech_in!V9/SER_summary!V$27)</f>
        <v>52.299095064337529</v>
      </c>
      <c r="W9" s="132">
        <f>IF(SER_hh_fech_in!W9=0,0,SER_hh_fech_in!W9/SER_summary!W$27)</f>
        <v>49.948234636747308</v>
      </c>
      <c r="X9" s="132">
        <f>IF(SER_hh_fech_in!X9=0,0,SER_hh_fech_in!X9/SER_summary!X$27)</f>
        <v>45.16969313173491</v>
      </c>
      <c r="Y9" s="132">
        <f>IF(SER_hh_fech_in!Y9=0,0,SER_hh_fech_in!Y9/SER_summary!Y$27)</f>
        <v>53.896355810583167</v>
      </c>
      <c r="DA9" s="156" t="s">
        <v>823</v>
      </c>
    </row>
    <row r="10" spans="1:105" ht="12" customHeight="1" x14ac:dyDescent="0.25">
      <c r="A10" s="131" t="s">
        <v>128</v>
      </c>
      <c r="B10" s="132"/>
      <c r="C10" s="132">
        <f>IF(SER_hh_fech_in!C10=0,0,SER_hh_fech_in!C10/SER_summary!C$27)</f>
        <v>151.78211935677308</v>
      </c>
      <c r="D10" s="132">
        <f>IF(SER_hh_fech_in!D10=0,0,SER_hh_fech_in!D10/SER_summary!D$27)</f>
        <v>153.95498656004705</v>
      </c>
      <c r="E10" s="132">
        <f>IF(SER_hh_fech_in!E10=0,0,SER_hh_fech_in!E10/SER_summary!E$27)</f>
        <v>138.64249751518787</v>
      </c>
      <c r="F10" s="132">
        <f>IF(SER_hh_fech_in!F10=0,0,SER_hh_fech_in!F10/SER_summary!F$27)</f>
        <v>133.47443586581866</v>
      </c>
      <c r="G10" s="132">
        <f>IF(SER_hh_fech_in!G10=0,0,SER_hh_fech_in!G10/SER_summary!G$27)</f>
        <v>134.04150249394712</v>
      </c>
      <c r="H10" s="132">
        <f>IF(SER_hh_fech_in!H10=0,0,SER_hh_fech_in!H10/SER_summary!H$27)</f>
        <v>130.60675330789746</v>
      </c>
      <c r="I10" s="132">
        <f>IF(SER_hh_fech_in!I10=0,0,SER_hh_fech_in!I10/SER_summary!I$27)</f>
        <v>118.44333203012317</v>
      </c>
      <c r="J10" s="132">
        <f>IF(SER_hh_fech_in!J10=0,0,SER_hh_fech_in!J10/SER_summary!J$27)</f>
        <v>113.25602936869568</v>
      </c>
      <c r="K10" s="132">
        <f>IF(SER_hh_fech_in!K10=0,0,SER_hh_fech_in!K10/SER_summary!K$27)</f>
        <v>102.86750973648785</v>
      </c>
      <c r="L10" s="132">
        <f>IF(SER_hh_fech_in!L10=0,0,SER_hh_fech_in!L10/SER_summary!L$27)</f>
        <v>96.013055577111189</v>
      </c>
      <c r="M10" s="132">
        <f>IF(SER_hh_fech_in!M10=0,0,SER_hh_fech_in!M10/SER_summary!M$27)</f>
        <v>94.943471386617375</v>
      </c>
      <c r="N10" s="132">
        <f>IF(SER_hh_fech_in!N10=0,0,SER_hh_fech_in!N10/SER_summary!N$27)</f>
        <v>93.245303940323311</v>
      </c>
      <c r="O10" s="132">
        <f>IF(SER_hh_fech_in!O10=0,0,SER_hh_fech_in!O10/SER_summary!O$27)</f>
        <v>89.352997311019465</v>
      </c>
      <c r="P10" s="132">
        <f>IF(SER_hh_fech_in!P10=0,0,SER_hh_fech_in!P10/SER_summary!P$27)</f>
        <v>80.597966491714828</v>
      </c>
      <c r="Q10" s="132">
        <f>IF(SER_hh_fech_in!Q10=0,0,SER_hh_fech_in!Q10/SER_summary!Q$27)</f>
        <v>76.548660000766375</v>
      </c>
      <c r="R10" s="132">
        <f>IF(SER_hh_fech_in!R10=0,0,SER_hh_fech_in!R10/SER_summary!R$27)</f>
        <v>0</v>
      </c>
      <c r="S10" s="132">
        <f>IF(SER_hh_fech_in!S10=0,0,SER_hh_fech_in!S10/SER_summary!S$27)</f>
        <v>0</v>
      </c>
      <c r="T10" s="132">
        <f>IF(SER_hh_fech_in!T10=0,0,SER_hh_fech_in!T10/SER_summary!T$27)</f>
        <v>0</v>
      </c>
      <c r="U10" s="132">
        <f>IF(SER_hh_fech_in!U10=0,0,SER_hh_fech_in!U10/SER_summary!U$27)</f>
        <v>73.255645476658032</v>
      </c>
      <c r="V10" s="132">
        <f>IF(SER_hh_fech_in!V10=0,0,SER_hh_fech_in!V10/SER_summary!V$27)</f>
        <v>78.096753016151212</v>
      </c>
      <c r="W10" s="132">
        <f>IF(SER_hh_fech_in!W10=0,0,SER_hh_fech_in!W10/SER_summary!W$27)</f>
        <v>71.45540284386324</v>
      </c>
      <c r="X10" s="132">
        <f>IF(SER_hh_fech_in!X10=0,0,SER_hh_fech_in!X10/SER_summary!X$27)</f>
        <v>67.541190990859221</v>
      </c>
      <c r="Y10" s="132">
        <f>IF(SER_hh_fech_in!Y10=0,0,SER_hh_fech_in!Y10/SER_summary!Y$27)</f>
        <v>71.665364491759533</v>
      </c>
      <c r="DA10" s="156" t="s">
        <v>824</v>
      </c>
    </row>
    <row r="11" spans="1:105" ht="12" customHeight="1" x14ac:dyDescent="0.25">
      <c r="A11" s="131" t="s">
        <v>25</v>
      </c>
      <c r="B11" s="132"/>
      <c r="C11" s="132">
        <f>IF(SER_hh_fech_in!C11=0,0,SER_hh_fech_in!C11/SER_summary!C$27)</f>
        <v>0</v>
      </c>
      <c r="D11" s="132">
        <f>IF(SER_hh_fech_in!D11=0,0,SER_hh_fech_in!D11/SER_summary!D$27)</f>
        <v>0</v>
      </c>
      <c r="E11" s="132">
        <f>IF(SER_hh_fech_in!E11=0,0,SER_hh_fech_in!E11/SER_summary!E$27)</f>
        <v>0</v>
      </c>
      <c r="F11" s="132">
        <f>IF(SER_hh_fech_in!F11=0,0,SER_hh_fech_in!F11/SER_summary!F$27)</f>
        <v>0</v>
      </c>
      <c r="G11" s="132">
        <f>IF(SER_hh_fech_in!G11=0,0,SER_hh_fech_in!G11/SER_summary!G$27)</f>
        <v>0</v>
      </c>
      <c r="H11" s="132">
        <f>IF(SER_hh_fech_in!H11=0,0,SER_hh_fech_in!H11/SER_summary!H$27)</f>
        <v>0</v>
      </c>
      <c r="I11" s="132">
        <f>IF(SER_hh_fech_in!I11=0,0,SER_hh_fech_in!I11/SER_summary!I$27)</f>
        <v>0</v>
      </c>
      <c r="J11" s="132">
        <f>IF(SER_hh_fech_in!J11=0,0,SER_hh_fech_in!J11/SER_summary!J$27)</f>
        <v>0</v>
      </c>
      <c r="K11" s="132">
        <f>IF(SER_hh_fech_in!K11=0,0,SER_hh_fech_in!K11/SER_summary!K$27)</f>
        <v>0</v>
      </c>
      <c r="L11" s="132">
        <f>IF(SER_hh_fech_in!L11=0,0,SER_hh_fech_in!L11/SER_summary!L$27)</f>
        <v>0</v>
      </c>
      <c r="M11" s="132">
        <f>IF(SER_hh_fech_in!M11=0,0,SER_hh_fech_in!M11/SER_summary!M$27)</f>
        <v>0</v>
      </c>
      <c r="N11" s="132">
        <f>IF(SER_hh_fech_in!N11=0,0,SER_hh_fech_in!N11/SER_summary!N$27)</f>
        <v>0</v>
      </c>
      <c r="O11" s="132">
        <f>IF(SER_hh_fech_in!O11=0,0,SER_hh_fech_in!O11/SER_summary!O$27)</f>
        <v>0</v>
      </c>
      <c r="P11" s="132">
        <f>IF(SER_hh_fech_in!P11=0,0,SER_hh_fech_in!P11/SER_summary!P$27)</f>
        <v>0</v>
      </c>
      <c r="Q11" s="132">
        <f>IF(SER_hh_fech_in!Q11=0,0,SER_hh_fech_in!Q11/SER_summary!Q$27)</f>
        <v>0</v>
      </c>
      <c r="R11" s="132">
        <f>IF(SER_hh_fech_in!R11=0,0,SER_hh_fech_in!R11/SER_summary!R$27)</f>
        <v>0</v>
      </c>
      <c r="S11" s="132">
        <f>IF(SER_hh_fech_in!S11=0,0,SER_hh_fech_in!S11/SER_summary!S$27)</f>
        <v>0</v>
      </c>
      <c r="T11" s="132">
        <f>IF(SER_hh_fech_in!T11=0,0,SER_hh_fech_in!T11/SER_summary!T$27)</f>
        <v>0</v>
      </c>
      <c r="U11" s="132">
        <f>IF(SER_hh_fech_in!U11=0,0,SER_hh_fech_in!U11/SER_summary!U$27)</f>
        <v>0</v>
      </c>
      <c r="V11" s="132">
        <f>IF(SER_hh_fech_in!V11=0,0,SER_hh_fech_in!V11/SER_summary!V$27)</f>
        <v>0</v>
      </c>
      <c r="W11" s="132">
        <f>IF(SER_hh_fech_in!W11=0,0,SER_hh_fech_in!W11/SER_summary!W$27)</f>
        <v>0</v>
      </c>
      <c r="X11" s="132">
        <f>IF(SER_hh_fech_in!X11=0,0,SER_hh_fech_in!X11/SER_summary!X$27)</f>
        <v>0</v>
      </c>
      <c r="Y11" s="132">
        <f>IF(SER_hh_fech_in!Y11=0,0,SER_hh_fech_in!Y11/SER_summary!Y$27)</f>
        <v>0</v>
      </c>
      <c r="DA11" s="156" t="s">
        <v>825</v>
      </c>
    </row>
    <row r="12" spans="1:105" ht="12" customHeight="1" x14ac:dyDescent="0.25">
      <c r="A12" s="131" t="s">
        <v>162</v>
      </c>
      <c r="B12" s="132"/>
      <c r="C12" s="132">
        <f>IF(SER_hh_fech_in!C12=0,0,SER_hh_fech_in!C12/SER_summary!C$27)</f>
        <v>105.29770920779097</v>
      </c>
      <c r="D12" s="132">
        <f>IF(SER_hh_fech_in!D12=0,0,SER_hh_fech_in!D12/SER_summary!D$27)</f>
        <v>99.095544720138378</v>
      </c>
      <c r="E12" s="132">
        <f>IF(SER_hh_fech_in!E12=0,0,SER_hh_fech_in!E12/SER_summary!E$27)</f>
        <v>97.644413592141902</v>
      </c>
      <c r="F12" s="132">
        <f>IF(SER_hh_fech_in!F12=0,0,SER_hh_fech_in!F12/SER_summary!F$27)</f>
        <v>94.040482945002736</v>
      </c>
      <c r="G12" s="132">
        <f>IF(SER_hh_fech_in!G12=0,0,SER_hh_fech_in!G12/SER_summary!G$27)</f>
        <v>88.603087149611355</v>
      </c>
      <c r="H12" s="132">
        <f>IF(SER_hh_fech_in!H12=0,0,SER_hh_fech_in!H12/SER_summary!H$27)</f>
        <v>92.173468615810421</v>
      </c>
      <c r="I12" s="132">
        <f>IF(SER_hh_fech_in!I12=0,0,SER_hh_fech_in!I12/SER_summary!I$27)</f>
        <v>84.248005961154206</v>
      </c>
      <c r="J12" s="132">
        <f>IF(SER_hh_fech_in!J12=0,0,SER_hh_fech_in!J12/SER_summary!J$27)</f>
        <v>65.5462745976684</v>
      </c>
      <c r="K12" s="132">
        <f>IF(SER_hh_fech_in!K12=0,0,SER_hh_fech_in!K12/SER_summary!K$27)</f>
        <v>69.536998645320352</v>
      </c>
      <c r="L12" s="132">
        <f>IF(SER_hh_fech_in!L12=0,0,SER_hh_fech_in!L12/SER_summary!L$27)</f>
        <v>71.606424761726075</v>
      </c>
      <c r="M12" s="132">
        <f>IF(SER_hh_fech_in!M12=0,0,SER_hh_fech_in!M12/SER_summary!M$27)</f>
        <v>55.409070742845799</v>
      </c>
      <c r="N12" s="132">
        <f>IF(SER_hh_fech_in!N12=0,0,SER_hh_fech_in!N12/SER_summary!N$27)</f>
        <v>65.572671889053481</v>
      </c>
      <c r="O12" s="132">
        <f>IF(SER_hh_fech_in!O12=0,0,SER_hh_fech_in!O12/SER_summary!O$27)</f>
        <v>53.108414913470583</v>
      </c>
      <c r="P12" s="132">
        <f>IF(SER_hh_fech_in!P12=0,0,SER_hh_fech_in!P12/SER_summary!P$27)</f>
        <v>49.74976935259108</v>
      </c>
      <c r="Q12" s="132">
        <f>IF(SER_hh_fech_in!Q12=0,0,SER_hh_fech_in!Q12/SER_summary!Q$27)</f>
        <v>48.614940234642198</v>
      </c>
      <c r="R12" s="132">
        <f>IF(SER_hh_fech_in!R12=0,0,SER_hh_fech_in!R12/SER_summary!R$27)</f>
        <v>46.519663988331168</v>
      </c>
      <c r="S12" s="132">
        <f>IF(SER_hh_fech_in!S12=0,0,SER_hh_fech_in!S12/SER_summary!S$27)</f>
        <v>53.465267842293024</v>
      </c>
      <c r="T12" s="132">
        <f>IF(SER_hh_fech_in!T12=0,0,SER_hh_fech_in!T12/SER_summary!T$27)</f>
        <v>53.053751505330801</v>
      </c>
      <c r="U12" s="132">
        <f>IF(SER_hh_fech_in!U12=0,0,SER_hh_fech_in!U12/SER_summary!U$27)</f>
        <v>44.329466877967029</v>
      </c>
      <c r="V12" s="132">
        <f>IF(SER_hh_fech_in!V12=0,0,SER_hh_fech_in!V12/SER_summary!V$27)</f>
        <v>38.329575968949214</v>
      </c>
      <c r="W12" s="132">
        <f>IF(SER_hh_fech_in!W12=0,0,SER_hh_fech_in!W12/SER_summary!W$27)</f>
        <v>47.910266068583987</v>
      </c>
      <c r="X12" s="132">
        <f>IF(SER_hh_fech_in!X12=0,0,SER_hh_fech_in!X12/SER_summary!X$27)</f>
        <v>44.393192729174153</v>
      </c>
      <c r="Y12" s="132">
        <f>IF(SER_hh_fech_in!Y12=0,0,SER_hh_fech_in!Y12/SER_summary!Y$27)</f>
        <v>42.164684795046526</v>
      </c>
      <c r="DA12" s="156" t="s">
        <v>826</v>
      </c>
    </row>
    <row r="13" spans="1:105" ht="12" customHeight="1" x14ac:dyDescent="0.25">
      <c r="A13" s="131" t="s">
        <v>77</v>
      </c>
      <c r="B13" s="132"/>
      <c r="C13" s="132">
        <f>IF(SER_hh_fech_in!C13=0,0,SER_hh_fech_in!C13/SER_summary!C$27)</f>
        <v>52.061589044541286</v>
      </c>
      <c r="D13" s="132">
        <f>IF(SER_hh_fech_in!D13=0,0,SER_hh_fech_in!D13/SER_summary!D$27)</f>
        <v>38.60726875111861</v>
      </c>
      <c r="E13" s="132">
        <f>IF(SER_hh_fech_in!E13=0,0,SER_hh_fech_in!E13/SER_summary!E$27)</f>
        <v>44.854597113258016</v>
      </c>
      <c r="F13" s="132">
        <f>IF(SER_hh_fech_in!F13=0,0,SER_hh_fech_in!F13/SER_summary!F$27)</f>
        <v>40.090108348701222</v>
      </c>
      <c r="G13" s="132">
        <f>IF(SER_hh_fech_in!G13=0,0,SER_hh_fech_in!G13/SER_summary!G$27)</f>
        <v>38.756106883767607</v>
      </c>
      <c r="H13" s="132">
        <f>IF(SER_hh_fech_in!H13=0,0,SER_hh_fech_in!H13/SER_summary!H$27)</f>
        <v>32.791811757591397</v>
      </c>
      <c r="I13" s="132">
        <f>IF(SER_hh_fech_in!I13=0,0,SER_hh_fech_in!I13/SER_summary!I$27)</f>
        <v>26.832448697931028</v>
      </c>
      <c r="J13" s="132">
        <f>IF(SER_hh_fech_in!J13=0,0,SER_hh_fech_in!J13/SER_summary!J$27)</f>
        <v>30.521404418588624</v>
      </c>
      <c r="K13" s="132">
        <f>IF(SER_hh_fech_in!K13=0,0,SER_hh_fech_in!K13/SER_summary!K$27)</f>
        <v>23.205993749589922</v>
      </c>
      <c r="L13" s="132">
        <f>IF(SER_hh_fech_in!L13=0,0,SER_hh_fech_in!L13/SER_summary!L$27)</f>
        <v>17.246978697418879</v>
      </c>
      <c r="M13" s="132">
        <f>IF(SER_hh_fech_in!M13=0,0,SER_hh_fech_in!M13/SER_summary!M$27)</f>
        <v>18.821688157558039</v>
      </c>
      <c r="N13" s="132">
        <f>IF(SER_hh_fech_in!N13=0,0,SER_hh_fech_in!N13/SER_summary!N$27)</f>
        <v>17.172402210793052</v>
      </c>
      <c r="O13" s="132">
        <f>IF(SER_hh_fech_in!O13=0,0,SER_hh_fech_in!O13/SER_summary!O$27)</f>
        <v>14.560233591299308</v>
      </c>
      <c r="P13" s="132">
        <f>IF(SER_hh_fech_in!P13=0,0,SER_hh_fech_in!P13/SER_summary!P$27)</f>
        <v>15.760911511434697</v>
      </c>
      <c r="Q13" s="132">
        <f>IF(SER_hh_fech_in!Q13=0,0,SER_hh_fech_in!Q13/SER_summary!Q$27)</f>
        <v>13.744854234131997</v>
      </c>
      <c r="R13" s="132">
        <f>IF(SER_hh_fech_in!R13=0,0,SER_hh_fech_in!R13/SER_summary!R$27)</f>
        <v>12.938916990596731</v>
      </c>
      <c r="S13" s="132">
        <f>IF(SER_hh_fech_in!S13=0,0,SER_hh_fech_in!S13/SER_summary!S$27)</f>
        <v>12.543005828772218</v>
      </c>
      <c r="T13" s="132">
        <f>IF(SER_hh_fech_in!T13=0,0,SER_hh_fech_in!T13/SER_summary!T$27)</f>
        <v>12.26065798910588</v>
      </c>
      <c r="U13" s="132">
        <f>IF(SER_hh_fech_in!U13=0,0,SER_hh_fech_in!U13/SER_summary!U$27)</f>
        <v>10.411554758128295</v>
      </c>
      <c r="V13" s="132">
        <f>IF(SER_hh_fech_in!V13=0,0,SER_hh_fech_in!V13/SER_summary!V$27)</f>
        <v>7.9161901996695114</v>
      </c>
      <c r="W13" s="132">
        <f>IF(SER_hh_fech_in!W13=0,0,SER_hh_fech_in!W13/SER_summary!W$27)</f>
        <v>10.044362084376992</v>
      </c>
      <c r="X13" s="132">
        <f>IF(SER_hh_fech_in!X13=0,0,SER_hh_fech_in!X13/SER_summary!X$27)</f>
        <v>8.5661822919304811</v>
      </c>
      <c r="Y13" s="132">
        <f>IF(SER_hh_fech_in!Y13=0,0,SER_hh_fech_in!Y13/SER_summary!Y$27)</f>
        <v>10.083361861051021</v>
      </c>
      <c r="DA13" s="156" t="s">
        <v>827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117.17641698361243</v>
      </c>
      <c r="D14" s="65">
        <f>IF(SER_hh_fech_in!D14=0,0,SER_hh_fech_in!D14/SER_summary!D$27)</f>
        <v>95.535388072403279</v>
      </c>
      <c r="E14" s="65">
        <f>IF(SER_hh_fech_in!E14=0,0,SER_hh_fech_in!E14/SER_summary!E$27)</f>
        <v>115.20836655511275</v>
      </c>
      <c r="F14" s="65">
        <f>IF(SER_hh_fech_in!F14=0,0,SER_hh_fech_in!F14/SER_summary!F$27)</f>
        <v>107.04808644193771</v>
      </c>
      <c r="G14" s="65">
        <f>IF(SER_hh_fech_in!G14=0,0,SER_hh_fech_in!G14/SER_summary!G$27)</f>
        <v>99.968050886541576</v>
      </c>
      <c r="H14" s="65">
        <f>IF(SER_hh_fech_in!H14=0,0,SER_hh_fech_in!H14/SER_summary!H$27)</f>
        <v>92.291757701955817</v>
      </c>
      <c r="I14" s="65">
        <f>IF(SER_hh_fech_in!I14=0,0,SER_hh_fech_in!I14/SER_summary!I$27)</f>
        <v>87.757602188826937</v>
      </c>
      <c r="J14" s="65">
        <f>IF(SER_hh_fech_in!J14=0,0,SER_hh_fech_in!J14/SER_summary!J$27)</f>
        <v>120.30672002303454</v>
      </c>
      <c r="K14" s="65">
        <f>IF(SER_hh_fech_in!K14=0,0,SER_hh_fech_in!K14/SER_summary!K$27)</f>
        <v>0</v>
      </c>
      <c r="L14" s="65">
        <f>IF(SER_hh_fech_in!L14=0,0,SER_hh_fech_in!L14/SER_summary!L$27)</f>
        <v>0</v>
      </c>
      <c r="M14" s="65">
        <f>IF(SER_hh_fech_in!M14=0,0,SER_hh_fech_in!M14/SER_summary!M$27)</f>
        <v>0</v>
      </c>
      <c r="N14" s="65">
        <f>IF(SER_hh_fech_in!N14=0,0,SER_hh_fech_in!N14/SER_summary!N$27)</f>
        <v>83.628801947694129</v>
      </c>
      <c r="O14" s="65">
        <f>IF(SER_hh_fech_in!O14=0,0,SER_hh_fech_in!O14/SER_summary!O$27)</f>
        <v>57.041806592152945</v>
      </c>
      <c r="P14" s="65">
        <f>IF(SER_hh_fech_in!P14=0,0,SER_hh_fech_in!P14/SER_summary!P$27)</f>
        <v>0</v>
      </c>
      <c r="Q14" s="65">
        <f>IF(SER_hh_fech_in!Q14=0,0,SER_hh_fech_in!Q14/SER_summary!Q$27)</f>
        <v>27.051742288737987</v>
      </c>
      <c r="R14" s="65">
        <f>IF(SER_hh_fech_in!R14=0,0,SER_hh_fech_in!R14/SER_summary!R$27)</f>
        <v>65.068108875508443</v>
      </c>
      <c r="S14" s="65">
        <f>IF(SER_hh_fech_in!S14=0,0,SER_hh_fech_in!S14/SER_summary!S$27)</f>
        <v>39.960009810391981</v>
      </c>
      <c r="T14" s="65">
        <f>IF(SER_hh_fech_in!T14=0,0,SER_hh_fech_in!T14/SER_summary!T$27)</f>
        <v>56.852135084437307</v>
      </c>
      <c r="U14" s="65">
        <f>IF(SER_hh_fech_in!U14=0,0,SER_hh_fech_in!U14/SER_summary!U$27)</f>
        <v>53.2233691982617</v>
      </c>
      <c r="V14" s="65">
        <f>IF(SER_hh_fech_in!V14=0,0,SER_hh_fech_in!V14/SER_summary!V$27)</f>
        <v>37.036397361320319</v>
      </c>
      <c r="W14" s="65">
        <f>IF(SER_hh_fech_in!W14=0,0,SER_hh_fech_in!W14/SER_summary!W$27)</f>
        <v>46.37237351120325</v>
      </c>
      <c r="X14" s="65">
        <f>IF(SER_hh_fech_in!X14=0,0,SER_hh_fech_in!X14/SER_summary!X$27)</f>
        <v>0</v>
      </c>
      <c r="Y14" s="65">
        <f>IF(SER_hh_fech_in!Y14=0,0,SER_hh_fech_in!Y14/SER_summary!Y$27)</f>
        <v>0</v>
      </c>
      <c r="DA14" s="109" t="s">
        <v>828</v>
      </c>
    </row>
    <row r="15" spans="1:105" ht="12" customHeight="1" x14ac:dyDescent="0.25">
      <c r="A15" s="133" t="s">
        <v>80</v>
      </c>
      <c r="B15" s="134"/>
      <c r="C15" s="134">
        <f>IF(SER_hh_fech_in!C15=0,0,SER_hh_fech_in!C15/SER_summary!C$27)</f>
        <v>0.53973467131945541</v>
      </c>
      <c r="D15" s="134">
        <f>IF(SER_hh_fech_in!D15=0,0,SER_hh_fech_in!D15/SER_summary!D$27)</f>
        <v>0.60136450530517505</v>
      </c>
      <c r="E15" s="134">
        <f>IF(SER_hh_fech_in!E15=0,0,SER_hh_fech_in!E15/SER_summary!E$27)</f>
        <v>0.51485399867982651</v>
      </c>
      <c r="F15" s="134">
        <f>IF(SER_hh_fech_in!F15=0,0,SER_hh_fech_in!F15/SER_summary!F$27)</f>
        <v>0.58732404893997292</v>
      </c>
      <c r="G15" s="134">
        <f>IF(SER_hh_fech_in!G15=0,0,SER_hh_fech_in!G15/SER_summary!G$27)</f>
        <v>0.50611754486002902</v>
      </c>
      <c r="H15" s="134">
        <f>IF(SER_hh_fech_in!H15=0,0,SER_hh_fech_in!H15/SER_summary!H$27)</f>
        <v>0.56545886023073799</v>
      </c>
      <c r="I15" s="134">
        <f>IF(SER_hh_fech_in!I15=0,0,SER_hh_fech_in!I15/SER_summary!I$27)</f>
        <v>0.44617059452140667</v>
      </c>
      <c r="J15" s="134">
        <f>IF(SER_hh_fech_in!J15=0,0,SER_hh_fech_in!J15/SER_summary!J$27)</f>
        <v>0.38302204285204949</v>
      </c>
      <c r="K15" s="134">
        <f>IF(SER_hh_fech_in!K15=0,0,SER_hh_fech_in!K15/SER_summary!K$27)</f>
        <v>0.39096028192924742</v>
      </c>
      <c r="L15" s="134">
        <f>IF(SER_hh_fech_in!L15=0,0,SER_hh_fech_in!L15/SER_summary!L$27)</f>
        <v>0.36876133594949895</v>
      </c>
      <c r="M15" s="134">
        <f>IF(SER_hh_fech_in!M15=0,0,SER_hh_fech_in!M15/SER_summary!M$27)</f>
        <v>0.33427904612845305</v>
      </c>
      <c r="N15" s="134">
        <f>IF(SER_hh_fech_in!N15=0,0,SER_hh_fech_in!N15/SER_summary!N$27)</f>
        <v>0.36127667853693896</v>
      </c>
      <c r="O15" s="134">
        <f>IF(SER_hh_fech_in!O15=0,0,SER_hh_fech_in!O15/SER_summary!O$27)</f>
        <v>0.36600497930442588</v>
      </c>
      <c r="P15" s="134">
        <f>IF(SER_hh_fech_in!P15=0,0,SER_hh_fech_in!P15/SER_summary!P$27)</f>
        <v>0.28872161386734596</v>
      </c>
      <c r="Q15" s="134">
        <f>IF(SER_hh_fech_in!Q15=0,0,SER_hh_fech_in!Q15/SER_summary!Q$27)</f>
        <v>0.32760270785830437</v>
      </c>
      <c r="R15" s="134">
        <f>IF(SER_hh_fech_in!R15=0,0,SER_hh_fech_in!R15/SER_summary!R$27)</f>
        <v>0.28431158081326097</v>
      </c>
      <c r="S15" s="134">
        <f>IF(SER_hh_fech_in!S15=0,0,SER_hh_fech_in!S15/SER_summary!S$27)</f>
        <v>0.29677568688769473</v>
      </c>
      <c r="T15" s="134">
        <f>IF(SER_hh_fech_in!T15=0,0,SER_hh_fech_in!T15/SER_summary!T$27)</f>
        <v>0.35252248042522794</v>
      </c>
      <c r="U15" s="134">
        <f>IF(SER_hh_fech_in!U15=0,0,SER_hh_fech_in!U15/SER_summary!U$27)</f>
        <v>0.33698300396637448</v>
      </c>
      <c r="V15" s="134">
        <f>IF(SER_hh_fech_in!V15=0,0,SER_hh_fech_in!V15/SER_summary!V$27)</f>
        <v>0.21844620204709395</v>
      </c>
      <c r="W15" s="134">
        <f>IF(SER_hh_fech_in!W15=0,0,SER_hh_fech_in!W15/SER_summary!W$27)</f>
        <v>0.32784286054209766</v>
      </c>
      <c r="X15" s="134">
        <f>IF(SER_hh_fech_in!X15=0,0,SER_hh_fech_in!X15/SER_summary!X$27)</f>
        <v>0.32324743300674214</v>
      </c>
      <c r="Y15" s="134">
        <f>IF(SER_hh_fech_in!Y15=0,0,SER_hh_fech_in!Y15/SER_summary!Y$27)</f>
        <v>0.33732241108644301</v>
      </c>
      <c r="DA15" s="157" t="s">
        <v>829</v>
      </c>
    </row>
    <row r="16" spans="1:105" ht="12.95" customHeight="1" x14ac:dyDescent="0.25">
      <c r="A16" s="129" t="s">
        <v>74</v>
      </c>
      <c r="B16" s="130"/>
      <c r="C16" s="130">
        <f>IF(SER_hh_fech_in!C16=0,0,SER_hh_fech_in!C16/SER_summary!C$27)</f>
        <v>8.2052728642392054</v>
      </c>
      <c r="D16" s="130">
        <f>IF(SER_hh_fech_in!D16=0,0,SER_hh_fech_in!D16/SER_summary!D$27)</f>
        <v>8.3832688776598552</v>
      </c>
      <c r="E16" s="130">
        <f>IF(SER_hh_fech_in!E16=0,0,SER_hh_fech_in!E16/SER_summary!E$27)</f>
        <v>7.1613809025591975</v>
      </c>
      <c r="F16" s="130">
        <f>IF(SER_hh_fech_in!F16=0,0,SER_hh_fech_in!F16/SER_summary!F$27)</f>
        <v>6.7976666196425173</v>
      </c>
      <c r="G16" s="130">
        <f>IF(SER_hh_fech_in!G16=0,0,SER_hh_fech_in!G16/SER_summary!G$27)</f>
        <v>6.5127498074242958</v>
      </c>
      <c r="H16" s="130">
        <f>IF(SER_hh_fech_in!H16=0,0,SER_hh_fech_in!H16/SER_summary!H$27)</f>
        <v>6.8880619798866318</v>
      </c>
      <c r="I16" s="130">
        <f>IF(SER_hh_fech_in!I16=0,0,SER_hh_fech_in!I16/SER_summary!I$27)</f>
        <v>6.0969054681462715</v>
      </c>
      <c r="J16" s="130">
        <f>IF(SER_hh_fech_in!J16=0,0,SER_hh_fech_in!J16/SER_summary!J$27)</f>
        <v>5.7685344626394048</v>
      </c>
      <c r="K16" s="130">
        <f>IF(SER_hh_fech_in!K16=0,0,SER_hh_fech_in!K16/SER_summary!K$27)</f>
        <v>5.5234461427557884</v>
      </c>
      <c r="L16" s="130">
        <f>IF(SER_hh_fech_in!L16=0,0,SER_hh_fech_in!L16/SER_summary!L$27)</f>
        <v>6.7270860285537433</v>
      </c>
      <c r="M16" s="130">
        <f>IF(SER_hh_fech_in!M16=0,0,SER_hh_fech_in!M16/SER_summary!M$27)</f>
        <v>5.1117259615403317</v>
      </c>
      <c r="N16" s="130">
        <f>IF(SER_hh_fech_in!N16=0,0,SER_hh_fech_in!N16/SER_summary!N$27)</f>
        <v>5.3324617413998743</v>
      </c>
      <c r="O16" s="130">
        <f>IF(SER_hh_fech_in!O16=0,0,SER_hh_fech_in!O16/SER_summary!O$27)</f>
        <v>4.709153444857936</v>
      </c>
      <c r="P16" s="130">
        <f>IF(SER_hh_fech_in!P16=0,0,SER_hh_fech_in!P16/SER_summary!P$27)</f>
        <v>4.9470332772411965</v>
      </c>
      <c r="Q16" s="130">
        <f>IF(SER_hh_fech_in!Q16=0,0,SER_hh_fech_in!Q16/SER_summary!Q$27)</f>
        <v>4.6130197257694041</v>
      </c>
      <c r="R16" s="130">
        <f>IF(SER_hh_fech_in!R16=0,0,SER_hh_fech_in!R16/SER_summary!R$27)</f>
        <v>4.322388428609556</v>
      </c>
      <c r="S16" s="130">
        <f>IF(SER_hh_fech_in!S16=0,0,SER_hh_fech_in!S16/SER_summary!S$27)</f>
        <v>4.2763355598326376</v>
      </c>
      <c r="T16" s="130">
        <f>IF(SER_hh_fech_in!T16=0,0,SER_hh_fech_in!T16/SER_summary!T$27)</f>
        <v>4.5165724506880958</v>
      </c>
      <c r="U16" s="130">
        <f>IF(SER_hh_fech_in!U16=0,0,SER_hh_fech_in!U16/SER_summary!U$27)</f>
        <v>4.3484926346760284</v>
      </c>
      <c r="V16" s="130">
        <f>IF(SER_hh_fech_in!V16=0,0,SER_hh_fech_in!V16/SER_summary!V$27)</f>
        <v>4.1322974167002666</v>
      </c>
      <c r="W16" s="130">
        <f>IF(SER_hh_fech_in!W16=0,0,SER_hh_fech_in!W16/SER_summary!W$27)</f>
        <v>4.7275339896742423</v>
      </c>
      <c r="X16" s="130">
        <f>IF(SER_hh_fech_in!X16=0,0,SER_hh_fech_in!X16/SER_summary!X$27)</f>
        <v>4.209548625172097</v>
      </c>
      <c r="Y16" s="130">
        <f>IF(SER_hh_fech_in!Y16=0,0,SER_hh_fech_in!Y16/SER_summary!Y$27)</f>
        <v>4.0873862658391307</v>
      </c>
      <c r="DA16" s="155" t="s">
        <v>830</v>
      </c>
    </row>
    <row r="17" spans="1:105" ht="12.95" customHeight="1" x14ac:dyDescent="0.25">
      <c r="A17" s="131" t="s">
        <v>73</v>
      </c>
      <c r="B17" s="132"/>
      <c r="C17" s="132">
        <f>IF(SER_hh_fech_in!C17=0,0,SER_hh_fech_in!C17/SER_summary!C$27)</f>
        <v>0</v>
      </c>
      <c r="D17" s="132">
        <f>IF(SER_hh_fech_in!D17=0,0,SER_hh_fech_in!D17/SER_summary!D$27)</f>
        <v>0</v>
      </c>
      <c r="E17" s="132">
        <f>IF(SER_hh_fech_in!E17=0,0,SER_hh_fech_in!E17/SER_summary!E$27)</f>
        <v>0</v>
      </c>
      <c r="F17" s="132">
        <f>IF(SER_hh_fech_in!F17=0,0,SER_hh_fech_in!F17/SER_summary!F$27)</f>
        <v>0</v>
      </c>
      <c r="G17" s="132">
        <f>IF(SER_hh_fech_in!G17=0,0,SER_hh_fech_in!G17/SER_summary!G$27)</f>
        <v>0</v>
      </c>
      <c r="H17" s="132">
        <f>IF(SER_hh_fech_in!H17=0,0,SER_hh_fech_in!H17/SER_summary!H$27)</f>
        <v>0</v>
      </c>
      <c r="I17" s="132">
        <f>IF(SER_hh_fech_in!I17=0,0,SER_hh_fech_in!I17/SER_summary!I$27)</f>
        <v>0</v>
      </c>
      <c r="J17" s="132">
        <f>IF(SER_hh_fech_in!J17=0,0,SER_hh_fech_in!J17/SER_summary!J$27)</f>
        <v>0</v>
      </c>
      <c r="K17" s="132">
        <f>IF(SER_hh_fech_in!K17=0,0,SER_hh_fech_in!K17/SER_summary!K$27)</f>
        <v>0</v>
      </c>
      <c r="L17" s="132">
        <f>IF(SER_hh_fech_in!L17=0,0,SER_hh_fech_in!L17/SER_summary!L$27)</f>
        <v>0</v>
      </c>
      <c r="M17" s="132">
        <f>IF(SER_hh_fech_in!M17=0,0,SER_hh_fech_in!M17/SER_summary!M$27)</f>
        <v>0</v>
      </c>
      <c r="N17" s="132">
        <f>IF(SER_hh_fech_in!N17=0,0,SER_hh_fech_in!N17/SER_summary!N$27)</f>
        <v>0</v>
      </c>
      <c r="O17" s="132">
        <f>IF(SER_hh_fech_in!O17=0,0,SER_hh_fech_in!O17/SER_summary!O$27)</f>
        <v>0</v>
      </c>
      <c r="P17" s="132">
        <f>IF(SER_hh_fech_in!P17=0,0,SER_hh_fech_in!P17/SER_summary!P$27)</f>
        <v>0</v>
      </c>
      <c r="Q17" s="132">
        <f>IF(SER_hh_fech_in!Q17=0,0,SER_hh_fech_in!Q17/SER_summary!Q$27)</f>
        <v>0</v>
      </c>
      <c r="R17" s="132">
        <f>IF(SER_hh_fech_in!R17=0,0,SER_hh_fech_in!R17/SER_summary!R$27)</f>
        <v>0</v>
      </c>
      <c r="S17" s="132">
        <f>IF(SER_hh_fech_in!S17=0,0,SER_hh_fech_in!S17/SER_summary!S$27)</f>
        <v>0</v>
      </c>
      <c r="T17" s="132">
        <f>IF(SER_hh_fech_in!T17=0,0,SER_hh_fech_in!T17/SER_summary!T$27)</f>
        <v>0</v>
      </c>
      <c r="U17" s="132">
        <f>IF(SER_hh_fech_in!U17=0,0,SER_hh_fech_in!U17/SER_summary!U$27)</f>
        <v>0</v>
      </c>
      <c r="V17" s="132">
        <f>IF(SER_hh_fech_in!V17=0,0,SER_hh_fech_in!V17/SER_summary!V$27)</f>
        <v>0</v>
      </c>
      <c r="W17" s="132">
        <f>IF(SER_hh_fech_in!W17=0,0,SER_hh_fech_in!W17/SER_summary!W$27)</f>
        <v>0</v>
      </c>
      <c r="X17" s="132">
        <f>IF(SER_hh_fech_in!X17=0,0,SER_hh_fech_in!X17/SER_summary!X$27)</f>
        <v>0</v>
      </c>
      <c r="Y17" s="132">
        <f>IF(SER_hh_fech_in!Y17=0,0,SER_hh_fech_in!Y17/SER_summary!Y$27)</f>
        <v>0</v>
      </c>
      <c r="DA17" s="156" t="s">
        <v>831</v>
      </c>
    </row>
    <row r="18" spans="1:105" ht="12" customHeight="1" x14ac:dyDescent="0.25">
      <c r="A18" s="131" t="s">
        <v>72</v>
      </c>
      <c r="B18" s="132"/>
      <c r="C18" s="132">
        <f>IF(SER_hh_fech_in!C18=0,0,SER_hh_fech_in!C18/SER_summary!C$27)</f>
        <v>8.2052728642392054</v>
      </c>
      <c r="D18" s="132">
        <f>IF(SER_hh_fech_in!D18=0,0,SER_hh_fech_in!D18/SER_summary!D$27)</f>
        <v>8.3832688776598552</v>
      </c>
      <c r="E18" s="132">
        <f>IF(SER_hh_fech_in!E18=0,0,SER_hh_fech_in!E18/SER_summary!E$27)</f>
        <v>7.1613809025591975</v>
      </c>
      <c r="F18" s="132">
        <f>IF(SER_hh_fech_in!F18=0,0,SER_hh_fech_in!F18/SER_summary!F$27)</f>
        <v>6.7976666196425173</v>
      </c>
      <c r="G18" s="132">
        <f>IF(SER_hh_fech_in!G18=0,0,SER_hh_fech_in!G18/SER_summary!G$27)</f>
        <v>6.5127498074242958</v>
      </c>
      <c r="H18" s="132">
        <f>IF(SER_hh_fech_in!H18=0,0,SER_hh_fech_in!H18/SER_summary!H$27)</f>
        <v>6.8880619798866318</v>
      </c>
      <c r="I18" s="132">
        <f>IF(SER_hh_fech_in!I18=0,0,SER_hh_fech_in!I18/SER_summary!I$27)</f>
        <v>6.0969054681462715</v>
      </c>
      <c r="J18" s="132">
        <f>IF(SER_hh_fech_in!J18=0,0,SER_hh_fech_in!J18/SER_summary!J$27)</f>
        <v>5.7685344626394048</v>
      </c>
      <c r="K18" s="132">
        <f>IF(SER_hh_fech_in!K18=0,0,SER_hh_fech_in!K18/SER_summary!K$27)</f>
        <v>5.5234461427557884</v>
      </c>
      <c r="L18" s="132">
        <f>IF(SER_hh_fech_in!L18=0,0,SER_hh_fech_in!L18/SER_summary!L$27)</f>
        <v>6.7270860285537433</v>
      </c>
      <c r="M18" s="132">
        <f>IF(SER_hh_fech_in!M18=0,0,SER_hh_fech_in!M18/SER_summary!M$27)</f>
        <v>5.1117259615403317</v>
      </c>
      <c r="N18" s="132">
        <f>IF(SER_hh_fech_in!N18=0,0,SER_hh_fech_in!N18/SER_summary!N$27)</f>
        <v>5.3324617413998743</v>
      </c>
      <c r="O18" s="132">
        <f>IF(SER_hh_fech_in!O18=0,0,SER_hh_fech_in!O18/SER_summary!O$27)</f>
        <v>4.709153444857936</v>
      </c>
      <c r="P18" s="132">
        <f>IF(SER_hh_fech_in!P18=0,0,SER_hh_fech_in!P18/SER_summary!P$27)</f>
        <v>4.9470332772411965</v>
      </c>
      <c r="Q18" s="132">
        <f>IF(SER_hh_fech_in!Q18=0,0,SER_hh_fech_in!Q18/SER_summary!Q$27)</f>
        <v>4.6130197257694041</v>
      </c>
      <c r="R18" s="132">
        <f>IF(SER_hh_fech_in!R18=0,0,SER_hh_fech_in!R18/SER_summary!R$27)</f>
        <v>4.322388428609556</v>
      </c>
      <c r="S18" s="132">
        <f>IF(SER_hh_fech_in!S18=0,0,SER_hh_fech_in!S18/SER_summary!S$27)</f>
        <v>4.2763355598326376</v>
      </c>
      <c r="T18" s="132">
        <f>IF(SER_hh_fech_in!T18=0,0,SER_hh_fech_in!T18/SER_summary!T$27)</f>
        <v>4.5165724506880958</v>
      </c>
      <c r="U18" s="132">
        <f>IF(SER_hh_fech_in!U18=0,0,SER_hh_fech_in!U18/SER_summary!U$27)</f>
        <v>4.3484926346760284</v>
      </c>
      <c r="V18" s="132">
        <f>IF(SER_hh_fech_in!V18=0,0,SER_hh_fech_in!V18/SER_summary!V$27)</f>
        <v>4.1322974167002666</v>
      </c>
      <c r="W18" s="132">
        <f>IF(SER_hh_fech_in!W18=0,0,SER_hh_fech_in!W18/SER_summary!W$27)</f>
        <v>4.7275339896742423</v>
      </c>
      <c r="X18" s="132">
        <f>IF(SER_hh_fech_in!X18=0,0,SER_hh_fech_in!X18/SER_summary!X$27)</f>
        <v>4.209548625172097</v>
      </c>
      <c r="Y18" s="132">
        <f>IF(SER_hh_fech_in!Y18=0,0,SER_hh_fech_in!Y18/SER_summary!Y$27)</f>
        <v>4.0873862658391307</v>
      </c>
      <c r="DA18" s="156" t="s">
        <v>832</v>
      </c>
    </row>
    <row r="19" spans="1:105" ht="12.95" customHeight="1" x14ac:dyDescent="0.25">
      <c r="A19" s="129" t="s">
        <v>35</v>
      </c>
      <c r="B19" s="130"/>
      <c r="C19" s="130">
        <f>IF(SER_hh_fech_in!C19=0,0,SER_hh_fech_in!C19/SER_summary!C$27)</f>
        <v>13.542114141904436</v>
      </c>
      <c r="D19" s="130">
        <f>IF(SER_hh_fech_in!D19=0,0,SER_hh_fech_in!D19/SER_summary!D$27)</f>
        <v>13.713860523342593</v>
      </c>
      <c r="E19" s="130">
        <f>IF(SER_hh_fech_in!E19=0,0,SER_hh_fech_in!E19/SER_summary!E$27)</f>
        <v>13.283845301481641</v>
      </c>
      <c r="F19" s="130">
        <f>IF(SER_hh_fech_in!F19=0,0,SER_hh_fech_in!F19/SER_summary!F$27)</f>
        <v>13.792278553258582</v>
      </c>
      <c r="G19" s="130">
        <f>IF(SER_hh_fech_in!G19=0,0,SER_hh_fech_in!G19/SER_summary!G$27)</f>
        <v>14.241465028962992</v>
      </c>
      <c r="H19" s="130">
        <f>IF(SER_hh_fech_in!H19=0,0,SER_hh_fech_in!H19/SER_summary!H$27)</f>
        <v>14.843522795325393</v>
      </c>
      <c r="I19" s="130">
        <f>IF(SER_hh_fech_in!I19=0,0,SER_hh_fech_in!I19/SER_summary!I$27)</f>
        <v>14.501376430299716</v>
      </c>
      <c r="J19" s="130">
        <f>IF(SER_hh_fech_in!J19=0,0,SER_hh_fech_in!J19/SER_summary!J$27)</f>
        <v>14.376414038425922</v>
      </c>
      <c r="K19" s="130">
        <f>IF(SER_hh_fech_in!K19=0,0,SER_hh_fech_in!K19/SER_summary!K$27)</f>
        <v>14.635518706307041</v>
      </c>
      <c r="L19" s="130">
        <f>IF(SER_hh_fech_in!L19=0,0,SER_hh_fech_in!L19/SER_summary!L$27)</f>
        <v>14.47311285008298</v>
      </c>
      <c r="M19" s="130">
        <f>IF(SER_hh_fech_in!M19=0,0,SER_hh_fech_in!M19/SER_summary!M$27)</f>
        <v>14.471984555434801</v>
      </c>
      <c r="N19" s="130">
        <f>IF(SER_hh_fech_in!N19=0,0,SER_hh_fech_in!N19/SER_summary!N$27)</f>
        <v>14.567307065417049</v>
      </c>
      <c r="O19" s="130">
        <f>IF(SER_hh_fech_in!O19=0,0,SER_hh_fech_in!O19/SER_summary!O$27)</f>
        <v>14.409222235637683</v>
      </c>
      <c r="P19" s="130">
        <f>IF(SER_hh_fech_in!P19=0,0,SER_hh_fech_in!P19/SER_summary!P$27)</f>
        <v>13.707157536294551</v>
      </c>
      <c r="Q19" s="130">
        <f>IF(SER_hh_fech_in!Q19=0,0,SER_hh_fech_in!Q19/SER_summary!Q$27)</f>
        <v>13.844315504163232</v>
      </c>
      <c r="R19" s="130">
        <f>IF(SER_hh_fech_in!R19=0,0,SER_hh_fech_in!R19/SER_summary!R$27)</f>
        <v>13.687292852224926</v>
      </c>
      <c r="S19" s="130">
        <f>IF(SER_hh_fech_in!S19=0,0,SER_hh_fech_in!S19/SER_summary!S$27)</f>
        <v>13.947795341140353</v>
      </c>
      <c r="T19" s="130">
        <f>IF(SER_hh_fech_in!T19=0,0,SER_hh_fech_in!T19/SER_summary!T$27)</f>
        <v>13.713551085053858</v>
      </c>
      <c r="U19" s="130">
        <f>IF(SER_hh_fech_in!U19=0,0,SER_hh_fech_in!U19/SER_summary!U$27)</f>
        <v>13.763920380272387</v>
      </c>
      <c r="V19" s="130">
        <f>IF(SER_hh_fech_in!V19=0,0,SER_hh_fech_in!V19/SER_summary!V$27)</f>
        <v>12.076189690361879</v>
      </c>
      <c r="W19" s="130">
        <f>IF(SER_hh_fech_in!W19=0,0,SER_hh_fech_in!W19/SER_summary!W$27)</f>
        <v>13.003866099452056</v>
      </c>
      <c r="X19" s="130">
        <f>IF(SER_hh_fech_in!X19=0,0,SER_hh_fech_in!X19/SER_summary!X$27)</f>
        <v>13.03543355065375</v>
      </c>
      <c r="Y19" s="130">
        <f>IF(SER_hh_fech_in!Y19=0,0,SER_hh_fech_in!Y19/SER_summary!Y$27)</f>
        <v>13.318706039472106</v>
      </c>
      <c r="DA19" s="155" t="s">
        <v>833</v>
      </c>
    </row>
    <row r="20" spans="1:105" ht="12" customHeight="1" x14ac:dyDescent="0.25">
      <c r="A20" s="131" t="s">
        <v>29</v>
      </c>
      <c r="B20" s="132"/>
      <c r="C20" s="132">
        <f>IF(SER_hh_fech_in!C20=0,0,SER_hh_fech_in!C20/SER_summary!C$27)</f>
        <v>0</v>
      </c>
      <c r="D20" s="132">
        <f>IF(SER_hh_fech_in!D20=0,0,SER_hh_fech_in!D20/SER_summary!D$27)</f>
        <v>0</v>
      </c>
      <c r="E20" s="132">
        <f>IF(SER_hh_fech_in!E20=0,0,SER_hh_fech_in!E20/SER_summary!E$27)</f>
        <v>0</v>
      </c>
      <c r="F20" s="132">
        <f>IF(SER_hh_fech_in!F20=0,0,SER_hh_fech_in!F20/SER_summary!F$27)</f>
        <v>0</v>
      </c>
      <c r="G20" s="132">
        <f>IF(SER_hh_fech_in!G20=0,0,SER_hh_fech_in!G20/SER_summary!G$27)</f>
        <v>0</v>
      </c>
      <c r="H20" s="132">
        <f>IF(SER_hh_fech_in!H20=0,0,SER_hh_fech_in!H20/SER_summary!H$27)</f>
        <v>0</v>
      </c>
      <c r="I20" s="132">
        <f>IF(SER_hh_fech_in!I20=0,0,SER_hh_fech_in!I20/SER_summary!I$27)</f>
        <v>0</v>
      </c>
      <c r="J20" s="132">
        <f>IF(SER_hh_fech_in!J20=0,0,SER_hh_fech_in!J20/SER_summary!J$27)</f>
        <v>0</v>
      </c>
      <c r="K20" s="132">
        <f>IF(SER_hh_fech_in!K20=0,0,SER_hh_fech_in!K20/SER_summary!K$27)</f>
        <v>0</v>
      </c>
      <c r="L20" s="132">
        <f>IF(SER_hh_fech_in!L20=0,0,SER_hh_fech_in!L20/SER_summary!L$27)</f>
        <v>0</v>
      </c>
      <c r="M20" s="132">
        <f>IF(SER_hh_fech_in!M20=0,0,SER_hh_fech_in!M20/SER_summary!M$27)</f>
        <v>0</v>
      </c>
      <c r="N20" s="132">
        <f>IF(SER_hh_fech_in!N20=0,0,SER_hh_fech_in!N20/SER_summary!N$27)</f>
        <v>0</v>
      </c>
      <c r="O20" s="132">
        <f>IF(SER_hh_fech_in!O20=0,0,SER_hh_fech_in!O20/SER_summary!O$27)</f>
        <v>0</v>
      </c>
      <c r="P20" s="132">
        <f>IF(SER_hh_fech_in!P20=0,0,SER_hh_fech_in!P20/SER_summary!P$27)</f>
        <v>0</v>
      </c>
      <c r="Q20" s="132">
        <f>IF(SER_hh_fech_in!Q20=0,0,SER_hh_fech_in!Q20/SER_summary!Q$27)</f>
        <v>0</v>
      </c>
      <c r="R20" s="132">
        <f>IF(SER_hh_fech_in!R20=0,0,SER_hh_fech_in!R20/SER_summary!R$27)</f>
        <v>0</v>
      </c>
      <c r="S20" s="132">
        <f>IF(SER_hh_fech_in!S20=0,0,SER_hh_fech_in!S20/SER_summary!S$27)</f>
        <v>0</v>
      </c>
      <c r="T20" s="132">
        <f>IF(SER_hh_fech_in!T20=0,0,SER_hh_fech_in!T20/SER_summary!T$27)</f>
        <v>0</v>
      </c>
      <c r="U20" s="132">
        <f>IF(SER_hh_fech_in!U20=0,0,SER_hh_fech_in!U20/SER_summary!U$27)</f>
        <v>0</v>
      </c>
      <c r="V20" s="132">
        <f>IF(SER_hh_fech_in!V20=0,0,SER_hh_fech_in!V20/SER_summary!V$27)</f>
        <v>0</v>
      </c>
      <c r="W20" s="132">
        <f>IF(SER_hh_fech_in!W20=0,0,SER_hh_fech_in!W20/SER_summary!W$27)</f>
        <v>0</v>
      </c>
      <c r="X20" s="132">
        <f>IF(SER_hh_fech_in!X20=0,0,SER_hh_fech_in!X20/SER_summary!X$27)</f>
        <v>0</v>
      </c>
      <c r="Y20" s="132">
        <f>IF(SER_hh_fech_in!Y20=0,0,SER_hh_fech_in!Y20/SER_summary!Y$27)</f>
        <v>0</v>
      </c>
      <c r="DA20" s="156" t="s">
        <v>834</v>
      </c>
    </row>
    <row r="21" spans="1:105" s="2" customFormat="1" ht="12" customHeight="1" x14ac:dyDescent="0.25">
      <c r="A21" s="131" t="s">
        <v>52</v>
      </c>
      <c r="B21" s="132"/>
      <c r="C21" s="132">
        <f>IF(SER_hh_fech_in!C21=0,0,SER_hh_fech_in!C21/SER_summary!C$27)</f>
        <v>0</v>
      </c>
      <c r="D21" s="132">
        <f>IF(SER_hh_fech_in!D21=0,0,SER_hh_fech_in!D21/SER_summary!D$27)</f>
        <v>0</v>
      </c>
      <c r="E21" s="132">
        <f>IF(SER_hh_fech_in!E21=0,0,SER_hh_fech_in!E21/SER_summary!E$27)</f>
        <v>0</v>
      </c>
      <c r="F21" s="132">
        <f>IF(SER_hh_fech_in!F21=0,0,SER_hh_fech_in!F21/SER_summary!F$27)</f>
        <v>0</v>
      </c>
      <c r="G21" s="132">
        <f>IF(SER_hh_fech_in!G21=0,0,SER_hh_fech_in!G21/SER_summary!G$27)</f>
        <v>0</v>
      </c>
      <c r="H21" s="132">
        <f>IF(SER_hh_fech_in!H21=0,0,SER_hh_fech_in!H21/SER_summary!H$27)</f>
        <v>0</v>
      </c>
      <c r="I21" s="132">
        <f>IF(SER_hh_fech_in!I21=0,0,SER_hh_fech_in!I21/SER_summary!I$27)</f>
        <v>0</v>
      </c>
      <c r="J21" s="132">
        <f>IF(SER_hh_fech_in!J21=0,0,SER_hh_fech_in!J21/SER_summary!J$27)</f>
        <v>0</v>
      </c>
      <c r="K21" s="132">
        <f>IF(SER_hh_fech_in!K21=0,0,SER_hh_fech_in!K21/SER_summary!K$27)</f>
        <v>0</v>
      </c>
      <c r="L21" s="132">
        <f>IF(SER_hh_fech_in!L21=0,0,SER_hh_fech_in!L21/SER_summary!L$27)</f>
        <v>0</v>
      </c>
      <c r="M21" s="132">
        <f>IF(SER_hh_fech_in!M21=0,0,SER_hh_fech_in!M21/SER_summary!M$27)</f>
        <v>0</v>
      </c>
      <c r="N21" s="132">
        <f>IF(SER_hh_fech_in!N21=0,0,SER_hh_fech_in!N21/SER_summary!N$27)</f>
        <v>0</v>
      </c>
      <c r="O21" s="132">
        <f>IF(SER_hh_fech_in!O21=0,0,SER_hh_fech_in!O21/SER_summary!O$27)</f>
        <v>0</v>
      </c>
      <c r="P21" s="132">
        <f>IF(SER_hh_fech_in!P21=0,0,SER_hh_fech_in!P21/SER_summary!P$27)</f>
        <v>0</v>
      </c>
      <c r="Q21" s="132">
        <f>IF(SER_hh_fech_in!Q21=0,0,SER_hh_fech_in!Q21/SER_summary!Q$27)</f>
        <v>0</v>
      </c>
      <c r="R21" s="132">
        <f>IF(SER_hh_fech_in!R21=0,0,SER_hh_fech_in!R21/SER_summary!R$27)</f>
        <v>0</v>
      </c>
      <c r="S21" s="132">
        <f>IF(SER_hh_fech_in!S21=0,0,SER_hh_fech_in!S21/SER_summary!S$27)</f>
        <v>0</v>
      </c>
      <c r="T21" s="132">
        <f>IF(SER_hh_fech_in!T21=0,0,SER_hh_fech_in!T21/SER_summary!T$27)</f>
        <v>0</v>
      </c>
      <c r="U21" s="132">
        <f>IF(SER_hh_fech_in!U21=0,0,SER_hh_fech_in!U21/SER_summary!U$27)</f>
        <v>0</v>
      </c>
      <c r="V21" s="132">
        <f>IF(SER_hh_fech_in!V21=0,0,SER_hh_fech_in!V21/SER_summary!V$27)</f>
        <v>0</v>
      </c>
      <c r="W21" s="132">
        <f>IF(SER_hh_fech_in!W21=0,0,SER_hh_fech_in!W21/SER_summary!W$27)</f>
        <v>0</v>
      </c>
      <c r="X21" s="132">
        <f>IF(SER_hh_fech_in!X21=0,0,SER_hh_fech_in!X21/SER_summary!X$27)</f>
        <v>0</v>
      </c>
      <c r="Y21" s="132">
        <f>IF(SER_hh_fech_in!Y21=0,0,SER_hh_fech_in!Y21/SER_summary!Y$27)</f>
        <v>0</v>
      </c>
      <c r="DA21" s="156" t="s">
        <v>835</v>
      </c>
    </row>
    <row r="22" spans="1:105" ht="12" customHeight="1" x14ac:dyDescent="0.25">
      <c r="A22" s="131" t="s">
        <v>161</v>
      </c>
      <c r="B22" s="132"/>
      <c r="C22" s="132">
        <f>IF(SER_hh_fech_in!C22=0,0,SER_hh_fech_in!C22/SER_summary!C$27)</f>
        <v>0</v>
      </c>
      <c r="D22" s="132">
        <f>IF(SER_hh_fech_in!D22=0,0,SER_hh_fech_in!D22/SER_summary!D$27)</f>
        <v>0</v>
      </c>
      <c r="E22" s="132">
        <f>IF(SER_hh_fech_in!E22=0,0,SER_hh_fech_in!E22/SER_summary!E$27)</f>
        <v>0</v>
      </c>
      <c r="F22" s="132">
        <f>IF(SER_hh_fech_in!F22=0,0,SER_hh_fech_in!F22/SER_summary!F$27)</f>
        <v>0</v>
      </c>
      <c r="G22" s="132">
        <f>IF(SER_hh_fech_in!G22=0,0,SER_hh_fech_in!G22/SER_summary!G$27)</f>
        <v>0</v>
      </c>
      <c r="H22" s="132">
        <f>IF(SER_hh_fech_in!H22=0,0,SER_hh_fech_in!H22/SER_summary!H$27)</f>
        <v>0</v>
      </c>
      <c r="I22" s="132">
        <f>IF(SER_hh_fech_in!I22=0,0,SER_hh_fech_in!I22/SER_summary!I$27)</f>
        <v>0</v>
      </c>
      <c r="J22" s="132">
        <f>IF(SER_hh_fech_in!J22=0,0,SER_hh_fech_in!J22/SER_summary!J$27)</f>
        <v>0</v>
      </c>
      <c r="K22" s="132">
        <f>IF(SER_hh_fech_in!K22=0,0,SER_hh_fech_in!K22/SER_summary!K$27)</f>
        <v>18.138613031071753</v>
      </c>
      <c r="L22" s="132">
        <f>IF(SER_hh_fech_in!L22=0,0,SER_hh_fech_in!L22/SER_summary!L$27)</f>
        <v>19.302662441384928</v>
      </c>
      <c r="M22" s="132">
        <f>IF(SER_hh_fech_in!M22=0,0,SER_hh_fech_in!M22/SER_summary!M$27)</f>
        <v>19.14995932532382</v>
      </c>
      <c r="N22" s="132">
        <f>IF(SER_hh_fech_in!N22=0,0,SER_hh_fech_in!N22/SER_summary!N$27)</f>
        <v>17.080692347684497</v>
      </c>
      <c r="O22" s="132">
        <f>IF(SER_hh_fech_in!O22=0,0,SER_hh_fech_in!O22/SER_summary!O$27)</f>
        <v>18.305449020790835</v>
      </c>
      <c r="P22" s="132">
        <f>IF(SER_hh_fech_in!P22=0,0,SER_hh_fech_in!P22/SER_summary!P$27)</f>
        <v>0</v>
      </c>
      <c r="Q22" s="132">
        <f>IF(SER_hh_fech_in!Q22=0,0,SER_hh_fech_in!Q22/SER_summary!Q$27)</f>
        <v>16.562796048956642</v>
      </c>
      <c r="R22" s="132">
        <f>IF(SER_hh_fech_in!R22=0,0,SER_hh_fech_in!R22/SER_summary!R$27)</f>
        <v>0</v>
      </c>
      <c r="S22" s="132">
        <f>IF(SER_hh_fech_in!S22=0,0,SER_hh_fech_in!S22/SER_summary!S$27)</f>
        <v>17.643703582747733</v>
      </c>
      <c r="T22" s="132">
        <f>IF(SER_hh_fech_in!T22=0,0,SER_hh_fech_in!T22/SER_summary!T$27)</f>
        <v>12.699156125841006</v>
      </c>
      <c r="U22" s="132">
        <f>IF(SER_hh_fech_in!U22=0,0,SER_hh_fech_in!U22/SER_summary!U$27)</f>
        <v>14.487510469263098</v>
      </c>
      <c r="V22" s="132">
        <f>IF(SER_hh_fech_in!V22=0,0,SER_hh_fech_in!V22/SER_summary!V$27)</f>
        <v>14.74707458435423</v>
      </c>
      <c r="W22" s="132">
        <f>IF(SER_hh_fech_in!W22=0,0,SER_hh_fech_in!W22/SER_summary!W$27)</f>
        <v>16.498945513706932</v>
      </c>
      <c r="X22" s="132">
        <f>IF(SER_hh_fech_in!X22=0,0,SER_hh_fech_in!X22/SER_summary!X$27)</f>
        <v>0</v>
      </c>
      <c r="Y22" s="132">
        <f>IF(SER_hh_fech_in!Y22=0,0,SER_hh_fech_in!Y22/SER_summary!Y$27)</f>
        <v>0</v>
      </c>
      <c r="DA22" s="156" t="s">
        <v>836</v>
      </c>
    </row>
    <row r="23" spans="1:105" ht="12" customHeight="1" x14ac:dyDescent="0.25">
      <c r="A23" s="131" t="s">
        <v>149</v>
      </c>
      <c r="B23" s="132"/>
      <c r="C23" s="132">
        <f>IF(SER_hh_fech_in!C23=0,0,SER_hh_fech_in!C23/SER_summary!C$27)</f>
        <v>16.612460511802642</v>
      </c>
      <c r="D23" s="132">
        <f>IF(SER_hh_fech_in!D23=0,0,SER_hh_fech_in!D23/SER_summary!D$27)</f>
        <v>16.713706447307715</v>
      </c>
      <c r="E23" s="132">
        <f>IF(SER_hh_fech_in!E23=0,0,SER_hh_fech_in!E23/SER_summary!E$27)</f>
        <v>15.922165437031483</v>
      </c>
      <c r="F23" s="132">
        <f>IF(SER_hh_fech_in!F23=0,0,SER_hh_fech_in!F23/SER_summary!F$27)</f>
        <v>17.632254516880597</v>
      </c>
      <c r="G23" s="132">
        <f>IF(SER_hh_fech_in!G23=0,0,SER_hh_fech_in!G23/SER_summary!G$27)</f>
        <v>15.9518813412396</v>
      </c>
      <c r="H23" s="132">
        <f>IF(SER_hh_fech_in!H23=0,0,SER_hh_fech_in!H23/SER_summary!H$27)</f>
        <v>15.540770435362415</v>
      </c>
      <c r="I23" s="132">
        <f>IF(SER_hh_fech_in!I23=0,0,SER_hh_fech_in!I23/SER_summary!I$27)</f>
        <v>18.638535179216621</v>
      </c>
      <c r="J23" s="132">
        <f>IF(SER_hh_fech_in!J23=0,0,SER_hh_fech_in!J23/SER_summary!J$27)</f>
        <v>18.444113631941335</v>
      </c>
      <c r="K23" s="132">
        <f>IF(SER_hh_fech_in!K23=0,0,SER_hh_fech_in!K23/SER_summary!K$27)</f>
        <v>17.35182398532999</v>
      </c>
      <c r="L23" s="132">
        <f>IF(SER_hh_fech_in!L23=0,0,SER_hh_fech_in!L23/SER_summary!L$27)</f>
        <v>17.185629459331675</v>
      </c>
      <c r="M23" s="132">
        <f>IF(SER_hh_fech_in!M23=0,0,SER_hh_fech_in!M23/SER_summary!M$27)</f>
        <v>17.193210609966219</v>
      </c>
      <c r="N23" s="132">
        <f>IF(SER_hh_fech_in!N23=0,0,SER_hh_fech_in!N23/SER_summary!N$27)</f>
        <v>16.760556629995143</v>
      </c>
      <c r="O23" s="132">
        <f>IF(SER_hh_fech_in!O23=0,0,SER_hh_fech_in!O23/SER_summary!O$27)</f>
        <v>16.4288052271915</v>
      </c>
      <c r="P23" s="132">
        <f>IF(SER_hh_fech_in!P23=0,0,SER_hh_fech_in!P23/SER_summary!P$27)</f>
        <v>14.752132796252283</v>
      </c>
      <c r="Q23" s="132">
        <f>IF(SER_hh_fech_in!Q23=0,0,SER_hh_fech_in!Q23/SER_summary!Q$27)</f>
        <v>14.945402079831128</v>
      </c>
      <c r="R23" s="132">
        <f>IF(SER_hh_fech_in!R23=0,0,SER_hh_fech_in!R23/SER_summary!R$27)</f>
        <v>15.111484361125367</v>
      </c>
      <c r="S23" s="132">
        <f>IF(SER_hh_fech_in!S23=0,0,SER_hh_fech_in!S23/SER_summary!S$27)</f>
        <v>14.556304057767429</v>
      </c>
      <c r="T23" s="132">
        <f>IF(SER_hh_fech_in!T23=0,0,SER_hh_fech_in!T23/SER_summary!T$27)</f>
        <v>14.399862770308697</v>
      </c>
      <c r="U23" s="132">
        <f>IF(SER_hh_fech_in!U23=0,0,SER_hh_fech_in!U23/SER_summary!U$27)</f>
        <v>14.059467301907015</v>
      </c>
      <c r="V23" s="132">
        <f>IF(SER_hh_fech_in!V23=0,0,SER_hh_fech_in!V23/SER_summary!V$27)</f>
        <v>13.455504584075578</v>
      </c>
      <c r="W23" s="132">
        <f>IF(SER_hh_fech_in!W23=0,0,SER_hh_fech_in!W23/SER_summary!W$27)</f>
        <v>13.97468301727943</v>
      </c>
      <c r="X23" s="132">
        <f>IF(SER_hh_fech_in!X23=0,0,SER_hh_fech_in!X23/SER_summary!X$27)</f>
        <v>14.14681896300733</v>
      </c>
      <c r="Y23" s="132">
        <f>IF(SER_hh_fech_in!Y23=0,0,SER_hh_fech_in!Y23/SER_summary!Y$27)</f>
        <v>14.358243170961691</v>
      </c>
      <c r="DA23" s="156" t="s">
        <v>837</v>
      </c>
    </row>
    <row r="24" spans="1:105" ht="12" customHeight="1" x14ac:dyDescent="0.25">
      <c r="A24" s="131" t="s">
        <v>128</v>
      </c>
      <c r="B24" s="132"/>
      <c r="C24" s="132">
        <f>IF(SER_hh_fech_in!C24=0,0,SER_hh_fech_in!C24/SER_summary!C$27)</f>
        <v>16.518132277029704</v>
      </c>
      <c r="D24" s="132">
        <f>IF(SER_hh_fech_in!D24=0,0,SER_hh_fech_in!D24/SER_summary!D$27)</f>
        <v>16.572215779853767</v>
      </c>
      <c r="E24" s="132">
        <f>IF(SER_hh_fech_in!E24=0,0,SER_hh_fech_in!E24/SER_summary!E$27)</f>
        <v>16.813065511795269</v>
      </c>
      <c r="F24" s="132">
        <f>IF(SER_hh_fech_in!F24=0,0,SER_hh_fech_in!F24/SER_summary!F$27)</f>
        <v>16.842210928913435</v>
      </c>
      <c r="G24" s="132">
        <f>IF(SER_hh_fech_in!G24=0,0,SER_hh_fech_in!G24/SER_summary!G$27)</f>
        <v>17.010774048947496</v>
      </c>
      <c r="H24" s="132">
        <f>IF(SER_hh_fech_in!H24=0,0,SER_hh_fech_in!H24/SER_summary!H$27)</f>
        <v>17.62348734516565</v>
      </c>
      <c r="I24" s="132">
        <f>IF(SER_hh_fech_in!I24=0,0,SER_hh_fech_in!I24/SER_summary!I$27)</f>
        <v>16.625721145029971</v>
      </c>
      <c r="J24" s="132">
        <f>IF(SER_hh_fech_in!J24=0,0,SER_hh_fech_in!J24/SER_summary!J$27)</f>
        <v>16.66501620729586</v>
      </c>
      <c r="K24" s="132">
        <f>IF(SER_hh_fech_in!K24=0,0,SER_hh_fech_in!K24/SER_summary!K$27)</f>
        <v>16.467100053361232</v>
      </c>
      <c r="L24" s="132">
        <f>IF(SER_hh_fech_in!L24=0,0,SER_hh_fech_in!L24/SER_summary!L$27)</f>
        <v>16.434346029945715</v>
      </c>
      <c r="M24" s="132">
        <f>IF(SER_hh_fech_in!M24=0,0,SER_hh_fech_in!M24/SER_summary!M$27)</f>
        <v>16.600876116018856</v>
      </c>
      <c r="N24" s="132">
        <f>IF(SER_hh_fech_in!N24=0,0,SER_hh_fech_in!N24/SER_summary!N$27)</f>
        <v>16.462886349021403</v>
      </c>
      <c r="O24" s="132">
        <f>IF(SER_hh_fech_in!O24=0,0,SER_hh_fech_in!O24/SER_summary!O$27)</f>
        <v>16.645194252410555</v>
      </c>
      <c r="P24" s="132">
        <f>IF(SER_hh_fech_in!P24=0,0,SER_hh_fech_in!P24/SER_summary!P$27)</f>
        <v>16.666467304800108</v>
      </c>
      <c r="Q24" s="132">
        <f>IF(SER_hh_fech_in!Q24=0,0,SER_hh_fech_in!Q24/SER_summary!Q$27)</f>
        <v>16.977846061049625</v>
      </c>
      <c r="R24" s="132">
        <f>IF(SER_hh_fech_in!R24=0,0,SER_hh_fech_in!R24/SER_summary!R$27)</f>
        <v>16.674060278623656</v>
      </c>
      <c r="S24" s="132">
        <f>IF(SER_hh_fech_in!S24=0,0,SER_hh_fech_in!S24/SER_summary!S$27)</f>
        <v>0</v>
      </c>
      <c r="T24" s="132">
        <f>IF(SER_hh_fech_in!T24=0,0,SER_hh_fech_in!T24/SER_summary!T$27)</f>
        <v>15.75400410741991</v>
      </c>
      <c r="U24" s="132">
        <f>IF(SER_hh_fech_in!U24=0,0,SER_hh_fech_in!U24/SER_summary!U$27)</f>
        <v>14.829827933690456</v>
      </c>
      <c r="V24" s="132">
        <f>IF(SER_hh_fech_in!V24=0,0,SER_hh_fech_in!V24/SER_summary!V$27)</f>
        <v>15.570681845270752</v>
      </c>
      <c r="W24" s="132">
        <f>IF(SER_hh_fech_in!W24=0,0,SER_hh_fech_in!W24/SER_summary!W$27)</f>
        <v>15.313757762505672</v>
      </c>
      <c r="X24" s="132">
        <f>IF(SER_hh_fech_in!X24=0,0,SER_hh_fech_in!X24/SER_summary!X$27)</f>
        <v>15.117881815129136</v>
      </c>
      <c r="Y24" s="132">
        <f>IF(SER_hh_fech_in!Y24=0,0,SER_hh_fech_in!Y24/SER_summary!Y$27)</f>
        <v>15.341266528575961</v>
      </c>
      <c r="DA24" s="156" t="s">
        <v>838</v>
      </c>
    </row>
    <row r="25" spans="1:105" ht="12" customHeight="1" x14ac:dyDescent="0.25">
      <c r="A25" s="131" t="s">
        <v>162</v>
      </c>
      <c r="B25" s="132"/>
      <c r="C25" s="132">
        <f>IF(SER_hh_fech_in!C25=0,0,SER_hh_fech_in!C25/SER_summary!C$27)</f>
        <v>12.257057922786352</v>
      </c>
      <c r="D25" s="132">
        <f>IF(SER_hh_fech_in!D25=0,0,SER_hh_fech_in!D25/SER_summary!D$27)</f>
        <v>12.040250972507762</v>
      </c>
      <c r="E25" s="132">
        <f>IF(SER_hh_fech_in!E25=0,0,SER_hh_fech_in!E25/SER_summary!E$27)</f>
        <v>12.016938964105501</v>
      </c>
      <c r="F25" s="132">
        <f>IF(SER_hh_fech_in!F25=0,0,SER_hh_fech_in!F25/SER_summary!F$27)</f>
        <v>12.497610304367678</v>
      </c>
      <c r="G25" s="132">
        <f>IF(SER_hh_fech_in!G25=0,0,SER_hh_fech_in!G25/SER_summary!G$27)</f>
        <v>13.014332924248622</v>
      </c>
      <c r="H25" s="132">
        <f>IF(SER_hh_fech_in!H25=0,0,SER_hh_fech_in!H25/SER_summary!H$27)</f>
        <v>13.711004860797784</v>
      </c>
      <c r="I25" s="132">
        <f>IF(SER_hh_fech_in!I25=0,0,SER_hh_fech_in!I25/SER_summary!I$27)</f>
        <v>12.290927474194659</v>
      </c>
      <c r="J25" s="132">
        <f>IF(SER_hh_fech_in!J25=0,0,SER_hh_fech_in!J25/SER_summary!J$27)</f>
        <v>12.340526310232203</v>
      </c>
      <c r="K25" s="132">
        <f>IF(SER_hh_fech_in!K25=0,0,SER_hh_fech_in!K25/SER_summary!K$27)</f>
        <v>13.363522160073689</v>
      </c>
      <c r="L25" s="132">
        <f>IF(SER_hh_fech_in!L25=0,0,SER_hh_fech_in!L25/SER_summary!L$27)</f>
        <v>13.731382587700145</v>
      </c>
      <c r="M25" s="132">
        <f>IF(SER_hh_fech_in!M25=0,0,SER_hh_fech_in!M25/SER_summary!M$27)</f>
        <v>13.401195805946124</v>
      </c>
      <c r="N25" s="132">
        <f>IF(SER_hh_fech_in!N25=0,0,SER_hh_fech_in!N25/SER_summary!N$27)</f>
        <v>13.437271918141482</v>
      </c>
      <c r="O25" s="132">
        <f>IF(SER_hh_fech_in!O25=0,0,SER_hh_fech_in!O25/SER_summary!O$27)</f>
        <v>13.644265786409873</v>
      </c>
      <c r="P25" s="132">
        <f>IF(SER_hh_fech_in!P25=0,0,SER_hh_fech_in!P25/SER_summary!P$27)</f>
        <v>13.182560116885469</v>
      </c>
      <c r="Q25" s="132">
        <f>IF(SER_hh_fech_in!Q25=0,0,SER_hh_fech_in!Q25/SER_summary!Q$27)</f>
        <v>13.621789691790532</v>
      </c>
      <c r="R25" s="132">
        <f>IF(SER_hh_fech_in!R25=0,0,SER_hh_fech_in!R25/SER_summary!R$27)</f>
        <v>13.526156613992335</v>
      </c>
      <c r="S25" s="132">
        <f>IF(SER_hh_fech_in!S25=0,0,SER_hh_fech_in!S25/SER_summary!S$27)</f>
        <v>13.782116823194471</v>
      </c>
      <c r="T25" s="132">
        <f>IF(SER_hh_fech_in!T25=0,0,SER_hh_fech_in!T25/SER_summary!T$27)</f>
        <v>13.474995953944772</v>
      </c>
      <c r="U25" s="132">
        <f>IF(SER_hh_fech_in!U25=0,0,SER_hh_fech_in!U25/SER_summary!U$27)</f>
        <v>13.316761123012386</v>
      </c>
      <c r="V25" s="132">
        <f>IF(SER_hh_fech_in!V25=0,0,SER_hh_fech_in!V25/SER_summary!V$27)</f>
        <v>11.584515319546012</v>
      </c>
      <c r="W25" s="132">
        <f>IF(SER_hh_fech_in!W25=0,0,SER_hh_fech_in!W25/SER_summary!W$27)</f>
        <v>12.982679820706538</v>
      </c>
      <c r="X25" s="132">
        <f>IF(SER_hh_fech_in!X25=0,0,SER_hh_fech_in!X25/SER_summary!X$27)</f>
        <v>13.057062456166294</v>
      </c>
      <c r="Y25" s="132">
        <f>IF(SER_hh_fech_in!Y25=0,0,SER_hh_fech_in!Y25/SER_summary!Y$27)</f>
        <v>13.24781586574756</v>
      </c>
      <c r="DA25" s="156" t="s">
        <v>839</v>
      </c>
    </row>
    <row r="26" spans="1:105" ht="12" customHeight="1" x14ac:dyDescent="0.25">
      <c r="A26" s="131" t="s">
        <v>24</v>
      </c>
      <c r="B26" s="65"/>
      <c r="C26" s="65">
        <f>IF(SER_hh_fech_in!C26=0,0,SER_hh_fech_in!C26/SER_summary!C$27)</f>
        <v>14.637050903464338</v>
      </c>
      <c r="D26" s="65">
        <f>IF(SER_hh_fech_in!D26=0,0,SER_hh_fech_in!D26/SER_summary!D$27)</f>
        <v>14.833433669146885</v>
      </c>
      <c r="E26" s="65">
        <f>IF(SER_hh_fech_in!E26=0,0,SER_hh_fech_in!E26/SER_summary!E$27)</f>
        <v>14.72148751719404</v>
      </c>
      <c r="F26" s="65">
        <f>IF(SER_hh_fech_in!F26=0,0,SER_hh_fech_in!F26/SER_summary!F$27)</f>
        <v>14.883167814878822</v>
      </c>
      <c r="G26" s="65">
        <f>IF(SER_hh_fech_in!G26=0,0,SER_hh_fech_in!G26/SER_summary!G$27)</f>
        <v>15.353009907058611</v>
      </c>
      <c r="H26" s="65">
        <f>IF(SER_hh_fech_in!H26=0,0,SER_hh_fech_in!H26/SER_summary!H$27)</f>
        <v>15.626081702308227</v>
      </c>
      <c r="I26" s="65">
        <f>IF(SER_hh_fech_in!I26=0,0,SER_hh_fech_in!I26/SER_summary!I$27)</f>
        <v>16.310990624003885</v>
      </c>
      <c r="J26" s="65">
        <f>IF(SER_hh_fech_in!J26=0,0,SER_hh_fech_in!J26/SER_summary!J$27)</f>
        <v>16.311136998416668</v>
      </c>
      <c r="K26" s="65">
        <f>IF(SER_hh_fech_in!K26=0,0,SER_hh_fech_in!K26/SER_summary!K$27)</f>
        <v>15.646016005216312</v>
      </c>
      <c r="L26" s="65">
        <f>IF(SER_hh_fech_in!L26=0,0,SER_hh_fech_in!L26/SER_summary!L$27)</f>
        <v>15.561838871012549</v>
      </c>
      <c r="M26" s="65">
        <f>IF(SER_hh_fech_in!M26=0,0,SER_hh_fech_in!M26/SER_summary!M$27)</f>
        <v>16.162968070595973</v>
      </c>
      <c r="N26" s="65">
        <f>IF(SER_hh_fech_in!N26=0,0,SER_hh_fech_in!N26/SER_summary!N$27)</f>
        <v>15.968778460847032</v>
      </c>
      <c r="O26" s="65">
        <f>IF(SER_hh_fech_in!O26=0,0,SER_hh_fech_in!O26/SER_summary!O$27)</f>
        <v>15.448803789479125</v>
      </c>
      <c r="P26" s="65">
        <f>IF(SER_hh_fech_in!P26=0,0,SER_hh_fech_in!P26/SER_summary!P$27)</f>
        <v>15.50160816581227</v>
      </c>
      <c r="Q26" s="65">
        <f>IF(SER_hh_fech_in!Q26=0,0,SER_hh_fech_in!Q26/SER_summary!Q$27)</f>
        <v>14.019716436592596</v>
      </c>
      <c r="R26" s="65">
        <f>IF(SER_hh_fech_in!R26=0,0,SER_hh_fech_in!R26/SER_summary!R$27)</f>
        <v>13.411761280764802</v>
      </c>
      <c r="S26" s="65">
        <f>IF(SER_hh_fech_in!S26=0,0,SER_hh_fech_in!S26/SER_summary!S$27)</f>
        <v>14.007964733483233</v>
      </c>
      <c r="T26" s="65">
        <f>IF(SER_hh_fech_in!T26=0,0,SER_hh_fech_in!T26/SER_summary!T$27)</f>
        <v>13.660949688962281</v>
      </c>
      <c r="U26" s="65">
        <f>IF(SER_hh_fech_in!U26=0,0,SER_hh_fech_in!U26/SER_summary!U$27)</f>
        <v>13.945228246935841</v>
      </c>
      <c r="V26" s="65">
        <f>IF(SER_hh_fech_in!V26=0,0,SER_hh_fech_in!V26/SER_summary!V$27)</f>
        <v>11.735170512054195</v>
      </c>
      <c r="W26" s="65">
        <f>IF(SER_hh_fech_in!W26=0,0,SER_hh_fech_in!W26/SER_summary!W$27)</f>
        <v>12.582635458583873</v>
      </c>
      <c r="X26" s="65">
        <f>IF(SER_hh_fech_in!X26=0,0,SER_hh_fech_in!X26/SER_summary!X$27)</f>
        <v>12.60799483743666</v>
      </c>
      <c r="Y26" s="65">
        <f>IF(SER_hh_fech_in!Y26=0,0,SER_hh_fech_in!Y26/SER_summary!Y$27)</f>
        <v>13.095920785008424</v>
      </c>
      <c r="DA26" s="109" t="s">
        <v>840</v>
      </c>
    </row>
    <row r="27" spans="1:105" ht="12" customHeight="1" x14ac:dyDescent="0.25">
      <c r="A27" s="144" t="s">
        <v>86</v>
      </c>
      <c r="B27" s="147"/>
      <c r="C27" s="145">
        <f>IF(SER_hh_fech_in!C27=0,0,SER_hh_fech_in!C27/SER_summary!C$27)</f>
        <v>0</v>
      </c>
      <c r="D27" s="145">
        <f>IF(SER_hh_fech_in!D27=0,0,SER_hh_fech_in!D27/SER_summary!D$27)</f>
        <v>0</v>
      </c>
      <c r="E27" s="145">
        <f>IF(SER_hh_fech_in!E27=0,0,SER_hh_fech_in!E27/SER_summary!E$27)</f>
        <v>0</v>
      </c>
      <c r="F27" s="145">
        <f>IF(SER_hh_fech_in!F27=0,0,SER_hh_fech_in!F27/SER_summary!F$27)</f>
        <v>0</v>
      </c>
      <c r="G27" s="145">
        <f>IF(SER_hh_fech_in!G27=0,0,SER_hh_fech_in!G27/SER_summary!G$27)</f>
        <v>0</v>
      </c>
      <c r="H27" s="145">
        <f>IF(SER_hh_fech_in!H27=0,0,SER_hh_fech_in!H27/SER_summary!H$27)</f>
        <v>0</v>
      </c>
      <c r="I27" s="145">
        <f>IF(SER_hh_fech_in!I27=0,0,SER_hh_fech_in!I27/SER_summary!I$27)</f>
        <v>0</v>
      </c>
      <c r="J27" s="145">
        <f>IF(SER_hh_fech_in!J27=0,0,SER_hh_fech_in!J27/SER_summary!J$27)</f>
        <v>0</v>
      </c>
      <c r="K27" s="145">
        <f>IF(SER_hh_fech_in!K27=0,0,SER_hh_fech_in!K27/SER_summary!K$27)</f>
        <v>0</v>
      </c>
      <c r="L27" s="145">
        <f>IF(SER_hh_fech_in!L27=0,0,SER_hh_fech_in!L27/SER_summary!L$27)</f>
        <v>0</v>
      </c>
      <c r="M27" s="145">
        <f>IF(SER_hh_fech_in!M27=0,0,SER_hh_fech_in!M27/SER_summary!M$27)</f>
        <v>0</v>
      </c>
      <c r="N27" s="145">
        <f>IF(SER_hh_fech_in!N27=0,0,SER_hh_fech_in!N27/SER_summary!N$27)</f>
        <v>0</v>
      </c>
      <c r="O27" s="145">
        <f>IF(SER_hh_fech_in!O27=0,0,SER_hh_fech_in!O27/SER_summary!O$27)</f>
        <v>0</v>
      </c>
      <c r="P27" s="145">
        <f>IF(SER_hh_fech_in!P27=0,0,SER_hh_fech_in!P27/SER_summary!P$27)</f>
        <v>0</v>
      </c>
      <c r="Q27" s="145">
        <f>IF(SER_hh_fech_in!Q27=0,0,SER_hh_fech_in!Q27/SER_summary!Q$27)</f>
        <v>0</v>
      </c>
      <c r="R27" s="145">
        <f>IF(SER_hh_fech_in!R27=0,0,SER_hh_fech_in!R27/SER_summary!R$27)</f>
        <v>0</v>
      </c>
      <c r="S27" s="145">
        <f>IF(SER_hh_fech_in!S27=0,0,SER_hh_fech_in!S27/SER_summary!S$27)</f>
        <v>0</v>
      </c>
      <c r="T27" s="145">
        <f>IF(SER_hh_fech_in!T27=0,0,SER_hh_fech_in!T27/SER_summary!T$27)</f>
        <v>0</v>
      </c>
      <c r="U27" s="145">
        <f>IF(SER_hh_fech_in!U27=0,0,SER_hh_fech_in!U27/SER_summary!U$27)</f>
        <v>0</v>
      </c>
      <c r="V27" s="145">
        <f>IF(SER_hh_fech_in!V27=0,0,SER_hh_fech_in!V27/SER_summary!V$27)</f>
        <v>0</v>
      </c>
      <c r="W27" s="145">
        <f>IF(SER_hh_fech_in!W27=0,0,SER_hh_fech_in!W27/SER_summary!W$27)</f>
        <v>0</v>
      </c>
      <c r="X27" s="145">
        <f>IF(SER_hh_fech_in!X27=0,0,SER_hh_fech_in!X27/SER_summary!X$27)</f>
        <v>0</v>
      </c>
      <c r="Y27" s="145">
        <f>IF(SER_hh_fech_in!Y27=0,0,SER_hh_fech_in!Y27/SER_summary!Y$27)</f>
        <v>0</v>
      </c>
      <c r="DA27" s="158" t="s">
        <v>841</v>
      </c>
    </row>
    <row r="28" spans="1:105" ht="12" customHeight="1" x14ac:dyDescent="0.25">
      <c r="A28" s="78" t="s">
        <v>85</v>
      </c>
      <c r="B28" s="68"/>
      <c r="C28" s="146">
        <f>IF(SER_hh_fech_in!C28=0,0,SER_hh_fech_in!C28/SER_summary!C$27)</f>
        <v>0</v>
      </c>
      <c r="D28" s="146">
        <f>IF(SER_hh_fech_in!D28=0,0,SER_hh_fech_in!D28/SER_summary!D$27)</f>
        <v>0</v>
      </c>
      <c r="E28" s="146">
        <f>IF(SER_hh_fech_in!E28=0,0,SER_hh_fech_in!E28/SER_summary!E$27)</f>
        <v>0</v>
      </c>
      <c r="F28" s="146">
        <f>IF(SER_hh_fech_in!F28=0,0,SER_hh_fech_in!F28/SER_summary!F$27)</f>
        <v>0</v>
      </c>
      <c r="G28" s="146">
        <f>IF(SER_hh_fech_in!G28=0,0,SER_hh_fech_in!G28/SER_summary!G$27)</f>
        <v>0</v>
      </c>
      <c r="H28" s="146">
        <f>IF(SER_hh_fech_in!H28=0,0,SER_hh_fech_in!H28/SER_summary!H$27)</f>
        <v>0</v>
      </c>
      <c r="I28" s="146">
        <f>IF(SER_hh_fech_in!I28=0,0,SER_hh_fech_in!I28/SER_summary!I$27)</f>
        <v>0</v>
      </c>
      <c r="J28" s="146">
        <f>IF(SER_hh_fech_in!J28=0,0,SER_hh_fech_in!J28/SER_summary!J$27)</f>
        <v>0</v>
      </c>
      <c r="K28" s="146">
        <f>IF(SER_hh_fech_in!K28=0,0,SER_hh_fech_in!K28/SER_summary!K$27)</f>
        <v>0</v>
      </c>
      <c r="L28" s="146">
        <f>IF(SER_hh_fech_in!L28=0,0,SER_hh_fech_in!L28/SER_summary!L$27)</f>
        <v>0</v>
      </c>
      <c r="M28" s="146">
        <f>IF(SER_hh_fech_in!M28=0,0,SER_hh_fech_in!M28/SER_summary!M$27)</f>
        <v>0</v>
      </c>
      <c r="N28" s="146">
        <f>IF(SER_hh_fech_in!N28=0,0,SER_hh_fech_in!N28/SER_summary!N$27)</f>
        <v>0</v>
      </c>
      <c r="O28" s="146">
        <f>IF(SER_hh_fech_in!O28=0,0,SER_hh_fech_in!O28/SER_summary!O$27)</f>
        <v>0</v>
      </c>
      <c r="P28" s="146">
        <f>IF(SER_hh_fech_in!P28=0,0,SER_hh_fech_in!P28/SER_summary!P$27)</f>
        <v>0</v>
      </c>
      <c r="Q28" s="146">
        <f>IF(SER_hh_fech_in!Q28=0,0,SER_hh_fech_in!Q28/SER_summary!Q$27)</f>
        <v>0</v>
      </c>
      <c r="R28" s="146">
        <f>IF(SER_hh_fech_in!R28=0,0,SER_hh_fech_in!R28/SER_summary!R$27)</f>
        <v>0</v>
      </c>
      <c r="S28" s="146">
        <f>IF(SER_hh_fech_in!S28=0,0,SER_hh_fech_in!S28/SER_summary!S$27)</f>
        <v>0</v>
      </c>
      <c r="T28" s="146">
        <f>IF(SER_hh_fech_in!T28=0,0,SER_hh_fech_in!T28/SER_summary!T$27)</f>
        <v>0</v>
      </c>
      <c r="U28" s="146">
        <f>IF(SER_hh_fech_in!U28=0,0,SER_hh_fech_in!U28/SER_summary!U$27)</f>
        <v>0</v>
      </c>
      <c r="V28" s="146">
        <f>IF(SER_hh_fech_in!V28=0,0,SER_hh_fech_in!V28/SER_summary!V$27)</f>
        <v>0</v>
      </c>
      <c r="W28" s="146">
        <f>IF(SER_hh_fech_in!W28=0,0,SER_hh_fech_in!W28/SER_summary!W$27)</f>
        <v>0</v>
      </c>
      <c r="X28" s="146">
        <f>IF(SER_hh_fech_in!X28=0,0,SER_hh_fech_in!X28/SER_summary!X$27)</f>
        <v>0</v>
      </c>
      <c r="Y28" s="146">
        <f>IF(SER_hh_fech_in!Y28=0,0,SER_hh_fech_in!Y28/SER_summary!Y$27)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IF(SER_hh_fech_in!C29=0,0,SER_hh_fech_in!C29/SER_summary!C$27)</f>
        <v>14.64429631335984</v>
      </c>
      <c r="D29" s="130">
        <f>IF(SER_hh_fech_in!D29=0,0,SER_hh_fech_in!D29/SER_summary!D$27)</f>
        <v>14.761604709756112</v>
      </c>
      <c r="E29" s="130">
        <f>IF(SER_hh_fech_in!E29=0,0,SER_hh_fech_in!E29/SER_summary!E$27)</f>
        <v>14.192125219447766</v>
      </c>
      <c r="F29" s="130">
        <f>IF(SER_hh_fech_in!F29=0,0,SER_hh_fech_in!F29/SER_summary!F$27)</f>
        <v>14.112452116093566</v>
      </c>
      <c r="G29" s="130">
        <f>IF(SER_hh_fech_in!G29=0,0,SER_hh_fech_in!G29/SER_summary!G$27)</f>
        <v>15.217652528141542</v>
      </c>
      <c r="H29" s="130">
        <f>IF(SER_hh_fech_in!H29=0,0,SER_hh_fech_in!H29/SER_summary!H$27)</f>
        <v>15.658068881296652</v>
      </c>
      <c r="I29" s="130">
        <f>IF(SER_hh_fech_in!I29=0,0,SER_hh_fech_in!I29/SER_summary!I$27)</f>
        <v>15.237086448115923</v>
      </c>
      <c r="J29" s="130">
        <f>IF(SER_hh_fech_in!J29=0,0,SER_hh_fech_in!J29/SER_summary!J$27)</f>
        <v>14.975952540239575</v>
      </c>
      <c r="K29" s="130">
        <f>IF(SER_hh_fech_in!K29=0,0,SER_hh_fech_in!K29/SER_summary!K$27)</f>
        <v>14.911910377244372</v>
      </c>
      <c r="L29" s="130">
        <f>IF(SER_hh_fech_in!L29=0,0,SER_hh_fech_in!L29/SER_summary!L$27)</f>
        <v>14.206332960465215</v>
      </c>
      <c r="M29" s="130">
        <f>IF(SER_hh_fech_in!M29=0,0,SER_hh_fech_in!M29/SER_summary!M$27)</f>
        <v>13.379940349224505</v>
      </c>
      <c r="N29" s="130">
        <f>IF(SER_hh_fech_in!N29=0,0,SER_hh_fech_in!N29/SER_summary!N$27)</f>
        <v>14.172146287019469</v>
      </c>
      <c r="O29" s="130">
        <f>IF(SER_hh_fech_in!O29=0,0,SER_hh_fech_in!O29/SER_summary!O$27)</f>
        <v>14.316765822750538</v>
      </c>
      <c r="P29" s="130">
        <f>IF(SER_hh_fech_in!P29=0,0,SER_hh_fech_in!P29/SER_summary!P$27)</f>
        <v>14.334179276064221</v>
      </c>
      <c r="Q29" s="130">
        <f>IF(SER_hh_fech_in!Q29=0,0,SER_hh_fech_in!Q29/SER_summary!Q$27)</f>
        <v>14.475004870648718</v>
      </c>
      <c r="R29" s="130">
        <f>IF(SER_hh_fech_in!R29=0,0,SER_hh_fech_in!R29/SER_summary!R$27)</f>
        <v>14.616652956354816</v>
      </c>
      <c r="S29" s="130">
        <f>IF(SER_hh_fech_in!S29=0,0,SER_hh_fech_in!S29/SER_summary!S$27)</f>
        <v>14.433032509698819</v>
      </c>
      <c r="T29" s="130">
        <f>IF(SER_hh_fech_in!T29=0,0,SER_hh_fech_in!T29/SER_summary!T$27)</f>
        <v>14.034053135375242</v>
      </c>
      <c r="U29" s="130">
        <f>IF(SER_hh_fech_in!U29=0,0,SER_hh_fech_in!U29/SER_summary!U$27)</f>
        <v>14.819376349553146</v>
      </c>
      <c r="V29" s="130">
        <f>IF(SER_hh_fech_in!V29=0,0,SER_hh_fech_in!V29/SER_summary!V$27)</f>
        <v>13.894031678646227</v>
      </c>
      <c r="W29" s="130">
        <f>IF(SER_hh_fech_in!W29=0,0,SER_hh_fech_in!W29/SER_summary!W$27)</f>
        <v>15.22754219605374</v>
      </c>
      <c r="X29" s="130">
        <f>IF(SER_hh_fech_in!X29=0,0,SER_hh_fech_in!X29/SER_summary!X$27)</f>
        <v>15.326519586049923</v>
      </c>
      <c r="Y29" s="130">
        <f>IF(SER_hh_fech_in!Y29=0,0,SER_hh_fech_in!Y29/SER_summary!Y$27)</f>
        <v>16.003511096444445</v>
      </c>
      <c r="DA29" s="155" t="s">
        <v>842</v>
      </c>
    </row>
    <row r="30" spans="1:105" s="2" customFormat="1" ht="12" customHeight="1" x14ac:dyDescent="0.25">
      <c r="A30" s="131" t="s">
        <v>52</v>
      </c>
      <c r="B30" s="132"/>
      <c r="C30" s="132">
        <f>IF(SER_hh_fech_in!C30=0,0,SER_hh_fech_in!C30/SER_summary!C$27)</f>
        <v>0</v>
      </c>
      <c r="D30" s="132">
        <f>IF(SER_hh_fech_in!D30=0,0,SER_hh_fech_in!D30/SER_summary!D$27)</f>
        <v>0</v>
      </c>
      <c r="E30" s="132">
        <f>IF(SER_hh_fech_in!E30=0,0,SER_hh_fech_in!E30/SER_summary!E$27)</f>
        <v>0</v>
      </c>
      <c r="F30" s="132">
        <f>IF(SER_hh_fech_in!F30=0,0,SER_hh_fech_in!F30/SER_summary!F$27)</f>
        <v>0</v>
      </c>
      <c r="G30" s="132">
        <f>IF(SER_hh_fech_in!G30=0,0,SER_hh_fech_in!G30/SER_summary!G$27)</f>
        <v>0</v>
      </c>
      <c r="H30" s="132">
        <f>IF(SER_hh_fech_in!H30=0,0,SER_hh_fech_in!H30/SER_summary!H$27)</f>
        <v>0</v>
      </c>
      <c r="I30" s="132">
        <f>IF(SER_hh_fech_in!I30=0,0,SER_hh_fech_in!I30/SER_summary!I$27)</f>
        <v>0</v>
      </c>
      <c r="J30" s="132">
        <f>IF(SER_hh_fech_in!J30=0,0,SER_hh_fech_in!J30/SER_summary!J$27)</f>
        <v>0</v>
      </c>
      <c r="K30" s="132">
        <f>IF(SER_hh_fech_in!K30=0,0,SER_hh_fech_in!K30/SER_summary!K$27)</f>
        <v>0</v>
      </c>
      <c r="L30" s="132">
        <f>IF(SER_hh_fech_in!L30=0,0,SER_hh_fech_in!L30/SER_summary!L$27)</f>
        <v>0</v>
      </c>
      <c r="M30" s="132">
        <f>IF(SER_hh_fech_in!M30=0,0,SER_hh_fech_in!M30/SER_summary!M$27)</f>
        <v>0</v>
      </c>
      <c r="N30" s="132">
        <f>IF(SER_hh_fech_in!N30=0,0,SER_hh_fech_in!N30/SER_summary!N$27)</f>
        <v>0</v>
      </c>
      <c r="O30" s="132">
        <f>IF(SER_hh_fech_in!O30=0,0,SER_hh_fech_in!O30/SER_summary!O$27)</f>
        <v>0</v>
      </c>
      <c r="P30" s="132">
        <f>IF(SER_hh_fech_in!P30=0,0,SER_hh_fech_in!P30/SER_summary!P$27)</f>
        <v>0</v>
      </c>
      <c r="Q30" s="132">
        <f>IF(SER_hh_fech_in!Q30=0,0,SER_hh_fech_in!Q30/SER_summary!Q$27)</f>
        <v>0</v>
      </c>
      <c r="R30" s="132">
        <f>IF(SER_hh_fech_in!R30=0,0,SER_hh_fech_in!R30/SER_summary!R$27)</f>
        <v>0</v>
      </c>
      <c r="S30" s="132">
        <f>IF(SER_hh_fech_in!S30=0,0,SER_hh_fech_in!S30/SER_summary!S$27)</f>
        <v>0</v>
      </c>
      <c r="T30" s="132">
        <f>IF(SER_hh_fech_in!T30=0,0,SER_hh_fech_in!T30/SER_summary!T$27)</f>
        <v>0</v>
      </c>
      <c r="U30" s="132">
        <f>IF(SER_hh_fech_in!U30=0,0,SER_hh_fech_in!U30/SER_summary!U$27)</f>
        <v>0</v>
      </c>
      <c r="V30" s="132">
        <f>IF(SER_hh_fech_in!V30=0,0,SER_hh_fech_in!V30/SER_summary!V$27)</f>
        <v>0</v>
      </c>
      <c r="W30" s="132">
        <f>IF(SER_hh_fech_in!W30=0,0,SER_hh_fech_in!W30/SER_summary!W$27)</f>
        <v>0</v>
      </c>
      <c r="X30" s="132">
        <f>IF(SER_hh_fech_in!X30=0,0,SER_hh_fech_in!X30/SER_summary!X$27)</f>
        <v>0</v>
      </c>
      <c r="Y30" s="132">
        <f>IF(SER_hh_fech_in!Y30=0,0,SER_hh_fech_in!Y30/SER_summary!Y$27)</f>
        <v>0</v>
      </c>
      <c r="DA30" s="156" t="s">
        <v>843</v>
      </c>
    </row>
    <row r="31" spans="1:105" ht="12" customHeight="1" x14ac:dyDescent="0.25">
      <c r="A31" s="131" t="s">
        <v>149</v>
      </c>
      <c r="B31" s="132"/>
      <c r="C31" s="132">
        <f>IF(SER_hh_fech_in!C31=0,0,SER_hh_fech_in!C31/SER_summary!C$27)</f>
        <v>17.665694869303767</v>
      </c>
      <c r="D31" s="132">
        <f>IF(SER_hh_fech_in!D31=0,0,SER_hh_fech_in!D31/SER_summary!D$27)</f>
        <v>18.603459040229129</v>
      </c>
      <c r="E31" s="132">
        <f>IF(SER_hh_fech_in!E31=0,0,SER_hh_fech_in!E31/SER_summary!E$27)</f>
        <v>18.603375925050059</v>
      </c>
      <c r="F31" s="132">
        <f>IF(SER_hh_fech_in!F31=0,0,SER_hh_fech_in!F31/SER_summary!F$27)</f>
        <v>17.163048267665069</v>
      </c>
      <c r="G31" s="132">
        <f>IF(SER_hh_fech_in!G31=0,0,SER_hh_fech_in!G31/SER_summary!G$27)</f>
        <v>17.649655956783452</v>
      </c>
      <c r="H31" s="132">
        <f>IF(SER_hh_fech_in!H31=0,0,SER_hh_fech_in!H31/SER_summary!H$27)</f>
        <v>17.117175221774385</v>
      </c>
      <c r="I31" s="132">
        <f>IF(SER_hh_fech_in!I31=0,0,SER_hh_fech_in!I31/SER_summary!I$27)</f>
        <v>19.325818445003907</v>
      </c>
      <c r="J31" s="132">
        <f>IF(SER_hh_fech_in!J31=0,0,SER_hh_fech_in!J31/SER_summary!J$27)</f>
        <v>19.120706080831255</v>
      </c>
      <c r="K31" s="132">
        <f>IF(SER_hh_fech_in!K31=0,0,SER_hh_fech_in!K31/SER_summary!K$27)</f>
        <v>18.635188776810441</v>
      </c>
      <c r="L31" s="132">
        <f>IF(SER_hh_fech_in!L31=0,0,SER_hh_fech_in!L31/SER_summary!L$27)</f>
        <v>18.154976647232861</v>
      </c>
      <c r="M31" s="132">
        <f>IF(SER_hh_fech_in!M31=0,0,SER_hh_fech_in!M31/SER_summary!M$27)</f>
        <v>0</v>
      </c>
      <c r="N31" s="132">
        <f>IF(SER_hh_fech_in!N31=0,0,SER_hh_fech_in!N31/SER_summary!N$27)</f>
        <v>0</v>
      </c>
      <c r="O31" s="132">
        <f>IF(SER_hh_fech_in!O31=0,0,SER_hh_fech_in!O31/SER_summary!O$27)</f>
        <v>0</v>
      </c>
      <c r="P31" s="132">
        <f>IF(SER_hh_fech_in!P31=0,0,SER_hh_fech_in!P31/SER_summary!P$27)</f>
        <v>16.877661794305432</v>
      </c>
      <c r="Q31" s="132">
        <f>IF(SER_hh_fech_in!Q31=0,0,SER_hh_fech_in!Q31/SER_summary!Q$27)</f>
        <v>18.805811458130083</v>
      </c>
      <c r="R31" s="132">
        <f>IF(SER_hh_fech_in!R31=0,0,SER_hh_fech_in!R31/SER_summary!R$27)</f>
        <v>19.443042065065995</v>
      </c>
      <c r="S31" s="132">
        <f>IF(SER_hh_fech_in!S31=0,0,SER_hh_fech_in!S31/SER_summary!S$27)</f>
        <v>18.686861037665381</v>
      </c>
      <c r="T31" s="132">
        <f>IF(SER_hh_fech_in!T31=0,0,SER_hh_fech_in!T31/SER_summary!T$27)</f>
        <v>21.415343315075194</v>
      </c>
      <c r="U31" s="132">
        <f>IF(SER_hh_fech_in!U31=0,0,SER_hh_fech_in!U31/SER_summary!U$27)</f>
        <v>0</v>
      </c>
      <c r="V31" s="132">
        <f>IF(SER_hh_fech_in!V31=0,0,SER_hh_fech_in!V31/SER_summary!V$27)</f>
        <v>0</v>
      </c>
      <c r="W31" s="132">
        <f>IF(SER_hh_fech_in!W31=0,0,SER_hh_fech_in!W31/SER_summary!W$27)</f>
        <v>17.74991377010139</v>
      </c>
      <c r="X31" s="132">
        <f>IF(SER_hh_fech_in!X31=0,0,SER_hh_fech_in!X31/SER_summary!X$27)</f>
        <v>20.524154282304458</v>
      </c>
      <c r="Y31" s="132">
        <f>IF(SER_hh_fech_in!Y31=0,0,SER_hh_fech_in!Y31/SER_summary!Y$27)</f>
        <v>22.475810315809341</v>
      </c>
      <c r="DA31" s="156" t="s">
        <v>844</v>
      </c>
    </row>
    <row r="32" spans="1:105" ht="12" customHeight="1" x14ac:dyDescent="0.25">
      <c r="A32" s="131" t="s">
        <v>128</v>
      </c>
      <c r="B32" s="132"/>
      <c r="C32" s="132">
        <f>IF(SER_hh_fech_in!C32=0,0,SER_hh_fech_in!C32/SER_summary!C$27)</f>
        <v>0</v>
      </c>
      <c r="D32" s="132">
        <f>IF(SER_hh_fech_in!D32=0,0,SER_hh_fech_in!D32/SER_summary!D$27)</f>
        <v>0</v>
      </c>
      <c r="E32" s="132">
        <f>IF(SER_hh_fech_in!E32=0,0,SER_hh_fech_in!E32/SER_summary!E$27)</f>
        <v>0</v>
      </c>
      <c r="F32" s="132">
        <f>IF(SER_hh_fech_in!F32=0,0,SER_hh_fech_in!F32/SER_summary!F$27)</f>
        <v>0</v>
      </c>
      <c r="G32" s="132">
        <f>IF(SER_hh_fech_in!G32=0,0,SER_hh_fech_in!G32/SER_summary!G$27)</f>
        <v>26.45592129811444</v>
      </c>
      <c r="H32" s="132">
        <f>IF(SER_hh_fech_in!H32=0,0,SER_hh_fech_in!H32/SER_summary!H$27)</f>
        <v>18.064524097432653</v>
      </c>
      <c r="I32" s="132">
        <f>IF(SER_hh_fech_in!I32=0,0,SER_hh_fech_in!I32/SER_summary!I$27)</f>
        <v>14.445571557887076</v>
      </c>
      <c r="J32" s="132">
        <f>IF(SER_hh_fech_in!J32=0,0,SER_hh_fech_in!J32/SER_summary!J$27)</f>
        <v>24.652495913653379</v>
      </c>
      <c r="K32" s="132">
        <f>IF(SER_hh_fech_in!K32=0,0,SER_hh_fech_in!K32/SER_summary!K$27)</f>
        <v>12.209592866152862</v>
      </c>
      <c r="L32" s="132">
        <f>IF(SER_hh_fech_in!L32=0,0,SER_hh_fech_in!L32/SER_summary!L$27)</f>
        <v>21.512897734106726</v>
      </c>
      <c r="M32" s="132">
        <f>IF(SER_hh_fech_in!M32=0,0,SER_hh_fech_in!M32/SER_summary!M$27)</f>
        <v>0</v>
      </c>
      <c r="N32" s="132">
        <f>IF(SER_hh_fech_in!N32=0,0,SER_hh_fech_in!N32/SER_summary!N$27)</f>
        <v>11.019485544741771</v>
      </c>
      <c r="O32" s="132">
        <f>IF(SER_hh_fech_in!O32=0,0,SER_hh_fech_in!O32/SER_summary!O$27)</f>
        <v>0</v>
      </c>
      <c r="P32" s="132">
        <f>IF(SER_hh_fech_in!P32=0,0,SER_hh_fech_in!P32/SER_summary!P$27)</f>
        <v>11.085737049109515</v>
      </c>
      <c r="Q32" s="132">
        <f>IF(SER_hh_fech_in!Q32=0,0,SER_hh_fech_in!Q32/SER_summary!Q$27)</f>
        <v>21.631228389454304</v>
      </c>
      <c r="R32" s="132">
        <f>IF(SER_hh_fech_in!R32=0,0,SER_hh_fech_in!R32/SER_summary!R$27)</f>
        <v>18.644449935707616</v>
      </c>
      <c r="S32" s="132">
        <f>IF(SER_hh_fech_in!S32=0,0,SER_hh_fech_in!S32/SER_summary!S$27)</f>
        <v>18.615144928393864</v>
      </c>
      <c r="T32" s="132">
        <f>IF(SER_hh_fech_in!T32=0,0,SER_hh_fech_in!T32/SER_summary!T$27)</f>
        <v>18.690489831660575</v>
      </c>
      <c r="U32" s="132">
        <f>IF(SER_hh_fech_in!U32=0,0,SER_hh_fech_in!U32/SER_summary!U$27)</f>
        <v>21.305785316306007</v>
      </c>
      <c r="V32" s="132">
        <f>IF(SER_hh_fech_in!V32=0,0,SER_hh_fech_in!V32/SER_summary!V$27)</f>
        <v>18.635102788336454</v>
      </c>
      <c r="W32" s="132">
        <f>IF(SER_hh_fech_in!W32=0,0,SER_hh_fech_in!W32/SER_summary!W$27)</f>
        <v>24.146296705520907</v>
      </c>
      <c r="X32" s="132">
        <f>IF(SER_hh_fech_in!X32=0,0,SER_hh_fech_in!X32/SER_summary!X$27)</f>
        <v>22.994703225724269</v>
      </c>
      <c r="Y32" s="132">
        <f>IF(SER_hh_fech_in!Y32=0,0,SER_hh_fech_in!Y32/SER_summary!Y$27)</f>
        <v>21.691286379095537</v>
      </c>
      <c r="DA32" s="156" t="s">
        <v>845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13.628901537549051</v>
      </c>
      <c r="D33" s="68">
        <f>IF(SER_hh_fech_in!D33=0,0,SER_hh_fech_in!D33/SER_summary!D$27)</f>
        <v>13.473722768603691</v>
      </c>
      <c r="E33" s="68">
        <f>IF(SER_hh_fech_in!E33=0,0,SER_hh_fech_in!E33/SER_summary!E$27)</f>
        <v>13.284089569940681</v>
      </c>
      <c r="F33" s="68">
        <f>IF(SER_hh_fech_in!F33=0,0,SER_hh_fech_in!F33/SER_summary!F$27)</f>
        <v>13.694058635827439</v>
      </c>
      <c r="G33" s="68">
        <f>IF(SER_hh_fech_in!G33=0,0,SER_hh_fech_in!G33/SER_summary!G$27)</f>
        <v>13.767043350504522</v>
      </c>
      <c r="H33" s="68">
        <f>IF(SER_hh_fech_in!H33=0,0,SER_hh_fech_in!H33/SER_summary!H$27)</f>
        <v>14.978401547746442</v>
      </c>
      <c r="I33" s="68">
        <f>IF(SER_hh_fech_in!I33=0,0,SER_hh_fech_in!I33/SER_summary!I$27)</f>
        <v>13.77613737538427</v>
      </c>
      <c r="J33" s="68">
        <f>IF(SER_hh_fech_in!J33=0,0,SER_hh_fech_in!J33/SER_summary!J$27)</f>
        <v>12.862746908647388</v>
      </c>
      <c r="K33" s="68">
        <f>IF(SER_hh_fech_in!K33=0,0,SER_hh_fech_in!K33/SER_summary!K$27)</f>
        <v>13.817677573332235</v>
      </c>
      <c r="L33" s="68">
        <f>IF(SER_hh_fech_in!L33=0,0,SER_hh_fech_in!L33/SER_summary!L$27)</f>
        <v>13.711930277068829</v>
      </c>
      <c r="M33" s="68">
        <f>IF(SER_hh_fech_in!M33=0,0,SER_hh_fech_in!M33/SER_summary!M$27)</f>
        <v>13.379940349224505</v>
      </c>
      <c r="N33" s="68">
        <f>IF(SER_hh_fech_in!N33=0,0,SER_hh_fech_in!N33/SER_summary!N$27)</f>
        <v>14.208399413053716</v>
      </c>
      <c r="O33" s="68">
        <f>IF(SER_hh_fech_in!O33=0,0,SER_hh_fech_in!O33/SER_summary!O$27)</f>
        <v>14.316765822750538</v>
      </c>
      <c r="P33" s="68">
        <f>IF(SER_hh_fech_in!P33=0,0,SER_hh_fech_in!P33/SER_summary!P$27)</f>
        <v>14.248197121823575</v>
      </c>
      <c r="Q33" s="68">
        <f>IF(SER_hh_fech_in!Q33=0,0,SER_hh_fech_in!Q33/SER_summary!Q$27)</f>
        <v>13.227796862239458</v>
      </c>
      <c r="R33" s="68">
        <f>IF(SER_hh_fech_in!R33=0,0,SER_hh_fech_in!R33/SER_summary!R$27)</f>
        <v>13.049928674119128</v>
      </c>
      <c r="S33" s="68">
        <f>IF(SER_hh_fech_in!S33=0,0,SER_hh_fech_in!S33/SER_summary!S$27)</f>
        <v>13.509626331013447</v>
      </c>
      <c r="T33" s="68">
        <f>IF(SER_hh_fech_in!T33=0,0,SER_hh_fech_in!T33/SER_summary!T$27)</f>
        <v>13.117930515558349</v>
      </c>
      <c r="U33" s="68">
        <f>IF(SER_hh_fech_in!U33=0,0,SER_hh_fech_in!U33/SER_summary!U$27)</f>
        <v>14.450896234895234</v>
      </c>
      <c r="V33" s="68">
        <f>IF(SER_hh_fech_in!V33=0,0,SER_hh_fech_in!V33/SER_summary!V$27)</f>
        <v>13.590993440998226</v>
      </c>
      <c r="W33" s="68">
        <f>IF(SER_hh_fech_in!W33=0,0,SER_hh_fech_in!W33/SER_summary!W$27)</f>
        <v>14.479075218519686</v>
      </c>
      <c r="X33" s="68">
        <f>IF(SER_hh_fech_in!X33=0,0,SER_hh_fech_in!X33/SER_summary!X$27)</f>
        <v>14.247942736934984</v>
      </c>
      <c r="Y33" s="68">
        <f>IF(SER_hh_fech_in!Y33=0,0,SER_hh_fech_in!Y33/SER_summary!Y$27)</f>
        <v>14.39764242814749</v>
      </c>
      <c r="DA33" s="111" t="s">
        <v>846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/>
      <c r="C3" s="125">
        <f>IF(SER_hh_tesh_in!C3=0,0,SER_hh_tesh_in!C3/SER_summary!C$27)</f>
        <v>102.61448108209184</v>
      </c>
      <c r="D3" s="125">
        <f>IF(SER_hh_tesh_in!D3=0,0,SER_hh_tesh_in!D3/SER_summary!D$27)</f>
        <v>97.97882207604664</v>
      </c>
      <c r="E3" s="125">
        <f>IF(SER_hh_tesh_in!E3=0,0,SER_hh_tesh_in!E3/SER_summary!E$27)</f>
        <v>96.500748000175548</v>
      </c>
      <c r="F3" s="125">
        <f>IF(SER_hh_tesh_in!F3=0,0,SER_hh_tesh_in!F3/SER_summary!F$27)</f>
        <v>95.710006403551958</v>
      </c>
      <c r="G3" s="125">
        <f>IF(SER_hh_tesh_in!G3=0,0,SER_hh_tesh_in!G3/SER_summary!G$27)</f>
        <v>92.195172963664191</v>
      </c>
      <c r="H3" s="125">
        <f>IF(SER_hh_tesh_in!H3=0,0,SER_hh_tesh_in!H3/SER_summary!H$27)</f>
        <v>98.325161439097485</v>
      </c>
      <c r="I3" s="125">
        <f>IF(SER_hh_tesh_in!I3=0,0,SER_hh_tesh_in!I3/SER_summary!I$27)</f>
        <v>88.527314116948745</v>
      </c>
      <c r="J3" s="125">
        <f>IF(SER_hh_tesh_in!J3=0,0,SER_hh_tesh_in!J3/SER_summary!J$27)</f>
        <v>80.117270521136092</v>
      </c>
      <c r="K3" s="125">
        <f>IF(SER_hh_tesh_in!K3=0,0,SER_hh_tesh_in!K3/SER_summary!K$27)</f>
        <v>93.71409582884715</v>
      </c>
      <c r="L3" s="125">
        <f>IF(SER_hh_tesh_in!L3=0,0,SER_hh_tesh_in!L3/SER_summary!L$27)</f>
        <v>94.296918214307937</v>
      </c>
      <c r="M3" s="125">
        <f>IF(SER_hh_tesh_in!M3=0,0,SER_hh_tesh_in!M3/SER_summary!M$27)</f>
        <v>78.385220267363181</v>
      </c>
      <c r="N3" s="125">
        <f>IF(SER_hh_tesh_in!N3=0,0,SER_hh_tesh_in!N3/SER_summary!N$27)</f>
        <v>91.355776966838533</v>
      </c>
      <c r="O3" s="125">
        <f>IF(SER_hh_tesh_in!O3=0,0,SER_hh_tesh_in!O3/SER_summary!O$27)</f>
        <v>83.380795493785925</v>
      </c>
      <c r="P3" s="125">
        <f>IF(SER_hh_tesh_in!P3=0,0,SER_hh_tesh_in!P3/SER_summary!P$27)</f>
        <v>78.211401287989275</v>
      </c>
      <c r="Q3" s="125">
        <f>IF(SER_hh_tesh_in!Q3=0,0,SER_hh_tesh_in!Q3/SER_summary!Q$27)</f>
        <v>82.903067790418675</v>
      </c>
      <c r="R3" s="125">
        <f>IF(SER_hh_tesh_in!R3=0,0,SER_hh_tesh_in!R3/SER_summary!R$27)</f>
        <v>82.854017489165543</v>
      </c>
      <c r="S3" s="125">
        <f>IF(SER_hh_tesh_in!S3=0,0,SER_hh_tesh_in!S3/SER_summary!S$27)</f>
        <v>85.01476214237826</v>
      </c>
      <c r="T3" s="125">
        <f>IF(SER_hh_tesh_in!T3=0,0,SER_hh_tesh_in!T3/SER_summary!T$27)</f>
        <v>88.453588297955108</v>
      </c>
      <c r="U3" s="125">
        <f>IF(SER_hh_tesh_in!U3=0,0,SER_hh_tesh_in!U3/SER_summary!U$27)</f>
        <v>84.428833336814549</v>
      </c>
      <c r="V3" s="125">
        <f>IF(SER_hh_tesh_in!V3=0,0,SER_hh_tesh_in!V3/SER_summary!V$27)</f>
        <v>75.391747574733685</v>
      </c>
      <c r="W3" s="125">
        <f>IF(SER_hh_tesh_in!W3=0,0,SER_hh_tesh_in!W3/SER_summary!W$27)</f>
        <v>86.094797254433033</v>
      </c>
      <c r="X3" s="125">
        <f>IF(SER_hh_tesh_in!X3=0,0,SER_hh_tesh_in!X3/SER_summary!X$27)</f>
        <v>80.793533496181936</v>
      </c>
      <c r="Y3" s="125">
        <f>IF(SER_hh_tesh_in!Y3=0,0,SER_hh_tesh_in!Y3/SER_summary!Y$27)</f>
        <v>83.241185920288103</v>
      </c>
      <c r="DA3" s="154" t="s">
        <v>848</v>
      </c>
    </row>
    <row r="4" spans="1:105" ht="12.95" customHeight="1" x14ac:dyDescent="0.25">
      <c r="A4" s="129" t="s">
        <v>32</v>
      </c>
      <c r="B4" s="130"/>
      <c r="C4" s="130">
        <f>IF(SER_hh_tesh_in!C4=0,0,SER_hh_tesh_in!C4/SER_summary!C$27)</f>
        <v>78.33559470068181</v>
      </c>
      <c r="D4" s="130">
        <f>IF(SER_hh_tesh_in!D4=0,0,SER_hh_tesh_in!D4/SER_summary!D$27)</f>
        <v>73.516677741916467</v>
      </c>
      <c r="E4" s="130">
        <f>IF(SER_hh_tesh_in!E4=0,0,SER_hh_tesh_in!E4/SER_summary!E$27)</f>
        <v>74.092651380118397</v>
      </c>
      <c r="F4" s="130">
        <f>IF(SER_hh_tesh_in!F4=0,0,SER_hh_tesh_in!F4/SER_summary!F$27)</f>
        <v>71.905631649739931</v>
      </c>
      <c r="G4" s="130">
        <f>IF(SER_hh_tesh_in!G4=0,0,SER_hh_tesh_in!G4/SER_summary!G$27)</f>
        <v>67.823280948908589</v>
      </c>
      <c r="H4" s="130">
        <f>IF(SER_hh_tesh_in!H4=0,0,SER_hh_tesh_in!H4/SER_summary!H$27)</f>
        <v>70.503999870872377</v>
      </c>
      <c r="I4" s="130">
        <f>IF(SER_hh_tesh_in!I4=0,0,SER_hh_tesh_in!I4/SER_summary!I$27)</f>
        <v>65.113174899219374</v>
      </c>
      <c r="J4" s="130">
        <f>IF(SER_hh_tesh_in!J4=0,0,SER_hh_tesh_in!J4/SER_summary!J$27)</f>
        <v>53.757499016651686</v>
      </c>
      <c r="K4" s="130">
        <f>IF(SER_hh_tesh_in!K4=0,0,SER_hh_tesh_in!K4/SER_summary!K$27)</f>
        <v>52.75203177208212</v>
      </c>
      <c r="L4" s="130">
        <f>IF(SER_hh_tesh_in!L4=0,0,SER_hh_tesh_in!L4/SER_summary!L$27)</f>
        <v>53.733165750651075</v>
      </c>
      <c r="M4" s="130">
        <f>IF(SER_hh_tesh_in!M4=0,0,SER_hh_tesh_in!M4/SER_summary!M$27)</f>
        <v>46.799382637699914</v>
      </c>
      <c r="N4" s="130">
        <f>IF(SER_hh_tesh_in!N4=0,0,SER_hh_tesh_in!N4/SER_summary!N$27)</f>
        <v>49.649972704541419</v>
      </c>
      <c r="O4" s="130">
        <f>IF(SER_hh_tesh_in!O4=0,0,SER_hh_tesh_in!O4/SER_summary!O$27)</f>
        <v>44.153058980988384</v>
      </c>
      <c r="P4" s="130">
        <f>IF(SER_hh_tesh_in!P4=0,0,SER_hh_tesh_in!P4/SER_summary!P$27)</f>
        <v>40.057268417170974</v>
      </c>
      <c r="Q4" s="130">
        <f>IF(SER_hh_tesh_in!Q4=0,0,SER_hh_tesh_in!Q4/SER_summary!Q$27)</f>
        <v>39.412834696353002</v>
      </c>
      <c r="R4" s="130">
        <f>IF(SER_hh_tesh_in!R4=0,0,SER_hh_tesh_in!R4/SER_summary!R$27)</f>
        <v>40.514155754703786</v>
      </c>
      <c r="S4" s="130">
        <f>IF(SER_hh_tesh_in!S4=0,0,SER_hh_tesh_in!S4/SER_summary!S$27)</f>
        <v>42.153851448283675</v>
      </c>
      <c r="T4" s="130">
        <f>IF(SER_hh_tesh_in!T4=0,0,SER_hh_tesh_in!T4/SER_summary!T$27)</f>
        <v>44.429370171226509</v>
      </c>
      <c r="U4" s="130">
        <f>IF(SER_hh_tesh_in!U4=0,0,SER_hh_tesh_in!U4/SER_summary!U$27)</f>
        <v>39.758070866715151</v>
      </c>
      <c r="V4" s="130">
        <f>IF(SER_hh_tesh_in!V4=0,0,SER_hh_tesh_in!V4/SER_summary!V$27)</f>
        <v>33.595924143216855</v>
      </c>
      <c r="W4" s="130">
        <f>IF(SER_hh_tesh_in!W4=0,0,SER_hh_tesh_in!W4/SER_summary!W$27)</f>
        <v>39.197092881938268</v>
      </c>
      <c r="X4" s="130">
        <f>IF(SER_hh_tesh_in!X4=0,0,SER_hh_tesh_in!X4/SER_summary!X$27)</f>
        <v>36.13927469216474</v>
      </c>
      <c r="Y4" s="130">
        <f>IF(SER_hh_tesh_in!Y4=0,0,SER_hh_tesh_in!Y4/SER_summary!Y$27)</f>
        <v>38.161310865658038</v>
      </c>
      <c r="DA4" s="155" t="s">
        <v>849</v>
      </c>
    </row>
    <row r="5" spans="1:105" ht="12" customHeight="1" x14ac:dyDescent="0.25">
      <c r="A5" s="131" t="s">
        <v>29</v>
      </c>
      <c r="B5" s="132"/>
      <c r="C5" s="132">
        <f>IF(SER_hh_tesh_in!C5=0,0,SER_hh_tesh_in!C5/SER_summary!C$27)</f>
        <v>69.848151405346641</v>
      </c>
      <c r="D5" s="132">
        <f>IF(SER_hh_tesh_in!D5=0,0,SER_hh_tesh_in!D5/SER_summary!D$27)</f>
        <v>76.14988047281706</v>
      </c>
      <c r="E5" s="132">
        <f>IF(SER_hh_tesh_in!E5=0,0,SER_hh_tesh_in!E5/SER_summary!E$27)</f>
        <v>72.55080061981657</v>
      </c>
      <c r="F5" s="132">
        <f>IF(SER_hh_tesh_in!F5=0,0,SER_hh_tesh_in!F5/SER_summary!F$27)</f>
        <v>64.429357502967648</v>
      </c>
      <c r="G5" s="132">
        <f>IF(SER_hh_tesh_in!G5=0,0,SER_hh_tesh_in!G5/SER_summary!G$27)</f>
        <v>67.045294110160711</v>
      </c>
      <c r="H5" s="132">
        <f>IF(SER_hh_tesh_in!H5=0,0,SER_hh_tesh_in!H5/SER_summary!H$27)</f>
        <v>84.896312376954484</v>
      </c>
      <c r="I5" s="132">
        <f>IF(SER_hh_tesh_in!I5=0,0,SER_hh_tesh_in!I5/SER_summary!I$27)</f>
        <v>62.649778732583151</v>
      </c>
      <c r="J5" s="132">
        <f>IF(SER_hh_tesh_in!J5=0,0,SER_hh_tesh_in!J5/SER_summary!J$27)</f>
        <v>46.145132364907809</v>
      </c>
      <c r="K5" s="132">
        <f>IF(SER_hh_tesh_in!K5=0,0,SER_hh_tesh_in!K5/SER_summary!K$27)</f>
        <v>53.250633396860593</v>
      </c>
      <c r="L5" s="132">
        <f>IF(SER_hh_tesh_in!L5=0,0,SER_hh_tesh_in!L5/SER_summary!L$27)</f>
        <v>50.560769148623855</v>
      </c>
      <c r="M5" s="132">
        <f>IF(SER_hh_tesh_in!M5=0,0,SER_hh_tesh_in!M5/SER_summary!M$27)</f>
        <v>59.219695396366014</v>
      </c>
      <c r="N5" s="132">
        <f>IF(SER_hh_tesh_in!N5=0,0,SER_hh_tesh_in!N5/SER_summary!N$27)</f>
        <v>40.9150724664267</v>
      </c>
      <c r="O5" s="132">
        <f>IF(SER_hh_tesh_in!O5=0,0,SER_hh_tesh_in!O5/SER_summary!O$27)</f>
        <v>47.601852278177084</v>
      </c>
      <c r="P5" s="132">
        <f>IF(SER_hh_tesh_in!P5=0,0,SER_hh_tesh_in!P5/SER_summary!P$27)</f>
        <v>42.501356237063881</v>
      </c>
      <c r="Q5" s="132">
        <f>IF(SER_hh_tesh_in!Q5=0,0,SER_hh_tesh_in!Q5/SER_summary!Q$27)</f>
        <v>0</v>
      </c>
      <c r="R5" s="132">
        <f>IF(SER_hh_tesh_in!R5=0,0,SER_hh_tesh_in!R5/SER_summary!R$27)</f>
        <v>40.301088002692701</v>
      </c>
      <c r="S5" s="132">
        <f>IF(SER_hh_tesh_in!S5=0,0,SER_hh_tesh_in!S5/SER_summary!S$27)</f>
        <v>42.328834578872517</v>
      </c>
      <c r="T5" s="132">
        <f>IF(SER_hh_tesh_in!T5=0,0,SER_hh_tesh_in!T5/SER_summary!T$27)</f>
        <v>44.883644518332112</v>
      </c>
      <c r="U5" s="132">
        <f>IF(SER_hh_tesh_in!U5=0,0,SER_hh_tesh_in!U5/SER_summary!U$27)</f>
        <v>40.370349812528033</v>
      </c>
      <c r="V5" s="132">
        <f>IF(SER_hh_tesh_in!V5=0,0,SER_hh_tesh_in!V5/SER_summary!V$27)</f>
        <v>29.538906574018291</v>
      </c>
      <c r="W5" s="132">
        <f>IF(SER_hh_tesh_in!W5=0,0,SER_hh_tesh_in!W5/SER_summary!W$27)</f>
        <v>38.49871067632494</v>
      </c>
      <c r="X5" s="132">
        <f>IF(SER_hh_tesh_in!X5=0,0,SER_hh_tesh_in!X5/SER_summary!X$27)</f>
        <v>40.673946583373464</v>
      </c>
      <c r="Y5" s="132">
        <f>IF(SER_hh_tesh_in!Y5=0,0,SER_hh_tesh_in!Y5/SER_summary!Y$27)</f>
        <v>0</v>
      </c>
      <c r="DA5" s="156" t="s">
        <v>850</v>
      </c>
    </row>
    <row r="6" spans="1:105" ht="12" customHeight="1" x14ac:dyDescent="0.25">
      <c r="A6" s="131" t="s">
        <v>52</v>
      </c>
      <c r="B6" s="132"/>
      <c r="C6" s="132">
        <f>IF(SER_hh_tesh_in!C6=0,0,SER_hh_tesh_in!C6/SER_summary!C$27)</f>
        <v>0</v>
      </c>
      <c r="D6" s="132">
        <f>IF(SER_hh_tesh_in!D6=0,0,SER_hh_tesh_in!D6/SER_summary!D$27)</f>
        <v>0</v>
      </c>
      <c r="E6" s="132">
        <f>IF(SER_hh_tesh_in!E6=0,0,SER_hh_tesh_in!E6/SER_summary!E$27)</f>
        <v>0</v>
      </c>
      <c r="F6" s="132">
        <f>IF(SER_hh_tesh_in!F6=0,0,SER_hh_tesh_in!F6/SER_summary!F$27)</f>
        <v>0</v>
      </c>
      <c r="G6" s="132">
        <f>IF(SER_hh_tesh_in!G6=0,0,SER_hh_tesh_in!G6/SER_summary!G$27)</f>
        <v>0</v>
      </c>
      <c r="H6" s="132">
        <f>IF(SER_hh_tesh_in!H6=0,0,SER_hh_tesh_in!H6/SER_summary!H$27)</f>
        <v>0</v>
      </c>
      <c r="I6" s="132">
        <f>IF(SER_hh_tesh_in!I6=0,0,SER_hh_tesh_in!I6/SER_summary!I$27)</f>
        <v>0</v>
      </c>
      <c r="J6" s="132">
        <f>IF(SER_hh_tesh_in!J6=0,0,SER_hh_tesh_in!J6/SER_summary!J$27)</f>
        <v>0</v>
      </c>
      <c r="K6" s="132">
        <f>IF(SER_hh_tesh_in!K6=0,0,SER_hh_tesh_in!K6/SER_summary!K$27)</f>
        <v>0</v>
      </c>
      <c r="L6" s="132">
        <f>IF(SER_hh_tesh_in!L6=0,0,SER_hh_tesh_in!L6/SER_summary!L$27)</f>
        <v>0</v>
      </c>
      <c r="M6" s="132">
        <f>IF(SER_hh_tesh_in!M6=0,0,SER_hh_tesh_in!M6/SER_summary!M$27)</f>
        <v>0</v>
      </c>
      <c r="N6" s="132">
        <f>IF(SER_hh_tesh_in!N6=0,0,SER_hh_tesh_in!N6/SER_summary!N$27)</f>
        <v>0</v>
      </c>
      <c r="O6" s="132">
        <f>IF(SER_hh_tesh_in!O6=0,0,SER_hh_tesh_in!O6/SER_summary!O$27)</f>
        <v>0</v>
      </c>
      <c r="P6" s="132">
        <f>IF(SER_hh_tesh_in!P6=0,0,SER_hh_tesh_in!P6/SER_summary!P$27)</f>
        <v>0</v>
      </c>
      <c r="Q6" s="132">
        <f>IF(SER_hh_tesh_in!Q6=0,0,SER_hh_tesh_in!Q6/SER_summary!Q$27)</f>
        <v>0</v>
      </c>
      <c r="R6" s="132">
        <f>IF(SER_hh_tesh_in!R6=0,0,SER_hh_tesh_in!R6/SER_summary!R$27)</f>
        <v>0</v>
      </c>
      <c r="S6" s="132">
        <f>IF(SER_hh_tesh_in!S6=0,0,SER_hh_tesh_in!S6/SER_summary!S$27)</f>
        <v>0</v>
      </c>
      <c r="T6" s="132">
        <f>IF(SER_hh_tesh_in!T6=0,0,SER_hh_tesh_in!T6/SER_summary!T$27)</f>
        <v>0</v>
      </c>
      <c r="U6" s="132">
        <f>IF(SER_hh_tesh_in!U6=0,0,SER_hh_tesh_in!U6/SER_summary!U$27)</f>
        <v>0</v>
      </c>
      <c r="V6" s="132">
        <f>IF(SER_hh_tesh_in!V6=0,0,SER_hh_tesh_in!V6/SER_summary!V$27)</f>
        <v>0</v>
      </c>
      <c r="W6" s="132">
        <f>IF(SER_hh_tesh_in!W6=0,0,SER_hh_tesh_in!W6/SER_summary!W$27)</f>
        <v>0</v>
      </c>
      <c r="X6" s="132">
        <f>IF(SER_hh_tesh_in!X6=0,0,SER_hh_tesh_in!X6/SER_summary!X$27)</f>
        <v>0</v>
      </c>
      <c r="Y6" s="132">
        <f>IF(SER_hh_tesh_in!Y6=0,0,SER_hh_tesh_in!Y6/SER_summary!Y$27)</f>
        <v>0</v>
      </c>
      <c r="DA6" s="156" t="s">
        <v>851</v>
      </c>
    </row>
    <row r="7" spans="1:105" ht="12" customHeight="1" x14ac:dyDescent="0.25">
      <c r="A7" s="131" t="s">
        <v>161</v>
      </c>
      <c r="B7" s="132"/>
      <c r="C7" s="132">
        <f>IF(SER_hh_tesh_in!C7=0,0,SER_hh_tesh_in!C7/SER_summary!C$27)</f>
        <v>0</v>
      </c>
      <c r="D7" s="132">
        <f>IF(SER_hh_tesh_in!D7=0,0,SER_hh_tesh_in!D7/SER_summary!D$27)</f>
        <v>0</v>
      </c>
      <c r="E7" s="132">
        <f>IF(SER_hh_tesh_in!E7=0,0,SER_hh_tesh_in!E7/SER_summary!E$27)</f>
        <v>0</v>
      </c>
      <c r="F7" s="132">
        <f>IF(SER_hh_tesh_in!F7=0,0,SER_hh_tesh_in!F7/SER_summary!F$27)</f>
        <v>0</v>
      </c>
      <c r="G7" s="132">
        <f>IF(SER_hh_tesh_in!G7=0,0,SER_hh_tesh_in!G7/SER_summary!G$27)</f>
        <v>0</v>
      </c>
      <c r="H7" s="132">
        <f>IF(SER_hh_tesh_in!H7=0,0,SER_hh_tesh_in!H7/SER_summary!H$27)</f>
        <v>0</v>
      </c>
      <c r="I7" s="132">
        <f>IF(SER_hh_tesh_in!I7=0,0,SER_hh_tesh_in!I7/SER_summary!I$27)</f>
        <v>0</v>
      </c>
      <c r="J7" s="132">
        <f>IF(SER_hh_tesh_in!J7=0,0,SER_hh_tesh_in!J7/SER_summary!J$27)</f>
        <v>93.258002866254998</v>
      </c>
      <c r="K7" s="132">
        <f>IF(SER_hh_tesh_in!K7=0,0,SER_hh_tesh_in!K7/SER_summary!K$27)</f>
        <v>29.108521486680839</v>
      </c>
      <c r="L7" s="132">
        <f>IF(SER_hh_tesh_in!L7=0,0,SER_hh_tesh_in!L7/SER_summary!L$27)</f>
        <v>44.307872551903564</v>
      </c>
      <c r="M7" s="132">
        <f>IF(SER_hh_tesh_in!M7=0,0,SER_hh_tesh_in!M7/SER_summary!M$27)</f>
        <v>60.14580348741719</v>
      </c>
      <c r="N7" s="132">
        <f>IF(SER_hh_tesh_in!N7=0,0,SER_hh_tesh_in!N7/SER_summary!N$27)</f>
        <v>38.60114046099018</v>
      </c>
      <c r="O7" s="132">
        <f>IF(SER_hh_tesh_in!O7=0,0,SER_hh_tesh_in!O7/SER_summary!O$27)</f>
        <v>40.33451199941873</v>
      </c>
      <c r="P7" s="132">
        <f>IF(SER_hh_tesh_in!P7=0,0,SER_hh_tesh_in!P7/SER_summary!P$27)</f>
        <v>0</v>
      </c>
      <c r="Q7" s="132">
        <f>IF(SER_hh_tesh_in!Q7=0,0,SER_hh_tesh_in!Q7/SER_summary!Q$27)</f>
        <v>0</v>
      </c>
      <c r="R7" s="132">
        <f>IF(SER_hh_tesh_in!R7=0,0,SER_hh_tesh_in!R7/SER_summary!R$27)</f>
        <v>0</v>
      </c>
      <c r="S7" s="132">
        <f>IF(SER_hh_tesh_in!S7=0,0,SER_hh_tesh_in!S7/SER_summary!S$27)</f>
        <v>0</v>
      </c>
      <c r="T7" s="132">
        <f>IF(SER_hh_tesh_in!T7=0,0,SER_hh_tesh_in!T7/SER_summary!T$27)</f>
        <v>0</v>
      </c>
      <c r="U7" s="132">
        <f>IF(SER_hh_tesh_in!U7=0,0,SER_hh_tesh_in!U7/SER_summary!U$27)</f>
        <v>37.166548763926755</v>
      </c>
      <c r="V7" s="132">
        <f>IF(SER_hh_tesh_in!V7=0,0,SER_hh_tesh_in!V7/SER_summary!V$27)</f>
        <v>36.735414857822803</v>
      </c>
      <c r="W7" s="132">
        <f>IF(SER_hh_tesh_in!W7=0,0,SER_hh_tesh_in!W7/SER_summary!W$27)</f>
        <v>37.043899094111737</v>
      </c>
      <c r="X7" s="132">
        <f>IF(SER_hh_tesh_in!X7=0,0,SER_hh_tesh_in!X7/SER_summary!X$27)</f>
        <v>31.162516200785138</v>
      </c>
      <c r="Y7" s="132">
        <f>IF(SER_hh_tesh_in!Y7=0,0,SER_hh_tesh_in!Y7/SER_summary!Y$27)</f>
        <v>41.366927705305855</v>
      </c>
      <c r="DA7" s="156" t="s">
        <v>852</v>
      </c>
    </row>
    <row r="8" spans="1:105" ht="12" customHeight="1" x14ac:dyDescent="0.25">
      <c r="A8" s="131" t="s">
        <v>73</v>
      </c>
      <c r="B8" s="132"/>
      <c r="C8" s="132">
        <f>IF(SER_hh_tesh_in!C8=0,0,SER_hh_tesh_in!C8/SER_summary!C$27)</f>
        <v>0</v>
      </c>
      <c r="D8" s="132">
        <f>IF(SER_hh_tesh_in!D8=0,0,SER_hh_tesh_in!D8/SER_summary!D$27)</f>
        <v>0</v>
      </c>
      <c r="E8" s="132">
        <f>IF(SER_hh_tesh_in!E8=0,0,SER_hh_tesh_in!E8/SER_summary!E$27)</f>
        <v>0</v>
      </c>
      <c r="F8" s="132">
        <f>IF(SER_hh_tesh_in!F8=0,0,SER_hh_tesh_in!F8/SER_summary!F$27)</f>
        <v>0</v>
      </c>
      <c r="G8" s="132">
        <f>IF(SER_hh_tesh_in!G8=0,0,SER_hh_tesh_in!G8/SER_summary!G$27)</f>
        <v>0</v>
      </c>
      <c r="H8" s="132">
        <f>IF(SER_hh_tesh_in!H8=0,0,SER_hh_tesh_in!H8/SER_summary!H$27)</f>
        <v>0</v>
      </c>
      <c r="I8" s="132">
        <f>IF(SER_hh_tesh_in!I8=0,0,SER_hh_tesh_in!I8/SER_summary!I$27)</f>
        <v>0</v>
      </c>
      <c r="J8" s="132">
        <f>IF(SER_hh_tesh_in!J8=0,0,SER_hh_tesh_in!J8/SER_summary!J$27)</f>
        <v>0</v>
      </c>
      <c r="K8" s="132">
        <f>IF(SER_hh_tesh_in!K8=0,0,SER_hh_tesh_in!K8/SER_summary!K$27)</f>
        <v>0</v>
      </c>
      <c r="L8" s="132">
        <f>IF(SER_hh_tesh_in!L8=0,0,SER_hh_tesh_in!L8/SER_summary!L$27)</f>
        <v>0</v>
      </c>
      <c r="M8" s="132">
        <f>IF(SER_hh_tesh_in!M8=0,0,SER_hh_tesh_in!M8/SER_summary!M$27)</f>
        <v>0</v>
      </c>
      <c r="N8" s="132">
        <f>IF(SER_hh_tesh_in!N8=0,0,SER_hh_tesh_in!N8/SER_summary!N$27)</f>
        <v>0</v>
      </c>
      <c r="O8" s="132">
        <f>IF(SER_hh_tesh_in!O8=0,0,SER_hh_tesh_in!O8/SER_summary!O$27)</f>
        <v>0</v>
      </c>
      <c r="P8" s="132">
        <f>IF(SER_hh_tesh_in!P8=0,0,SER_hh_tesh_in!P8/SER_summary!P$27)</f>
        <v>0</v>
      </c>
      <c r="Q8" s="132">
        <f>IF(SER_hh_tesh_in!Q8=0,0,SER_hh_tesh_in!Q8/SER_summary!Q$27)</f>
        <v>0</v>
      </c>
      <c r="R8" s="132">
        <f>IF(SER_hh_tesh_in!R8=0,0,SER_hh_tesh_in!R8/SER_summary!R$27)</f>
        <v>0</v>
      </c>
      <c r="S8" s="132">
        <f>IF(SER_hh_tesh_in!S8=0,0,SER_hh_tesh_in!S8/SER_summary!S$27)</f>
        <v>0</v>
      </c>
      <c r="T8" s="132">
        <f>IF(SER_hh_tesh_in!T8=0,0,SER_hh_tesh_in!T8/SER_summary!T$27)</f>
        <v>0</v>
      </c>
      <c r="U8" s="132">
        <f>IF(SER_hh_tesh_in!U8=0,0,SER_hh_tesh_in!U8/SER_summary!U$27)</f>
        <v>0</v>
      </c>
      <c r="V8" s="132">
        <f>IF(SER_hh_tesh_in!V8=0,0,SER_hh_tesh_in!V8/SER_summary!V$27)</f>
        <v>0</v>
      </c>
      <c r="W8" s="132">
        <f>IF(SER_hh_tesh_in!W8=0,0,SER_hh_tesh_in!W8/SER_summary!W$27)</f>
        <v>0</v>
      </c>
      <c r="X8" s="132">
        <f>IF(SER_hh_tesh_in!X8=0,0,SER_hh_tesh_in!X8/SER_summary!X$27)</f>
        <v>0</v>
      </c>
      <c r="Y8" s="132">
        <f>IF(SER_hh_tesh_in!Y8=0,0,SER_hh_tesh_in!Y8/SER_summary!Y$27)</f>
        <v>0</v>
      </c>
      <c r="DA8" s="156" t="s">
        <v>853</v>
      </c>
    </row>
    <row r="9" spans="1:105" ht="12" customHeight="1" x14ac:dyDescent="0.25">
      <c r="A9" s="131" t="s">
        <v>78</v>
      </c>
      <c r="B9" s="132"/>
      <c r="C9" s="132">
        <f>IF(SER_hh_tesh_in!C9=0,0,SER_hh_tesh_in!C9/SER_summary!C$27)</f>
        <v>74.279236746263365</v>
      </c>
      <c r="D9" s="132">
        <f>IF(SER_hh_tesh_in!D9=0,0,SER_hh_tesh_in!D9/SER_summary!D$27)</f>
        <v>73.176034545716391</v>
      </c>
      <c r="E9" s="132">
        <f>IF(SER_hh_tesh_in!E9=0,0,SER_hh_tesh_in!E9/SER_summary!E$27)</f>
        <v>65.545678696956543</v>
      </c>
      <c r="F9" s="132">
        <f>IF(SER_hh_tesh_in!F9=0,0,SER_hh_tesh_in!F9/SER_summary!F$27)</f>
        <v>77.945104725769184</v>
      </c>
      <c r="G9" s="132">
        <f>IF(SER_hh_tesh_in!G9=0,0,SER_hh_tesh_in!G9/SER_summary!G$27)</f>
        <v>65.582261357557329</v>
      </c>
      <c r="H9" s="132">
        <f>IF(SER_hh_tesh_in!H9=0,0,SER_hh_tesh_in!H9/SER_summary!H$27)</f>
        <v>61.143775831080895</v>
      </c>
      <c r="I9" s="132">
        <f>IF(SER_hh_tesh_in!I9=0,0,SER_hh_tesh_in!I9/SER_summary!I$27)</f>
        <v>70.03234117504708</v>
      </c>
      <c r="J9" s="132">
        <f>IF(SER_hh_tesh_in!J9=0,0,SER_hh_tesh_in!J9/SER_summary!J$27)</f>
        <v>58.224065331897918</v>
      </c>
      <c r="K9" s="132">
        <f>IF(SER_hh_tesh_in!K9=0,0,SER_hh_tesh_in!K9/SER_summary!K$27)</f>
        <v>49.140690617206708</v>
      </c>
      <c r="L9" s="132">
        <f>IF(SER_hh_tesh_in!L9=0,0,SER_hh_tesh_in!L9/SER_summary!L$27)</f>
        <v>53.136757857799182</v>
      </c>
      <c r="M9" s="132">
        <f>IF(SER_hh_tesh_in!M9=0,0,SER_hh_tesh_in!M9/SER_summary!M$27)</f>
        <v>45.151909193075035</v>
      </c>
      <c r="N9" s="132">
        <f>IF(SER_hh_tesh_in!N9=0,0,SER_hh_tesh_in!N9/SER_summary!N$27)</f>
        <v>47.200428101550195</v>
      </c>
      <c r="O9" s="132">
        <f>IF(SER_hh_tesh_in!O9=0,0,SER_hh_tesh_in!O9/SER_summary!O$27)</f>
        <v>45.099693386141482</v>
      </c>
      <c r="P9" s="132">
        <f>IF(SER_hh_tesh_in!P9=0,0,SER_hh_tesh_in!P9/SER_summary!P$27)</f>
        <v>37.644119286829977</v>
      </c>
      <c r="Q9" s="132">
        <f>IF(SER_hh_tesh_in!Q9=0,0,SER_hh_tesh_in!Q9/SER_summary!Q$27)</f>
        <v>39.236745962569081</v>
      </c>
      <c r="R9" s="132">
        <f>IF(SER_hh_tesh_in!R9=0,0,SER_hh_tesh_in!R9/SER_summary!R$27)</f>
        <v>40.210611772636668</v>
      </c>
      <c r="S9" s="132">
        <f>IF(SER_hh_tesh_in!S9=0,0,SER_hh_tesh_in!S9/SER_summary!S$27)</f>
        <v>41.034681544447437</v>
      </c>
      <c r="T9" s="132">
        <f>IF(SER_hh_tesh_in!T9=0,0,SER_hh_tesh_in!T9/SER_summary!T$27)</f>
        <v>41.150670409101352</v>
      </c>
      <c r="U9" s="132">
        <f>IF(SER_hh_tesh_in!U9=0,0,SER_hh_tesh_in!U9/SER_summary!U$27)</f>
        <v>39.644141041528449</v>
      </c>
      <c r="V9" s="132">
        <f>IF(SER_hh_tesh_in!V9=0,0,SER_hh_tesh_in!V9/SER_summary!V$27)</f>
        <v>37.80408579136963</v>
      </c>
      <c r="W9" s="132">
        <f>IF(SER_hh_tesh_in!W9=0,0,SER_hh_tesh_in!W9/SER_summary!W$27)</f>
        <v>36.367677891535251</v>
      </c>
      <c r="X9" s="132">
        <f>IF(SER_hh_tesh_in!X9=0,0,SER_hh_tesh_in!X9/SER_summary!X$27)</f>
        <v>33.042109245176995</v>
      </c>
      <c r="Y9" s="132">
        <f>IF(SER_hh_tesh_in!Y9=0,0,SER_hh_tesh_in!Y9/SER_summary!Y$27)</f>
        <v>39.550961200631029</v>
      </c>
      <c r="DA9" s="156" t="s">
        <v>854</v>
      </c>
    </row>
    <row r="10" spans="1:105" ht="12" customHeight="1" x14ac:dyDescent="0.25">
      <c r="A10" s="131" t="s">
        <v>128</v>
      </c>
      <c r="B10" s="132"/>
      <c r="C10" s="132">
        <f>IF(SER_hh_tesh_in!C10=0,0,SER_hh_tesh_in!C10/SER_summary!C$27)</f>
        <v>76.974997820994446</v>
      </c>
      <c r="D10" s="132">
        <f>IF(SER_hh_tesh_in!D10=0,0,SER_hh_tesh_in!D10/SER_summary!D$27)</f>
        <v>78.116384915129558</v>
      </c>
      <c r="E10" s="132">
        <f>IF(SER_hh_tesh_in!E10=0,0,SER_hh_tesh_in!E10/SER_summary!E$27)</f>
        <v>70.382717192314857</v>
      </c>
      <c r="F10" s="132">
        <f>IF(SER_hh_tesh_in!F10=0,0,SER_hh_tesh_in!F10/SER_summary!F$27)</f>
        <v>67.793926086941923</v>
      </c>
      <c r="G10" s="132">
        <f>IF(SER_hh_tesh_in!G10=0,0,SER_hh_tesh_in!G10/SER_summary!G$27)</f>
        <v>68.117162385448793</v>
      </c>
      <c r="H10" s="132">
        <f>IF(SER_hh_tesh_in!H10=0,0,SER_hh_tesh_in!H10/SER_summary!H$27)</f>
        <v>66.406216288358266</v>
      </c>
      <c r="I10" s="132">
        <f>IF(SER_hh_tesh_in!I10=0,0,SER_hh_tesh_in!I10/SER_summary!I$27)</f>
        <v>60.253251569195285</v>
      </c>
      <c r="J10" s="132">
        <f>IF(SER_hh_tesh_in!J10=0,0,SER_hh_tesh_in!J10/SER_summary!J$27)</f>
        <v>57.644538274254352</v>
      </c>
      <c r="K10" s="132">
        <f>IF(SER_hh_tesh_in!K10=0,0,SER_hh_tesh_in!K10/SER_summary!K$27)</f>
        <v>52.3843111475176</v>
      </c>
      <c r="L10" s="132">
        <f>IF(SER_hh_tesh_in!L10=0,0,SER_hh_tesh_in!L10/SER_summary!L$27)</f>
        <v>48.919029670452893</v>
      </c>
      <c r="M10" s="132">
        <f>IF(SER_hh_tesh_in!M10=0,0,SER_hh_tesh_in!M10/SER_summary!M$27)</f>
        <v>48.397039736136762</v>
      </c>
      <c r="N10" s="132">
        <f>IF(SER_hh_tesh_in!N10=0,0,SER_hh_tesh_in!N10/SER_summary!N$27)</f>
        <v>47.550960775152788</v>
      </c>
      <c r="O10" s="132">
        <f>IF(SER_hh_tesh_in!O10=0,0,SER_hh_tesh_in!O10/SER_summary!O$27)</f>
        <v>45.581364630330846</v>
      </c>
      <c r="P10" s="132">
        <f>IF(SER_hh_tesh_in!P10=0,0,SER_hh_tesh_in!P10/SER_summary!P$27)</f>
        <v>41.127096613150492</v>
      </c>
      <c r="Q10" s="132">
        <f>IF(SER_hh_tesh_in!Q10=0,0,SER_hh_tesh_in!Q10/SER_summary!Q$27)</f>
        <v>39.074333401141999</v>
      </c>
      <c r="R10" s="132">
        <f>IF(SER_hh_tesh_in!R10=0,0,SER_hh_tesh_in!R10/SER_summary!R$27)</f>
        <v>0</v>
      </c>
      <c r="S10" s="132">
        <f>IF(SER_hh_tesh_in!S10=0,0,SER_hh_tesh_in!S10/SER_summary!S$27)</f>
        <v>0</v>
      </c>
      <c r="T10" s="132">
        <f>IF(SER_hh_tesh_in!T10=0,0,SER_hh_tesh_in!T10/SER_summary!T$27)</f>
        <v>0</v>
      </c>
      <c r="U10" s="132">
        <f>IF(SER_hh_tesh_in!U10=0,0,SER_hh_tesh_in!U10/SER_summary!U$27)</f>
        <v>37.476774469942342</v>
      </c>
      <c r="V10" s="132">
        <f>IF(SER_hh_tesh_in!V10=0,0,SER_hh_tesh_in!V10/SER_summary!V$27)</f>
        <v>39.971572455395815</v>
      </c>
      <c r="W10" s="132">
        <f>IF(SER_hh_tesh_in!W10=0,0,SER_hh_tesh_in!W10/SER_summary!W$27)</f>
        <v>36.58572270491495</v>
      </c>
      <c r="X10" s="132">
        <f>IF(SER_hh_tesh_in!X10=0,0,SER_hh_tesh_in!X10/SER_summary!X$27)</f>
        <v>34.914166292833485</v>
      </c>
      <c r="Y10" s="132">
        <f>IF(SER_hh_tesh_in!Y10=0,0,SER_hh_tesh_in!Y10/SER_summary!Y$27)</f>
        <v>37.378614613100353</v>
      </c>
      <c r="DA10" s="156" t="s">
        <v>855</v>
      </c>
    </row>
    <row r="11" spans="1:105" ht="12" customHeight="1" x14ac:dyDescent="0.25">
      <c r="A11" s="131" t="s">
        <v>25</v>
      </c>
      <c r="B11" s="132"/>
      <c r="C11" s="132">
        <f>IF(SER_hh_tesh_in!C11=0,0,SER_hh_tesh_in!C11/SER_summary!C$27)</f>
        <v>0</v>
      </c>
      <c r="D11" s="132">
        <f>IF(SER_hh_tesh_in!D11=0,0,SER_hh_tesh_in!D11/SER_summary!D$27)</f>
        <v>0</v>
      </c>
      <c r="E11" s="132">
        <f>IF(SER_hh_tesh_in!E11=0,0,SER_hh_tesh_in!E11/SER_summary!E$27)</f>
        <v>0</v>
      </c>
      <c r="F11" s="132">
        <f>IF(SER_hh_tesh_in!F11=0,0,SER_hh_tesh_in!F11/SER_summary!F$27)</f>
        <v>0</v>
      </c>
      <c r="G11" s="132">
        <f>IF(SER_hh_tesh_in!G11=0,0,SER_hh_tesh_in!G11/SER_summary!G$27)</f>
        <v>0</v>
      </c>
      <c r="H11" s="132">
        <f>IF(SER_hh_tesh_in!H11=0,0,SER_hh_tesh_in!H11/SER_summary!H$27)</f>
        <v>0</v>
      </c>
      <c r="I11" s="132">
        <f>IF(SER_hh_tesh_in!I11=0,0,SER_hh_tesh_in!I11/SER_summary!I$27)</f>
        <v>0</v>
      </c>
      <c r="J11" s="132">
        <f>IF(SER_hh_tesh_in!J11=0,0,SER_hh_tesh_in!J11/SER_summary!J$27)</f>
        <v>0</v>
      </c>
      <c r="K11" s="132">
        <f>IF(SER_hh_tesh_in!K11=0,0,SER_hh_tesh_in!K11/SER_summary!K$27)</f>
        <v>0</v>
      </c>
      <c r="L11" s="132">
        <f>IF(SER_hh_tesh_in!L11=0,0,SER_hh_tesh_in!L11/SER_summary!L$27)</f>
        <v>0</v>
      </c>
      <c r="M11" s="132">
        <f>IF(SER_hh_tesh_in!M11=0,0,SER_hh_tesh_in!M11/SER_summary!M$27)</f>
        <v>0</v>
      </c>
      <c r="N11" s="132">
        <f>IF(SER_hh_tesh_in!N11=0,0,SER_hh_tesh_in!N11/SER_summary!N$27)</f>
        <v>0</v>
      </c>
      <c r="O11" s="132">
        <f>IF(SER_hh_tesh_in!O11=0,0,SER_hh_tesh_in!O11/SER_summary!O$27)</f>
        <v>0</v>
      </c>
      <c r="P11" s="132">
        <f>IF(SER_hh_tesh_in!P11=0,0,SER_hh_tesh_in!P11/SER_summary!P$27)</f>
        <v>0</v>
      </c>
      <c r="Q11" s="132">
        <f>IF(SER_hh_tesh_in!Q11=0,0,SER_hh_tesh_in!Q11/SER_summary!Q$27)</f>
        <v>0</v>
      </c>
      <c r="R11" s="132">
        <f>IF(SER_hh_tesh_in!R11=0,0,SER_hh_tesh_in!R11/SER_summary!R$27)</f>
        <v>0</v>
      </c>
      <c r="S11" s="132">
        <f>IF(SER_hh_tesh_in!S11=0,0,SER_hh_tesh_in!S11/SER_summary!S$27)</f>
        <v>0</v>
      </c>
      <c r="T11" s="132">
        <f>IF(SER_hh_tesh_in!T11=0,0,SER_hh_tesh_in!T11/SER_summary!T$27)</f>
        <v>0</v>
      </c>
      <c r="U11" s="132">
        <f>IF(SER_hh_tesh_in!U11=0,0,SER_hh_tesh_in!U11/SER_summary!U$27)</f>
        <v>0</v>
      </c>
      <c r="V11" s="132">
        <f>IF(SER_hh_tesh_in!V11=0,0,SER_hh_tesh_in!V11/SER_summary!V$27)</f>
        <v>0</v>
      </c>
      <c r="W11" s="132">
        <f>IF(SER_hh_tesh_in!W11=0,0,SER_hh_tesh_in!W11/SER_summary!W$27)</f>
        <v>0</v>
      </c>
      <c r="X11" s="132">
        <f>IF(SER_hh_tesh_in!X11=0,0,SER_hh_tesh_in!X11/SER_summary!X$27)</f>
        <v>0</v>
      </c>
      <c r="Y11" s="132">
        <f>IF(SER_hh_tesh_in!Y11=0,0,SER_hh_tesh_in!Y11/SER_summary!Y$27)</f>
        <v>0</v>
      </c>
      <c r="DA11" s="156" t="s">
        <v>856</v>
      </c>
    </row>
    <row r="12" spans="1:105" ht="12" customHeight="1" x14ac:dyDescent="0.25">
      <c r="A12" s="131" t="s">
        <v>162</v>
      </c>
      <c r="B12" s="132"/>
      <c r="C12" s="132">
        <f>IF(SER_hh_tesh_in!C12=0,0,SER_hh_tesh_in!C12/SER_summary!C$27)</f>
        <v>78.875409038243646</v>
      </c>
      <c r="D12" s="132">
        <f>IF(SER_hh_tesh_in!D12=0,0,SER_hh_tesh_in!D12/SER_summary!D$27)</f>
        <v>74.489201571399846</v>
      </c>
      <c r="E12" s="132">
        <f>IF(SER_hh_tesh_in!E12=0,0,SER_hh_tesh_in!E12/SER_summary!E$27)</f>
        <v>73.661155815419804</v>
      </c>
      <c r="F12" s="132">
        <f>IF(SER_hh_tesh_in!F12=0,0,SER_hh_tesh_in!F12/SER_summary!F$27)</f>
        <v>71.196381787095362</v>
      </c>
      <c r="G12" s="132">
        <f>IF(SER_hh_tesh_in!G12=0,0,SER_hh_tesh_in!G12/SER_summary!G$27)</f>
        <v>67.324879019870068</v>
      </c>
      <c r="H12" s="132">
        <f>IF(SER_hh_tesh_in!H12=0,0,SER_hh_tesh_in!H12/SER_summary!H$27)</f>
        <v>70.298132828949463</v>
      </c>
      <c r="I12" s="132">
        <f>IF(SER_hh_tesh_in!I12=0,0,SER_hh_tesh_in!I12/SER_summary!I$27)</f>
        <v>64.497596206536628</v>
      </c>
      <c r="J12" s="132">
        <f>IF(SER_hh_tesh_in!J12=0,0,SER_hh_tesh_in!J12/SER_summary!J$27)</f>
        <v>50.37836836317112</v>
      </c>
      <c r="K12" s="132">
        <f>IF(SER_hh_tesh_in!K12=0,0,SER_hh_tesh_in!K12/SER_summary!K$27)</f>
        <v>53.668117218482571</v>
      </c>
      <c r="L12" s="132">
        <f>IF(SER_hh_tesh_in!L12=0,0,SER_hh_tesh_in!L12/SER_summary!L$27)</f>
        <v>55.507907602402135</v>
      </c>
      <c r="M12" s="132">
        <f>IF(SER_hh_tesh_in!M12=0,0,SER_hh_tesh_in!M12/SER_summary!M$27)</f>
        <v>43.211986066659911</v>
      </c>
      <c r="N12" s="132">
        <f>IF(SER_hh_tesh_in!N12=0,0,SER_hh_tesh_in!N12/SER_summary!N$27)</f>
        <v>51.554497467188732</v>
      </c>
      <c r="O12" s="132">
        <f>IF(SER_hh_tesh_in!O12=0,0,SER_hh_tesh_in!O12/SER_summary!O$27)</f>
        <v>42.196288889609818</v>
      </c>
      <c r="P12" s="132">
        <f>IF(SER_hh_tesh_in!P12=0,0,SER_hh_tesh_in!P12/SER_summary!P$27)</f>
        <v>40.009750119991452</v>
      </c>
      <c r="Q12" s="132">
        <f>IF(SER_hh_tesh_in!Q12=0,0,SER_hh_tesh_in!Q12/SER_summary!Q$27)</f>
        <v>39.54148960775828</v>
      </c>
      <c r="R12" s="132">
        <f>IF(SER_hh_tesh_in!R12=0,0,SER_hh_tesh_in!R12/SER_summary!R$27)</f>
        <v>38.16312000607526</v>
      </c>
      <c r="S12" s="132">
        <f>IF(SER_hh_tesh_in!S12=0,0,SER_hh_tesh_in!S12/SER_summary!S$27)</f>
        <v>44.225375108212511</v>
      </c>
      <c r="T12" s="132">
        <f>IF(SER_hh_tesh_in!T12=0,0,SER_hh_tesh_in!T12/SER_summary!T$27)</f>
        <v>44.233984287282091</v>
      </c>
      <c r="U12" s="132">
        <f>IF(SER_hh_tesh_in!U12=0,0,SER_hh_tesh_in!U12/SER_summary!U$27)</f>
        <v>37.239186467857024</v>
      </c>
      <c r="V12" s="132">
        <f>IF(SER_hh_tesh_in!V12=0,0,SER_hh_tesh_in!V12/SER_summary!V$27)</f>
        <v>32.427781415637774</v>
      </c>
      <c r="W12" s="132">
        <f>IF(SER_hh_tesh_in!W12=0,0,SER_hh_tesh_in!W12/SER_summary!W$27)</f>
        <v>40.796774741887752</v>
      </c>
      <c r="X12" s="132">
        <f>IF(SER_hh_tesh_in!X12=0,0,SER_hh_tesh_in!X12/SER_summary!X$27)</f>
        <v>38.003110156237248</v>
      </c>
      <c r="Y12" s="132">
        <f>IF(SER_hh_tesh_in!Y12=0,0,SER_hh_tesh_in!Y12/SER_summary!Y$27)</f>
        <v>36.279025910280808</v>
      </c>
      <c r="DA12" s="156" t="s">
        <v>857</v>
      </c>
    </row>
    <row r="13" spans="1:105" ht="12" customHeight="1" x14ac:dyDescent="0.25">
      <c r="A13" s="131" t="s">
        <v>77</v>
      </c>
      <c r="B13" s="132"/>
      <c r="C13" s="132">
        <f>IF(SER_hh_tesh_in!C13=0,0,SER_hh_tesh_in!C13/SER_summary!C$27)</f>
        <v>75.968420453037112</v>
      </c>
      <c r="D13" s="132">
        <f>IF(SER_hh_tesh_in!D13=0,0,SER_hh_tesh_in!D13/SER_summary!D$27)</f>
        <v>59.588036760038733</v>
      </c>
      <c r="E13" s="132">
        <f>IF(SER_hh_tesh_in!E13=0,0,SER_hh_tesh_in!E13/SER_summary!E$27)</f>
        <v>73.072495738512657</v>
      </c>
      <c r="F13" s="132">
        <f>IF(SER_hh_tesh_in!F13=0,0,SER_hh_tesh_in!F13/SER_summary!F$27)</f>
        <v>68.768401560075105</v>
      </c>
      <c r="G13" s="132">
        <f>IF(SER_hh_tesh_in!G13=0,0,SER_hh_tesh_in!G13/SER_summary!G$27)</f>
        <v>69.874914417634372</v>
      </c>
      <c r="H13" s="132">
        <f>IF(SER_hh_tesh_in!H13=0,0,SER_hh_tesh_in!H13/SER_summary!H$27)</f>
        <v>62.03513667024243</v>
      </c>
      <c r="I13" s="132">
        <f>IF(SER_hh_tesh_in!I13=0,0,SER_hh_tesh_in!I13/SER_summary!I$27)</f>
        <v>53.183972836504118</v>
      </c>
      <c r="J13" s="132">
        <f>IF(SER_hh_tesh_in!J13=0,0,SER_hh_tesh_in!J13/SER_summary!J$27)</f>
        <v>63.318792061252253</v>
      </c>
      <c r="K13" s="132">
        <f>IF(SER_hh_tesh_in!K13=0,0,SER_hh_tesh_in!K13/SER_summary!K$27)</f>
        <v>50.355105935167387</v>
      </c>
      <c r="L13" s="132">
        <f>IF(SER_hh_tesh_in!L13=0,0,SER_hh_tesh_in!L13/SER_summary!L$27)</f>
        <v>39.121308903490863</v>
      </c>
      <c r="M13" s="132">
        <f>IF(SER_hh_tesh_in!M13=0,0,SER_hh_tesh_in!M13/SER_summary!M$27)</f>
        <v>44.957466228271386</v>
      </c>
      <c r="N13" s="132">
        <f>IF(SER_hh_tesh_in!N13=0,0,SER_hh_tesh_in!N13/SER_summary!N$27)</f>
        <v>43.57205003028249</v>
      </c>
      <c r="O13" s="132">
        <f>IF(SER_hh_tesh_in!O13=0,0,SER_hh_tesh_in!O13/SER_summary!O$27)</f>
        <v>39.556213220903956</v>
      </c>
      <c r="P13" s="132">
        <f>IF(SER_hh_tesh_in!P13=0,0,SER_hh_tesh_in!P13/SER_summary!P$27)</f>
        <v>45.843890100973326</v>
      </c>
      <c r="Q13" s="132">
        <f>IF(SER_hh_tesh_in!Q13=0,0,SER_hh_tesh_in!Q13/SER_summary!Q$27)</f>
        <v>42.031816130546787</v>
      </c>
      <c r="R13" s="132">
        <f>IF(SER_hh_tesh_in!R13=0,0,SER_hh_tesh_in!R13/SER_summary!R$27)</f>
        <v>41.608874711340995</v>
      </c>
      <c r="S13" s="132">
        <f>IF(SER_hh_tesh_in!S13=0,0,SER_hh_tesh_in!S13/SER_summary!S$27)</f>
        <v>41.886875192912207</v>
      </c>
      <c r="T13" s="132">
        <f>IF(SER_hh_tesh_in!T13=0,0,SER_hh_tesh_in!T13/SER_summary!T$27)</f>
        <v>42.232799283518062</v>
      </c>
      <c r="U13" s="132">
        <f>IF(SER_hh_tesh_in!U13=0,0,SER_hh_tesh_in!U13/SER_summary!U$27)</f>
        <v>36.793691918577991</v>
      </c>
      <c r="V13" s="132">
        <f>IF(SER_hh_tesh_in!V13=0,0,SER_hh_tesh_in!V13/SER_summary!V$27)</f>
        <v>28.608804266157581</v>
      </c>
      <c r="W13" s="132">
        <f>IF(SER_hh_tesh_in!W13=0,0,SER_hh_tesh_in!W13/SER_summary!W$27)</f>
        <v>40.581695373670058</v>
      </c>
      <c r="X13" s="132">
        <f>IF(SER_hh_tesh_in!X13=0,0,SER_hh_tesh_in!X13/SER_summary!X$27)</f>
        <v>34.910827833359058</v>
      </c>
      <c r="Y13" s="132">
        <f>IF(SER_hh_tesh_in!Y13=0,0,SER_hh_tesh_in!Y13/SER_summary!Y$27)</f>
        <v>41.398220714040754</v>
      </c>
      <c r="DA13" s="156" t="s">
        <v>858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79.649954095167772</v>
      </c>
      <c r="D14" s="65">
        <f>IF(SER_hh_tesh_in!D14=0,0,SER_hh_tesh_in!D14/SER_summary!D$27)</f>
        <v>65.390860452507681</v>
      </c>
      <c r="E14" s="65">
        <f>IF(SER_hh_tesh_in!E14=0,0,SER_hh_tesh_in!E14/SER_summary!E$27)</f>
        <v>79.399046923190625</v>
      </c>
      <c r="F14" s="65">
        <f>IF(SER_hh_tesh_in!F14=0,0,SER_hh_tesh_in!F14/SER_summary!F$27)</f>
        <v>74.279157760338322</v>
      </c>
      <c r="G14" s="65">
        <f>IF(SER_hh_tesh_in!G14=0,0,SER_hh_tesh_in!G14/SER_summary!G$27)</f>
        <v>69.835871533027785</v>
      </c>
      <c r="H14" s="65">
        <f>IF(SER_hh_tesh_in!H14=0,0,SER_hh_tesh_in!H14/SER_summary!H$27)</f>
        <v>64.905752016821978</v>
      </c>
      <c r="I14" s="65">
        <f>IF(SER_hh_tesh_in!I14=0,0,SER_hh_tesh_in!I14/SER_summary!I$27)</f>
        <v>62.127023720572815</v>
      </c>
      <c r="J14" s="65">
        <f>IF(SER_hh_tesh_in!J14=0,0,SER_hh_tesh_in!J14/SER_summary!J$27)</f>
        <v>85.729089765155578</v>
      </c>
      <c r="K14" s="65">
        <f>IF(SER_hh_tesh_in!K14=0,0,SER_hh_tesh_in!K14/SER_summary!K$27)</f>
        <v>0</v>
      </c>
      <c r="L14" s="65">
        <f>IF(SER_hh_tesh_in!L14=0,0,SER_hh_tesh_in!L14/SER_summary!L$27)</f>
        <v>0</v>
      </c>
      <c r="M14" s="65">
        <f>IF(SER_hh_tesh_in!M14=0,0,SER_hh_tesh_in!M14/SER_summary!M$27)</f>
        <v>0</v>
      </c>
      <c r="N14" s="65">
        <f>IF(SER_hh_tesh_in!N14=0,0,SER_hh_tesh_in!N14/SER_summary!N$27)</f>
        <v>60.883526692735572</v>
      </c>
      <c r="O14" s="65">
        <f>IF(SER_hh_tesh_in!O14=0,0,SER_hh_tesh_in!O14/SER_summary!O$27)</f>
        <v>41.627270691438653</v>
      </c>
      <c r="P14" s="65">
        <f>IF(SER_hh_tesh_in!P14=0,0,SER_hh_tesh_in!P14/SER_summary!P$27)</f>
        <v>0</v>
      </c>
      <c r="Q14" s="65">
        <f>IF(SER_hh_tesh_in!Q14=0,0,SER_hh_tesh_in!Q14/SER_summary!Q$27)</f>
        <v>20.046111474062453</v>
      </c>
      <c r="R14" s="65">
        <f>IF(SER_hh_tesh_in!R14=0,0,SER_hh_tesh_in!R14/SER_summary!R$27)</f>
        <v>49.516535828749404</v>
      </c>
      <c r="S14" s="65">
        <f>IF(SER_hh_tesh_in!S14=0,0,SER_hh_tesh_in!S14/SER_summary!S$27)</f>
        <v>31.484285782689799</v>
      </c>
      <c r="T14" s="65">
        <f>IF(SER_hh_tesh_in!T14=0,0,SER_hh_tesh_in!T14/SER_summary!T$27)</f>
        <v>46.506771333786602</v>
      </c>
      <c r="U14" s="65">
        <f>IF(SER_hh_tesh_in!U14=0,0,SER_hh_tesh_in!U14/SER_summary!U$27)</f>
        <v>45.119556616745399</v>
      </c>
      <c r="V14" s="65">
        <f>IF(SER_hh_tesh_in!V14=0,0,SER_hh_tesh_in!V14/SER_summary!V$27)</f>
        <v>32.345981944024935</v>
      </c>
      <c r="W14" s="65">
        <f>IF(SER_hh_tesh_in!W14=0,0,SER_hh_tesh_in!W14/SER_summary!W$27)</f>
        <v>41.464151011758801</v>
      </c>
      <c r="X14" s="65">
        <f>IF(SER_hh_tesh_in!X14=0,0,SER_hh_tesh_in!X14/SER_summary!X$27)</f>
        <v>0</v>
      </c>
      <c r="Y14" s="65">
        <f>IF(SER_hh_tesh_in!Y14=0,0,SER_hh_tesh_in!Y14/SER_summary!Y$27)</f>
        <v>0</v>
      </c>
      <c r="DA14" s="109" t="s">
        <v>859</v>
      </c>
    </row>
    <row r="15" spans="1:105" ht="12" customHeight="1" x14ac:dyDescent="0.25">
      <c r="A15" s="133" t="s">
        <v>80</v>
      </c>
      <c r="B15" s="134"/>
      <c r="C15" s="134">
        <f>IF(SER_hh_tesh_in!C15=0,0,SER_hh_tesh_in!C15/SER_summary!C$27)</f>
        <v>0.53973467131945541</v>
      </c>
      <c r="D15" s="134">
        <f>IF(SER_hh_tesh_in!D15=0,0,SER_hh_tesh_in!D15/SER_summary!D$27)</f>
        <v>0.60136450530517505</v>
      </c>
      <c r="E15" s="134">
        <f>IF(SER_hh_tesh_in!E15=0,0,SER_hh_tesh_in!E15/SER_summary!E$27)</f>
        <v>0.51485399867982651</v>
      </c>
      <c r="F15" s="134">
        <f>IF(SER_hh_tesh_in!F15=0,0,SER_hh_tesh_in!F15/SER_summary!F$27)</f>
        <v>0.58732404893997292</v>
      </c>
      <c r="G15" s="134">
        <f>IF(SER_hh_tesh_in!G15=0,0,SER_hh_tesh_in!G15/SER_summary!G$27)</f>
        <v>0.50611754486002902</v>
      </c>
      <c r="H15" s="134">
        <f>IF(SER_hh_tesh_in!H15=0,0,SER_hh_tesh_in!H15/SER_summary!H$27)</f>
        <v>0.56545886023073799</v>
      </c>
      <c r="I15" s="134">
        <f>IF(SER_hh_tesh_in!I15=0,0,SER_hh_tesh_in!I15/SER_summary!I$27)</f>
        <v>0.44617059452140667</v>
      </c>
      <c r="J15" s="134">
        <f>IF(SER_hh_tesh_in!J15=0,0,SER_hh_tesh_in!J15/SER_summary!J$27)</f>
        <v>0.38302204285204949</v>
      </c>
      <c r="K15" s="134">
        <f>IF(SER_hh_tesh_in!K15=0,0,SER_hh_tesh_in!K15/SER_summary!K$27)</f>
        <v>0.39096028192924742</v>
      </c>
      <c r="L15" s="134">
        <f>IF(SER_hh_tesh_in!L15=0,0,SER_hh_tesh_in!L15/SER_summary!L$27)</f>
        <v>0.36876133594949895</v>
      </c>
      <c r="M15" s="134">
        <f>IF(SER_hh_tesh_in!M15=0,0,SER_hh_tesh_in!M15/SER_summary!M$27)</f>
        <v>0.33427904612845305</v>
      </c>
      <c r="N15" s="134">
        <f>IF(SER_hh_tesh_in!N15=0,0,SER_hh_tesh_in!N15/SER_summary!N$27)</f>
        <v>0.36127667853693896</v>
      </c>
      <c r="O15" s="134">
        <f>IF(SER_hh_tesh_in!O15=0,0,SER_hh_tesh_in!O15/SER_summary!O$27)</f>
        <v>0.36600497930442588</v>
      </c>
      <c r="P15" s="134">
        <f>IF(SER_hh_tesh_in!P15=0,0,SER_hh_tesh_in!P15/SER_summary!P$27)</f>
        <v>0.28872161386734596</v>
      </c>
      <c r="Q15" s="134">
        <f>IF(SER_hh_tesh_in!Q15=0,0,SER_hh_tesh_in!Q15/SER_summary!Q$27)</f>
        <v>0.32760270785830437</v>
      </c>
      <c r="R15" s="134">
        <f>IF(SER_hh_tesh_in!R15=0,0,SER_hh_tesh_in!R15/SER_summary!R$27)</f>
        <v>0.28431158081326097</v>
      </c>
      <c r="S15" s="134">
        <f>IF(SER_hh_tesh_in!S15=0,0,SER_hh_tesh_in!S15/SER_summary!S$27)</f>
        <v>0.29677568688769473</v>
      </c>
      <c r="T15" s="134">
        <f>IF(SER_hh_tesh_in!T15=0,0,SER_hh_tesh_in!T15/SER_summary!T$27)</f>
        <v>0.35252248042522794</v>
      </c>
      <c r="U15" s="134">
        <f>IF(SER_hh_tesh_in!U15=0,0,SER_hh_tesh_in!U15/SER_summary!U$27)</f>
        <v>0.33698300396637448</v>
      </c>
      <c r="V15" s="134">
        <f>IF(SER_hh_tesh_in!V15=0,0,SER_hh_tesh_in!V15/SER_summary!V$27)</f>
        <v>0.21844620204709395</v>
      </c>
      <c r="W15" s="134">
        <f>IF(SER_hh_tesh_in!W15=0,0,SER_hh_tesh_in!W15/SER_summary!W$27)</f>
        <v>0.32784286054209766</v>
      </c>
      <c r="X15" s="134">
        <f>IF(SER_hh_tesh_in!X15=0,0,SER_hh_tesh_in!X15/SER_summary!X$27)</f>
        <v>0.32324743300674214</v>
      </c>
      <c r="Y15" s="134">
        <f>IF(SER_hh_tesh_in!Y15=0,0,SER_hh_tesh_in!Y15/SER_summary!Y$27)</f>
        <v>0.33732241108644301</v>
      </c>
      <c r="DA15" s="157" t="s">
        <v>860</v>
      </c>
    </row>
    <row r="16" spans="1:105" ht="12.95" customHeight="1" x14ac:dyDescent="0.25">
      <c r="A16" s="129" t="s">
        <v>74</v>
      </c>
      <c r="B16" s="130"/>
      <c r="C16" s="130">
        <f>IF(SER_hh_tesh_in!C16=0,0,SER_hh_tesh_in!C16/SER_summary!C$27)</f>
        <v>21.678969082865361</v>
      </c>
      <c r="D16" s="130">
        <f>IF(SER_hh_tesh_in!D16=0,0,SER_hh_tesh_in!D16/SER_summary!D$27)</f>
        <v>23.177319825080097</v>
      </c>
      <c r="E16" s="130">
        <f>IF(SER_hh_tesh_in!E16=0,0,SER_hh_tesh_in!E16/SER_summary!E$27)</f>
        <v>20.690545169254897</v>
      </c>
      <c r="F16" s="130">
        <f>IF(SER_hh_tesh_in!F16=0,0,SER_hh_tesh_in!F16/SER_summary!F$27)</f>
        <v>20.492624194762005</v>
      </c>
      <c r="G16" s="130">
        <f>IF(SER_hh_tesh_in!G16=0,0,SER_hh_tesh_in!G16/SER_summary!G$27)</f>
        <v>20.462110411723422</v>
      </c>
      <c r="H16" s="130">
        <f>IF(SER_hh_tesh_in!H16=0,0,SER_hh_tesh_in!H16/SER_summary!H$27)</f>
        <v>22.528544073346286</v>
      </c>
      <c r="I16" s="130">
        <f>IF(SER_hh_tesh_in!I16=0,0,SER_hh_tesh_in!I16/SER_summary!I$27)</f>
        <v>20.73704344102028</v>
      </c>
      <c r="J16" s="130">
        <f>IF(SER_hh_tesh_in!J16=0,0,SER_hh_tesh_in!J16/SER_summary!J$27)</f>
        <v>20.387524102373177</v>
      </c>
      <c r="K16" s="130">
        <f>IF(SER_hh_tesh_in!K16=0,0,SER_hh_tesh_in!K16/SER_summary!K$27)</f>
        <v>20.27257160839828</v>
      </c>
      <c r="L16" s="130">
        <f>IF(SER_hh_tesh_in!L16=0,0,SER_hh_tesh_in!L16/SER_summary!L$27)</f>
        <v>25.625812865438366</v>
      </c>
      <c r="M16" s="130">
        <f>IF(SER_hh_tesh_in!M16=0,0,SER_hh_tesh_in!M16/SER_summary!M$27)</f>
        <v>20.286981827381961</v>
      </c>
      <c r="N16" s="130">
        <f>IF(SER_hh_tesh_in!N16=0,0,SER_hh_tesh_in!N16/SER_summary!N$27)</f>
        <v>22.148334200071712</v>
      </c>
      <c r="O16" s="130">
        <f>IF(SER_hh_tesh_in!O16=0,0,SER_hh_tesh_in!O16/SER_summary!O$27)</f>
        <v>20.54767927516107</v>
      </c>
      <c r="P16" s="130">
        <f>IF(SER_hh_tesh_in!P16=0,0,SER_hh_tesh_in!P16/SER_summary!P$27)</f>
        <v>22.64684347778131</v>
      </c>
      <c r="Q16" s="130">
        <f>IF(SER_hh_tesh_in!Q16=0,0,SER_hh_tesh_in!Q16/SER_summary!Q$27)</f>
        <v>21.877247656191301</v>
      </c>
      <c r="R16" s="130">
        <f>IF(SER_hh_tesh_in!R16=0,0,SER_hh_tesh_in!R16/SER_summary!R$27)</f>
        <v>20.694606453875696</v>
      </c>
      <c r="S16" s="130">
        <f>IF(SER_hh_tesh_in!S16=0,0,SER_hh_tesh_in!S16/SER_summary!S$27)</f>
        <v>20.491099962051141</v>
      </c>
      <c r="T16" s="130">
        <f>IF(SER_hh_tesh_in!T16=0,0,SER_hh_tesh_in!T16/SER_summary!T$27)</f>
        <v>21.662184721924707</v>
      </c>
      <c r="U16" s="130">
        <f>IF(SER_hh_tesh_in!U16=0,0,SER_hh_tesh_in!U16/SER_summary!U$27)</f>
        <v>20.87736958757425</v>
      </c>
      <c r="V16" s="130">
        <f>IF(SER_hh_tesh_in!V16=0,0,SER_hh_tesh_in!V16/SER_summary!V$27)</f>
        <v>19.897302344267793</v>
      </c>
      <c r="W16" s="130">
        <f>IF(SER_hh_tesh_in!W16=0,0,SER_hh_tesh_in!W16/SER_summary!W$27)</f>
        <v>22.980816745845562</v>
      </c>
      <c r="X16" s="130">
        <f>IF(SER_hh_tesh_in!X16=0,0,SER_hh_tesh_in!X16/SER_summary!X$27)</f>
        <v>20.718140251511336</v>
      </c>
      <c r="Y16" s="130">
        <f>IF(SER_hh_tesh_in!Y16=0,0,SER_hh_tesh_in!Y16/SER_summary!Y$27)</f>
        <v>20.388667601676527</v>
      </c>
      <c r="DA16" s="155" t="s">
        <v>861</v>
      </c>
    </row>
    <row r="17" spans="1:105" ht="12.95" customHeight="1" x14ac:dyDescent="0.25">
      <c r="A17" s="131" t="s">
        <v>73</v>
      </c>
      <c r="B17" s="132"/>
      <c r="C17" s="132">
        <f>IF(SER_hh_tesh_in!C17=0,0,SER_hh_tesh_in!C17/SER_summary!C$27)</f>
        <v>0</v>
      </c>
      <c r="D17" s="132">
        <f>IF(SER_hh_tesh_in!D17=0,0,SER_hh_tesh_in!D17/SER_summary!D$27)</f>
        <v>0</v>
      </c>
      <c r="E17" s="132">
        <f>IF(SER_hh_tesh_in!E17=0,0,SER_hh_tesh_in!E17/SER_summary!E$27)</f>
        <v>0</v>
      </c>
      <c r="F17" s="132">
        <f>IF(SER_hh_tesh_in!F17=0,0,SER_hh_tesh_in!F17/SER_summary!F$27)</f>
        <v>0</v>
      </c>
      <c r="G17" s="132">
        <f>IF(SER_hh_tesh_in!G17=0,0,SER_hh_tesh_in!G17/SER_summary!G$27)</f>
        <v>0</v>
      </c>
      <c r="H17" s="132">
        <f>IF(SER_hh_tesh_in!H17=0,0,SER_hh_tesh_in!H17/SER_summary!H$27)</f>
        <v>0</v>
      </c>
      <c r="I17" s="132">
        <f>IF(SER_hh_tesh_in!I17=0,0,SER_hh_tesh_in!I17/SER_summary!I$27)</f>
        <v>0</v>
      </c>
      <c r="J17" s="132">
        <f>IF(SER_hh_tesh_in!J17=0,0,SER_hh_tesh_in!J17/SER_summary!J$27)</f>
        <v>0</v>
      </c>
      <c r="K17" s="132">
        <f>IF(SER_hh_tesh_in!K17=0,0,SER_hh_tesh_in!K17/SER_summary!K$27)</f>
        <v>0</v>
      </c>
      <c r="L17" s="132">
        <f>IF(SER_hh_tesh_in!L17=0,0,SER_hh_tesh_in!L17/SER_summary!L$27)</f>
        <v>0</v>
      </c>
      <c r="M17" s="132">
        <f>IF(SER_hh_tesh_in!M17=0,0,SER_hh_tesh_in!M17/SER_summary!M$27)</f>
        <v>0</v>
      </c>
      <c r="N17" s="132">
        <f>IF(SER_hh_tesh_in!N17=0,0,SER_hh_tesh_in!N17/SER_summary!N$27)</f>
        <v>0</v>
      </c>
      <c r="O17" s="132">
        <f>IF(SER_hh_tesh_in!O17=0,0,SER_hh_tesh_in!O17/SER_summary!O$27)</f>
        <v>0</v>
      </c>
      <c r="P17" s="132">
        <f>IF(SER_hh_tesh_in!P17=0,0,SER_hh_tesh_in!P17/SER_summary!P$27)</f>
        <v>0</v>
      </c>
      <c r="Q17" s="132">
        <f>IF(SER_hh_tesh_in!Q17=0,0,SER_hh_tesh_in!Q17/SER_summary!Q$27)</f>
        <v>0</v>
      </c>
      <c r="R17" s="132">
        <f>IF(SER_hh_tesh_in!R17=0,0,SER_hh_tesh_in!R17/SER_summary!R$27)</f>
        <v>0</v>
      </c>
      <c r="S17" s="132">
        <f>IF(SER_hh_tesh_in!S17=0,0,SER_hh_tesh_in!S17/SER_summary!S$27)</f>
        <v>0</v>
      </c>
      <c r="T17" s="132">
        <f>IF(SER_hh_tesh_in!T17=0,0,SER_hh_tesh_in!T17/SER_summary!T$27)</f>
        <v>0</v>
      </c>
      <c r="U17" s="132">
        <f>IF(SER_hh_tesh_in!U17=0,0,SER_hh_tesh_in!U17/SER_summary!U$27)</f>
        <v>0</v>
      </c>
      <c r="V17" s="132">
        <f>IF(SER_hh_tesh_in!V17=0,0,SER_hh_tesh_in!V17/SER_summary!V$27)</f>
        <v>0</v>
      </c>
      <c r="W17" s="132">
        <f>IF(SER_hh_tesh_in!W17=0,0,SER_hh_tesh_in!W17/SER_summary!W$27)</f>
        <v>0</v>
      </c>
      <c r="X17" s="132">
        <f>IF(SER_hh_tesh_in!X17=0,0,SER_hh_tesh_in!X17/SER_summary!X$27)</f>
        <v>0</v>
      </c>
      <c r="Y17" s="132">
        <f>IF(SER_hh_tesh_in!Y17=0,0,SER_hh_tesh_in!Y17/SER_summary!Y$27)</f>
        <v>0</v>
      </c>
      <c r="DA17" s="156" t="s">
        <v>862</v>
      </c>
    </row>
    <row r="18" spans="1:105" ht="12" customHeight="1" x14ac:dyDescent="0.25">
      <c r="A18" s="131" t="s">
        <v>72</v>
      </c>
      <c r="B18" s="132"/>
      <c r="C18" s="132">
        <f>IF(SER_hh_tesh_in!C18=0,0,SER_hh_tesh_in!C18/SER_summary!C$27)</f>
        <v>21.678969082865361</v>
      </c>
      <c r="D18" s="132">
        <f>IF(SER_hh_tesh_in!D18=0,0,SER_hh_tesh_in!D18/SER_summary!D$27)</f>
        <v>23.177319825080097</v>
      </c>
      <c r="E18" s="132">
        <f>IF(SER_hh_tesh_in!E18=0,0,SER_hh_tesh_in!E18/SER_summary!E$27)</f>
        <v>20.690545169254897</v>
      </c>
      <c r="F18" s="132">
        <f>IF(SER_hh_tesh_in!F18=0,0,SER_hh_tesh_in!F18/SER_summary!F$27)</f>
        <v>20.492624194762005</v>
      </c>
      <c r="G18" s="132">
        <f>IF(SER_hh_tesh_in!G18=0,0,SER_hh_tesh_in!G18/SER_summary!G$27)</f>
        <v>20.462110411723422</v>
      </c>
      <c r="H18" s="132">
        <f>IF(SER_hh_tesh_in!H18=0,0,SER_hh_tesh_in!H18/SER_summary!H$27)</f>
        <v>22.528544073346286</v>
      </c>
      <c r="I18" s="132">
        <f>IF(SER_hh_tesh_in!I18=0,0,SER_hh_tesh_in!I18/SER_summary!I$27)</f>
        <v>20.73704344102028</v>
      </c>
      <c r="J18" s="132">
        <f>IF(SER_hh_tesh_in!J18=0,0,SER_hh_tesh_in!J18/SER_summary!J$27)</f>
        <v>20.387524102373177</v>
      </c>
      <c r="K18" s="132">
        <f>IF(SER_hh_tesh_in!K18=0,0,SER_hh_tesh_in!K18/SER_summary!K$27)</f>
        <v>20.27257160839828</v>
      </c>
      <c r="L18" s="132">
        <f>IF(SER_hh_tesh_in!L18=0,0,SER_hh_tesh_in!L18/SER_summary!L$27)</f>
        <v>25.625812865438366</v>
      </c>
      <c r="M18" s="132">
        <f>IF(SER_hh_tesh_in!M18=0,0,SER_hh_tesh_in!M18/SER_summary!M$27)</f>
        <v>20.286981827381961</v>
      </c>
      <c r="N18" s="132">
        <f>IF(SER_hh_tesh_in!N18=0,0,SER_hh_tesh_in!N18/SER_summary!N$27)</f>
        <v>22.148334200071712</v>
      </c>
      <c r="O18" s="132">
        <f>IF(SER_hh_tesh_in!O18=0,0,SER_hh_tesh_in!O18/SER_summary!O$27)</f>
        <v>20.54767927516107</v>
      </c>
      <c r="P18" s="132">
        <f>IF(SER_hh_tesh_in!P18=0,0,SER_hh_tesh_in!P18/SER_summary!P$27)</f>
        <v>22.64684347778131</v>
      </c>
      <c r="Q18" s="132">
        <f>IF(SER_hh_tesh_in!Q18=0,0,SER_hh_tesh_in!Q18/SER_summary!Q$27)</f>
        <v>21.877247656191301</v>
      </c>
      <c r="R18" s="132">
        <f>IF(SER_hh_tesh_in!R18=0,0,SER_hh_tesh_in!R18/SER_summary!R$27)</f>
        <v>20.694606453875696</v>
      </c>
      <c r="S18" s="132">
        <f>IF(SER_hh_tesh_in!S18=0,0,SER_hh_tesh_in!S18/SER_summary!S$27)</f>
        <v>20.491099962051141</v>
      </c>
      <c r="T18" s="132">
        <f>IF(SER_hh_tesh_in!T18=0,0,SER_hh_tesh_in!T18/SER_summary!T$27)</f>
        <v>21.662184721924707</v>
      </c>
      <c r="U18" s="132">
        <f>IF(SER_hh_tesh_in!U18=0,0,SER_hh_tesh_in!U18/SER_summary!U$27)</f>
        <v>20.87736958757425</v>
      </c>
      <c r="V18" s="132">
        <f>IF(SER_hh_tesh_in!V18=0,0,SER_hh_tesh_in!V18/SER_summary!V$27)</f>
        <v>19.897302344267793</v>
      </c>
      <c r="W18" s="132">
        <f>IF(SER_hh_tesh_in!W18=0,0,SER_hh_tesh_in!W18/SER_summary!W$27)</f>
        <v>22.980816745845562</v>
      </c>
      <c r="X18" s="132">
        <f>IF(SER_hh_tesh_in!X18=0,0,SER_hh_tesh_in!X18/SER_summary!X$27)</f>
        <v>20.718140251511336</v>
      </c>
      <c r="Y18" s="132">
        <f>IF(SER_hh_tesh_in!Y18=0,0,SER_hh_tesh_in!Y18/SER_summary!Y$27)</f>
        <v>20.388667601676527</v>
      </c>
      <c r="DA18" s="156" t="s">
        <v>863</v>
      </c>
    </row>
    <row r="19" spans="1:105" ht="12.95" customHeight="1" x14ac:dyDescent="0.25">
      <c r="A19" s="129" t="s">
        <v>35</v>
      </c>
      <c r="B19" s="130"/>
      <c r="C19" s="130">
        <f>IF(SER_hh_tesh_in!C19=0,0,SER_hh_tesh_in!C19/SER_summary!C$27)</f>
        <v>9.0951597961456301</v>
      </c>
      <c r="D19" s="130">
        <f>IF(SER_hh_tesh_in!D19=0,0,SER_hh_tesh_in!D19/SER_summary!D$27)</f>
        <v>9.1213618203306162</v>
      </c>
      <c r="E19" s="130">
        <f>IF(SER_hh_tesh_in!E19=0,0,SER_hh_tesh_in!E19/SER_summary!E$27)</f>
        <v>9.0921888865794127</v>
      </c>
      <c r="F19" s="130">
        <f>IF(SER_hh_tesh_in!F19=0,0,SER_hh_tesh_in!F19/SER_summary!F$27)</f>
        <v>9.4302350929543373</v>
      </c>
      <c r="G19" s="130">
        <f>IF(SER_hh_tesh_in!G19=0,0,SER_hh_tesh_in!G19/SER_summary!G$27)</f>
        <v>9.7301409529492275</v>
      </c>
      <c r="H19" s="130">
        <f>IF(SER_hh_tesh_in!H19=0,0,SER_hh_tesh_in!H19/SER_summary!H$27)</f>
        <v>10.019229474562723</v>
      </c>
      <c r="I19" s="130">
        <f>IF(SER_hh_tesh_in!I19=0,0,SER_hh_tesh_in!I19/SER_summary!I$27)</f>
        <v>9.9162134460599862</v>
      </c>
      <c r="J19" s="130">
        <f>IF(SER_hh_tesh_in!J19=0,0,SER_hh_tesh_in!J19/SER_summary!J$27)</f>
        <v>9.9496029376724806</v>
      </c>
      <c r="K19" s="130">
        <f>IF(SER_hh_tesh_in!K19=0,0,SER_hh_tesh_in!K19/SER_summary!K$27)</f>
        <v>10.239816417464592</v>
      </c>
      <c r="L19" s="130">
        <f>IF(SER_hh_tesh_in!L19=0,0,SER_hh_tesh_in!L19/SER_summary!L$27)</f>
        <v>10.503917422190934</v>
      </c>
      <c r="M19" s="130">
        <f>IF(SER_hh_tesh_in!M19=0,0,SER_hh_tesh_in!M19/SER_summary!M$27)</f>
        <v>10.534025453492177</v>
      </c>
      <c r="N19" s="130">
        <f>IF(SER_hh_tesh_in!N19=0,0,SER_hh_tesh_in!N19/SER_summary!N$27)</f>
        <v>10.649998170319281</v>
      </c>
      <c r="O19" s="130">
        <f>IF(SER_hh_tesh_in!O19=0,0,SER_hh_tesh_in!O19/SER_summary!O$27)</f>
        <v>10.870588132539391</v>
      </c>
      <c r="P19" s="130">
        <f>IF(SER_hh_tesh_in!P19=0,0,SER_hh_tesh_in!P19/SER_summary!P$27)</f>
        <v>10.755104581516521</v>
      </c>
      <c r="Q19" s="130">
        <f>IF(SER_hh_tesh_in!Q19=0,0,SER_hh_tesh_in!Q19/SER_summary!Q$27)</f>
        <v>11.089776491981427</v>
      </c>
      <c r="R19" s="130">
        <f>IF(SER_hh_tesh_in!R19=0,0,SER_hh_tesh_in!R19/SER_summary!R$27)</f>
        <v>11.018722813340181</v>
      </c>
      <c r="S19" s="130">
        <f>IF(SER_hh_tesh_in!S19=0,0,SER_hh_tesh_in!S19/SER_summary!S$27)</f>
        <v>11.350537992835465</v>
      </c>
      <c r="T19" s="130">
        <f>IF(SER_hh_tesh_in!T19=0,0,SER_hh_tesh_in!T19/SER_summary!T$27)</f>
        <v>11.255245907256977</v>
      </c>
      <c r="U19" s="130">
        <f>IF(SER_hh_tesh_in!U19=0,0,SER_hh_tesh_in!U19/SER_summary!U$27)</f>
        <v>11.4611076292486</v>
      </c>
      <c r="V19" s="130">
        <f>IF(SER_hh_tesh_in!V19=0,0,SER_hh_tesh_in!V19/SER_summary!V$27)</f>
        <v>10.159992870213166</v>
      </c>
      <c r="W19" s="130">
        <f>IF(SER_hh_tesh_in!W19=0,0,SER_hh_tesh_in!W19/SER_summary!W$27)</f>
        <v>11.136599725954335</v>
      </c>
      <c r="X19" s="130">
        <f>IF(SER_hh_tesh_in!X19=0,0,SER_hh_tesh_in!X19/SER_summary!X$27)</f>
        <v>11.282614825288503</v>
      </c>
      <c r="Y19" s="130">
        <f>IF(SER_hh_tesh_in!Y19=0,0,SER_hh_tesh_in!Y19/SER_summary!Y$27)</f>
        <v>11.658649136183097</v>
      </c>
      <c r="DA19" s="155" t="s">
        <v>864</v>
      </c>
    </row>
    <row r="20" spans="1:105" ht="12" customHeight="1" x14ac:dyDescent="0.25">
      <c r="A20" s="131" t="s">
        <v>29</v>
      </c>
      <c r="B20" s="132"/>
      <c r="C20" s="132">
        <f>IF(SER_hh_tesh_in!C20=0,0,SER_hh_tesh_in!C20/SER_summary!C$27)</f>
        <v>0</v>
      </c>
      <c r="D20" s="132">
        <f>IF(SER_hh_tesh_in!D20=0,0,SER_hh_tesh_in!D20/SER_summary!D$27)</f>
        <v>0</v>
      </c>
      <c r="E20" s="132">
        <f>IF(SER_hh_tesh_in!E20=0,0,SER_hh_tesh_in!E20/SER_summary!E$27)</f>
        <v>0</v>
      </c>
      <c r="F20" s="132">
        <f>IF(SER_hh_tesh_in!F20=0,0,SER_hh_tesh_in!F20/SER_summary!F$27)</f>
        <v>0</v>
      </c>
      <c r="G20" s="132">
        <f>IF(SER_hh_tesh_in!G20=0,0,SER_hh_tesh_in!G20/SER_summary!G$27)</f>
        <v>0</v>
      </c>
      <c r="H20" s="132">
        <f>IF(SER_hh_tesh_in!H20=0,0,SER_hh_tesh_in!H20/SER_summary!H$27)</f>
        <v>0</v>
      </c>
      <c r="I20" s="132">
        <f>IF(SER_hh_tesh_in!I20=0,0,SER_hh_tesh_in!I20/SER_summary!I$27)</f>
        <v>0</v>
      </c>
      <c r="J20" s="132">
        <f>IF(SER_hh_tesh_in!J20=0,0,SER_hh_tesh_in!J20/SER_summary!J$27)</f>
        <v>0</v>
      </c>
      <c r="K20" s="132">
        <f>IF(SER_hh_tesh_in!K20=0,0,SER_hh_tesh_in!K20/SER_summary!K$27)</f>
        <v>0</v>
      </c>
      <c r="L20" s="132">
        <f>IF(SER_hh_tesh_in!L20=0,0,SER_hh_tesh_in!L20/SER_summary!L$27)</f>
        <v>0</v>
      </c>
      <c r="M20" s="132">
        <f>IF(SER_hh_tesh_in!M20=0,0,SER_hh_tesh_in!M20/SER_summary!M$27)</f>
        <v>0</v>
      </c>
      <c r="N20" s="132">
        <f>IF(SER_hh_tesh_in!N20=0,0,SER_hh_tesh_in!N20/SER_summary!N$27)</f>
        <v>0</v>
      </c>
      <c r="O20" s="132">
        <f>IF(SER_hh_tesh_in!O20=0,0,SER_hh_tesh_in!O20/SER_summary!O$27)</f>
        <v>0</v>
      </c>
      <c r="P20" s="132">
        <f>IF(SER_hh_tesh_in!P20=0,0,SER_hh_tesh_in!P20/SER_summary!P$27)</f>
        <v>0</v>
      </c>
      <c r="Q20" s="132">
        <f>IF(SER_hh_tesh_in!Q20=0,0,SER_hh_tesh_in!Q20/SER_summary!Q$27)</f>
        <v>0</v>
      </c>
      <c r="R20" s="132">
        <f>IF(SER_hh_tesh_in!R20=0,0,SER_hh_tesh_in!R20/SER_summary!R$27)</f>
        <v>0</v>
      </c>
      <c r="S20" s="132">
        <f>IF(SER_hh_tesh_in!S20=0,0,SER_hh_tesh_in!S20/SER_summary!S$27)</f>
        <v>0</v>
      </c>
      <c r="T20" s="132">
        <f>IF(SER_hh_tesh_in!T20=0,0,SER_hh_tesh_in!T20/SER_summary!T$27)</f>
        <v>0</v>
      </c>
      <c r="U20" s="132">
        <f>IF(SER_hh_tesh_in!U20=0,0,SER_hh_tesh_in!U20/SER_summary!U$27)</f>
        <v>0</v>
      </c>
      <c r="V20" s="132">
        <f>IF(SER_hh_tesh_in!V20=0,0,SER_hh_tesh_in!V20/SER_summary!V$27)</f>
        <v>0</v>
      </c>
      <c r="W20" s="132">
        <f>IF(SER_hh_tesh_in!W20=0,0,SER_hh_tesh_in!W20/SER_summary!W$27)</f>
        <v>0</v>
      </c>
      <c r="X20" s="132">
        <f>IF(SER_hh_tesh_in!X20=0,0,SER_hh_tesh_in!X20/SER_summary!X$27)</f>
        <v>0</v>
      </c>
      <c r="Y20" s="132">
        <f>IF(SER_hh_tesh_in!Y20=0,0,SER_hh_tesh_in!Y20/SER_summary!Y$27)</f>
        <v>0</v>
      </c>
      <c r="DA20" s="156" t="s">
        <v>865</v>
      </c>
    </row>
    <row r="21" spans="1:105" s="2" customFormat="1" ht="12" customHeight="1" x14ac:dyDescent="0.25">
      <c r="A21" s="131" t="s">
        <v>52</v>
      </c>
      <c r="B21" s="132"/>
      <c r="C21" s="132">
        <f>IF(SER_hh_tesh_in!C21=0,0,SER_hh_tesh_in!C21/SER_summary!C$27)</f>
        <v>0</v>
      </c>
      <c r="D21" s="132">
        <f>IF(SER_hh_tesh_in!D21=0,0,SER_hh_tesh_in!D21/SER_summary!D$27)</f>
        <v>0</v>
      </c>
      <c r="E21" s="132">
        <f>IF(SER_hh_tesh_in!E21=0,0,SER_hh_tesh_in!E21/SER_summary!E$27)</f>
        <v>0</v>
      </c>
      <c r="F21" s="132">
        <f>IF(SER_hh_tesh_in!F21=0,0,SER_hh_tesh_in!F21/SER_summary!F$27)</f>
        <v>0</v>
      </c>
      <c r="G21" s="132">
        <f>IF(SER_hh_tesh_in!G21=0,0,SER_hh_tesh_in!G21/SER_summary!G$27)</f>
        <v>0</v>
      </c>
      <c r="H21" s="132">
        <f>IF(SER_hh_tesh_in!H21=0,0,SER_hh_tesh_in!H21/SER_summary!H$27)</f>
        <v>0</v>
      </c>
      <c r="I21" s="132">
        <f>IF(SER_hh_tesh_in!I21=0,0,SER_hh_tesh_in!I21/SER_summary!I$27)</f>
        <v>0</v>
      </c>
      <c r="J21" s="132">
        <f>IF(SER_hh_tesh_in!J21=0,0,SER_hh_tesh_in!J21/SER_summary!J$27)</f>
        <v>0</v>
      </c>
      <c r="K21" s="132">
        <f>IF(SER_hh_tesh_in!K21=0,0,SER_hh_tesh_in!K21/SER_summary!K$27)</f>
        <v>0</v>
      </c>
      <c r="L21" s="132">
        <f>IF(SER_hh_tesh_in!L21=0,0,SER_hh_tesh_in!L21/SER_summary!L$27)</f>
        <v>0</v>
      </c>
      <c r="M21" s="132">
        <f>IF(SER_hh_tesh_in!M21=0,0,SER_hh_tesh_in!M21/SER_summary!M$27)</f>
        <v>0</v>
      </c>
      <c r="N21" s="132">
        <f>IF(SER_hh_tesh_in!N21=0,0,SER_hh_tesh_in!N21/SER_summary!N$27)</f>
        <v>0</v>
      </c>
      <c r="O21" s="132">
        <f>IF(SER_hh_tesh_in!O21=0,0,SER_hh_tesh_in!O21/SER_summary!O$27)</f>
        <v>0</v>
      </c>
      <c r="P21" s="132">
        <f>IF(SER_hh_tesh_in!P21=0,0,SER_hh_tesh_in!P21/SER_summary!P$27)</f>
        <v>0</v>
      </c>
      <c r="Q21" s="132">
        <f>IF(SER_hh_tesh_in!Q21=0,0,SER_hh_tesh_in!Q21/SER_summary!Q$27)</f>
        <v>0</v>
      </c>
      <c r="R21" s="132">
        <f>IF(SER_hh_tesh_in!R21=0,0,SER_hh_tesh_in!R21/SER_summary!R$27)</f>
        <v>0</v>
      </c>
      <c r="S21" s="132">
        <f>IF(SER_hh_tesh_in!S21=0,0,SER_hh_tesh_in!S21/SER_summary!S$27)</f>
        <v>0</v>
      </c>
      <c r="T21" s="132">
        <f>IF(SER_hh_tesh_in!T21=0,0,SER_hh_tesh_in!T21/SER_summary!T$27)</f>
        <v>0</v>
      </c>
      <c r="U21" s="132">
        <f>IF(SER_hh_tesh_in!U21=0,0,SER_hh_tesh_in!U21/SER_summary!U$27)</f>
        <v>0</v>
      </c>
      <c r="V21" s="132">
        <f>IF(SER_hh_tesh_in!V21=0,0,SER_hh_tesh_in!V21/SER_summary!V$27)</f>
        <v>0</v>
      </c>
      <c r="W21" s="132">
        <f>IF(SER_hh_tesh_in!W21=0,0,SER_hh_tesh_in!W21/SER_summary!W$27)</f>
        <v>0</v>
      </c>
      <c r="X21" s="132">
        <f>IF(SER_hh_tesh_in!X21=0,0,SER_hh_tesh_in!X21/SER_summary!X$27)</f>
        <v>0</v>
      </c>
      <c r="Y21" s="132">
        <f>IF(SER_hh_tesh_in!Y21=0,0,SER_hh_tesh_in!Y21/SER_summary!Y$27)</f>
        <v>0</v>
      </c>
      <c r="DA21" s="156" t="s">
        <v>866</v>
      </c>
    </row>
    <row r="22" spans="1:105" ht="12" customHeight="1" x14ac:dyDescent="0.25">
      <c r="A22" s="131" t="s">
        <v>161</v>
      </c>
      <c r="B22" s="132"/>
      <c r="C22" s="132">
        <f>IF(SER_hh_tesh_in!C22=0,0,SER_hh_tesh_in!C22/SER_summary!C$27)</f>
        <v>0</v>
      </c>
      <c r="D22" s="132">
        <f>IF(SER_hh_tesh_in!D22=0,0,SER_hh_tesh_in!D22/SER_summary!D$27)</f>
        <v>0</v>
      </c>
      <c r="E22" s="132">
        <f>IF(SER_hh_tesh_in!E22=0,0,SER_hh_tesh_in!E22/SER_summary!E$27)</f>
        <v>0</v>
      </c>
      <c r="F22" s="132">
        <f>IF(SER_hh_tesh_in!F22=0,0,SER_hh_tesh_in!F22/SER_summary!F$27)</f>
        <v>0</v>
      </c>
      <c r="G22" s="132">
        <f>IF(SER_hh_tesh_in!G22=0,0,SER_hh_tesh_in!G22/SER_summary!G$27)</f>
        <v>0</v>
      </c>
      <c r="H22" s="132">
        <f>IF(SER_hh_tesh_in!H22=0,0,SER_hh_tesh_in!H22/SER_summary!H$27)</f>
        <v>0</v>
      </c>
      <c r="I22" s="132">
        <f>IF(SER_hh_tesh_in!I22=0,0,SER_hh_tesh_in!I22/SER_summary!I$27)</f>
        <v>0</v>
      </c>
      <c r="J22" s="132">
        <f>IF(SER_hh_tesh_in!J22=0,0,SER_hh_tesh_in!J22/SER_summary!J$27)</f>
        <v>0</v>
      </c>
      <c r="K22" s="132">
        <f>IF(SER_hh_tesh_in!K22=0,0,SER_hh_tesh_in!K22/SER_summary!K$27)</f>
        <v>9.4379061438791254</v>
      </c>
      <c r="L22" s="132">
        <f>IF(SER_hh_tesh_in!L22=0,0,SER_hh_tesh_in!L22/SER_summary!L$27)</f>
        <v>10.162447962249075</v>
      </c>
      <c r="M22" s="132">
        <f>IF(SER_hh_tesh_in!M22=0,0,SER_hh_tesh_in!M22/SER_summary!M$27)</f>
        <v>10.322444105007307</v>
      </c>
      <c r="N22" s="132">
        <f>IF(SER_hh_tesh_in!N22=0,0,SER_hh_tesh_in!N22/SER_summary!N$27)</f>
        <v>9.5604824174192018</v>
      </c>
      <c r="O22" s="132">
        <f>IF(SER_hh_tesh_in!O22=0,0,SER_hh_tesh_in!O22/SER_summary!O$27)</f>
        <v>10.799766972577197</v>
      </c>
      <c r="P22" s="132">
        <f>IF(SER_hh_tesh_in!P22=0,0,SER_hh_tesh_in!P22/SER_summary!P$27)</f>
        <v>0</v>
      </c>
      <c r="Q22" s="132">
        <f>IF(SER_hh_tesh_in!Q22=0,0,SER_hh_tesh_in!Q22/SER_summary!Q$27)</f>
        <v>10.926240423269354</v>
      </c>
      <c r="R22" s="132">
        <f>IF(SER_hh_tesh_in!R22=0,0,SER_hh_tesh_in!R22/SER_summary!R$27)</f>
        <v>0</v>
      </c>
      <c r="S22" s="132">
        <f>IF(SER_hh_tesh_in!S22=0,0,SER_hh_tesh_in!S22/SER_summary!S$27)</f>
        <v>12.369373341443225</v>
      </c>
      <c r="T22" s="132">
        <f>IF(SER_hh_tesh_in!T22=0,0,SER_hh_tesh_in!T22/SER_summary!T$27)</f>
        <v>9.1300689240803425</v>
      </c>
      <c r="U22" s="132">
        <f>IF(SER_hh_tesh_in!U22=0,0,SER_hh_tesh_in!U22/SER_summary!U$27)</f>
        <v>10.636501494526478</v>
      </c>
      <c r="V22" s="132">
        <f>IF(SER_hh_tesh_in!V22=0,0,SER_hh_tesh_in!V22/SER_summary!V$27)</f>
        <v>11.003917673637638</v>
      </c>
      <c r="W22" s="132">
        <f>IF(SER_hh_tesh_in!W22=0,0,SER_hh_tesh_in!W22/SER_summary!W$27)</f>
        <v>12.432735595622036</v>
      </c>
      <c r="X22" s="132">
        <f>IF(SER_hh_tesh_in!X22=0,0,SER_hh_tesh_in!X22/SER_summary!X$27)</f>
        <v>0</v>
      </c>
      <c r="Y22" s="132">
        <f>IF(SER_hh_tesh_in!Y22=0,0,SER_hh_tesh_in!Y22/SER_summary!Y$27)</f>
        <v>0</v>
      </c>
      <c r="DA22" s="156" t="s">
        <v>867</v>
      </c>
    </row>
    <row r="23" spans="1:105" ht="12" customHeight="1" x14ac:dyDescent="0.25">
      <c r="A23" s="131" t="s">
        <v>149</v>
      </c>
      <c r="B23" s="132"/>
      <c r="C23" s="132">
        <f>IF(SER_hh_tesh_in!C23=0,0,SER_hh_tesh_in!C23/SER_summary!C$27)</f>
        <v>8.8769656081406882</v>
      </c>
      <c r="D23" s="132">
        <f>IF(SER_hh_tesh_in!D23=0,0,SER_hh_tesh_in!D23/SER_summary!D$27)</f>
        <v>9.0393269085109527</v>
      </c>
      <c r="E23" s="132">
        <f>IF(SER_hh_tesh_in!E23=0,0,SER_hh_tesh_in!E23/SER_summary!E$27)</f>
        <v>8.7190394650063734</v>
      </c>
      <c r="F23" s="132">
        <f>IF(SER_hh_tesh_in!F23=0,0,SER_hh_tesh_in!F23/SER_summary!F$27)</f>
        <v>9.7757933087704441</v>
      </c>
      <c r="G23" s="132">
        <f>IF(SER_hh_tesh_in!G23=0,0,SER_hh_tesh_in!G23/SER_summary!G$27)</f>
        <v>8.9572635541665697</v>
      </c>
      <c r="H23" s="132">
        <f>IF(SER_hh_tesh_in!H23=0,0,SER_hh_tesh_in!H23/SER_summary!H$27)</f>
        <v>8.8403372362713419</v>
      </c>
      <c r="I23" s="132">
        <f>IF(SER_hh_tesh_in!I23=0,0,SER_hh_tesh_in!I23/SER_summary!I$27)</f>
        <v>10.744533659035241</v>
      </c>
      <c r="J23" s="132">
        <f>IF(SER_hh_tesh_in!J23=0,0,SER_hh_tesh_in!J23/SER_summary!J$27)</f>
        <v>10.782310501438054</v>
      </c>
      <c r="K23" s="132">
        <f>IF(SER_hh_tesh_in!K23=0,0,SER_hh_tesh_in!K23/SER_summary!K$27)</f>
        <v>10.296593450873921</v>
      </c>
      <c r="L23" s="132">
        <f>IF(SER_hh_tesh_in!L23=0,0,SER_hh_tesh_in!L23/SER_summary!L$27)</f>
        <v>10.361802769677828</v>
      </c>
      <c r="M23" s="132">
        <f>IF(SER_hh_tesh_in!M23=0,0,SER_hh_tesh_in!M23/SER_summary!M$27)</f>
        <v>10.619244876572786</v>
      </c>
      <c r="N23" s="132">
        <f>IF(SER_hh_tesh_in!N23=0,0,SER_hh_tesh_in!N23/SER_summary!N$27)</f>
        <v>10.708284196635047</v>
      </c>
      <c r="O23" s="132">
        <f>IF(SER_hh_tesh_in!O23=0,0,SER_hh_tesh_in!O23/SER_summary!O$27)</f>
        <v>10.969235027103883</v>
      </c>
      <c r="P23" s="132">
        <f>IF(SER_hh_tesh_in!P23=0,0,SER_hh_tesh_in!P23/SER_summary!P$27)</f>
        <v>10.343495969893167</v>
      </c>
      <c r="Q23" s="132">
        <f>IF(SER_hh_tesh_in!Q23=0,0,SER_hh_tesh_in!Q23/SER_summary!Q$27)</f>
        <v>10.916958079404838</v>
      </c>
      <c r="R23" s="132">
        <f>IF(SER_hh_tesh_in!R23=0,0,SER_hh_tesh_in!R23/SER_summary!R$27)</f>
        <v>11.308956414501408</v>
      </c>
      <c r="S23" s="132">
        <f>IF(SER_hh_tesh_in!S23=0,0,SER_hh_tesh_in!S23/SER_summary!S$27)</f>
        <v>11.115524893102712</v>
      </c>
      <c r="T23" s="132">
        <f>IF(SER_hh_tesh_in!T23=0,0,SER_hh_tesh_in!T23/SER_summary!T$27)</f>
        <v>11.180897776650902</v>
      </c>
      <c r="U23" s="132">
        <f>IF(SER_hh_tesh_in!U23=0,0,SER_hh_tesh_in!U23/SER_summary!U$27)</f>
        <v>11.066263066060024</v>
      </c>
      <c r="V23" s="132">
        <f>IF(SER_hh_tesh_in!V23=0,0,SER_hh_tesh_in!V23/SER_summary!V$27)</f>
        <v>10.707336858285103</v>
      </c>
      <c r="W23" s="132">
        <f>IF(SER_hh_tesh_in!W23=0,0,SER_hh_tesh_in!W23/SER_summary!W$27)</f>
        <v>11.200522227686498</v>
      </c>
      <c r="X23" s="132">
        <f>IF(SER_hh_tesh_in!X23=0,0,SER_hh_tesh_in!X23/SER_summary!X$27)</f>
        <v>11.375391846015015</v>
      </c>
      <c r="Y23" s="132">
        <f>IF(SER_hh_tesh_in!Y23=0,0,SER_hh_tesh_in!Y23/SER_summary!Y$27)</f>
        <v>11.567358873982784</v>
      </c>
      <c r="DA23" s="156" t="s">
        <v>868</v>
      </c>
    </row>
    <row r="24" spans="1:105" ht="12" customHeight="1" x14ac:dyDescent="0.25">
      <c r="A24" s="131" t="s">
        <v>128</v>
      </c>
      <c r="B24" s="132"/>
      <c r="C24" s="132">
        <f>IF(SER_hh_tesh_in!C24=0,0,SER_hh_tesh_in!C24/SER_summary!C$27)</f>
        <v>8.6529926420474279</v>
      </c>
      <c r="D24" s="132">
        <f>IF(SER_hh_tesh_in!D24=0,0,SER_hh_tesh_in!D24/SER_summary!D$27)</f>
        <v>8.8684869507419926</v>
      </c>
      <c r="E24" s="132">
        <f>IF(SER_hh_tesh_in!E24=0,0,SER_hh_tesh_in!E24/SER_summary!E$27)</f>
        <v>9.1890662633812141</v>
      </c>
      <c r="F24" s="132">
        <f>IF(SER_hh_tesh_in!F24=0,0,SER_hh_tesh_in!F24/SER_summary!F$27)</f>
        <v>9.398641306492193</v>
      </c>
      <c r="G24" s="132">
        <f>IF(SER_hh_tesh_in!G24=0,0,SER_hh_tesh_in!G24/SER_summary!G$27)</f>
        <v>9.6897365614332127</v>
      </c>
      <c r="H24" s="132">
        <f>IF(SER_hh_tesh_in!H24=0,0,SER_hh_tesh_in!H24/SER_summary!H$27)</f>
        <v>10.244142368695844</v>
      </c>
      <c r="I24" s="132">
        <f>IF(SER_hh_tesh_in!I24=0,0,SER_hh_tesh_in!I24/SER_summary!I$27)</f>
        <v>9.8588230481763013</v>
      </c>
      <c r="J24" s="132">
        <f>IF(SER_hh_tesh_in!J24=0,0,SER_hh_tesh_in!J24/SER_summary!J$27)</f>
        <v>10.077510759221788</v>
      </c>
      <c r="K24" s="132">
        <f>IF(SER_hh_tesh_in!K24=0,0,SER_hh_tesh_in!K24/SER_summary!K$27)</f>
        <v>10.150328729563123</v>
      </c>
      <c r="L24" s="132">
        <f>IF(SER_hh_tesh_in!L24=0,0,SER_hh_tesh_in!L24/SER_summary!L$27)</f>
        <v>10.320957204231346</v>
      </c>
      <c r="M24" s="132">
        <f>IF(SER_hh_tesh_in!M24=0,0,SER_hh_tesh_in!M24/SER_summary!M$27)</f>
        <v>10.602598239003322</v>
      </c>
      <c r="N24" s="132">
        <f>IF(SER_hh_tesh_in!N24=0,0,SER_hh_tesh_in!N24/SER_summary!N$27)</f>
        <v>10.666687145198022</v>
      </c>
      <c r="O24" s="132">
        <f>IF(SER_hh_tesh_in!O24=0,0,SER_hh_tesh_in!O24/SER_summary!O$27)</f>
        <v>10.910531693566897</v>
      </c>
      <c r="P24" s="132">
        <f>IF(SER_hh_tesh_in!P24=0,0,SER_hh_tesh_in!P24/SER_summary!P$27)</f>
        <v>11.033046222072816</v>
      </c>
      <c r="Q24" s="132">
        <f>IF(SER_hh_tesh_in!Q24=0,0,SER_hh_tesh_in!Q24/SER_summary!Q$27)</f>
        <v>11.371141301336834</v>
      </c>
      <c r="R24" s="132">
        <f>IF(SER_hh_tesh_in!R24=0,0,SER_hh_tesh_in!R24/SER_summary!R$27)</f>
        <v>11.361806675162718</v>
      </c>
      <c r="S24" s="132">
        <f>IF(SER_hh_tesh_in!S24=0,0,SER_hh_tesh_in!S24/SER_summary!S$27)</f>
        <v>0</v>
      </c>
      <c r="T24" s="132">
        <f>IF(SER_hh_tesh_in!T24=0,0,SER_hh_tesh_in!T24/SER_summary!T$27)</f>
        <v>11.149536524429264</v>
      </c>
      <c r="U24" s="132">
        <f>IF(SER_hh_tesh_in!U24=0,0,SER_hh_tesh_in!U24/SER_summary!U$27)</f>
        <v>10.676537509036145</v>
      </c>
      <c r="V24" s="132">
        <f>IF(SER_hh_tesh_in!V24=0,0,SER_hh_tesh_in!V24/SER_summary!V$27)</f>
        <v>11.36937484182496</v>
      </c>
      <c r="W24" s="132">
        <f>IF(SER_hh_tesh_in!W24=0,0,SER_hh_tesh_in!W24/SER_summary!W$27)</f>
        <v>11.307766568018179</v>
      </c>
      <c r="X24" s="132">
        <f>IF(SER_hh_tesh_in!X24=0,0,SER_hh_tesh_in!X24/SER_summary!X$27)</f>
        <v>11.270479738447902</v>
      </c>
      <c r="Y24" s="132">
        <f>IF(SER_hh_tesh_in!Y24=0,0,SER_hh_tesh_in!Y24/SER_summary!Y$27)</f>
        <v>11.539675514842044</v>
      </c>
      <c r="DA24" s="156" t="s">
        <v>869</v>
      </c>
    </row>
    <row r="25" spans="1:105" ht="12" customHeight="1" x14ac:dyDescent="0.25">
      <c r="A25" s="131" t="s">
        <v>162</v>
      </c>
      <c r="B25" s="132"/>
      <c r="C25" s="132">
        <f>IF(SER_hh_tesh_in!C25=0,0,SER_hh_tesh_in!C25/SER_summary!C$27)</f>
        <v>9.1542200845577195</v>
      </c>
      <c r="D25" s="132">
        <f>IF(SER_hh_tesh_in!D25=0,0,SER_hh_tesh_in!D25/SER_summary!D$27)</f>
        <v>9.0277370142944537</v>
      </c>
      <c r="E25" s="132">
        <f>IF(SER_hh_tesh_in!E25=0,0,SER_hh_tesh_in!E25/SER_summary!E$27)</f>
        <v>9.0465839110951052</v>
      </c>
      <c r="F25" s="132">
        <f>IF(SER_hh_tesh_in!F25=0,0,SER_hh_tesh_in!F25/SER_summary!F$27)</f>
        <v>9.4463571973811913</v>
      </c>
      <c r="G25" s="132">
        <f>IF(SER_hh_tesh_in!G25=0,0,SER_hh_tesh_in!G25/SER_summary!G$27)</f>
        <v>9.8773582244401652</v>
      </c>
      <c r="H25" s="132">
        <f>IF(SER_hh_tesh_in!H25=0,0,SER_hh_tesh_in!H25/SER_summary!H$27)</f>
        <v>10.449602311270356</v>
      </c>
      <c r="I25" s="132">
        <f>IF(SER_hh_tesh_in!I25=0,0,SER_hh_tesh_in!I25/SER_summary!I$27)</f>
        <v>9.4073024850220079</v>
      </c>
      <c r="J25" s="132">
        <f>IF(SER_hh_tesh_in!J25=0,0,SER_hh_tesh_in!J25/SER_summary!J$27)</f>
        <v>9.4871885568804153</v>
      </c>
      <c r="K25" s="132">
        <f>IF(SER_hh_tesh_in!K25=0,0,SER_hh_tesh_in!K25/SER_summary!K$27)</f>
        <v>10.321687116983858</v>
      </c>
      <c r="L25" s="132">
        <f>IF(SER_hh_tesh_in!L25=0,0,SER_hh_tesh_in!L25/SER_summary!L$27)</f>
        <v>10.65807982512</v>
      </c>
      <c r="M25" s="132">
        <f>IF(SER_hh_tesh_in!M25=0,0,SER_hh_tesh_in!M25/SER_summary!M$27)</f>
        <v>10.472422055702713</v>
      </c>
      <c r="N25" s="132">
        <f>IF(SER_hh_tesh_in!N25=0,0,SER_hh_tesh_in!N25/SER_summary!N$27)</f>
        <v>10.596424487879124</v>
      </c>
      <c r="O25" s="132">
        <f>IF(SER_hh_tesh_in!O25=0,0,SER_hh_tesh_in!O25/SER_summary!O$27)</f>
        <v>10.88705659372352</v>
      </c>
      <c r="P25" s="132">
        <f>IF(SER_hh_tesh_in!P25=0,0,SER_hh_tesh_in!P25/SER_summary!P$27)</f>
        <v>10.662129399504526</v>
      </c>
      <c r="Q25" s="132">
        <f>IF(SER_hh_tesh_in!Q25=0,0,SER_hh_tesh_in!Q25/SER_summary!Q$27)</f>
        <v>11.157259115648387</v>
      </c>
      <c r="R25" s="132">
        <f>IF(SER_hh_tesh_in!R25=0,0,SER_hh_tesh_in!R25/SER_summary!R$27)</f>
        <v>11.185360121082198</v>
      </c>
      <c r="S25" s="132">
        <f>IF(SER_hh_tesh_in!S25=0,0,SER_hh_tesh_in!S25/SER_summary!S$27)</f>
        <v>11.502524108581108</v>
      </c>
      <c r="T25" s="132">
        <f>IF(SER_hh_tesh_in!T25=0,0,SER_hh_tesh_in!T25/SER_summary!T$27)</f>
        <v>11.345780549382397</v>
      </c>
      <c r="U25" s="132">
        <f>IF(SER_hh_tesh_in!U25=0,0,SER_hh_tesh_in!U25/SER_summary!U$27)</f>
        <v>11.306749382913807</v>
      </c>
      <c r="V25" s="132">
        <f>IF(SER_hh_tesh_in!V25=0,0,SER_hh_tesh_in!V25/SER_summary!V$27)</f>
        <v>9.913659223436186</v>
      </c>
      <c r="W25" s="132">
        <f>IF(SER_hh_tesh_in!W25=0,0,SER_hh_tesh_in!W25/SER_summary!W$27)</f>
        <v>11.190372180393142</v>
      </c>
      <c r="X25" s="132">
        <f>IF(SER_hh_tesh_in!X25=0,0,SER_hh_tesh_in!X25/SER_summary!X$27)</f>
        <v>11.314390876252364</v>
      </c>
      <c r="Y25" s="132">
        <f>IF(SER_hh_tesh_in!Y25=0,0,SER_hh_tesh_in!Y25/SER_summary!Y$27)</f>
        <v>11.538091515462348</v>
      </c>
      <c r="DA25" s="156" t="s">
        <v>870</v>
      </c>
    </row>
    <row r="26" spans="1:105" ht="12" customHeight="1" x14ac:dyDescent="0.25">
      <c r="A26" s="131" t="s">
        <v>24</v>
      </c>
      <c r="B26" s="65"/>
      <c r="C26" s="65">
        <f>IF(SER_hh_tesh_in!C26=0,0,SER_hh_tesh_in!C26/SER_summary!C$27)</f>
        <v>9.076757817487076</v>
      </c>
      <c r="D26" s="65">
        <f>IF(SER_hh_tesh_in!D26=0,0,SER_hh_tesh_in!D26/SER_summary!D$27)</f>
        <v>9.2346022162286587</v>
      </c>
      <c r="E26" s="65">
        <f>IF(SER_hh_tesh_in!E26=0,0,SER_hh_tesh_in!E26/SER_summary!E$27)</f>
        <v>9.2040920068402237</v>
      </c>
      <c r="F26" s="65">
        <f>IF(SER_hh_tesh_in!F26=0,0,SER_hh_tesh_in!F26/SER_summary!F$27)</f>
        <v>9.3452674210835696</v>
      </c>
      <c r="G26" s="65">
        <f>IF(SER_hh_tesh_in!G26=0,0,SER_hh_tesh_in!G26/SER_summary!G$27)</f>
        <v>9.68492610262523</v>
      </c>
      <c r="H26" s="65">
        <f>IF(SER_hh_tesh_in!H26=0,0,SER_hh_tesh_in!H26/SER_summary!H$27)</f>
        <v>9.9056414618603306</v>
      </c>
      <c r="I26" s="65">
        <f>IF(SER_hh_tesh_in!I26=0,0,SER_hh_tesh_in!I26/SER_summary!I$27)</f>
        <v>10.394322305096498</v>
      </c>
      <c r="J26" s="65">
        <f>IF(SER_hh_tesh_in!J26=0,0,SER_hh_tesh_in!J26/SER_summary!J$27)</f>
        <v>10.455929828036794</v>
      </c>
      <c r="K26" s="65">
        <f>IF(SER_hh_tesh_in!K26=0,0,SER_hh_tesh_in!K26/SER_summary!K$27)</f>
        <v>10.097909373337643</v>
      </c>
      <c r="L26" s="65">
        <f>IF(SER_hh_tesh_in!L26=0,0,SER_hh_tesh_in!L26/SER_summary!L$27)</f>
        <v>10.121735836655601</v>
      </c>
      <c r="M26" s="65">
        <f>IF(SER_hh_tesh_in!M26=0,0,SER_hh_tesh_in!M26/SER_summary!M$27)</f>
        <v>10.667042501917344</v>
      </c>
      <c r="N26" s="65">
        <f>IF(SER_hh_tesh_in!N26=0,0,SER_hh_tesh_in!N26/SER_summary!N$27)</f>
        <v>10.790286199282637</v>
      </c>
      <c r="O26" s="65">
        <f>IF(SER_hh_tesh_in!O26=0,0,SER_hh_tesh_in!O26/SER_summary!O$27)</f>
        <v>10.809806874372002</v>
      </c>
      <c r="P26" s="65">
        <f>IF(SER_hh_tesh_in!P26=0,0,SER_hh_tesh_in!P26/SER_summary!P$27)</f>
        <v>11.329346259075693</v>
      </c>
      <c r="Q26" s="65">
        <f>IF(SER_hh_tesh_in!Q26=0,0,SER_hh_tesh_in!Q26/SER_summary!Q$27)</f>
        <v>10.667394627907953</v>
      </c>
      <c r="R26" s="65">
        <f>IF(SER_hh_tesh_in!R26=0,0,SER_hh_tesh_in!R26/SER_summary!R$27)</f>
        <v>10.477420344277178</v>
      </c>
      <c r="S26" s="65">
        <f>IF(SER_hh_tesh_in!S26=0,0,SER_hh_tesh_in!S26/SER_summary!S$27)</f>
        <v>11.219033928016275</v>
      </c>
      <c r="T26" s="65">
        <f>IF(SER_hh_tesh_in!T26=0,0,SER_hh_tesh_in!T26/SER_summary!T$27)</f>
        <v>11.20803954136853</v>
      </c>
      <c r="U26" s="65">
        <f>IF(SER_hh_tesh_in!U26=0,0,SER_hh_tesh_in!U26/SER_summary!U$27)</f>
        <v>11.714368183635322</v>
      </c>
      <c r="V26" s="65">
        <f>IF(SER_hh_tesh_in!V26=0,0,SER_hh_tesh_in!V26/SER_summary!V$27)</f>
        <v>10.0836254404902</v>
      </c>
      <c r="W26" s="65">
        <f>IF(SER_hh_tesh_in!W26=0,0,SER_hh_tesh_in!W26/SER_summary!W$27)</f>
        <v>11.032912238641419</v>
      </c>
      <c r="X26" s="65">
        <f>IF(SER_hh_tesh_in!X26=0,0,SER_hh_tesh_in!X26/SER_summary!X$27)</f>
        <v>11.223737389677666</v>
      </c>
      <c r="Y26" s="65">
        <f>IF(SER_hh_tesh_in!Y26=0,0,SER_hh_tesh_in!Y26/SER_summary!Y$27)</f>
        <v>11.821463185263344</v>
      </c>
      <c r="DA26" s="109" t="s">
        <v>871</v>
      </c>
    </row>
    <row r="27" spans="1:105" ht="12" customHeight="1" x14ac:dyDescent="0.25">
      <c r="A27" s="144" t="s">
        <v>86</v>
      </c>
      <c r="B27" s="147"/>
      <c r="C27" s="145">
        <f>IF(SER_hh_tesh_in!C27=0,0,SER_hh_tesh_in!C27/SER_summary!C$27)</f>
        <v>0</v>
      </c>
      <c r="D27" s="145">
        <f>IF(SER_hh_tesh_in!D27=0,0,SER_hh_tesh_in!D27/SER_summary!D$27)</f>
        <v>0</v>
      </c>
      <c r="E27" s="145">
        <f>IF(SER_hh_tesh_in!E27=0,0,SER_hh_tesh_in!E27/SER_summary!E$27)</f>
        <v>0</v>
      </c>
      <c r="F27" s="145">
        <f>IF(SER_hh_tesh_in!F27=0,0,SER_hh_tesh_in!F27/SER_summary!F$27)</f>
        <v>0</v>
      </c>
      <c r="G27" s="145">
        <f>IF(SER_hh_tesh_in!G27=0,0,SER_hh_tesh_in!G27/SER_summary!G$27)</f>
        <v>0</v>
      </c>
      <c r="H27" s="145">
        <f>IF(SER_hh_tesh_in!H27=0,0,SER_hh_tesh_in!H27/SER_summary!H$27)</f>
        <v>0</v>
      </c>
      <c r="I27" s="145">
        <f>IF(SER_hh_tesh_in!I27=0,0,SER_hh_tesh_in!I27/SER_summary!I$27)</f>
        <v>0</v>
      </c>
      <c r="J27" s="145">
        <f>IF(SER_hh_tesh_in!J27=0,0,SER_hh_tesh_in!J27/SER_summary!J$27)</f>
        <v>0</v>
      </c>
      <c r="K27" s="145">
        <f>IF(SER_hh_tesh_in!K27=0,0,SER_hh_tesh_in!K27/SER_summary!K$27)</f>
        <v>0</v>
      </c>
      <c r="L27" s="145">
        <f>IF(SER_hh_tesh_in!L27=0,0,SER_hh_tesh_in!L27/SER_summary!L$27)</f>
        <v>0</v>
      </c>
      <c r="M27" s="145">
        <f>IF(SER_hh_tesh_in!M27=0,0,SER_hh_tesh_in!M27/SER_summary!M$27)</f>
        <v>0</v>
      </c>
      <c r="N27" s="145">
        <f>IF(SER_hh_tesh_in!N27=0,0,SER_hh_tesh_in!N27/SER_summary!N$27)</f>
        <v>0</v>
      </c>
      <c r="O27" s="145">
        <f>IF(SER_hh_tesh_in!O27=0,0,SER_hh_tesh_in!O27/SER_summary!O$27)</f>
        <v>0</v>
      </c>
      <c r="P27" s="145">
        <f>IF(SER_hh_tesh_in!P27=0,0,SER_hh_tesh_in!P27/SER_summary!P$27)</f>
        <v>0</v>
      </c>
      <c r="Q27" s="145">
        <f>IF(SER_hh_tesh_in!Q27=0,0,SER_hh_tesh_in!Q27/SER_summary!Q$27)</f>
        <v>0</v>
      </c>
      <c r="R27" s="145">
        <f>IF(SER_hh_tesh_in!R27=0,0,SER_hh_tesh_in!R27/SER_summary!R$27)</f>
        <v>0</v>
      </c>
      <c r="S27" s="145">
        <f>IF(SER_hh_tesh_in!S27=0,0,SER_hh_tesh_in!S27/SER_summary!S$27)</f>
        <v>0</v>
      </c>
      <c r="T27" s="145">
        <f>IF(SER_hh_tesh_in!T27=0,0,SER_hh_tesh_in!T27/SER_summary!T$27)</f>
        <v>0</v>
      </c>
      <c r="U27" s="145">
        <f>IF(SER_hh_tesh_in!U27=0,0,SER_hh_tesh_in!U27/SER_summary!U$27)</f>
        <v>0</v>
      </c>
      <c r="V27" s="145">
        <f>IF(SER_hh_tesh_in!V27=0,0,SER_hh_tesh_in!V27/SER_summary!V$27)</f>
        <v>0</v>
      </c>
      <c r="W27" s="145">
        <f>IF(SER_hh_tesh_in!W27=0,0,SER_hh_tesh_in!W27/SER_summary!W$27)</f>
        <v>0</v>
      </c>
      <c r="X27" s="145">
        <f>IF(SER_hh_tesh_in!X27=0,0,SER_hh_tesh_in!X27/SER_summary!X$27)</f>
        <v>0</v>
      </c>
      <c r="Y27" s="145">
        <f>IF(SER_hh_tesh_in!Y27=0,0,SER_hh_tesh_in!Y27/SER_summary!Y$27)</f>
        <v>0</v>
      </c>
      <c r="DA27" s="158" t="s">
        <v>872</v>
      </c>
    </row>
    <row r="28" spans="1:105" ht="12" customHeight="1" x14ac:dyDescent="0.25">
      <c r="A28" s="78" t="s">
        <v>85</v>
      </c>
      <c r="B28" s="68"/>
      <c r="C28" s="146">
        <f>IF(SER_hh_tesh_in!C28=0,0,SER_hh_tesh_in!C28/SER_summary!C$27)</f>
        <v>0</v>
      </c>
      <c r="D28" s="146">
        <f>IF(SER_hh_tesh_in!D28=0,0,SER_hh_tesh_in!D28/SER_summary!D$27)</f>
        <v>0</v>
      </c>
      <c r="E28" s="146">
        <f>IF(SER_hh_tesh_in!E28=0,0,SER_hh_tesh_in!E28/SER_summary!E$27)</f>
        <v>0</v>
      </c>
      <c r="F28" s="146">
        <f>IF(SER_hh_tesh_in!F28=0,0,SER_hh_tesh_in!F28/SER_summary!F$27)</f>
        <v>0</v>
      </c>
      <c r="G28" s="146">
        <f>IF(SER_hh_tesh_in!G28=0,0,SER_hh_tesh_in!G28/SER_summary!G$27)</f>
        <v>0</v>
      </c>
      <c r="H28" s="146">
        <f>IF(SER_hh_tesh_in!H28=0,0,SER_hh_tesh_in!H28/SER_summary!H$27)</f>
        <v>0</v>
      </c>
      <c r="I28" s="146">
        <f>IF(SER_hh_tesh_in!I28=0,0,SER_hh_tesh_in!I28/SER_summary!I$27)</f>
        <v>0</v>
      </c>
      <c r="J28" s="146">
        <f>IF(SER_hh_tesh_in!J28=0,0,SER_hh_tesh_in!J28/SER_summary!J$27)</f>
        <v>0</v>
      </c>
      <c r="K28" s="146">
        <f>IF(SER_hh_tesh_in!K28=0,0,SER_hh_tesh_in!K28/SER_summary!K$27)</f>
        <v>0</v>
      </c>
      <c r="L28" s="146">
        <f>IF(SER_hh_tesh_in!L28=0,0,SER_hh_tesh_in!L28/SER_summary!L$27)</f>
        <v>0</v>
      </c>
      <c r="M28" s="146">
        <f>IF(SER_hh_tesh_in!M28=0,0,SER_hh_tesh_in!M28/SER_summary!M$27)</f>
        <v>0</v>
      </c>
      <c r="N28" s="146">
        <f>IF(SER_hh_tesh_in!N28=0,0,SER_hh_tesh_in!N28/SER_summary!N$27)</f>
        <v>0</v>
      </c>
      <c r="O28" s="146">
        <f>IF(SER_hh_tesh_in!O28=0,0,SER_hh_tesh_in!O28/SER_summary!O$27)</f>
        <v>0</v>
      </c>
      <c r="P28" s="146">
        <f>IF(SER_hh_tesh_in!P28=0,0,SER_hh_tesh_in!P28/SER_summary!P$27)</f>
        <v>0</v>
      </c>
      <c r="Q28" s="146">
        <f>IF(SER_hh_tesh_in!Q28=0,0,SER_hh_tesh_in!Q28/SER_summary!Q$27)</f>
        <v>0</v>
      </c>
      <c r="R28" s="146">
        <f>IF(SER_hh_tesh_in!R28=0,0,SER_hh_tesh_in!R28/SER_summary!R$27)</f>
        <v>0</v>
      </c>
      <c r="S28" s="146">
        <f>IF(SER_hh_tesh_in!S28=0,0,SER_hh_tesh_in!S28/SER_summary!S$27)</f>
        <v>0</v>
      </c>
      <c r="T28" s="146">
        <f>IF(SER_hh_tesh_in!T28=0,0,SER_hh_tesh_in!T28/SER_summary!T$27)</f>
        <v>0</v>
      </c>
      <c r="U28" s="146">
        <f>IF(SER_hh_tesh_in!U28=0,0,SER_hh_tesh_in!U28/SER_summary!U$27)</f>
        <v>0</v>
      </c>
      <c r="V28" s="146">
        <f>IF(SER_hh_tesh_in!V28=0,0,SER_hh_tesh_in!V28/SER_summary!V$27)</f>
        <v>0</v>
      </c>
      <c r="W28" s="146">
        <f>IF(SER_hh_tesh_in!W28=0,0,SER_hh_tesh_in!W28/SER_summary!W$27)</f>
        <v>0</v>
      </c>
      <c r="X28" s="146">
        <f>IF(SER_hh_tesh_in!X28=0,0,SER_hh_tesh_in!X28/SER_summary!X$27)</f>
        <v>0</v>
      </c>
      <c r="Y28" s="146">
        <f>IF(SER_hh_tesh_in!Y28=0,0,SER_hh_tesh_in!Y28/SER_summary!Y$27)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IF(SER_hh_tesh_in!C29=0,0,SER_hh_tesh_in!C29/SER_summary!C$27)</f>
        <v>10.060685793489744</v>
      </c>
      <c r="D29" s="130">
        <f>IF(SER_hh_tesh_in!D29=0,0,SER_hh_tesh_in!D29/SER_summary!D$27)</f>
        <v>10.125339636769388</v>
      </c>
      <c r="E29" s="130">
        <f>IF(SER_hh_tesh_in!E29=0,0,SER_hh_tesh_in!E29/SER_summary!E$27)</f>
        <v>9.9875568025037449</v>
      </c>
      <c r="F29" s="130">
        <f>IF(SER_hh_tesh_in!F29=0,0,SER_hh_tesh_in!F29/SER_summary!F$27)</f>
        <v>10.14548605831566</v>
      </c>
      <c r="G29" s="130">
        <f>IF(SER_hh_tesh_in!G29=0,0,SER_hh_tesh_in!G29/SER_summary!G$27)</f>
        <v>10.500993751672878</v>
      </c>
      <c r="H29" s="130">
        <f>IF(SER_hh_tesh_in!H29=0,0,SER_hh_tesh_in!H29/SER_summary!H$27)</f>
        <v>10.768371104494252</v>
      </c>
      <c r="I29" s="130">
        <f>IF(SER_hh_tesh_in!I29=0,0,SER_hh_tesh_in!I29/SER_summary!I$27)</f>
        <v>10.470069895001297</v>
      </c>
      <c r="J29" s="130">
        <f>IF(SER_hh_tesh_in!J29=0,0,SER_hh_tesh_in!J29/SER_summary!J$27)</f>
        <v>10.143543882557569</v>
      </c>
      <c r="K29" s="130">
        <f>IF(SER_hh_tesh_in!K29=0,0,SER_hh_tesh_in!K29/SER_summary!K$27)</f>
        <v>10.449676030902161</v>
      </c>
      <c r="L29" s="130">
        <f>IF(SER_hh_tesh_in!L29=0,0,SER_hh_tesh_in!L29/SER_summary!L$27)</f>
        <v>10.416221708176892</v>
      </c>
      <c r="M29" s="130">
        <f>IF(SER_hh_tesh_in!M29=0,0,SER_hh_tesh_in!M29/SER_summary!M$27)</f>
        <v>10.156206029606036</v>
      </c>
      <c r="N29" s="130">
        <f>IF(SER_hh_tesh_in!N29=0,0,SER_hh_tesh_in!N29/SER_summary!N$27)</f>
        <v>10.792531162942495</v>
      </c>
      <c r="O29" s="130">
        <f>IF(SER_hh_tesh_in!O29=0,0,SER_hh_tesh_in!O29/SER_summary!O$27)</f>
        <v>11.01125954954731</v>
      </c>
      <c r="P29" s="130">
        <f>IF(SER_hh_tesh_in!P29=0,0,SER_hh_tesh_in!P29/SER_summary!P$27)</f>
        <v>10.888001366280841</v>
      </c>
      <c r="Q29" s="130">
        <f>IF(SER_hh_tesh_in!Q29=0,0,SER_hh_tesh_in!Q29/SER_summary!Q$27)</f>
        <v>10.523208945892938</v>
      </c>
      <c r="R29" s="130">
        <f>IF(SER_hh_tesh_in!R29=0,0,SER_hh_tesh_in!R29/SER_summary!R$27)</f>
        <v>10.626532467245866</v>
      </c>
      <c r="S29" s="130">
        <f>IF(SER_hh_tesh_in!S29=0,0,SER_hh_tesh_in!S29/SER_summary!S$27)</f>
        <v>11.019272739207976</v>
      </c>
      <c r="T29" s="130">
        <f>IF(SER_hh_tesh_in!T29=0,0,SER_hh_tesh_in!T29/SER_summary!T$27)</f>
        <v>11.106787497546936</v>
      </c>
      <c r="U29" s="130">
        <f>IF(SER_hh_tesh_in!U29=0,0,SER_hh_tesh_in!U29/SER_summary!U$27)</f>
        <v>12.332285253276554</v>
      </c>
      <c r="V29" s="130">
        <f>IF(SER_hh_tesh_in!V29=0,0,SER_hh_tesh_in!V29/SER_summary!V$27)</f>
        <v>11.738528217035848</v>
      </c>
      <c r="W29" s="130">
        <f>IF(SER_hh_tesh_in!W29=0,0,SER_hh_tesh_in!W29/SER_summary!W$27)</f>
        <v>12.78028790069488</v>
      </c>
      <c r="X29" s="130">
        <f>IF(SER_hh_tesh_in!X29=0,0,SER_hh_tesh_in!X29/SER_summary!X$27)</f>
        <v>12.653503727217352</v>
      </c>
      <c r="Y29" s="130">
        <f>IF(SER_hh_tesh_in!Y29=0,0,SER_hh_tesh_in!Y29/SER_summary!Y$27)</f>
        <v>13.03255831677043</v>
      </c>
      <c r="DA29" s="155" t="s">
        <v>873</v>
      </c>
    </row>
    <row r="30" spans="1:105" s="2" customFormat="1" ht="12" customHeight="1" x14ac:dyDescent="0.25">
      <c r="A30" s="131" t="s">
        <v>52</v>
      </c>
      <c r="B30" s="132"/>
      <c r="C30" s="132">
        <f>IF(SER_hh_tesh_in!C30=0,0,SER_hh_tesh_in!C30/SER_summary!C$27)</f>
        <v>0</v>
      </c>
      <c r="D30" s="132">
        <f>IF(SER_hh_tesh_in!D30=0,0,SER_hh_tesh_in!D30/SER_summary!D$27)</f>
        <v>0</v>
      </c>
      <c r="E30" s="132">
        <f>IF(SER_hh_tesh_in!E30=0,0,SER_hh_tesh_in!E30/SER_summary!E$27)</f>
        <v>0</v>
      </c>
      <c r="F30" s="132">
        <f>IF(SER_hh_tesh_in!F30=0,0,SER_hh_tesh_in!F30/SER_summary!F$27)</f>
        <v>0</v>
      </c>
      <c r="G30" s="132">
        <f>IF(SER_hh_tesh_in!G30=0,0,SER_hh_tesh_in!G30/SER_summary!G$27)</f>
        <v>0</v>
      </c>
      <c r="H30" s="132">
        <f>IF(SER_hh_tesh_in!H30=0,0,SER_hh_tesh_in!H30/SER_summary!H$27)</f>
        <v>0</v>
      </c>
      <c r="I30" s="132">
        <f>IF(SER_hh_tesh_in!I30=0,0,SER_hh_tesh_in!I30/SER_summary!I$27)</f>
        <v>0</v>
      </c>
      <c r="J30" s="132">
        <f>IF(SER_hh_tesh_in!J30=0,0,SER_hh_tesh_in!J30/SER_summary!J$27)</f>
        <v>0</v>
      </c>
      <c r="K30" s="132">
        <f>IF(SER_hh_tesh_in!K30=0,0,SER_hh_tesh_in!K30/SER_summary!K$27)</f>
        <v>0</v>
      </c>
      <c r="L30" s="132">
        <f>IF(SER_hh_tesh_in!L30=0,0,SER_hh_tesh_in!L30/SER_summary!L$27)</f>
        <v>0</v>
      </c>
      <c r="M30" s="132">
        <f>IF(SER_hh_tesh_in!M30=0,0,SER_hh_tesh_in!M30/SER_summary!M$27)</f>
        <v>0</v>
      </c>
      <c r="N30" s="132">
        <f>IF(SER_hh_tesh_in!N30=0,0,SER_hh_tesh_in!N30/SER_summary!N$27)</f>
        <v>0</v>
      </c>
      <c r="O30" s="132">
        <f>IF(SER_hh_tesh_in!O30=0,0,SER_hh_tesh_in!O30/SER_summary!O$27)</f>
        <v>0</v>
      </c>
      <c r="P30" s="132">
        <f>IF(SER_hh_tesh_in!P30=0,0,SER_hh_tesh_in!P30/SER_summary!P$27)</f>
        <v>0</v>
      </c>
      <c r="Q30" s="132">
        <f>IF(SER_hh_tesh_in!Q30=0,0,SER_hh_tesh_in!Q30/SER_summary!Q$27)</f>
        <v>0</v>
      </c>
      <c r="R30" s="132">
        <f>IF(SER_hh_tesh_in!R30=0,0,SER_hh_tesh_in!R30/SER_summary!R$27)</f>
        <v>0</v>
      </c>
      <c r="S30" s="132">
        <f>IF(SER_hh_tesh_in!S30=0,0,SER_hh_tesh_in!S30/SER_summary!S$27)</f>
        <v>0</v>
      </c>
      <c r="T30" s="132">
        <f>IF(SER_hh_tesh_in!T30=0,0,SER_hh_tesh_in!T30/SER_summary!T$27)</f>
        <v>0</v>
      </c>
      <c r="U30" s="132">
        <f>IF(SER_hh_tesh_in!U30=0,0,SER_hh_tesh_in!U30/SER_summary!U$27)</f>
        <v>0</v>
      </c>
      <c r="V30" s="132">
        <f>IF(SER_hh_tesh_in!V30=0,0,SER_hh_tesh_in!V30/SER_summary!V$27)</f>
        <v>0</v>
      </c>
      <c r="W30" s="132">
        <f>IF(SER_hh_tesh_in!W30=0,0,SER_hh_tesh_in!W30/SER_summary!W$27)</f>
        <v>0</v>
      </c>
      <c r="X30" s="132">
        <f>IF(SER_hh_tesh_in!X30=0,0,SER_hh_tesh_in!X30/SER_summary!X$27)</f>
        <v>0</v>
      </c>
      <c r="Y30" s="132">
        <f>IF(SER_hh_tesh_in!Y30=0,0,SER_hh_tesh_in!Y30/SER_summary!Y$27)</f>
        <v>0</v>
      </c>
      <c r="DA30" s="156" t="s">
        <v>874</v>
      </c>
    </row>
    <row r="31" spans="1:105" ht="12" customHeight="1" x14ac:dyDescent="0.25">
      <c r="A31" s="131" t="s">
        <v>149</v>
      </c>
      <c r="B31" s="132"/>
      <c r="C31" s="132">
        <f>IF(SER_hh_tesh_in!C31=0,0,SER_hh_tesh_in!C31/SER_summary!C$27)</f>
        <v>9.9545675184165603</v>
      </c>
      <c r="D31" s="132">
        <f>IF(SER_hh_tesh_in!D31=0,0,SER_hh_tesh_in!D31/SER_summary!D$27)</f>
        <v>10.497625877039686</v>
      </c>
      <c r="E31" s="132">
        <f>IF(SER_hh_tesh_in!E31=0,0,SER_hh_tesh_in!E31/SER_summary!E$27)</f>
        <v>10.512211213351593</v>
      </c>
      <c r="F31" s="132">
        <f>IF(SER_hh_tesh_in!F31=0,0,SER_hh_tesh_in!F31/SER_summary!F$27)</f>
        <v>9.7118246738766238</v>
      </c>
      <c r="G31" s="132">
        <f>IF(SER_hh_tesh_in!G31=0,0,SER_hh_tesh_in!G31/SER_summary!G$27)</f>
        <v>10.001058284715526</v>
      </c>
      <c r="H31" s="132">
        <f>IF(SER_hh_tesh_in!H31=0,0,SER_hh_tesh_in!H31/SER_summary!H$27)</f>
        <v>9.7127972423271736</v>
      </c>
      <c r="I31" s="132">
        <f>IF(SER_hh_tesh_in!I31=0,0,SER_hh_tesh_in!I31/SER_summary!I$27)</f>
        <v>10.981251909158402</v>
      </c>
      <c r="J31" s="132">
        <f>IF(SER_hh_tesh_in!J31=0,0,SER_hh_tesh_in!J31/SER_summary!J$27)</f>
        <v>10.879749164665901</v>
      </c>
      <c r="K31" s="132">
        <f>IF(SER_hh_tesh_in!K31=0,0,SER_hh_tesh_in!K31/SER_summary!K$27)</f>
        <v>10.618154863681029</v>
      </c>
      <c r="L31" s="132">
        <f>IF(SER_hh_tesh_in!L31=0,0,SER_hh_tesh_in!L31/SER_summary!L$27)</f>
        <v>10.358826753294686</v>
      </c>
      <c r="M31" s="132">
        <f>IF(SER_hh_tesh_in!M31=0,0,SER_hh_tesh_in!M31/SER_summary!M$27)</f>
        <v>0</v>
      </c>
      <c r="N31" s="132">
        <f>IF(SER_hh_tesh_in!N31=0,0,SER_hh_tesh_in!N31/SER_summary!N$27)</f>
        <v>0</v>
      </c>
      <c r="O31" s="132">
        <f>IF(SER_hh_tesh_in!O31=0,0,SER_hh_tesh_in!O31/SER_summary!O$27)</f>
        <v>0</v>
      </c>
      <c r="P31" s="132">
        <f>IF(SER_hh_tesh_in!P31=0,0,SER_hh_tesh_in!P31/SER_summary!P$27)</f>
        <v>9.6585268275946845</v>
      </c>
      <c r="Q31" s="132">
        <f>IF(SER_hh_tesh_in!Q31=0,0,SER_hh_tesh_in!Q31/SER_summary!Q$27)</f>
        <v>10.804601625271671</v>
      </c>
      <c r="R31" s="132">
        <f>IF(SER_hh_tesh_in!R31=0,0,SER_hh_tesh_in!R31/SER_summary!R$27)</f>
        <v>11.286563523986768</v>
      </c>
      <c r="S31" s="132">
        <f>IF(SER_hh_tesh_in!S31=0,0,SER_hh_tesh_in!S31/SER_summary!S$27)</f>
        <v>11.00466973651854</v>
      </c>
      <c r="T31" s="132">
        <f>IF(SER_hh_tesh_in!T31=0,0,SER_hh_tesh_in!T31/SER_summary!T$27)</f>
        <v>12.808962342459651</v>
      </c>
      <c r="U31" s="132">
        <f>IF(SER_hh_tesh_in!U31=0,0,SER_hh_tesh_in!U31/SER_summary!U$27)</f>
        <v>0</v>
      </c>
      <c r="V31" s="132">
        <f>IF(SER_hh_tesh_in!V31=0,0,SER_hh_tesh_in!V31/SER_summary!V$27)</f>
        <v>0</v>
      </c>
      <c r="W31" s="132">
        <f>IF(SER_hh_tesh_in!W31=0,0,SER_hh_tesh_in!W31/SER_summary!W$27)</f>
        <v>10.92266919460949</v>
      </c>
      <c r="X31" s="132">
        <f>IF(SER_hh_tesh_in!X31=0,0,SER_hh_tesh_in!X31/SER_summary!X$27)</f>
        <v>12.6381890855306</v>
      </c>
      <c r="Y31" s="132">
        <f>IF(SER_hh_tesh_in!Y31=0,0,SER_hh_tesh_in!Y31/SER_summary!Y$27)</f>
        <v>13.840877675105739</v>
      </c>
      <c r="DA31" s="156" t="s">
        <v>875</v>
      </c>
    </row>
    <row r="32" spans="1:105" ht="12" customHeight="1" x14ac:dyDescent="0.25">
      <c r="A32" s="131" t="s">
        <v>128</v>
      </c>
      <c r="B32" s="132"/>
      <c r="C32" s="132">
        <f>IF(SER_hh_tesh_in!C32=0,0,SER_hh_tesh_in!C32/SER_summary!C$27)</f>
        <v>0</v>
      </c>
      <c r="D32" s="132">
        <f>IF(SER_hh_tesh_in!D32=0,0,SER_hh_tesh_in!D32/SER_summary!D$27)</f>
        <v>0</v>
      </c>
      <c r="E32" s="132">
        <f>IF(SER_hh_tesh_in!E32=0,0,SER_hh_tesh_in!E32/SER_summary!E$27)</f>
        <v>0</v>
      </c>
      <c r="F32" s="132">
        <f>IF(SER_hh_tesh_in!F32=0,0,SER_hh_tesh_in!F32/SER_summary!F$27)</f>
        <v>0</v>
      </c>
      <c r="G32" s="132">
        <f>IF(SER_hh_tesh_in!G32=0,0,SER_hh_tesh_in!G32/SER_summary!G$27)</f>
        <v>14.942746138245683</v>
      </c>
      <c r="H32" s="132">
        <f>IF(SER_hh_tesh_in!H32=0,0,SER_hh_tesh_in!H32/SER_summary!H$27)</f>
        <v>10.208233114309204</v>
      </c>
      <c r="I32" s="132">
        <f>IF(SER_hh_tesh_in!I32=0,0,SER_hh_tesh_in!I32/SER_summary!I$27)</f>
        <v>8.1672381991229237</v>
      </c>
      <c r="J32" s="132">
        <f>IF(SER_hh_tesh_in!J32=0,0,SER_hh_tesh_in!J32/SER_summary!J$27)</f>
        <v>13.944975413333765</v>
      </c>
      <c r="K32" s="132">
        <f>IF(SER_hh_tesh_in!K32=0,0,SER_hh_tesh_in!K32/SER_summary!K$27)</f>
        <v>6.9099411044050454</v>
      </c>
      <c r="L32" s="132">
        <f>IF(SER_hh_tesh_in!L32=0,0,SER_hh_tesh_in!L32/SER_summary!L$27)</f>
        <v>12.181150978532933</v>
      </c>
      <c r="M32" s="132">
        <f>IF(SER_hh_tesh_in!M32=0,0,SER_hh_tesh_in!M32/SER_summary!M$27)</f>
        <v>0</v>
      </c>
      <c r="N32" s="132">
        <f>IF(SER_hh_tesh_in!N32=0,0,SER_hh_tesh_in!N32/SER_summary!N$27)</f>
        <v>6.2431909750739543</v>
      </c>
      <c r="O32" s="132">
        <f>IF(SER_hh_tesh_in!O32=0,0,SER_hh_tesh_in!O32/SER_summary!O$27)</f>
        <v>0</v>
      </c>
      <c r="P32" s="132">
        <f>IF(SER_hh_tesh_in!P32=0,0,SER_hh_tesh_in!P32/SER_summary!P$27)</f>
        <v>6.2837312738061142</v>
      </c>
      <c r="Q32" s="132">
        <f>IF(SER_hh_tesh_in!Q32=0,0,SER_hh_tesh_in!Q32/SER_summary!Q$27)</f>
        <v>12.278803829111064</v>
      </c>
      <c r="R32" s="132">
        <f>IF(SER_hh_tesh_in!R32=0,0,SER_hh_tesh_in!R32/SER_summary!R$27)</f>
        <v>10.623158527312516</v>
      </c>
      <c r="S32" s="132">
        <f>IF(SER_hh_tesh_in!S32=0,0,SER_hh_tesh_in!S32/SER_summary!S$27)</f>
        <v>10.662483030734533</v>
      </c>
      <c r="T32" s="132">
        <f>IF(SER_hh_tesh_in!T32=0,0,SER_hh_tesh_in!T32/SER_summary!T$27)</f>
        <v>10.7673551668231</v>
      </c>
      <c r="U32" s="132">
        <f>IF(SER_hh_tesh_in!U32=0,0,SER_hh_tesh_in!U32/SER_summary!U$27)</f>
        <v>12.338145082376931</v>
      </c>
      <c r="V32" s="132">
        <f>IF(SER_hh_tesh_in!V32=0,0,SER_hh_tesh_in!V32/SER_summary!V$27)</f>
        <v>10.83137028193913</v>
      </c>
      <c r="W32" s="132">
        <f>IF(SER_hh_tesh_in!W32=0,0,SER_hh_tesh_in!W32/SER_summary!W$27)</f>
        <v>14.059461309117181</v>
      </c>
      <c r="X32" s="132">
        <f>IF(SER_hh_tesh_in!X32=0,0,SER_hh_tesh_in!X32/SER_summary!X$27)</f>
        <v>13.397784927528768</v>
      </c>
      <c r="Y32" s="132">
        <f>IF(SER_hh_tesh_in!Y32=0,0,SER_hh_tesh_in!Y32/SER_summary!Y$27)</f>
        <v>12.639188624707119</v>
      </c>
      <c r="DA32" s="156" t="s">
        <v>876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10.096348729091334</v>
      </c>
      <c r="D33" s="68">
        <f>IF(SER_hh_tesh_in!D33=0,0,SER_hh_tesh_in!D33/SER_summary!D$27)</f>
        <v>10.000540338164901</v>
      </c>
      <c r="E33" s="68">
        <f>IF(SER_hh_tesh_in!E33=0,0,SER_hh_tesh_in!E33/SER_summary!E$27)</f>
        <v>9.8795591074020059</v>
      </c>
      <c r="F33" s="68">
        <f>IF(SER_hh_tesh_in!F33=0,0,SER_hh_tesh_in!F33/SER_summary!F$27)</f>
        <v>10.204963316817741</v>
      </c>
      <c r="G33" s="68">
        <f>IF(SER_hh_tesh_in!G33=0,0,SER_hh_tesh_in!G33/SER_summary!G$27)</f>
        <v>10.280815808152131</v>
      </c>
      <c r="H33" s="68">
        <f>IF(SER_hh_tesh_in!H33=0,0,SER_hh_tesh_in!H33/SER_summary!H$27)</f>
        <v>11.209601852670762</v>
      </c>
      <c r="I33" s="68">
        <f>IF(SER_hh_tesh_in!I33=0,0,SER_hh_tesh_in!I33/SER_summary!I$27)</f>
        <v>10.333025249023068</v>
      </c>
      <c r="J33" s="68">
        <f>IF(SER_hh_tesh_in!J33=0,0,SER_hh_tesh_in!J33/SER_summary!J$27)</f>
        <v>9.6711238122895171</v>
      </c>
      <c r="K33" s="68">
        <f>IF(SER_hh_tesh_in!K33=0,0,SER_hh_tesh_in!K33/SER_summary!K$27)</f>
        <v>10.416332993986048</v>
      </c>
      <c r="L33" s="68">
        <f>IF(SER_hh_tesh_in!L33=0,0,SER_hh_tesh_in!L33/SER_summary!L$27)</f>
        <v>10.366080199851268</v>
      </c>
      <c r="M33" s="68">
        <f>IF(SER_hh_tesh_in!M33=0,0,SER_hh_tesh_in!M33/SER_summary!M$27)</f>
        <v>10.156206029606036</v>
      </c>
      <c r="N33" s="68">
        <f>IF(SER_hh_tesh_in!N33=0,0,SER_hh_tesh_in!N33/SER_summary!N$27)</f>
        <v>10.844845007242883</v>
      </c>
      <c r="O33" s="68">
        <f>IF(SER_hh_tesh_in!O33=0,0,SER_hh_tesh_in!O33/SER_summary!O$27)</f>
        <v>11.01125954954731</v>
      </c>
      <c r="P33" s="68">
        <f>IF(SER_hh_tesh_in!P33=0,0,SER_hh_tesh_in!P33/SER_summary!P$27)</f>
        <v>11.068684125108755</v>
      </c>
      <c r="Q33" s="68">
        <f>IF(SER_hh_tesh_in!Q33=0,0,SER_hh_tesh_in!Q33/SER_summary!Q$27)</f>
        <v>10.408329818981787</v>
      </c>
      <c r="R33" s="68">
        <f>IF(SER_hh_tesh_in!R33=0,0,SER_hh_tesh_in!R33/SER_summary!R$27)</f>
        <v>10.44603753691541</v>
      </c>
      <c r="S33" s="68">
        <f>IF(SER_hh_tesh_in!S33=0,0,SER_hh_tesh_in!S33/SER_summary!S$27)</f>
        <v>11.044157073077445</v>
      </c>
      <c r="T33" s="68">
        <f>IF(SER_hh_tesh_in!T33=0,0,SER_hh_tesh_in!T33/SER_summary!T$27)</f>
        <v>10.964526566411767</v>
      </c>
      <c r="U33" s="68">
        <f>IF(SER_hh_tesh_in!U33=0,0,SER_hh_tesh_in!U33/SER_summary!U$27)</f>
        <v>12.331952367929691</v>
      </c>
      <c r="V33" s="68">
        <f>IF(SER_hh_tesh_in!V33=0,0,SER_hh_tesh_in!V33/SER_summary!V$27)</f>
        <v>11.796511642207058</v>
      </c>
      <c r="W33" s="68">
        <f>IF(SER_hh_tesh_in!W33=0,0,SER_hh_tesh_in!W33/SER_summary!W$27)</f>
        <v>12.725586579215069</v>
      </c>
      <c r="X33" s="68">
        <f>IF(SER_hh_tesh_in!X33=0,0,SER_hh_tesh_in!X33/SER_summary!X$27)</f>
        <v>12.632315237161853</v>
      </c>
      <c r="Y33" s="68">
        <f>IF(SER_hh_tesh_in!Y33=0,0,SER_hh_tesh_in!Y33/SER_summary!Y$27)</f>
        <v>12.863495728649296</v>
      </c>
      <c r="DA33" s="111" t="s">
        <v>877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/>
      <c r="C3" s="125">
        <f>IF(SER_hh_emih_in!C3=0,0,SER_hh_emih_in!C3/SER_summary!C$27)</f>
        <v>6.3672991468038385</v>
      </c>
      <c r="D3" s="125">
        <f>IF(SER_hh_emih_in!D3=0,0,SER_hh_emih_in!D3/SER_summary!D$27)</f>
        <v>11.406346373258051</v>
      </c>
      <c r="E3" s="125">
        <f>IF(SER_hh_emih_in!E3=0,0,SER_hh_emih_in!E3/SER_summary!E$27)</f>
        <v>8.356910479810189</v>
      </c>
      <c r="F3" s="125">
        <f>IF(SER_hh_emih_in!F3=0,0,SER_hh_emih_in!F3/SER_summary!F$27)</f>
        <v>11.86221326601356</v>
      </c>
      <c r="G3" s="125">
        <f>IF(SER_hh_emih_in!G3=0,0,SER_hh_emih_in!G3/SER_summary!G$27)</f>
        <v>11.560392696504135</v>
      </c>
      <c r="H3" s="125">
        <f>IF(SER_hh_emih_in!H3=0,0,SER_hh_emih_in!H3/SER_summary!H$27)</f>
        <v>12.696850504762937</v>
      </c>
      <c r="I3" s="125">
        <f>IF(SER_hh_emih_in!I3=0,0,SER_hh_emih_in!I3/SER_summary!I$27)</f>
        <v>7.3534619703907946</v>
      </c>
      <c r="J3" s="125">
        <f>IF(SER_hh_emih_in!J3=0,0,SER_hh_emih_in!J3/SER_summary!J$27)</f>
        <v>7.3256534964849269</v>
      </c>
      <c r="K3" s="125">
        <f>IF(SER_hh_emih_in!K3=0,0,SER_hh_emih_in!K3/SER_summary!K$27)</f>
        <v>10.388695192648502</v>
      </c>
      <c r="L3" s="125">
        <f>IF(SER_hh_emih_in!L3=0,0,SER_hh_emih_in!L3/SER_summary!L$27)</f>
        <v>7.9251748385879006</v>
      </c>
      <c r="M3" s="125">
        <f>IF(SER_hh_emih_in!M3=0,0,SER_hh_emih_in!M3/SER_summary!M$27)</f>
        <v>6.4477417456849677</v>
      </c>
      <c r="N3" s="125">
        <f>IF(SER_hh_emih_in!N3=0,0,SER_hh_emih_in!N3/SER_summary!N$27)</f>
        <v>5.734228075638363</v>
      </c>
      <c r="O3" s="125">
        <f>IF(SER_hh_emih_in!O3=0,0,SER_hh_emih_in!O3/SER_summary!O$27)</f>
        <v>6.4406396665295658</v>
      </c>
      <c r="P3" s="125">
        <f>IF(SER_hh_emih_in!P3=0,0,SER_hh_emih_in!P3/SER_summary!P$27)</f>
        <v>3.0189629651823688</v>
      </c>
      <c r="Q3" s="125">
        <f>IF(SER_hh_emih_in!Q3=0,0,SER_hh_emih_in!Q3/SER_summary!Q$27)</f>
        <v>4.5129328918525387</v>
      </c>
      <c r="R3" s="125">
        <f>IF(SER_hh_emih_in!R3=0,0,SER_hh_emih_in!R3/SER_summary!R$27)</f>
        <v>4.9996848586886484</v>
      </c>
      <c r="S3" s="125">
        <f>IF(SER_hh_emih_in!S3=0,0,SER_hh_emih_in!S3/SER_summary!S$27)</f>
        <v>4.6192439275046109</v>
      </c>
      <c r="T3" s="125">
        <f>IF(SER_hh_emih_in!T3=0,0,SER_hh_emih_in!T3/SER_summary!T$27)</f>
        <v>5.1313006677006507</v>
      </c>
      <c r="U3" s="125">
        <f>IF(SER_hh_emih_in!U3=0,0,SER_hh_emih_in!U3/SER_summary!U$27)</f>
        <v>4.0187664410559423</v>
      </c>
      <c r="V3" s="125">
        <f>IF(SER_hh_emih_in!V3=0,0,SER_hh_emih_in!V3/SER_summary!V$27)</f>
        <v>1.9734874914964691</v>
      </c>
      <c r="W3" s="125">
        <f>IF(SER_hh_emih_in!W3=0,0,SER_hh_emih_in!W3/SER_summary!W$27)</f>
        <v>4.2677361124611917</v>
      </c>
      <c r="X3" s="125">
        <f>IF(SER_hh_emih_in!X3=0,0,SER_hh_emih_in!X3/SER_summary!X$27)</f>
        <v>5.202540863828637</v>
      </c>
      <c r="Y3" s="125">
        <f>IF(SER_hh_emih_in!Y3=0,0,SER_hh_emih_in!Y3/SER_summary!Y$27)</f>
        <v>4.6509236612266216</v>
      </c>
      <c r="DA3" s="154" t="s">
        <v>879</v>
      </c>
    </row>
    <row r="4" spans="1:105" ht="12.95" customHeight="1" x14ac:dyDescent="0.25">
      <c r="A4" s="129" t="s">
        <v>32</v>
      </c>
      <c r="B4" s="130"/>
      <c r="C4" s="130">
        <f>IF(SER_hh_emih_in!C4=0,0,SER_hh_emih_in!C4/SER_summary!C$27)</f>
        <v>5.3470094204080336</v>
      </c>
      <c r="D4" s="130">
        <f>IF(SER_hh_emih_in!D4=0,0,SER_hh_emih_in!D4/SER_summary!D$27)</f>
        <v>10.309477673220126</v>
      </c>
      <c r="E4" s="130">
        <f>IF(SER_hh_emih_in!E4=0,0,SER_hh_emih_in!E4/SER_summary!E$27)</f>
        <v>7.5892402248280559</v>
      </c>
      <c r="F4" s="130">
        <f>IF(SER_hh_emih_in!F4=0,0,SER_hh_emih_in!F4/SER_summary!F$27)</f>
        <v>11.222302831753128</v>
      </c>
      <c r="G4" s="130">
        <f>IF(SER_hh_emih_in!G4=0,0,SER_hh_emih_in!G4/SER_summary!G$27)</f>
        <v>10.677966565151197</v>
      </c>
      <c r="H4" s="130">
        <f>IF(SER_hh_emih_in!H4=0,0,SER_hh_emih_in!H4/SER_summary!H$27)</f>
        <v>11.360626211610905</v>
      </c>
      <c r="I4" s="130">
        <f>IF(SER_hh_emih_in!I4=0,0,SER_hh_emih_in!I4/SER_summary!I$27)</f>
        <v>5.96522234691151</v>
      </c>
      <c r="J4" s="130">
        <f>IF(SER_hh_emih_in!J4=0,0,SER_hh_emih_in!J4/SER_summary!J$27)</f>
        <v>5.8604676073582747</v>
      </c>
      <c r="K4" s="130">
        <f>IF(SER_hh_emih_in!K4=0,0,SER_hh_emih_in!K4/SER_summary!K$27)</f>
        <v>9.1667781242637094</v>
      </c>
      <c r="L4" s="130">
        <f>IF(SER_hh_emih_in!L4=0,0,SER_hh_emih_in!L4/SER_summary!L$27)</f>
        <v>7.4881125685757048</v>
      </c>
      <c r="M4" s="130">
        <f>IF(SER_hh_emih_in!M4=0,0,SER_hh_emih_in!M4/SER_summary!M$27)</f>
        <v>6.2655999746493256</v>
      </c>
      <c r="N4" s="130">
        <f>IF(SER_hh_emih_in!N4=0,0,SER_hh_emih_in!N4/SER_summary!N$27)</f>
        <v>5.5310645609651035</v>
      </c>
      <c r="O4" s="130">
        <f>IF(SER_hh_emih_in!O4=0,0,SER_hh_emih_in!O4/SER_summary!O$27)</f>
        <v>6.2168268928779087</v>
      </c>
      <c r="P4" s="130">
        <f>IF(SER_hh_emih_in!P4=0,0,SER_hh_emih_in!P4/SER_summary!P$27)</f>
        <v>2.687062777503491</v>
      </c>
      <c r="Q4" s="130">
        <f>IF(SER_hh_emih_in!Q4=0,0,SER_hh_emih_in!Q4/SER_summary!Q$27)</f>
        <v>3.5422681752718246</v>
      </c>
      <c r="R4" s="130">
        <f>IF(SER_hh_emih_in!R4=0,0,SER_hh_emih_in!R4/SER_summary!R$27)</f>
        <v>3.943537482569313</v>
      </c>
      <c r="S4" s="130">
        <f>IF(SER_hh_emih_in!S4=0,0,SER_hh_emih_in!S4/SER_summary!S$27)</f>
        <v>3.9116438500843311</v>
      </c>
      <c r="T4" s="130">
        <f>IF(SER_hh_emih_in!T4=0,0,SER_hh_emih_in!T4/SER_summary!T$27)</f>
        <v>4.467075397753411</v>
      </c>
      <c r="U4" s="130">
        <f>IF(SER_hh_emih_in!U4=0,0,SER_hh_emih_in!U4/SER_summary!U$27)</f>
        <v>3.6511227973524667</v>
      </c>
      <c r="V4" s="130">
        <f>IF(SER_hh_emih_in!V4=0,0,SER_hh_emih_in!V4/SER_summary!V$27)</f>
        <v>1.5372115345253046</v>
      </c>
      <c r="W4" s="130">
        <f>IF(SER_hh_emih_in!W4=0,0,SER_hh_emih_in!W4/SER_summary!W$27)</f>
        <v>3.8881127169724459</v>
      </c>
      <c r="X4" s="130">
        <f>IF(SER_hh_emih_in!X4=0,0,SER_hh_emih_in!X4/SER_summary!X$27)</f>
        <v>4.4293657243699727</v>
      </c>
      <c r="Y4" s="130">
        <f>IF(SER_hh_emih_in!Y4=0,0,SER_hh_emih_in!Y4/SER_summary!Y$27)</f>
        <v>3.6837405001106895</v>
      </c>
      <c r="DA4" s="155" t="s">
        <v>880</v>
      </c>
    </row>
    <row r="5" spans="1:105" ht="12" customHeight="1" x14ac:dyDescent="0.25">
      <c r="A5" s="131" t="s">
        <v>29</v>
      </c>
      <c r="B5" s="132"/>
      <c r="C5" s="132">
        <f>IF(SER_hh_emih_in!C5=0,0,SER_hh_emih_in!C5/SER_summary!C$27)</f>
        <v>42.836311074709378</v>
      </c>
      <c r="D5" s="132">
        <f>IF(SER_hh_emih_in!D5=0,0,SER_hh_emih_in!D5/SER_summary!D$27)</f>
        <v>46.009678842881527</v>
      </c>
      <c r="E5" s="132">
        <f>IF(SER_hh_emih_in!E5=0,0,SER_hh_emih_in!E5/SER_summary!E$27)</f>
        <v>43.240348745707486</v>
      </c>
      <c r="F5" s="132">
        <f>IF(SER_hh_emih_in!F5=0,0,SER_hh_emih_in!F5/SER_summary!F$27)</f>
        <v>37.958631140350306</v>
      </c>
      <c r="G5" s="132">
        <f>IF(SER_hh_emih_in!G5=0,0,SER_hh_emih_in!G5/SER_summary!G$27)</f>
        <v>39.013905616675586</v>
      </c>
      <c r="H5" s="132">
        <f>IF(SER_hh_emih_in!H5=0,0,SER_hh_emih_in!H5/SER_summary!H$27)</f>
        <v>48.728489670043871</v>
      </c>
      <c r="I5" s="132">
        <f>IF(SER_hh_emih_in!I5=0,0,SER_hh_emih_in!I5/SER_summary!I$27)</f>
        <v>35.611048509229761</v>
      </c>
      <c r="J5" s="132">
        <f>IF(SER_hh_emih_in!J5=0,0,SER_hh_emih_in!J5/SER_summary!J$27)</f>
        <v>25.981924942833473</v>
      </c>
      <c r="K5" s="132">
        <f>IF(SER_hh_emih_in!K5=0,0,SER_hh_emih_in!K5/SER_summary!K$27)</f>
        <v>29.534625180022918</v>
      </c>
      <c r="L5" s="132">
        <f>IF(SER_hh_emih_in!L5=0,0,SER_hh_emih_in!L5/SER_summary!L$27)</f>
        <v>27.773160550429193</v>
      </c>
      <c r="M5" s="132">
        <f>IF(SER_hh_emih_in!M5=0,0,SER_hh_emih_in!M5/SER_summary!M$27)</f>
        <v>31.959320465477727</v>
      </c>
      <c r="N5" s="132">
        <f>IF(SER_hh_emih_in!N5=0,0,SER_hh_emih_in!N5/SER_summary!N$27)</f>
        <v>22.094920003961786</v>
      </c>
      <c r="O5" s="132">
        <f>IF(SER_hh_emih_in!O5=0,0,SER_hh_emih_in!O5/SER_summary!O$27)</f>
        <v>25.419721318837151</v>
      </c>
      <c r="P5" s="132">
        <f>IF(SER_hh_emih_in!P5=0,0,SER_hh_emih_in!P5/SER_summary!P$27)</f>
        <v>22.544957125107405</v>
      </c>
      <c r="Q5" s="132">
        <f>IF(SER_hh_emih_in!Q5=0,0,SER_hh_emih_in!Q5/SER_summary!Q$27)</f>
        <v>0</v>
      </c>
      <c r="R5" s="132">
        <f>IF(SER_hh_emih_in!R5=0,0,SER_hh_emih_in!R5/SER_summary!R$27)</f>
        <v>20.735118378802245</v>
      </c>
      <c r="S5" s="132">
        <f>IF(SER_hh_emih_in!S5=0,0,SER_hh_emih_in!S5/SER_summary!S$27)</f>
        <v>21.380198416474332</v>
      </c>
      <c r="T5" s="132">
        <f>IF(SER_hh_emih_in!T5=0,0,SER_hh_emih_in!T5/SER_summary!T$27)</f>
        <v>22.287672569927306</v>
      </c>
      <c r="U5" s="132">
        <f>IF(SER_hh_emih_in!U5=0,0,SER_hh_emih_in!U5/SER_summary!U$27)</f>
        <v>19.646696392101404</v>
      </c>
      <c r="V5" s="132">
        <f>IF(SER_hh_emih_in!V5=0,0,SER_hh_emih_in!V5/SER_summary!V$27)</f>
        <v>14.157671963610406</v>
      </c>
      <c r="W5" s="132">
        <f>IF(SER_hh_emih_in!W5=0,0,SER_hh_emih_in!W5/SER_summary!W$27)</f>
        <v>18.226940445873055</v>
      </c>
      <c r="X5" s="132">
        <f>IF(SER_hh_emih_in!X5=0,0,SER_hh_emih_in!X5/SER_summary!X$27)</f>
        <v>19.285373898800067</v>
      </c>
      <c r="Y5" s="132">
        <f>IF(SER_hh_emih_in!Y5=0,0,SER_hh_emih_in!Y5/SER_summary!Y$27)</f>
        <v>0</v>
      </c>
      <c r="DA5" s="156" t="s">
        <v>881</v>
      </c>
    </row>
    <row r="6" spans="1:105" ht="12" customHeight="1" x14ac:dyDescent="0.25">
      <c r="A6" s="131" t="s">
        <v>52</v>
      </c>
      <c r="B6" s="132"/>
      <c r="C6" s="132">
        <f>IF(SER_hh_emih_in!C6=0,0,SER_hh_emih_in!C6/SER_summary!C$27)</f>
        <v>0</v>
      </c>
      <c r="D6" s="132">
        <f>IF(SER_hh_emih_in!D6=0,0,SER_hh_emih_in!D6/SER_summary!D$27)</f>
        <v>0</v>
      </c>
      <c r="E6" s="132">
        <f>IF(SER_hh_emih_in!E6=0,0,SER_hh_emih_in!E6/SER_summary!E$27)</f>
        <v>0</v>
      </c>
      <c r="F6" s="132">
        <f>IF(SER_hh_emih_in!F6=0,0,SER_hh_emih_in!F6/SER_summary!F$27)</f>
        <v>0</v>
      </c>
      <c r="G6" s="132">
        <f>IF(SER_hh_emih_in!G6=0,0,SER_hh_emih_in!G6/SER_summary!G$27)</f>
        <v>0</v>
      </c>
      <c r="H6" s="132">
        <f>IF(SER_hh_emih_in!H6=0,0,SER_hh_emih_in!H6/SER_summary!H$27)</f>
        <v>0</v>
      </c>
      <c r="I6" s="132">
        <f>IF(SER_hh_emih_in!I6=0,0,SER_hh_emih_in!I6/SER_summary!I$27)</f>
        <v>0</v>
      </c>
      <c r="J6" s="132">
        <f>IF(SER_hh_emih_in!J6=0,0,SER_hh_emih_in!J6/SER_summary!J$27)</f>
        <v>0</v>
      </c>
      <c r="K6" s="132">
        <f>IF(SER_hh_emih_in!K6=0,0,SER_hh_emih_in!K6/SER_summary!K$27)</f>
        <v>0</v>
      </c>
      <c r="L6" s="132">
        <f>IF(SER_hh_emih_in!L6=0,0,SER_hh_emih_in!L6/SER_summary!L$27)</f>
        <v>0</v>
      </c>
      <c r="M6" s="132">
        <f>IF(SER_hh_emih_in!M6=0,0,SER_hh_emih_in!M6/SER_summary!M$27)</f>
        <v>0</v>
      </c>
      <c r="N6" s="132">
        <f>IF(SER_hh_emih_in!N6=0,0,SER_hh_emih_in!N6/SER_summary!N$27)</f>
        <v>0</v>
      </c>
      <c r="O6" s="132">
        <f>IF(SER_hh_emih_in!O6=0,0,SER_hh_emih_in!O6/SER_summary!O$27)</f>
        <v>0</v>
      </c>
      <c r="P6" s="132">
        <f>IF(SER_hh_emih_in!P6=0,0,SER_hh_emih_in!P6/SER_summary!P$27)</f>
        <v>0</v>
      </c>
      <c r="Q6" s="132">
        <f>IF(SER_hh_emih_in!Q6=0,0,SER_hh_emih_in!Q6/SER_summary!Q$27)</f>
        <v>0</v>
      </c>
      <c r="R6" s="132">
        <f>IF(SER_hh_emih_in!R6=0,0,SER_hh_emih_in!R6/SER_summary!R$27)</f>
        <v>0</v>
      </c>
      <c r="S6" s="132">
        <f>IF(SER_hh_emih_in!S6=0,0,SER_hh_emih_in!S6/SER_summary!S$27)</f>
        <v>0</v>
      </c>
      <c r="T6" s="132">
        <f>IF(SER_hh_emih_in!T6=0,0,SER_hh_emih_in!T6/SER_summary!T$27)</f>
        <v>0</v>
      </c>
      <c r="U6" s="132">
        <f>IF(SER_hh_emih_in!U6=0,0,SER_hh_emih_in!U6/SER_summary!U$27)</f>
        <v>0</v>
      </c>
      <c r="V6" s="132">
        <f>IF(SER_hh_emih_in!V6=0,0,SER_hh_emih_in!V6/SER_summary!V$27)</f>
        <v>0</v>
      </c>
      <c r="W6" s="132">
        <f>IF(SER_hh_emih_in!W6=0,0,SER_hh_emih_in!W6/SER_summary!W$27)</f>
        <v>0</v>
      </c>
      <c r="X6" s="132">
        <f>IF(SER_hh_emih_in!X6=0,0,SER_hh_emih_in!X6/SER_summary!X$27)</f>
        <v>0</v>
      </c>
      <c r="Y6" s="132">
        <f>IF(SER_hh_emih_in!Y6=0,0,SER_hh_emih_in!Y6/SER_summary!Y$27)</f>
        <v>0</v>
      </c>
      <c r="DA6" s="156" t="s">
        <v>882</v>
      </c>
    </row>
    <row r="7" spans="1:105" ht="12" customHeight="1" x14ac:dyDescent="0.25">
      <c r="A7" s="131" t="s">
        <v>161</v>
      </c>
      <c r="B7" s="132"/>
      <c r="C7" s="132">
        <f>IF(SER_hh_emih_in!C7=0,0,SER_hh_emih_in!C7/SER_summary!C$27)</f>
        <v>0</v>
      </c>
      <c r="D7" s="132">
        <f>IF(SER_hh_emih_in!D7=0,0,SER_hh_emih_in!D7/SER_summary!D$27)</f>
        <v>0</v>
      </c>
      <c r="E7" s="132">
        <f>IF(SER_hh_emih_in!E7=0,0,SER_hh_emih_in!E7/SER_summary!E$27)</f>
        <v>0</v>
      </c>
      <c r="F7" s="132">
        <f>IF(SER_hh_emih_in!F7=0,0,SER_hh_emih_in!F7/SER_summary!F$27)</f>
        <v>0</v>
      </c>
      <c r="G7" s="132">
        <f>IF(SER_hh_emih_in!G7=0,0,SER_hh_emih_in!G7/SER_summary!G$27)</f>
        <v>0</v>
      </c>
      <c r="H7" s="132">
        <f>IF(SER_hh_emih_in!H7=0,0,SER_hh_emih_in!H7/SER_summary!H$27)</f>
        <v>0</v>
      </c>
      <c r="I7" s="132">
        <f>IF(SER_hh_emih_in!I7=0,0,SER_hh_emih_in!I7/SER_summary!I$27)</f>
        <v>0</v>
      </c>
      <c r="J7" s="132">
        <f>IF(SER_hh_emih_in!J7=0,0,SER_hh_emih_in!J7/SER_summary!J$27)</f>
        <v>48.630012874800016</v>
      </c>
      <c r="K7" s="132">
        <f>IF(SER_hh_emih_in!K7=0,0,SER_hh_emih_in!K7/SER_summary!K$27)</f>
        <v>15.185573353407271</v>
      </c>
      <c r="L7" s="132">
        <f>IF(SER_hh_emih_in!L7=0,0,SER_hh_emih_in!L7/SER_summary!L$27)</f>
        <v>22.679594218263418</v>
      </c>
      <c r="M7" s="132">
        <f>IF(SER_hh_emih_in!M7=0,0,SER_hh_emih_in!M7/SER_summary!M$27)</f>
        <v>29.894948247665099</v>
      </c>
      <c r="N7" s="132">
        <f>IF(SER_hh_emih_in!N7=0,0,SER_hh_emih_in!N7/SER_summary!N$27)</f>
        <v>18.258584694834287</v>
      </c>
      <c r="O7" s="132">
        <f>IF(SER_hh_emih_in!O7=0,0,SER_hh_emih_in!O7/SER_summary!O$27)</f>
        <v>18.05749663202101</v>
      </c>
      <c r="P7" s="132">
        <f>IF(SER_hh_emih_in!P7=0,0,SER_hh_emih_in!P7/SER_summary!P$27)</f>
        <v>0</v>
      </c>
      <c r="Q7" s="132">
        <f>IF(SER_hh_emih_in!Q7=0,0,SER_hh_emih_in!Q7/SER_summary!Q$27)</f>
        <v>0</v>
      </c>
      <c r="R7" s="132">
        <f>IF(SER_hh_emih_in!R7=0,0,SER_hh_emih_in!R7/SER_summary!R$27)</f>
        <v>0</v>
      </c>
      <c r="S7" s="132">
        <f>IF(SER_hh_emih_in!S7=0,0,SER_hh_emih_in!S7/SER_summary!S$27)</f>
        <v>0</v>
      </c>
      <c r="T7" s="132">
        <f>IF(SER_hh_emih_in!T7=0,0,SER_hh_emih_in!T7/SER_summary!T$27)</f>
        <v>0</v>
      </c>
      <c r="U7" s="132">
        <f>IF(SER_hh_emih_in!U7=0,0,SER_hh_emih_in!U7/SER_summary!U$27)</f>
        <v>14.331933403140484</v>
      </c>
      <c r="V7" s="132">
        <f>IF(SER_hh_emih_in!V7=0,0,SER_hh_emih_in!V7/SER_summary!V$27)</f>
        <v>14.162844264848509</v>
      </c>
      <c r="W7" s="132">
        <f>IF(SER_hh_emih_in!W7=0,0,SER_hh_emih_in!W7/SER_summary!W$27)</f>
        <v>14.252570976173377</v>
      </c>
      <c r="X7" s="132">
        <f>IF(SER_hh_emih_in!X7=0,0,SER_hh_emih_in!X7/SER_summary!X$27)</f>
        <v>11.965867970017454</v>
      </c>
      <c r="Y7" s="132">
        <f>IF(SER_hh_emih_in!Y7=0,0,SER_hh_emih_in!Y7/SER_summary!Y$27)</f>
        <v>15.805016404571084</v>
      </c>
      <c r="DA7" s="156" t="s">
        <v>883</v>
      </c>
    </row>
    <row r="8" spans="1:105" ht="12" customHeight="1" x14ac:dyDescent="0.25">
      <c r="A8" s="131" t="s">
        <v>73</v>
      </c>
      <c r="B8" s="132"/>
      <c r="C8" s="132">
        <f>IF(SER_hh_emih_in!C8=0,0,SER_hh_emih_in!C8/SER_summary!C$27)</f>
        <v>0</v>
      </c>
      <c r="D8" s="132">
        <f>IF(SER_hh_emih_in!D8=0,0,SER_hh_emih_in!D8/SER_summary!D$27)</f>
        <v>0</v>
      </c>
      <c r="E8" s="132">
        <f>IF(SER_hh_emih_in!E8=0,0,SER_hh_emih_in!E8/SER_summary!E$27)</f>
        <v>0</v>
      </c>
      <c r="F8" s="132">
        <f>IF(SER_hh_emih_in!F8=0,0,SER_hh_emih_in!F8/SER_summary!F$27)</f>
        <v>0</v>
      </c>
      <c r="G8" s="132">
        <f>IF(SER_hh_emih_in!G8=0,0,SER_hh_emih_in!G8/SER_summary!G$27)</f>
        <v>0</v>
      </c>
      <c r="H8" s="132">
        <f>IF(SER_hh_emih_in!H8=0,0,SER_hh_emih_in!H8/SER_summary!H$27)</f>
        <v>0</v>
      </c>
      <c r="I8" s="132">
        <f>IF(SER_hh_emih_in!I8=0,0,SER_hh_emih_in!I8/SER_summary!I$27)</f>
        <v>0</v>
      </c>
      <c r="J8" s="132">
        <f>IF(SER_hh_emih_in!J8=0,0,SER_hh_emih_in!J8/SER_summary!J$27)</f>
        <v>0</v>
      </c>
      <c r="K8" s="132">
        <f>IF(SER_hh_emih_in!K8=0,0,SER_hh_emih_in!K8/SER_summary!K$27)</f>
        <v>0</v>
      </c>
      <c r="L8" s="132">
        <f>IF(SER_hh_emih_in!L8=0,0,SER_hh_emih_in!L8/SER_summary!L$27)</f>
        <v>0</v>
      </c>
      <c r="M8" s="132">
        <f>IF(SER_hh_emih_in!M8=0,0,SER_hh_emih_in!M8/SER_summary!M$27)</f>
        <v>0</v>
      </c>
      <c r="N8" s="132">
        <f>IF(SER_hh_emih_in!N8=0,0,SER_hh_emih_in!N8/SER_summary!N$27)</f>
        <v>0</v>
      </c>
      <c r="O8" s="132">
        <f>IF(SER_hh_emih_in!O8=0,0,SER_hh_emih_in!O8/SER_summary!O$27)</f>
        <v>0</v>
      </c>
      <c r="P8" s="132">
        <f>IF(SER_hh_emih_in!P8=0,0,SER_hh_emih_in!P8/SER_summary!P$27)</f>
        <v>0</v>
      </c>
      <c r="Q8" s="132">
        <f>IF(SER_hh_emih_in!Q8=0,0,SER_hh_emih_in!Q8/SER_summary!Q$27)</f>
        <v>0</v>
      </c>
      <c r="R8" s="132">
        <f>IF(SER_hh_emih_in!R8=0,0,SER_hh_emih_in!R8/SER_summary!R$27)</f>
        <v>0</v>
      </c>
      <c r="S8" s="132">
        <f>IF(SER_hh_emih_in!S8=0,0,SER_hh_emih_in!S8/SER_summary!S$27)</f>
        <v>0</v>
      </c>
      <c r="T8" s="132">
        <f>IF(SER_hh_emih_in!T8=0,0,SER_hh_emih_in!T8/SER_summary!T$27)</f>
        <v>0</v>
      </c>
      <c r="U8" s="132">
        <f>IF(SER_hh_emih_in!U8=0,0,SER_hh_emih_in!U8/SER_summary!U$27)</f>
        <v>0</v>
      </c>
      <c r="V8" s="132">
        <f>IF(SER_hh_emih_in!V8=0,0,SER_hh_emih_in!V8/SER_summary!V$27)</f>
        <v>0</v>
      </c>
      <c r="W8" s="132">
        <f>IF(SER_hh_emih_in!W8=0,0,SER_hh_emih_in!W8/SER_summary!W$27)</f>
        <v>0</v>
      </c>
      <c r="X8" s="132">
        <f>IF(SER_hh_emih_in!X8=0,0,SER_hh_emih_in!X8/SER_summary!X$27)</f>
        <v>0</v>
      </c>
      <c r="Y8" s="132">
        <f>IF(SER_hh_emih_in!Y8=0,0,SER_hh_emih_in!Y8/SER_summary!Y$27)</f>
        <v>0</v>
      </c>
      <c r="DA8" s="156" t="s">
        <v>884</v>
      </c>
    </row>
    <row r="9" spans="1:105" ht="12" customHeight="1" x14ac:dyDescent="0.25">
      <c r="A9" s="131" t="s">
        <v>78</v>
      </c>
      <c r="B9" s="132"/>
      <c r="C9" s="132">
        <f>IF(SER_hh_emih_in!C9=0,0,SER_hh_emih_in!C9/SER_summary!C$27)</f>
        <v>29.791648561409822</v>
      </c>
      <c r="D9" s="132">
        <f>IF(SER_hh_emih_in!D9=0,0,SER_hh_emih_in!D9/SER_summary!D$27)</f>
        <v>28.513448343187456</v>
      </c>
      <c r="E9" s="132">
        <f>IF(SER_hh_emih_in!E9=0,0,SER_hh_emih_in!E9/SER_summary!E$27)</f>
        <v>25.271664377569873</v>
      </c>
      <c r="F9" s="132">
        <f>IF(SER_hh_emih_in!F9=0,0,SER_hh_emih_in!F9/SER_summary!F$27)</f>
        <v>30.315473833113636</v>
      </c>
      <c r="G9" s="132">
        <f>IF(SER_hh_emih_in!G9=0,0,SER_hh_emih_in!G9/SER_summary!G$27)</f>
        <v>25.163968908932969</v>
      </c>
      <c r="H9" s="132">
        <f>IF(SER_hh_emih_in!H9=0,0,SER_hh_emih_in!H9/SER_summary!H$27)</f>
        <v>23.235050844357122</v>
      </c>
      <c r="I9" s="132">
        <f>IF(SER_hh_emih_in!I9=0,0,SER_hh_emih_in!I9/SER_summary!I$27)</f>
        <v>26.404931524949383</v>
      </c>
      <c r="J9" s="132">
        <f>IF(SER_hh_emih_in!J9=0,0,SER_hh_emih_in!J9/SER_summary!J$27)</f>
        <v>21.68098020272194</v>
      </c>
      <c r="K9" s="132">
        <f>IF(SER_hh_emih_in!K9=0,0,SER_hh_emih_in!K9/SER_summary!K$27)</f>
        <v>17.951950030511931</v>
      </c>
      <c r="L9" s="132">
        <f>IF(SER_hh_emih_in!L9=0,0,SER_hh_emih_in!L9/SER_summary!L$27)</f>
        <v>19.06982663505369</v>
      </c>
      <c r="M9" s="132">
        <f>IF(SER_hh_emih_in!M9=0,0,SER_hh_emih_in!M9/SER_summary!M$27)</f>
        <v>15.727563579404363</v>
      </c>
      <c r="N9" s="132">
        <f>IF(SER_hh_emih_in!N9=0,0,SER_hh_emih_in!N9/SER_summary!N$27)</f>
        <v>15.904153746473673</v>
      </c>
      <c r="O9" s="132">
        <f>IF(SER_hh_emih_in!O9=0,0,SER_hh_emih_in!O9/SER_summary!O$27)</f>
        <v>14.431154359118759</v>
      </c>
      <c r="P9" s="132">
        <f>IF(SER_hh_emih_in!P9=0,0,SER_hh_emih_in!P9/SER_summary!P$27)</f>
        <v>10.888474309735091</v>
      </c>
      <c r="Q9" s="132">
        <f>IF(SER_hh_emih_in!Q9=0,0,SER_hh_emih_in!Q9/SER_summary!Q$27)</f>
        <v>10.954975984220795</v>
      </c>
      <c r="R9" s="132">
        <f>IF(SER_hh_emih_in!R9=0,0,SER_hh_emih_in!R9/SER_summary!R$27)</f>
        <v>10.92840359743599</v>
      </c>
      <c r="S9" s="132">
        <f>IF(SER_hh_emih_in!S9=0,0,SER_hh_emih_in!S9/SER_summary!S$27)</f>
        <v>11.087163614043693</v>
      </c>
      <c r="T9" s="132">
        <f>IF(SER_hh_emih_in!T9=0,0,SER_hh_emih_in!T9/SER_summary!T$27)</f>
        <v>11.008890014590074</v>
      </c>
      <c r="U9" s="132">
        <f>IF(SER_hh_emih_in!U9=0,0,SER_hh_emih_in!U9/SER_summary!U$27)</f>
        <v>10.508292631218632</v>
      </c>
      <c r="V9" s="132">
        <f>IF(SER_hh_emih_in!V9=0,0,SER_hh_emih_in!V9/SER_summary!V$27)</f>
        <v>9.8975670295082274</v>
      </c>
      <c r="W9" s="132">
        <f>IF(SER_hh_emih_in!W9=0,0,SER_hh_emih_in!W9/SER_summary!W$27)</f>
        <v>9.3452064102603014</v>
      </c>
      <c r="X9" s="132">
        <f>IF(SER_hh_emih_in!X9=0,0,SER_hh_emih_in!X9/SER_summary!X$27)</f>
        <v>8.4459518528243205</v>
      </c>
      <c r="Y9" s="132">
        <f>IF(SER_hh_emih_in!Y9=0,0,SER_hh_emih_in!Y9/SER_summary!Y$27)</f>
        <v>10.203411922444772</v>
      </c>
      <c r="DA9" s="156" t="s">
        <v>885</v>
      </c>
    </row>
    <row r="10" spans="1:105" ht="12" customHeight="1" x14ac:dyDescent="0.25">
      <c r="A10" s="131" t="s">
        <v>128</v>
      </c>
      <c r="B10" s="132"/>
      <c r="C10" s="132">
        <f>IF(SER_hh_emih_in!C10=0,0,SER_hh_emih_in!C10/SER_summary!C$27)</f>
        <v>0</v>
      </c>
      <c r="D10" s="132">
        <f>IF(SER_hh_emih_in!D10=0,0,SER_hh_emih_in!D10/SER_summary!D$27)</f>
        <v>0</v>
      </c>
      <c r="E10" s="132">
        <f>IF(SER_hh_emih_in!E10=0,0,SER_hh_emih_in!E10/SER_summary!E$27)</f>
        <v>0</v>
      </c>
      <c r="F10" s="132">
        <f>IF(SER_hh_emih_in!F10=0,0,SER_hh_emih_in!F10/SER_summary!F$27)</f>
        <v>0</v>
      </c>
      <c r="G10" s="132">
        <f>IF(SER_hh_emih_in!G10=0,0,SER_hh_emih_in!G10/SER_summary!G$27)</f>
        <v>0</v>
      </c>
      <c r="H10" s="132">
        <f>IF(SER_hh_emih_in!H10=0,0,SER_hh_emih_in!H10/SER_summary!H$27)</f>
        <v>0</v>
      </c>
      <c r="I10" s="132">
        <f>IF(SER_hh_emih_in!I10=0,0,SER_hh_emih_in!I10/SER_summary!I$27)</f>
        <v>0</v>
      </c>
      <c r="J10" s="132">
        <f>IF(SER_hh_emih_in!J10=0,0,SER_hh_emih_in!J10/SER_summary!J$27)</f>
        <v>0</v>
      </c>
      <c r="K10" s="132">
        <f>IF(SER_hh_emih_in!K10=0,0,SER_hh_emih_in!K10/SER_summary!K$27)</f>
        <v>0</v>
      </c>
      <c r="L10" s="132">
        <f>IF(SER_hh_emih_in!L10=0,0,SER_hh_emih_in!L10/SER_summary!L$27)</f>
        <v>0</v>
      </c>
      <c r="M10" s="132">
        <f>IF(SER_hh_emih_in!M10=0,0,SER_hh_emih_in!M10/SER_summary!M$27)</f>
        <v>0</v>
      </c>
      <c r="N10" s="132">
        <f>IF(SER_hh_emih_in!N10=0,0,SER_hh_emih_in!N10/SER_summary!N$27)</f>
        <v>0</v>
      </c>
      <c r="O10" s="132">
        <f>IF(SER_hh_emih_in!O10=0,0,SER_hh_emih_in!O10/SER_summary!O$27)</f>
        <v>0</v>
      </c>
      <c r="P10" s="132">
        <f>IF(SER_hh_emih_in!P10=0,0,SER_hh_emih_in!P10/SER_summary!P$27)</f>
        <v>0</v>
      </c>
      <c r="Q10" s="132">
        <f>IF(SER_hh_emih_in!Q10=0,0,SER_hh_emih_in!Q10/SER_summary!Q$27)</f>
        <v>0</v>
      </c>
      <c r="R10" s="132">
        <f>IF(SER_hh_emih_in!R10=0,0,SER_hh_emih_in!R10/SER_summary!R$27)</f>
        <v>0</v>
      </c>
      <c r="S10" s="132">
        <f>IF(SER_hh_emih_in!S10=0,0,SER_hh_emih_in!S10/SER_summary!S$27)</f>
        <v>0</v>
      </c>
      <c r="T10" s="132">
        <f>IF(SER_hh_emih_in!T10=0,0,SER_hh_emih_in!T10/SER_summary!T$27)</f>
        <v>0</v>
      </c>
      <c r="U10" s="132">
        <f>IF(SER_hh_emih_in!U10=0,0,SER_hh_emih_in!U10/SER_summary!U$27)</f>
        <v>0</v>
      </c>
      <c r="V10" s="132">
        <f>IF(SER_hh_emih_in!V10=0,0,SER_hh_emih_in!V10/SER_summary!V$27)</f>
        <v>0</v>
      </c>
      <c r="W10" s="132">
        <f>IF(SER_hh_emih_in!W10=0,0,SER_hh_emih_in!W10/SER_summary!W$27)</f>
        <v>0</v>
      </c>
      <c r="X10" s="132">
        <f>IF(SER_hh_emih_in!X10=0,0,SER_hh_emih_in!X10/SER_summary!X$27)</f>
        <v>0</v>
      </c>
      <c r="Y10" s="132">
        <f>IF(SER_hh_emih_in!Y10=0,0,SER_hh_emih_in!Y10/SER_summary!Y$27)</f>
        <v>0</v>
      </c>
      <c r="DA10" s="156" t="s">
        <v>886</v>
      </c>
    </row>
    <row r="11" spans="1:105" ht="12" customHeight="1" x14ac:dyDescent="0.25">
      <c r="A11" s="131" t="s">
        <v>25</v>
      </c>
      <c r="B11" s="132"/>
      <c r="C11" s="132">
        <f>IF(SER_hh_emih_in!C11=0,0,SER_hh_emih_in!C11/SER_summary!C$27)</f>
        <v>0</v>
      </c>
      <c r="D11" s="132">
        <f>IF(SER_hh_emih_in!D11=0,0,SER_hh_emih_in!D11/SER_summary!D$27)</f>
        <v>0</v>
      </c>
      <c r="E11" s="132">
        <f>IF(SER_hh_emih_in!E11=0,0,SER_hh_emih_in!E11/SER_summary!E$27)</f>
        <v>0</v>
      </c>
      <c r="F11" s="132">
        <f>IF(SER_hh_emih_in!F11=0,0,SER_hh_emih_in!F11/SER_summary!F$27)</f>
        <v>0</v>
      </c>
      <c r="G11" s="132">
        <f>IF(SER_hh_emih_in!G11=0,0,SER_hh_emih_in!G11/SER_summary!G$27)</f>
        <v>0</v>
      </c>
      <c r="H11" s="132">
        <f>IF(SER_hh_emih_in!H11=0,0,SER_hh_emih_in!H11/SER_summary!H$27)</f>
        <v>0</v>
      </c>
      <c r="I11" s="132">
        <f>IF(SER_hh_emih_in!I11=0,0,SER_hh_emih_in!I11/SER_summary!I$27)</f>
        <v>0</v>
      </c>
      <c r="J11" s="132">
        <f>IF(SER_hh_emih_in!J11=0,0,SER_hh_emih_in!J11/SER_summary!J$27)</f>
        <v>0</v>
      </c>
      <c r="K11" s="132">
        <f>IF(SER_hh_emih_in!K11=0,0,SER_hh_emih_in!K11/SER_summary!K$27)</f>
        <v>0</v>
      </c>
      <c r="L11" s="132">
        <f>IF(SER_hh_emih_in!L11=0,0,SER_hh_emih_in!L11/SER_summary!L$27)</f>
        <v>0</v>
      </c>
      <c r="M11" s="132">
        <f>IF(SER_hh_emih_in!M11=0,0,SER_hh_emih_in!M11/SER_summary!M$27)</f>
        <v>0</v>
      </c>
      <c r="N11" s="132">
        <f>IF(SER_hh_emih_in!N11=0,0,SER_hh_emih_in!N11/SER_summary!N$27)</f>
        <v>0</v>
      </c>
      <c r="O11" s="132">
        <f>IF(SER_hh_emih_in!O11=0,0,SER_hh_emih_in!O11/SER_summary!O$27)</f>
        <v>0</v>
      </c>
      <c r="P11" s="132">
        <f>IF(SER_hh_emih_in!P11=0,0,SER_hh_emih_in!P11/SER_summary!P$27)</f>
        <v>0</v>
      </c>
      <c r="Q11" s="132">
        <f>IF(SER_hh_emih_in!Q11=0,0,SER_hh_emih_in!Q11/SER_summary!Q$27)</f>
        <v>0</v>
      </c>
      <c r="R11" s="132">
        <f>IF(SER_hh_emih_in!R11=0,0,SER_hh_emih_in!R11/SER_summary!R$27)</f>
        <v>0</v>
      </c>
      <c r="S11" s="132">
        <f>IF(SER_hh_emih_in!S11=0,0,SER_hh_emih_in!S11/SER_summary!S$27)</f>
        <v>0</v>
      </c>
      <c r="T11" s="132">
        <f>IF(SER_hh_emih_in!T11=0,0,SER_hh_emih_in!T11/SER_summary!T$27)</f>
        <v>0</v>
      </c>
      <c r="U11" s="132">
        <f>IF(SER_hh_emih_in!U11=0,0,SER_hh_emih_in!U11/SER_summary!U$27)</f>
        <v>0</v>
      </c>
      <c r="V11" s="132">
        <f>IF(SER_hh_emih_in!V11=0,0,SER_hh_emih_in!V11/SER_summary!V$27)</f>
        <v>0</v>
      </c>
      <c r="W11" s="132">
        <f>IF(SER_hh_emih_in!W11=0,0,SER_hh_emih_in!W11/SER_summary!W$27)</f>
        <v>0</v>
      </c>
      <c r="X11" s="132">
        <f>IF(SER_hh_emih_in!X11=0,0,SER_hh_emih_in!X11/SER_summary!X$27)</f>
        <v>0</v>
      </c>
      <c r="Y11" s="132">
        <f>IF(SER_hh_emih_in!Y11=0,0,SER_hh_emih_in!Y11/SER_summary!Y$27)</f>
        <v>0</v>
      </c>
      <c r="DA11" s="156" t="s">
        <v>887</v>
      </c>
    </row>
    <row r="12" spans="1:105" ht="12" customHeight="1" x14ac:dyDescent="0.25">
      <c r="A12" s="131" t="s">
        <v>162</v>
      </c>
      <c r="B12" s="132"/>
      <c r="C12" s="132">
        <f>IF(SER_hh_emih_in!C12=0,0,SER_hh_emih_in!C12/SER_summary!C$27)</f>
        <v>0</v>
      </c>
      <c r="D12" s="132">
        <f>IF(SER_hh_emih_in!D12=0,0,SER_hh_emih_in!D12/SER_summary!D$27)</f>
        <v>0</v>
      </c>
      <c r="E12" s="132">
        <f>IF(SER_hh_emih_in!E12=0,0,SER_hh_emih_in!E12/SER_summary!E$27)</f>
        <v>0</v>
      </c>
      <c r="F12" s="132">
        <f>IF(SER_hh_emih_in!F12=0,0,SER_hh_emih_in!F12/SER_summary!F$27)</f>
        <v>0</v>
      </c>
      <c r="G12" s="132">
        <f>IF(SER_hh_emih_in!G12=0,0,SER_hh_emih_in!G12/SER_summary!G$27)</f>
        <v>0</v>
      </c>
      <c r="H12" s="132">
        <f>IF(SER_hh_emih_in!H12=0,0,SER_hh_emih_in!H12/SER_summary!H$27)</f>
        <v>0</v>
      </c>
      <c r="I12" s="132">
        <f>IF(SER_hh_emih_in!I12=0,0,SER_hh_emih_in!I12/SER_summary!I$27)</f>
        <v>0</v>
      </c>
      <c r="J12" s="132">
        <f>IF(SER_hh_emih_in!J12=0,0,SER_hh_emih_in!J12/SER_summary!J$27)</f>
        <v>0</v>
      </c>
      <c r="K12" s="132">
        <f>IF(SER_hh_emih_in!K12=0,0,SER_hh_emih_in!K12/SER_summary!K$27)</f>
        <v>0</v>
      </c>
      <c r="L12" s="132">
        <f>IF(SER_hh_emih_in!L12=0,0,SER_hh_emih_in!L12/SER_summary!L$27)</f>
        <v>0</v>
      </c>
      <c r="M12" s="132">
        <f>IF(SER_hh_emih_in!M12=0,0,SER_hh_emih_in!M12/SER_summary!M$27)</f>
        <v>0</v>
      </c>
      <c r="N12" s="132">
        <f>IF(SER_hh_emih_in!N12=0,0,SER_hh_emih_in!N12/SER_summary!N$27)</f>
        <v>0</v>
      </c>
      <c r="O12" s="132">
        <f>IF(SER_hh_emih_in!O12=0,0,SER_hh_emih_in!O12/SER_summary!O$27)</f>
        <v>0</v>
      </c>
      <c r="P12" s="132">
        <f>IF(SER_hh_emih_in!P12=0,0,SER_hh_emih_in!P12/SER_summary!P$27)</f>
        <v>0</v>
      </c>
      <c r="Q12" s="132">
        <f>IF(SER_hh_emih_in!Q12=0,0,SER_hh_emih_in!Q12/SER_summary!Q$27)</f>
        <v>0</v>
      </c>
      <c r="R12" s="132">
        <f>IF(SER_hh_emih_in!R12=0,0,SER_hh_emih_in!R12/SER_summary!R$27)</f>
        <v>0</v>
      </c>
      <c r="S12" s="132">
        <f>IF(SER_hh_emih_in!S12=0,0,SER_hh_emih_in!S12/SER_summary!S$27)</f>
        <v>0</v>
      </c>
      <c r="T12" s="132">
        <f>IF(SER_hh_emih_in!T12=0,0,SER_hh_emih_in!T12/SER_summary!T$27)</f>
        <v>0</v>
      </c>
      <c r="U12" s="132">
        <f>IF(SER_hh_emih_in!U12=0,0,SER_hh_emih_in!U12/SER_summary!U$27)</f>
        <v>0</v>
      </c>
      <c r="V12" s="132">
        <f>IF(SER_hh_emih_in!V12=0,0,SER_hh_emih_in!V12/SER_summary!V$27)</f>
        <v>0</v>
      </c>
      <c r="W12" s="132">
        <f>IF(SER_hh_emih_in!W12=0,0,SER_hh_emih_in!W12/SER_summary!W$27)</f>
        <v>0</v>
      </c>
      <c r="X12" s="132">
        <f>IF(SER_hh_emih_in!X12=0,0,SER_hh_emih_in!X12/SER_summary!X$27)</f>
        <v>0</v>
      </c>
      <c r="Y12" s="132">
        <f>IF(SER_hh_emih_in!Y12=0,0,SER_hh_emih_in!Y12/SER_summary!Y$27)</f>
        <v>0</v>
      </c>
      <c r="DA12" s="156" t="s">
        <v>888</v>
      </c>
    </row>
    <row r="13" spans="1:105" ht="12" customHeight="1" x14ac:dyDescent="0.25">
      <c r="A13" s="131" t="s">
        <v>77</v>
      </c>
      <c r="B13" s="132"/>
      <c r="C13" s="132">
        <f>IF(SER_hh_emih_in!C13=0,0,SER_hh_emih_in!C13/SER_summary!C$27)</f>
        <v>0</v>
      </c>
      <c r="D13" s="132">
        <f>IF(SER_hh_emih_in!D13=0,0,SER_hh_emih_in!D13/SER_summary!D$27)</f>
        <v>0</v>
      </c>
      <c r="E13" s="132">
        <f>IF(SER_hh_emih_in!E13=0,0,SER_hh_emih_in!E13/SER_summary!E$27)</f>
        <v>0</v>
      </c>
      <c r="F13" s="132">
        <f>IF(SER_hh_emih_in!F13=0,0,SER_hh_emih_in!F13/SER_summary!F$27)</f>
        <v>0</v>
      </c>
      <c r="G13" s="132">
        <f>IF(SER_hh_emih_in!G13=0,0,SER_hh_emih_in!G13/SER_summary!G$27)</f>
        <v>0</v>
      </c>
      <c r="H13" s="132">
        <f>IF(SER_hh_emih_in!H13=0,0,SER_hh_emih_in!H13/SER_summary!H$27)</f>
        <v>0</v>
      </c>
      <c r="I13" s="132">
        <f>IF(SER_hh_emih_in!I13=0,0,SER_hh_emih_in!I13/SER_summary!I$27)</f>
        <v>0</v>
      </c>
      <c r="J13" s="132">
        <f>IF(SER_hh_emih_in!J13=0,0,SER_hh_emih_in!J13/SER_summary!J$27)</f>
        <v>0</v>
      </c>
      <c r="K13" s="132">
        <f>IF(SER_hh_emih_in!K13=0,0,SER_hh_emih_in!K13/SER_summary!K$27)</f>
        <v>0</v>
      </c>
      <c r="L13" s="132">
        <f>IF(SER_hh_emih_in!L13=0,0,SER_hh_emih_in!L13/SER_summary!L$27)</f>
        <v>0</v>
      </c>
      <c r="M13" s="132">
        <f>IF(SER_hh_emih_in!M13=0,0,SER_hh_emih_in!M13/SER_summary!M$27)</f>
        <v>0</v>
      </c>
      <c r="N13" s="132">
        <f>IF(SER_hh_emih_in!N13=0,0,SER_hh_emih_in!N13/SER_summary!N$27)</f>
        <v>0</v>
      </c>
      <c r="O13" s="132">
        <f>IF(SER_hh_emih_in!O13=0,0,SER_hh_emih_in!O13/SER_summary!O$27)</f>
        <v>0</v>
      </c>
      <c r="P13" s="132">
        <f>IF(SER_hh_emih_in!P13=0,0,SER_hh_emih_in!P13/SER_summary!P$27)</f>
        <v>0</v>
      </c>
      <c r="Q13" s="132">
        <f>IF(SER_hh_emih_in!Q13=0,0,SER_hh_emih_in!Q13/SER_summary!Q$27)</f>
        <v>0</v>
      </c>
      <c r="R13" s="132">
        <f>IF(SER_hh_emih_in!R13=0,0,SER_hh_emih_in!R13/SER_summary!R$27)</f>
        <v>0</v>
      </c>
      <c r="S13" s="132">
        <f>IF(SER_hh_emih_in!S13=0,0,SER_hh_emih_in!S13/SER_summary!S$27)</f>
        <v>0</v>
      </c>
      <c r="T13" s="132">
        <f>IF(SER_hh_emih_in!T13=0,0,SER_hh_emih_in!T13/SER_summary!T$27)</f>
        <v>0</v>
      </c>
      <c r="U13" s="132">
        <f>IF(SER_hh_emih_in!U13=0,0,SER_hh_emih_in!U13/SER_summary!U$27)</f>
        <v>0</v>
      </c>
      <c r="V13" s="132">
        <f>IF(SER_hh_emih_in!V13=0,0,SER_hh_emih_in!V13/SER_summary!V$27)</f>
        <v>0</v>
      </c>
      <c r="W13" s="132">
        <f>IF(SER_hh_emih_in!W13=0,0,SER_hh_emih_in!W13/SER_summary!W$27)</f>
        <v>0</v>
      </c>
      <c r="X13" s="132">
        <f>IF(SER_hh_emih_in!X13=0,0,SER_hh_emih_in!X13/SER_summary!X$27)</f>
        <v>0</v>
      </c>
      <c r="Y13" s="132">
        <f>IF(SER_hh_emih_in!Y13=0,0,SER_hh_emih_in!Y13/SER_summary!Y$27)</f>
        <v>0</v>
      </c>
      <c r="DA13" s="156" t="s">
        <v>889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X14" s="65">
        <f>IF(SER_hh_emih_in!X14=0,0,SER_hh_emih_in!X14/SER_summary!X$27)</f>
        <v>0</v>
      </c>
      <c r="Y14" s="65">
        <f>IF(SER_hh_emih_in!Y14=0,0,SER_hh_emih_in!Y14/SER_summary!Y$27)</f>
        <v>0</v>
      </c>
      <c r="DA14" s="109" t="s">
        <v>890</v>
      </c>
    </row>
    <row r="15" spans="1:105" ht="12" customHeight="1" x14ac:dyDescent="0.25">
      <c r="A15" s="133" t="s">
        <v>80</v>
      </c>
      <c r="B15" s="134"/>
      <c r="C15" s="134">
        <f>IF(SER_hh_emih_in!C15=0,0,SER_hh_emih_in!C15/SER_summary!C$27)</f>
        <v>0</v>
      </c>
      <c r="D15" s="134">
        <f>IF(SER_hh_emih_in!D15=0,0,SER_hh_emih_in!D15/SER_summary!D$27)</f>
        <v>0</v>
      </c>
      <c r="E15" s="134">
        <f>IF(SER_hh_emih_in!E15=0,0,SER_hh_emih_in!E15/SER_summary!E$27)</f>
        <v>0</v>
      </c>
      <c r="F15" s="134">
        <f>IF(SER_hh_emih_in!F15=0,0,SER_hh_emih_in!F15/SER_summary!F$27)</f>
        <v>0</v>
      </c>
      <c r="G15" s="134">
        <f>IF(SER_hh_emih_in!G15=0,0,SER_hh_emih_in!G15/SER_summary!G$27)</f>
        <v>0</v>
      </c>
      <c r="H15" s="134">
        <f>IF(SER_hh_emih_in!H15=0,0,SER_hh_emih_in!H15/SER_summary!H$27)</f>
        <v>0</v>
      </c>
      <c r="I15" s="134">
        <f>IF(SER_hh_emih_in!I15=0,0,SER_hh_emih_in!I15/SER_summary!I$27)</f>
        <v>0</v>
      </c>
      <c r="J15" s="134">
        <f>IF(SER_hh_emih_in!J15=0,0,SER_hh_emih_in!J15/SER_summary!J$27)</f>
        <v>0</v>
      </c>
      <c r="K15" s="134">
        <f>IF(SER_hh_emih_in!K15=0,0,SER_hh_emih_in!K15/SER_summary!K$27)</f>
        <v>0</v>
      </c>
      <c r="L15" s="134">
        <f>IF(SER_hh_emih_in!L15=0,0,SER_hh_emih_in!L15/SER_summary!L$27)</f>
        <v>0</v>
      </c>
      <c r="M15" s="134">
        <f>IF(SER_hh_emih_in!M15=0,0,SER_hh_emih_in!M15/SER_summary!M$27)</f>
        <v>0</v>
      </c>
      <c r="N15" s="134">
        <f>IF(SER_hh_emih_in!N15=0,0,SER_hh_emih_in!N15/SER_summary!N$27)</f>
        <v>0</v>
      </c>
      <c r="O15" s="134">
        <f>IF(SER_hh_emih_in!O15=0,0,SER_hh_emih_in!O15/SER_summary!O$27)</f>
        <v>0</v>
      </c>
      <c r="P15" s="134">
        <f>IF(SER_hh_emih_in!P15=0,0,SER_hh_emih_in!P15/SER_summary!P$27)</f>
        <v>0</v>
      </c>
      <c r="Q15" s="134">
        <f>IF(SER_hh_emih_in!Q15=0,0,SER_hh_emih_in!Q15/SER_summary!Q$27)</f>
        <v>0</v>
      </c>
      <c r="R15" s="134">
        <f>IF(SER_hh_emih_in!R15=0,0,SER_hh_emih_in!R15/SER_summary!R$27)</f>
        <v>0</v>
      </c>
      <c r="S15" s="134">
        <f>IF(SER_hh_emih_in!S15=0,0,SER_hh_emih_in!S15/SER_summary!S$27)</f>
        <v>0</v>
      </c>
      <c r="T15" s="134">
        <f>IF(SER_hh_emih_in!T15=0,0,SER_hh_emih_in!T15/SER_summary!T$27)</f>
        <v>0</v>
      </c>
      <c r="U15" s="134">
        <f>IF(SER_hh_emih_in!U15=0,0,SER_hh_emih_in!U15/SER_summary!U$27)</f>
        <v>0</v>
      </c>
      <c r="V15" s="134">
        <f>IF(SER_hh_emih_in!V15=0,0,SER_hh_emih_in!V15/SER_summary!V$27)</f>
        <v>0</v>
      </c>
      <c r="W15" s="134">
        <f>IF(SER_hh_emih_in!W15=0,0,SER_hh_emih_in!W15/SER_summary!W$27)</f>
        <v>0</v>
      </c>
      <c r="X15" s="134">
        <f>IF(SER_hh_emih_in!X15=0,0,SER_hh_emih_in!X15/SER_summary!X$27)</f>
        <v>0</v>
      </c>
      <c r="Y15" s="134">
        <f>IF(SER_hh_emih_in!Y15=0,0,SER_hh_emih_in!Y15/SER_summary!Y$27)</f>
        <v>0</v>
      </c>
      <c r="DA15" s="157" t="s">
        <v>891</v>
      </c>
    </row>
    <row r="16" spans="1:105" ht="12.95" customHeight="1" x14ac:dyDescent="0.25">
      <c r="A16" s="129" t="s">
        <v>74</v>
      </c>
      <c r="B16" s="130"/>
      <c r="C16" s="130">
        <f>IF(SER_hh_emih_in!C16=0,0,SER_hh_emih_in!C16/SER_summary!C$27)</f>
        <v>0</v>
      </c>
      <c r="D16" s="130">
        <f>IF(SER_hh_emih_in!D16=0,0,SER_hh_emih_in!D16/SER_summary!D$27)</f>
        <v>0</v>
      </c>
      <c r="E16" s="130">
        <f>IF(SER_hh_emih_in!E16=0,0,SER_hh_emih_in!E16/SER_summary!E$27)</f>
        <v>0</v>
      </c>
      <c r="F16" s="130">
        <f>IF(SER_hh_emih_in!F16=0,0,SER_hh_emih_in!F16/SER_summary!F$27)</f>
        <v>0</v>
      </c>
      <c r="G16" s="130">
        <f>IF(SER_hh_emih_in!G16=0,0,SER_hh_emih_in!G16/SER_summary!G$27)</f>
        <v>0</v>
      </c>
      <c r="H16" s="130">
        <f>IF(SER_hh_emih_in!H16=0,0,SER_hh_emih_in!H16/SER_summary!H$27)</f>
        <v>0</v>
      </c>
      <c r="I16" s="130">
        <f>IF(SER_hh_emih_in!I16=0,0,SER_hh_emih_in!I16/SER_summary!I$27)</f>
        <v>0</v>
      </c>
      <c r="J16" s="130">
        <f>IF(SER_hh_emih_in!J16=0,0,SER_hh_emih_in!J16/SER_summary!J$27)</f>
        <v>0</v>
      </c>
      <c r="K16" s="130">
        <f>IF(SER_hh_emih_in!K16=0,0,SER_hh_emih_in!K16/SER_summary!K$27)</f>
        <v>0</v>
      </c>
      <c r="L16" s="130">
        <f>IF(SER_hh_emih_in!L16=0,0,SER_hh_emih_in!L16/SER_summary!L$27)</f>
        <v>0</v>
      </c>
      <c r="M16" s="130">
        <f>IF(SER_hh_emih_in!M16=0,0,SER_hh_emih_in!M16/SER_summary!M$27)</f>
        <v>0</v>
      </c>
      <c r="N16" s="130">
        <f>IF(SER_hh_emih_in!N16=0,0,SER_hh_emih_in!N16/SER_summary!N$27)</f>
        <v>0</v>
      </c>
      <c r="O16" s="130">
        <f>IF(SER_hh_emih_in!O16=0,0,SER_hh_emih_in!O16/SER_summary!O$27)</f>
        <v>0</v>
      </c>
      <c r="P16" s="130">
        <f>IF(SER_hh_emih_in!P16=0,0,SER_hh_emih_in!P16/SER_summary!P$27)</f>
        <v>0</v>
      </c>
      <c r="Q16" s="130">
        <f>IF(SER_hh_emih_in!Q16=0,0,SER_hh_emih_in!Q16/SER_summary!Q$27)</f>
        <v>0</v>
      </c>
      <c r="R16" s="130">
        <f>IF(SER_hh_emih_in!R16=0,0,SER_hh_emih_in!R16/SER_summary!R$27)</f>
        <v>0</v>
      </c>
      <c r="S16" s="130">
        <f>IF(SER_hh_emih_in!S16=0,0,SER_hh_emih_in!S16/SER_summary!S$27)</f>
        <v>0</v>
      </c>
      <c r="T16" s="130">
        <f>IF(SER_hh_emih_in!T16=0,0,SER_hh_emih_in!T16/SER_summary!T$27)</f>
        <v>0</v>
      </c>
      <c r="U16" s="130">
        <f>IF(SER_hh_emih_in!U16=0,0,SER_hh_emih_in!U16/SER_summary!U$27)</f>
        <v>0</v>
      </c>
      <c r="V16" s="130">
        <f>IF(SER_hh_emih_in!V16=0,0,SER_hh_emih_in!V16/SER_summary!V$27)</f>
        <v>0</v>
      </c>
      <c r="W16" s="130">
        <f>IF(SER_hh_emih_in!W16=0,0,SER_hh_emih_in!W16/SER_summary!W$27)</f>
        <v>0</v>
      </c>
      <c r="X16" s="130">
        <f>IF(SER_hh_emih_in!X16=0,0,SER_hh_emih_in!X16/SER_summary!X$27)</f>
        <v>0</v>
      </c>
      <c r="Y16" s="130">
        <f>IF(SER_hh_emih_in!Y16=0,0,SER_hh_emih_in!Y16/SER_summary!Y$27)</f>
        <v>0</v>
      </c>
      <c r="DA16" s="155" t="s">
        <v>892</v>
      </c>
    </row>
    <row r="17" spans="1:105" ht="12.95" customHeight="1" x14ac:dyDescent="0.25">
      <c r="A17" s="131" t="s">
        <v>73</v>
      </c>
      <c r="B17" s="132"/>
      <c r="C17" s="132">
        <f>IF(SER_hh_emih_in!C17=0,0,SER_hh_emih_in!C17/SER_summary!C$27)</f>
        <v>0</v>
      </c>
      <c r="D17" s="132">
        <f>IF(SER_hh_emih_in!D17=0,0,SER_hh_emih_in!D17/SER_summary!D$27)</f>
        <v>0</v>
      </c>
      <c r="E17" s="132">
        <f>IF(SER_hh_emih_in!E17=0,0,SER_hh_emih_in!E17/SER_summary!E$27)</f>
        <v>0</v>
      </c>
      <c r="F17" s="132">
        <f>IF(SER_hh_emih_in!F17=0,0,SER_hh_emih_in!F17/SER_summary!F$27)</f>
        <v>0</v>
      </c>
      <c r="G17" s="132">
        <f>IF(SER_hh_emih_in!G17=0,0,SER_hh_emih_in!G17/SER_summary!G$27)</f>
        <v>0</v>
      </c>
      <c r="H17" s="132">
        <f>IF(SER_hh_emih_in!H17=0,0,SER_hh_emih_in!H17/SER_summary!H$27)</f>
        <v>0</v>
      </c>
      <c r="I17" s="132">
        <f>IF(SER_hh_emih_in!I17=0,0,SER_hh_emih_in!I17/SER_summary!I$27)</f>
        <v>0</v>
      </c>
      <c r="J17" s="132">
        <f>IF(SER_hh_emih_in!J17=0,0,SER_hh_emih_in!J17/SER_summary!J$27)</f>
        <v>0</v>
      </c>
      <c r="K17" s="132">
        <f>IF(SER_hh_emih_in!K17=0,0,SER_hh_emih_in!K17/SER_summary!K$27)</f>
        <v>0</v>
      </c>
      <c r="L17" s="132">
        <f>IF(SER_hh_emih_in!L17=0,0,SER_hh_emih_in!L17/SER_summary!L$27)</f>
        <v>0</v>
      </c>
      <c r="M17" s="132">
        <f>IF(SER_hh_emih_in!M17=0,0,SER_hh_emih_in!M17/SER_summary!M$27)</f>
        <v>0</v>
      </c>
      <c r="N17" s="132">
        <f>IF(SER_hh_emih_in!N17=0,0,SER_hh_emih_in!N17/SER_summary!N$27)</f>
        <v>0</v>
      </c>
      <c r="O17" s="132">
        <f>IF(SER_hh_emih_in!O17=0,0,SER_hh_emih_in!O17/SER_summary!O$27)</f>
        <v>0</v>
      </c>
      <c r="P17" s="132">
        <f>IF(SER_hh_emih_in!P17=0,0,SER_hh_emih_in!P17/SER_summary!P$27)</f>
        <v>0</v>
      </c>
      <c r="Q17" s="132">
        <f>IF(SER_hh_emih_in!Q17=0,0,SER_hh_emih_in!Q17/SER_summary!Q$27)</f>
        <v>0</v>
      </c>
      <c r="R17" s="132">
        <f>IF(SER_hh_emih_in!R17=0,0,SER_hh_emih_in!R17/SER_summary!R$27)</f>
        <v>0</v>
      </c>
      <c r="S17" s="132">
        <f>IF(SER_hh_emih_in!S17=0,0,SER_hh_emih_in!S17/SER_summary!S$27)</f>
        <v>0</v>
      </c>
      <c r="T17" s="132">
        <f>IF(SER_hh_emih_in!T17=0,0,SER_hh_emih_in!T17/SER_summary!T$27)</f>
        <v>0</v>
      </c>
      <c r="U17" s="132">
        <f>IF(SER_hh_emih_in!U17=0,0,SER_hh_emih_in!U17/SER_summary!U$27)</f>
        <v>0</v>
      </c>
      <c r="V17" s="132">
        <f>IF(SER_hh_emih_in!V17=0,0,SER_hh_emih_in!V17/SER_summary!V$27)</f>
        <v>0</v>
      </c>
      <c r="W17" s="132">
        <f>IF(SER_hh_emih_in!W17=0,0,SER_hh_emih_in!W17/SER_summary!W$27)</f>
        <v>0</v>
      </c>
      <c r="X17" s="132">
        <f>IF(SER_hh_emih_in!X17=0,0,SER_hh_emih_in!X17/SER_summary!X$27)</f>
        <v>0</v>
      </c>
      <c r="Y17" s="132">
        <f>IF(SER_hh_emih_in!Y17=0,0,SER_hh_emih_in!Y17/SER_summary!Y$27)</f>
        <v>0</v>
      </c>
      <c r="DA17" s="156" t="s">
        <v>893</v>
      </c>
    </row>
    <row r="18" spans="1:105" ht="12" customHeight="1" x14ac:dyDescent="0.25">
      <c r="A18" s="131" t="s">
        <v>72</v>
      </c>
      <c r="B18" s="132"/>
      <c r="C18" s="132">
        <f>IF(SER_hh_emih_in!C18=0,0,SER_hh_emih_in!C18/SER_summary!C$27)</f>
        <v>0</v>
      </c>
      <c r="D18" s="132">
        <f>IF(SER_hh_emih_in!D18=0,0,SER_hh_emih_in!D18/SER_summary!D$27)</f>
        <v>0</v>
      </c>
      <c r="E18" s="132">
        <f>IF(SER_hh_emih_in!E18=0,0,SER_hh_emih_in!E18/SER_summary!E$27)</f>
        <v>0</v>
      </c>
      <c r="F18" s="132">
        <f>IF(SER_hh_emih_in!F18=0,0,SER_hh_emih_in!F18/SER_summary!F$27)</f>
        <v>0</v>
      </c>
      <c r="G18" s="132">
        <f>IF(SER_hh_emih_in!G18=0,0,SER_hh_emih_in!G18/SER_summary!G$27)</f>
        <v>0</v>
      </c>
      <c r="H18" s="132">
        <f>IF(SER_hh_emih_in!H18=0,0,SER_hh_emih_in!H18/SER_summary!H$27)</f>
        <v>0</v>
      </c>
      <c r="I18" s="132">
        <f>IF(SER_hh_emih_in!I18=0,0,SER_hh_emih_in!I18/SER_summary!I$27)</f>
        <v>0</v>
      </c>
      <c r="J18" s="132">
        <f>IF(SER_hh_emih_in!J18=0,0,SER_hh_emih_in!J18/SER_summary!J$27)</f>
        <v>0</v>
      </c>
      <c r="K18" s="132">
        <f>IF(SER_hh_emih_in!K18=0,0,SER_hh_emih_in!K18/SER_summary!K$27)</f>
        <v>0</v>
      </c>
      <c r="L18" s="132">
        <f>IF(SER_hh_emih_in!L18=0,0,SER_hh_emih_in!L18/SER_summary!L$27)</f>
        <v>0</v>
      </c>
      <c r="M18" s="132">
        <f>IF(SER_hh_emih_in!M18=0,0,SER_hh_emih_in!M18/SER_summary!M$27)</f>
        <v>0</v>
      </c>
      <c r="N18" s="132">
        <f>IF(SER_hh_emih_in!N18=0,0,SER_hh_emih_in!N18/SER_summary!N$27)</f>
        <v>0</v>
      </c>
      <c r="O18" s="132">
        <f>IF(SER_hh_emih_in!O18=0,0,SER_hh_emih_in!O18/SER_summary!O$27)</f>
        <v>0</v>
      </c>
      <c r="P18" s="132">
        <f>IF(SER_hh_emih_in!P18=0,0,SER_hh_emih_in!P18/SER_summary!P$27)</f>
        <v>0</v>
      </c>
      <c r="Q18" s="132">
        <f>IF(SER_hh_emih_in!Q18=0,0,SER_hh_emih_in!Q18/SER_summary!Q$27)</f>
        <v>0</v>
      </c>
      <c r="R18" s="132">
        <f>IF(SER_hh_emih_in!R18=0,0,SER_hh_emih_in!R18/SER_summary!R$27)</f>
        <v>0</v>
      </c>
      <c r="S18" s="132">
        <f>IF(SER_hh_emih_in!S18=0,0,SER_hh_emih_in!S18/SER_summary!S$27)</f>
        <v>0</v>
      </c>
      <c r="T18" s="132">
        <f>IF(SER_hh_emih_in!T18=0,0,SER_hh_emih_in!T18/SER_summary!T$27)</f>
        <v>0</v>
      </c>
      <c r="U18" s="132">
        <f>IF(SER_hh_emih_in!U18=0,0,SER_hh_emih_in!U18/SER_summary!U$27)</f>
        <v>0</v>
      </c>
      <c r="V18" s="132">
        <f>IF(SER_hh_emih_in!V18=0,0,SER_hh_emih_in!V18/SER_summary!V$27)</f>
        <v>0</v>
      </c>
      <c r="W18" s="132">
        <f>IF(SER_hh_emih_in!W18=0,0,SER_hh_emih_in!W18/SER_summary!W$27)</f>
        <v>0</v>
      </c>
      <c r="X18" s="132">
        <f>IF(SER_hh_emih_in!X18=0,0,SER_hh_emih_in!X18/SER_summary!X$27)</f>
        <v>0</v>
      </c>
      <c r="Y18" s="132">
        <f>IF(SER_hh_emih_in!Y18=0,0,SER_hh_emih_in!Y18/SER_summary!Y$27)</f>
        <v>0</v>
      </c>
      <c r="DA18" s="156" t="s">
        <v>894</v>
      </c>
    </row>
    <row r="19" spans="1:105" ht="12.95" customHeight="1" x14ac:dyDescent="0.25">
      <c r="A19" s="129" t="s">
        <v>35</v>
      </c>
      <c r="B19" s="130"/>
      <c r="C19" s="130">
        <f>IF(SER_hh_emih_in!C19=0,0,SER_hh_emih_in!C19/SER_summary!C$27)</f>
        <v>0.12287230594826198</v>
      </c>
      <c r="D19" s="130">
        <f>IF(SER_hh_emih_in!D19=0,0,SER_hh_emih_in!D19/SER_summary!D$27)</f>
        <v>0.17308532827527867</v>
      </c>
      <c r="E19" s="130">
        <f>IF(SER_hh_emih_in!E19=0,0,SER_hh_emih_in!E19/SER_summary!E$27)</f>
        <v>0.14089713805182233</v>
      </c>
      <c r="F19" s="130">
        <f>IF(SER_hh_emih_in!F19=0,0,SER_hh_emih_in!F19/SER_summary!F$27)</f>
        <v>0.22433302172578196</v>
      </c>
      <c r="G19" s="130">
        <f>IF(SER_hh_emih_in!G19=0,0,SER_hh_emih_in!G19/SER_summary!G$27)</f>
        <v>0.23601484851850799</v>
      </c>
      <c r="H19" s="130">
        <f>IF(SER_hh_emih_in!H19=0,0,SER_hh_emih_in!H19/SER_summary!H$27)</f>
        <v>0.39674273644334784</v>
      </c>
      <c r="I19" s="130">
        <f>IF(SER_hh_emih_in!I19=0,0,SER_hh_emih_in!I19/SER_summary!I$27)</f>
        <v>0.37787257402411523</v>
      </c>
      <c r="J19" s="130">
        <f>IF(SER_hh_emih_in!J19=0,0,SER_hh_emih_in!J19/SER_summary!J$27)</f>
        <v>0.40828087924185197</v>
      </c>
      <c r="K19" s="130">
        <f>IF(SER_hh_emih_in!K19=0,0,SER_hh_emih_in!K19/SER_summary!K$27)</f>
        <v>0.37934748328451928</v>
      </c>
      <c r="L19" s="130">
        <f>IF(SER_hh_emih_in!L19=0,0,SER_hh_emih_in!L19/SER_summary!L$27)</f>
        <v>0.21411969374108705</v>
      </c>
      <c r="M19" s="130">
        <f>IF(SER_hh_emih_in!M19=0,0,SER_hh_emih_in!M19/SER_summary!M$27)</f>
        <v>0.18214177103564208</v>
      </c>
      <c r="N19" s="130">
        <f>IF(SER_hh_emih_in!N19=0,0,SER_hh_emih_in!N19/SER_summary!N$27)</f>
        <v>0.20316351467325974</v>
      </c>
      <c r="O19" s="130">
        <f>IF(SER_hh_emih_in!O19=0,0,SER_hh_emih_in!O19/SER_summary!O$27)</f>
        <v>0.22381277365165766</v>
      </c>
      <c r="P19" s="130">
        <f>IF(SER_hh_emih_in!P19=0,0,SER_hh_emih_in!P19/SER_summary!P$27)</f>
        <v>0.15036239830350995</v>
      </c>
      <c r="Q19" s="130">
        <f>IF(SER_hh_emih_in!Q19=0,0,SER_hh_emih_in!Q19/SER_summary!Q$27)</f>
        <v>0.28999884184687441</v>
      </c>
      <c r="R19" s="130">
        <f>IF(SER_hh_emih_in!R19=0,0,SER_hh_emih_in!R19/SER_summary!R$27)</f>
        <v>0.31052762813652562</v>
      </c>
      <c r="S19" s="130">
        <f>IF(SER_hh_emih_in!S19=0,0,SER_hh_emih_in!S19/SER_summary!S$27)</f>
        <v>0.25931395068061586</v>
      </c>
      <c r="T19" s="130">
        <f>IF(SER_hh_emih_in!T19=0,0,SER_hh_emih_in!T19/SER_summary!T$27)</f>
        <v>0.33284757275574423</v>
      </c>
      <c r="U19" s="130">
        <f>IF(SER_hh_emih_in!U19=0,0,SER_hh_emih_in!U19/SER_summary!U$27)</f>
        <v>0.36764364370347519</v>
      </c>
      <c r="V19" s="130">
        <f>IF(SER_hh_emih_in!V19=0,0,SER_hh_emih_in!V19/SER_summary!V$27)</f>
        <v>0.43627595697116428</v>
      </c>
      <c r="W19" s="130">
        <f>IF(SER_hh_emih_in!W19=0,0,SER_hh_emih_in!W19/SER_summary!W$27)</f>
        <v>0.30806687003741678</v>
      </c>
      <c r="X19" s="130">
        <f>IF(SER_hh_emih_in!X19=0,0,SER_hh_emih_in!X19/SER_summary!X$27)</f>
        <v>0.25618125197095049</v>
      </c>
      <c r="Y19" s="130">
        <f>IF(SER_hh_emih_in!Y19=0,0,SER_hh_emih_in!Y19/SER_summary!Y$27)</f>
        <v>0.20890885856801039</v>
      </c>
      <c r="DA19" s="155" t="s">
        <v>895</v>
      </c>
    </row>
    <row r="20" spans="1:105" ht="12" customHeight="1" x14ac:dyDescent="0.25">
      <c r="A20" s="131" t="s">
        <v>29</v>
      </c>
      <c r="B20" s="132"/>
      <c r="C20" s="132">
        <f>IF(SER_hh_emih_in!C20=0,0,SER_hh_emih_in!C20/SER_summary!C$27)</f>
        <v>0</v>
      </c>
      <c r="D20" s="132">
        <f>IF(SER_hh_emih_in!D20=0,0,SER_hh_emih_in!D20/SER_summary!D$27)</f>
        <v>0</v>
      </c>
      <c r="E20" s="132">
        <f>IF(SER_hh_emih_in!E20=0,0,SER_hh_emih_in!E20/SER_summary!E$27)</f>
        <v>0</v>
      </c>
      <c r="F20" s="132">
        <f>IF(SER_hh_emih_in!F20=0,0,SER_hh_emih_in!F20/SER_summary!F$27)</f>
        <v>0</v>
      </c>
      <c r="G20" s="132">
        <f>IF(SER_hh_emih_in!G20=0,0,SER_hh_emih_in!G20/SER_summary!G$27)</f>
        <v>0</v>
      </c>
      <c r="H20" s="132">
        <f>IF(SER_hh_emih_in!H20=0,0,SER_hh_emih_in!H20/SER_summary!H$27)</f>
        <v>0</v>
      </c>
      <c r="I20" s="132">
        <f>IF(SER_hh_emih_in!I20=0,0,SER_hh_emih_in!I20/SER_summary!I$27)</f>
        <v>0</v>
      </c>
      <c r="J20" s="132">
        <f>IF(SER_hh_emih_in!J20=0,0,SER_hh_emih_in!J20/SER_summary!J$27)</f>
        <v>0</v>
      </c>
      <c r="K20" s="132">
        <f>IF(SER_hh_emih_in!K20=0,0,SER_hh_emih_in!K20/SER_summary!K$27)</f>
        <v>0</v>
      </c>
      <c r="L20" s="132">
        <f>IF(SER_hh_emih_in!L20=0,0,SER_hh_emih_in!L20/SER_summary!L$27)</f>
        <v>0</v>
      </c>
      <c r="M20" s="132">
        <f>IF(SER_hh_emih_in!M20=0,0,SER_hh_emih_in!M20/SER_summary!M$27)</f>
        <v>0</v>
      </c>
      <c r="N20" s="132">
        <f>IF(SER_hh_emih_in!N20=0,0,SER_hh_emih_in!N20/SER_summary!N$27)</f>
        <v>0</v>
      </c>
      <c r="O20" s="132">
        <f>IF(SER_hh_emih_in!O20=0,0,SER_hh_emih_in!O20/SER_summary!O$27)</f>
        <v>0</v>
      </c>
      <c r="P20" s="132">
        <f>IF(SER_hh_emih_in!P20=0,0,SER_hh_emih_in!P20/SER_summary!P$27)</f>
        <v>0</v>
      </c>
      <c r="Q20" s="132">
        <f>IF(SER_hh_emih_in!Q20=0,0,SER_hh_emih_in!Q20/SER_summary!Q$27)</f>
        <v>0</v>
      </c>
      <c r="R20" s="132">
        <f>IF(SER_hh_emih_in!R20=0,0,SER_hh_emih_in!R20/SER_summary!R$27)</f>
        <v>0</v>
      </c>
      <c r="S20" s="132">
        <f>IF(SER_hh_emih_in!S20=0,0,SER_hh_emih_in!S20/SER_summary!S$27)</f>
        <v>0</v>
      </c>
      <c r="T20" s="132">
        <f>IF(SER_hh_emih_in!T20=0,0,SER_hh_emih_in!T20/SER_summary!T$27)</f>
        <v>0</v>
      </c>
      <c r="U20" s="132">
        <f>IF(SER_hh_emih_in!U20=0,0,SER_hh_emih_in!U20/SER_summary!U$27)</f>
        <v>0</v>
      </c>
      <c r="V20" s="132">
        <f>IF(SER_hh_emih_in!V20=0,0,SER_hh_emih_in!V20/SER_summary!V$27)</f>
        <v>0</v>
      </c>
      <c r="W20" s="132">
        <f>IF(SER_hh_emih_in!W20=0,0,SER_hh_emih_in!W20/SER_summary!W$27)</f>
        <v>0</v>
      </c>
      <c r="X20" s="132">
        <f>IF(SER_hh_emih_in!X20=0,0,SER_hh_emih_in!X20/SER_summary!X$27)</f>
        <v>0</v>
      </c>
      <c r="Y20" s="132">
        <f>IF(SER_hh_emih_in!Y20=0,0,SER_hh_emih_in!Y20/SER_summary!Y$27)</f>
        <v>0</v>
      </c>
      <c r="DA20" s="156" t="s">
        <v>896</v>
      </c>
    </row>
    <row r="21" spans="1:105" s="2" customFormat="1" ht="12" customHeight="1" x14ac:dyDescent="0.25">
      <c r="A21" s="131" t="s">
        <v>52</v>
      </c>
      <c r="B21" s="132"/>
      <c r="C21" s="132">
        <f>IF(SER_hh_emih_in!C21=0,0,SER_hh_emih_in!C21/SER_summary!C$27)</f>
        <v>0</v>
      </c>
      <c r="D21" s="132">
        <f>IF(SER_hh_emih_in!D21=0,0,SER_hh_emih_in!D21/SER_summary!D$27)</f>
        <v>0</v>
      </c>
      <c r="E21" s="132">
        <f>IF(SER_hh_emih_in!E21=0,0,SER_hh_emih_in!E21/SER_summary!E$27)</f>
        <v>0</v>
      </c>
      <c r="F21" s="132">
        <f>IF(SER_hh_emih_in!F21=0,0,SER_hh_emih_in!F21/SER_summary!F$27)</f>
        <v>0</v>
      </c>
      <c r="G21" s="132">
        <f>IF(SER_hh_emih_in!G21=0,0,SER_hh_emih_in!G21/SER_summary!G$27)</f>
        <v>0</v>
      </c>
      <c r="H21" s="132">
        <f>IF(SER_hh_emih_in!H21=0,0,SER_hh_emih_in!H21/SER_summary!H$27)</f>
        <v>0</v>
      </c>
      <c r="I21" s="132">
        <f>IF(SER_hh_emih_in!I21=0,0,SER_hh_emih_in!I21/SER_summary!I$27)</f>
        <v>0</v>
      </c>
      <c r="J21" s="132">
        <f>IF(SER_hh_emih_in!J21=0,0,SER_hh_emih_in!J21/SER_summary!J$27)</f>
        <v>0</v>
      </c>
      <c r="K21" s="132">
        <f>IF(SER_hh_emih_in!K21=0,0,SER_hh_emih_in!K21/SER_summary!K$27)</f>
        <v>0</v>
      </c>
      <c r="L21" s="132">
        <f>IF(SER_hh_emih_in!L21=0,0,SER_hh_emih_in!L21/SER_summary!L$27)</f>
        <v>0</v>
      </c>
      <c r="M21" s="132">
        <f>IF(SER_hh_emih_in!M21=0,0,SER_hh_emih_in!M21/SER_summary!M$27)</f>
        <v>0</v>
      </c>
      <c r="N21" s="132">
        <f>IF(SER_hh_emih_in!N21=0,0,SER_hh_emih_in!N21/SER_summary!N$27)</f>
        <v>0</v>
      </c>
      <c r="O21" s="132">
        <f>IF(SER_hh_emih_in!O21=0,0,SER_hh_emih_in!O21/SER_summary!O$27)</f>
        <v>0</v>
      </c>
      <c r="P21" s="132">
        <f>IF(SER_hh_emih_in!P21=0,0,SER_hh_emih_in!P21/SER_summary!P$27)</f>
        <v>0</v>
      </c>
      <c r="Q21" s="132">
        <f>IF(SER_hh_emih_in!Q21=0,0,SER_hh_emih_in!Q21/SER_summary!Q$27)</f>
        <v>0</v>
      </c>
      <c r="R21" s="132">
        <f>IF(SER_hh_emih_in!R21=0,0,SER_hh_emih_in!R21/SER_summary!R$27)</f>
        <v>0</v>
      </c>
      <c r="S21" s="132">
        <f>IF(SER_hh_emih_in!S21=0,0,SER_hh_emih_in!S21/SER_summary!S$27)</f>
        <v>0</v>
      </c>
      <c r="T21" s="132">
        <f>IF(SER_hh_emih_in!T21=0,0,SER_hh_emih_in!T21/SER_summary!T$27)</f>
        <v>0</v>
      </c>
      <c r="U21" s="132">
        <f>IF(SER_hh_emih_in!U21=0,0,SER_hh_emih_in!U21/SER_summary!U$27)</f>
        <v>0</v>
      </c>
      <c r="V21" s="132">
        <f>IF(SER_hh_emih_in!V21=0,0,SER_hh_emih_in!V21/SER_summary!V$27)</f>
        <v>0</v>
      </c>
      <c r="W21" s="132">
        <f>IF(SER_hh_emih_in!W21=0,0,SER_hh_emih_in!W21/SER_summary!W$27)</f>
        <v>0</v>
      </c>
      <c r="X21" s="132">
        <f>IF(SER_hh_emih_in!X21=0,0,SER_hh_emih_in!X21/SER_summary!X$27)</f>
        <v>0</v>
      </c>
      <c r="Y21" s="132">
        <f>IF(SER_hh_emih_in!Y21=0,0,SER_hh_emih_in!Y21/SER_summary!Y$27)</f>
        <v>0</v>
      </c>
      <c r="DA21" s="156" t="s">
        <v>897</v>
      </c>
    </row>
    <row r="22" spans="1:105" ht="12" customHeight="1" x14ac:dyDescent="0.25">
      <c r="A22" s="131" t="s">
        <v>161</v>
      </c>
      <c r="B22" s="132"/>
      <c r="C22" s="132">
        <f>IF(SER_hh_emih_in!C22=0,0,SER_hh_emih_in!C22/SER_summary!C$27)</f>
        <v>0</v>
      </c>
      <c r="D22" s="132">
        <f>IF(SER_hh_emih_in!D22=0,0,SER_hh_emih_in!D22/SER_summary!D$27)</f>
        <v>0</v>
      </c>
      <c r="E22" s="132">
        <f>IF(SER_hh_emih_in!E22=0,0,SER_hh_emih_in!E22/SER_summary!E$27)</f>
        <v>0</v>
      </c>
      <c r="F22" s="132">
        <f>IF(SER_hh_emih_in!F22=0,0,SER_hh_emih_in!F22/SER_summary!F$27)</f>
        <v>0</v>
      </c>
      <c r="G22" s="132">
        <f>IF(SER_hh_emih_in!G22=0,0,SER_hh_emih_in!G22/SER_summary!G$27)</f>
        <v>0</v>
      </c>
      <c r="H22" s="132">
        <f>IF(SER_hh_emih_in!H22=0,0,SER_hh_emih_in!H22/SER_summary!H$27)</f>
        <v>0</v>
      </c>
      <c r="I22" s="132">
        <f>IF(SER_hh_emih_in!I22=0,0,SER_hh_emih_in!I22/SER_summary!I$27)</f>
        <v>0</v>
      </c>
      <c r="J22" s="132">
        <f>IF(SER_hh_emih_in!J22=0,0,SER_hh_emih_in!J22/SER_summary!J$27)</f>
        <v>0</v>
      </c>
      <c r="K22" s="132">
        <f>IF(SER_hh_emih_in!K22=0,0,SER_hh_emih_in!K22/SER_summary!K$27)</f>
        <v>4.9070594316637948</v>
      </c>
      <c r="L22" s="132">
        <f>IF(SER_hh_emih_in!L22=0,0,SER_hh_emih_in!L22/SER_summary!L$27)</f>
        <v>5.2031472088207433</v>
      </c>
      <c r="M22" s="132">
        <f>IF(SER_hh_emih_in!M22=0,0,SER_hh_emih_in!M22/SER_summary!M$27)</f>
        <v>5.1511100639727747</v>
      </c>
      <c r="N22" s="132">
        <f>IF(SER_hh_emih_in!N22=0,0,SER_hh_emih_in!N22/SER_summary!N$27)</f>
        <v>4.5564454906683158</v>
      </c>
      <c r="O22" s="132">
        <f>IF(SER_hh_emih_in!O22=0,0,SER_hh_emih_in!O22/SER_summary!O$27)</f>
        <v>4.8831615807861635</v>
      </c>
      <c r="P22" s="132">
        <f>IF(SER_hh_emih_in!P22=0,0,SER_hh_emih_in!P22/SER_summary!P$27)</f>
        <v>0</v>
      </c>
      <c r="Q22" s="132">
        <f>IF(SER_hh_emih_in!Q22=0,0,SER_hh_emih_in!Q22/SER_summary!Q$27)</f>
        <v>4.4182914740196733</v>
      </c>
      <c r="R22" s="132">
        <f>IF(SER_hh_emih_in!R22=0,0,SER_hh_emih_in!R22/SER_summary!R$27)</f>
        <v>0</v>
      </c>
      <c r="S22" s="132">
        <f>IF(SER_hh_emih_in!S22=0,0,SER_hh_emih_in!S22/SER_summary!S$27)</f>
        <v>4.6349075214638464</v>
      </c>
      <c r="T22" s="132">
        <f>IF(SER_hh_emih_in!T22=0,0,SER_hh_emih_in!T22/SER_summary!T$27)</f>
        <v>3.3119559838963664</v>
      </c>
      <c r="U22" s="132">
        <f>IF(SER_hh_emih_in!U22=0,0,SER_hh_emih_in!U22/SER_summary!U$27)</f>
        <v>3.8024899609288232</v>
      </c>
      <c r="V22" s="132">
        <f>IF(SER_hh_emih_in!V22=0,0,SER_hh_emih_in!V22/SER_summary!V$27)</f>
        <v>3.8782003349130849</v>
      </c>
      <c r="W22" s="132">
        <f>IF(SER_hh_emih_in!W22=0,0,SER_hh_emih_in!W22/SER_summary!W$27)</f>
        <v>4.3429501671955135</v>
      </c>
      <c r="X22" s="132">
        <f>IF(SER_hh_emih_in!X22=0,0,SER_hh_emih_in!X22/SER_summary!X$27)</f>
        <v>0</v>
      </c>
      <c r="Y22" s="132">
        <f>IF(SER_hh_emih_in!Y22=0,0,SER_hh_emih_in!Y22/SER_summary!Y$27)</f>
        <v>0</v>
      </c>
      <c r="DA22" s="156" t="s">
        <v>898</v>
      </c>
    </row>
    <row r="23" spans="1:105" ht="12" customHeight="1" x14ac:dyDescent="0.25">
      <c r="A23" s="131" t="s">
        <v>149</v>
      </c>
      <c r="B23" s="132"/>
      <c r="C23" s="132">
        <f>IF(SER_hh_emih_in!C23=0,0,SER_hh_emih_in!C23/SER_summary!C$27)</f>
        <v>3.3550525249636616</v>
      </c>
      <c r="D23" s="132">
        <f>IF(SER_hh_emih_in!D23=0,0,SER_hh_emih_in!D23/SER_summary!D$27)</f>
        <v>3.3057361929666973</v>
      </c>
      <c r="E23" s="132">
        <f>IF(SER_hh_emih_in!E23=0,0,SER_hh_emih_in!E23/SER_summary!E$27)</f>
        <v>3.1424704460275921</v>
      </c>
      <c r="F23" s="132">
        <f>IF(SER_hh_emih_in!F23=0,0,SER_hh_emih_in!F23/SER_summary!F$27)</f>
        <v>3.5398385166250108</v>
      </c>
      <c r="G23" s="132">
        <f>IF(SER_hh_emih_in!G23=0,0,SER_hh_emih_in!G23/SER_summary!G$27)</f>
        <v>3.1870275586142993</v>
      </c>
      <c r="H23" s="132">
        <f>IF(SER_hh_emih_in!H23=0,0,SER_hh_emih_in!H23/SER_summary!H$27)</f>
        <v>3.1028175935149864</v>
      </c>
      <c r="I23" s="132">
        <f>IF(SER_hh_emih_in!I23=0,0,SER_hh_emih_in!I23/SER_summary!I$27)</f>
        <v>3.7271429751712963</v>
      </c>
      <c r="J23" s="132">
        <f>IF(SER_hh_emih_in!J23=0,0,SER_hh_emih_in!J23/SER_summary!J$27)</f>
        <v>3.680138221946764</v>
      </c>
      <c r="K23" s="132">
        <f>IF(SER_hh_emih_in!K23=0,0,SER_hh_emih_in!K23/SER_summary!K$27)</f>
        <v>3.4357124141254936</v>
      </c>
      <c r="L23" s="132">
        <f>IF(SER_hh_emih_in!L23=0,0,SER_hh_emih_in!L23/SER_summary!L$27)</f>
        <v>3.3855666590876239</v>
      </c>
      <c r="M23" s="132">
        <f>IF(SER_hh_emih_in!M23=0,0,SER_hh_emih_in!M23/SER_summary!M$27)</f>
        <v>3.364130747845913</v>
      </c>
      <c r="N23" s="132">
        <f>IF(SER_hh_emih_in!N23=0,0,SER_hh_emih_in!N23/SER_summary!N$27)</f>
        <v>3.2869282375249154</v>
      </c>
      <c r="O23" s="132">
        <f>IF(SER_hh_emih_in!O23=0,0,SER_hh_emih_in!O23/SER_summary!O$27)</f>
        <v>3.2111672555283111</v>
      </c>
      <c r="P23" s="132">
        <f>IF(SER_hh_emih_in!P23=0,0,SER_hh_emih_in!P23/SER_summary!P$27)</f>
        <v>2.751316216882902</v>
      </c>
      <c r="Q23" s="132">
        <f>IF(SER_hh_emih_in!Q23=0,0,SER_hh_emih_in!Q23/SER_summary!Q$27)</f>
        <v>2.8099371568639806</v>
      </c>
      <c r="R23" s="132">
        <f>IF(SER_hh_emih_in!R23=0,0,SER_hh_emih_in!R23/SER_summary!R$27)</f>
        <v>2.8251914490175154</v>
      </c>
      <c r="S23" s="132">
        <f>IF(SER_hh_emih_in!S23=0,0,SER_hh_emih_in!S23/SER_summary!S$27)</f>
        <v>2.7490636345609261</v>
      </c>
      <c r="T23" s="132">
        <f>IF(SER_hh_emih_in!T23=0,0,SER_hh_emih_in!T23/SER_summary!T$27)</f>
        <v>2.7273179359469326</v>
      </c>
      <c r="U23" s="132">
        <f>IF(SER_hh_emih_in!U23=0,0,SER_hh_emih_in!U23/SER_summary!U$27)</f>
        <v>2.6674358574733827</v>
      </c>
      <c r="V23" s="132">
        <f>IF(SER_hh_emih_in!V23=0,0,SER_hh_emih_in!V23/SER_summary!V$27)</f>
        <v>2.5464447974273989</v>
      </c>
      <c r="W23" s="132">
        <f>IF(SER_hh_emih_in!W23=0,0,SER_hh_emih_in!W23/SER_summary!W$27)</f>
        <v>2.6146328947200623</v>
      </c>
      <c r="X23" s="132">
        <f>IF(SER_hh_emih_in!X23=0,0,SER_hh_emih_in!X23/SER_summary!X$27)</f>
        <v>2.6452106168557625</v>
      </c>
      <c r="Y23" s="132">
        <f>IF(SER_hh_emih_in!Y23=0,0,SER_hh_emih_in!Y23/SER_summary!Y$27)</f>
        <v>2.7182370190450653</v>
      </c>
      <c r="DA23" s="156" t="s">
        <v>899</v>
      </c>
    </row>
    <row r="24" spans="1:105" ht="12" customHeight="1" x14ac:dyDescent="0.25">
      <c r="A24" s="131" t="s">
        <v>128</v>
      </c>
      <c r="B24" s="132"/>
      <c r="C24" s="132">
        <f>IF(SER_hh_emih_in!C24=0,0,SER_hh_emih_in!C24/SER_summary!C$27)</f>
        <v>0</v>
      </c>
      <c r="D24" s="132">
        <f>IF(SER_hh_emih_in!D24=0,0,SER_hh_emih_in!D24/SER_summary!D$27)</f>
        <v>0</v>
      </c>
      <c r="E24" s="132">
        <f>IF(SER_hh_emih_in!E24=0,0,SER_hh_emih_in!E24/SER_summary!E$27)</f>
        <v>0</v>
      </c>
      <c r="F24" s="132">
        <f>IF(SER_hh_emih_in!F24=0,0,SER_hh_emih_in!F24/SER_summary!F$27)</f>
        <v>0</v>
      </c>
      <c r="G24" s="132">
        <f>IF(SER_hh_emih_in!G24=0,0,SER_hh_emih_in!G24/SER_summary!G$27)</f>
        <v>0</v>
      </c>
      <c r="H24" s="132">
        <f>IF(SER_hh_emih_in!H24=0,0,SER_hh_emih_in!H24/SER_summary!H$27)</f>
        <v>0</v>
      </c>
      <c r="I24" s="132">
        <f>IF(SER_hh_emih_in!I24=0,0,SER_hh_emih_in!I24/SER_summary!I$27)</f>
        <v>0</v>
      </c>
      <c r="J24" s="132">
        <f>IF(SER_hh_emih_in!J24=0,0,SER_hh_emih_in!J24/SER_summary!J$27)</f>
        <v>0</v>
      </c>
      <c r="K24" s="132">
        <f>IF(SER_hh_emih_in!K24=0,0,SER_hh_emih_in!K24/SER_summary!K$27)</f>
        <v>0</v>
      </c>
      <c r="L24" s="132">
        <f>IF(SER_hh_emih_in!L24=0,0,SER_hh_emih_in!L24/SER_summary!L$27)</f>
        <v>0</v>
      </c>
      <c r="M24" s="132">
        <f>IF(SER_hh_emih_in!M24=0,0,SER_hh_emih_in!M24/SER_summary!M$27)</f>
        <v>0</v>
      </c>
      <c r="N24" s="132">
        <f>IF(SER_hh_emih_in!N24=0,0,SER_hh_emih_in!N24/SER_summary!N$27)</f>
        <v>0</v>
      </c>
      <c r="O24" s="132">
        <f>IF(SER_hh_emih_in!O24=0,0,SER_hh_emih_in!O24/SER_summary!O$27)</f>
        <v>0</v>
      </c>
      <c r="P24" s="132">
        <f>IF(SER_hh_emih_in!P24=0,0,SER_hh_emih_in!P24/SER_summary!P$27)</f>
        <v>0</v>
      </c>
      <c r="Q24" s="132">
        <f>IF(SER_hh_emih_in!Q24=0,0,SER_hh_emih_in!Q24/SER_summary!Q$27)</f>
        <v>0</v>
      </c>
      <c r="R24" s="132">
        <f>IF(SER_hh_emih_in!R24=0,0,SER_hh_emih_in!R24/SER_summary!R$27)</f>
        <v>0</v>
      </c>
      <c r="S24" s="132">
        <f>IF(SER_hh_emih_in!S24=0,0,SER_hh_emih_in!S24/SER_summary!S$27)</f>
        <v>0</v>
      </c>
      <c r="T24" s="132">
        <f>IF(SER_hh_emih_in!T24=0,0,SER_hh_emih_in!T24/SER_summary!T$27)</f>
        <v>0</v>
      </c>
      <c r="U24" s="132">
        <f>IF(SER_hh_emih_in!U24=0,0,SER_hh_emih_in!U24/SER_summary!U$27)</f>
        <v>0</v>
      </c>
      <c r="V24" s="132">
        <f>IF(SER_hh_emih_in!V24=0,0,SER_hh_emih_in!V24/SER_summary!V$27)</f>
        <v>0</v>
      </c>
      <c r="W24" s="132">
        <f>IF(SER_hh_emih_in!W24=0,0,SER_hh_emih_in!W24/SER_summary!W$27)</f>
        <v>0</v>
      </c>
      <c r="X24" s="132">
        <f>IF(SER_hh_emih_in!X24=0,0,SER_hh_emih_in!X24/SER_summary!X$27)</f>
        <v>0</v>
      </c>
      <c r="Y24" s="132">
        <f>IF(SER_hh_emih_in!Y24=0,0,SER_hh_emih_in!Y24/SER_summary!Y$27)</f>
        <v>0</v>
      </c>
      <c r="DA24" s="156" t="s">
        <v>900</v>
      </c>
    </row>
    <row r="25" spans="1:105" ht="12" customHeight="1" x14ac:dyDescent="0.25">
      <c r="A25" s="131" t="s">
        <v>162</v>
      </c>
      <c r="B25" s="132"/>
      <c r="C25" s="132">
        <f>IF(SER_hh_emih_in!C25=0,0,SER_hh_emih_in!C25/SER_summary!C$27)</f>
        <v>0</v>
      </c>
      <c r="D25" s="132">
        <f>IF(SER_hh_emih_in!D25=0,0,SER_hh_emih_in!D25/SER_summary!D$27)</f>
        <v>0</v>
      </c>
      <c r="E25" s="132">
        <f>IF(SER_hh_emih_in!E25=0,0,SER_hh_emih_in!E25/SER_summary!E$27)</f>
        <v>0</v>
      </c>
      <c r="F25" s="132">
        <f>IF(SER_hh_emih_in!F25=0,0,SER_hh_emih_in!F25/SER_summary!F$27)</f>
        <v>0</v>
      </c>
      <c r="G25" s="132">
        <f>IF(SER_hh_emih_in!G25=0,0,SER_hh_emih_in!G25/SER_summary!G$27)</f>
        <v>0</v>
      </c>
      <c r="H25" s="132">
        <f>IF(SER_hh_emih_in!H25=0,0,SER_hh_emih_in!H25/SER_summary!H$27)</f>
        <v>0</v>
      </c>
      <c r="I25" s="132">
        <f>IF(SER_hh_emih_in!I25=0,0,SER_hh_emih_in!I25/SER_summary!I$27)</f>
        <v>0</v>
      </c>
      <c r="J25" s="132">
        <f>IF(SER_hh_emih_in!J25=0,0,SER_hh_emih_in!J25/SER_summary!J$27)</f>
        <v>0</v>
      </c>
      <c r="K25" s="132">
        <f>IF(SER_hh_emih_in!K25=0,0,SER_hh_emih_in!K25/SER_summary!K$27)</f>
        <v>0</v>
      </c>
      <c r="L25" s="132">
        <f>IF(SER_hh_emih_in!L25=0,0,SER_hh_emih_in!L25/SER_summary!L$27)</f>
        <v>0</v>
      </c>
      <c r="M25" s="132">
        <f>IF(SER_hh_emih_in!M25=0,0,SER_hh_emih_in!M25/SER_summary!M$27)</f>
        <v>0</v>
      </c>
      <c r="N25" s="132">
        <f>IF(SER_hh_emih_in!N25=0,0,SER_hh_emih_in!N25/SER_summary!N$27)</f>
        <v>0</v>
      </c>
      <c r="O25" s="132">
        <f>IF(SER_hh_emih_in!O25=0,0,SER_hh_emih_in!O25/SER_summary!O$27)</f>
        <v>0</v>
      </c>
      <c r="P25" s="132">
        <f>IF(SER_hh_emih_in!P25=0,0,SER_hh_emih_in!P25/SER_summary!P$27)</f>
        <v>0</v>
      </c>
      <c r="Q25" s="132">
        <f>IF(SER_hh_emih_in!Q25=0,0,SER_hh_emih_in!Q25/SER_summary!Q$27)</f>
        <v>0</v>
      </c>
      <c r="R25" s="132">
        <f>IF(SER_hh_emih_in!R25=0,0,SER_hh_emih_in!R25/SER_summary!R$27)</f>
        <v>0</v>
      </c>
      <c r="S25" s="132">
        <f>IF(SER_hh_emih_in!S25=0,0,SER_hh_emih_in!S25/SER_summary!S$27)</f>
        <v>0</v>
      </c>
      <c r="T25" s="132">
        <f>IF(SER_hh_emih_in!T25=0,0,SER_hh_emih_in!T25/SER_summary!T$27)</f>
        <v>0</v>
      </c>
      <c r="U25" s="132">
        <f>IF(SER_hh_emih_in!U25=0,0,SER_hh_emih_in!U25/SER_summary!U$27)</f>
        <v>0</v>
      </c>
      <c r="V25" s="132">
        <f>IF(SER_hh_emih_in!V25=0,0,SER_hh_emih_in!V25/SER_summary!V$27)</f>
        <v>0</v>
      </c>
      <c r="W25" s="132">
        <f>IF(SER_hh_emih_in!W25=0,0,SER_hh_emih_in!W25/SER_summary!W$27)</f>
        <v>0</v>
      </c>
      <c r="X25" s="132">
        <f>IF(SER_hh_emih_in!X25=0,0,SER_hh_emih_in!X25/SER_summary!X$27)</f>
        <v>0</v>
      </c>
      <c r="Y25" s="132">
        <f>IF(SER_hh_emih_in!Y25=0,0,SER_hh_emih_in!Y25/SER_summary!Y$27)</f>
        <v>0</v>
      </c>
      <c r="DA25" s="156" t="s">
        <v>901</v>
      </c>
    </row>
    <row r="26" spans="1:105" ht="12" customHeight="1" x14ac:dyDescent="0.25">
      <c r="A26" s="131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X26" s="65">
        <f>IF(SER_hh_emih_in!X26=0,0,SER_hh_emih_in!X26/SER_summary!X$27)</f>
        <v>0</v>
      </c>
      <c r="Y26" s="65">
        <f>IF(SER_hh_emih_in!Y26=0,0,SER_hh_emih_in!Y26/SER_summary!Y$27)</f>
        <v>0</v>
      </c>
      <c r="DA26" s="109" t="s">
        <v>902</v>
      </c>
    </row>
    <row r="27" spans="1:105" ht="12" customHeight="1" x14ac:dyDescent="0.25">
      <c r="A27" s="144" t="s">
        <v>86</v>
      </c>
      <c r="B27" s="147"/>
      <c r="C27" s="145">
        <f>IF(SER_hh_emih_in!C27=0,0,SER_hh_emih_in!C27/SER_summary!C$27)</f>
        <v>0</v>
      </c>
      <c r="D27" s="145">
        <f>IF(SER_hh_emih_in!D27=0,0,SER_hh_emih_in!D27/SER_summary!D$27)</f>
        <v>0</v>
      </c>
      <c r="E27" s="145">
        <f>IF(SER_hh_emih_in!E27=0,0,SER_hh_emih_in!E27/SER_summary!E$27)</f>
        <v>0</v>
      </c>
      <c r="F27" s="145">
        <f>IF(SER_hh_emih_in!F27=0,0,SER_hh_emih_in!F27/SER_summary!F$27)</f>
        <v>0</v>
      </c>
      <c r="G27" s="145">
        <f>IF(SER_hh_emih_in!G27=0,0,SER_hh_emih_in!G27/SER_summary!G$27)</f>
        <v>0</v>
      </c>
      <c r="H27" s="145">
        <f>IF(SER_hh_emih_in!H27=0,0,SER_hh_emih_in!H27/SER_summary!H$27)</f>
        <v>0</v>
      </c>
      <c r="I27" s="145">
        <f>IF(SER_hh_emih_in!I27=0,0,SER_hh_emih_in!I27/SER_summary!I$27)</f>
        <v>0</v>
      </c>
      <c r="J27" s="145">
        <f>IF(SER_hh_emih_in!J27=0,0,SER_hh_emih_in!J27/SER_summary!J$27)</f>
        <v>0</v>
      </c>
      <c r="K27" s="145">
        <f>IF(SER_hh_emih_in!K27=0,0,SER_hh_emih_in!K27/SER_summary!K$27)</f>
        <v>0</v>
      </c>
      <c r="L27" s="145">
        <f>IF(SER_hh_emih_in!L27=0,0,SER_hh_emih_in!L27/SER_summary!L$27)</f>
        <v>0</v>
      </c>
      <c r="M27" s="145">
        <f>IF(SER_hh_emih_in!M27=0,0,SER_hh_emih_in!M27/SER_summary!M$27)</f>
        <v>0</v>
      </c>
      <c r="N27" s="145">
        <f>IF(SER_hh_emih_in!N27=0,0,SER_hh_emih_in!N27/SER_summary!N$27)</f>
        <v>0</v>
      </c>
      <c r="O27" s="145">
        <f>IF(SER_hh_emih_in!O27=0,0,SER_hh_emih_in!O27/SER_summary!O$27)</f>
        <v>0</v>
      </c>
      <c r="P27" s="145">
        <f>IF(SER_hh_emih_in!P27=0,0,SER_hh_emih_in!P27/SER_summary!P$27)</f>
        <v>0</v>
      </c>
      <c r="Q27" s="145">
        <f>IF(SER_hh_emih_in!Q27=0,0,SER_hh_emih_in!Q27/SER_summary!Q$27)</f>
        <v>0</v>
      </c>
      <c r="R27" s="145">
        <f>IF(SER_hh_emih_in!R27=0,0,SER_hh_emih_in!R27/SER_summary!R$27)</f>
        <v>0</v>
      </c>
      <c r="S27" s="145">
        <f>IF(SER_hh_emih_in!S27=0,0,SER_hh_emih_in!S27/SER_summary!S$27)</f>
        <v>0</v>
      </c>
      <c r="T27" s="145">
        <f>IF(SER_hh_emih_in!T27=0,0,SER_hh_emih_in!T27/SER_summary!T$27)</f>
        <v>0</v>
      </c>
      <c r="U27" s="145">
        <f>IF(SER_hh_emih_in!U27=0,0,SER_hh_emih_in!U27/SER_summary!U$27)</f>
        <v>0</v>
      </c>
      <c r="V27" s="145">
        <f>IF(SER_hh_emih_in!V27=0,0,SER_hh_emih_in!V27/SER_summary!V$27)</f>
        <v>0</v>
      </c>
      <c r="W27" s="145">
        <f>IF(SER_hh_emih_in!W27=0,0,SER_hh_emih_in!W27/SER_summary!W$27)</f>
        <v>0</v>
      </c>
      <c r="X27" s="145">
        <f>IF(SER_hh_emih_in!X27=0,0,SER_hh_emih_in!X27/SER_summary!X$27)</f>
        <v>0</v>
      </c>
      <c r="Y27" s="145">
        <f>IF(SER_hh_emih_in!Y27=0,0,SER_hh_emih_in!Y27/SER_summary!Y$27)</f>
        <v>0</v>
      </c>
      <c r="DA27" s="158" t="s">
        <v>903</v>
      </c>
    </row>
    <row r="28" spans="1:105" ht="12" customHeight="1" x14ac:dyDescent="0.25">
      <c r="A28" s="78" t="s">
        <v>85</v>
      </c>
      <c r="B28" s="68"/>
      <c r="C28" s="146">
        <f>IF(SER_hh_emih_in!C28=0,0,SER_hh_emih_in!C28/SER_summary!C$27)</f>
        <v>0</v>
      </c>
      <c r="D28" s="146">
        <f>IF(SER_hh_emih_in!D28=0,0,SER_hh_emih_in!D28/SER_summary!D$27)</f>
        <v>0</v>
      </c>
      <c r="E28" s="146">
        <f>IF(SER_hh_emih_in!E28=0,0,SER_hh_emih_in!E28/SER_summary!E$27)</f>
        <v>0</v>
      </c>
      <c r="F28" s="146">
        <f>IF(SER_hh_emih_in!F28=0,0,SER_hh_emih_in!F28/SER_summary!F$27)</f>
        <v>0</v>
      </c>
      <c r="G28" s="146">
        <f>IF(SER_hh_emih_in!G28=0,0,SER_hh_emih_in!G28/SER_summary!G$27)</f>
        <v>0</v>
      </c>
      <c r="H28" s="146">
        <f>IF(SER_hh_emih_in!H28=0,0,SER_hh_emih_in!H28/SER_summary!H$27)</f>
        <v>0</v>
      </c>
      <c r="I28" s="146">
        <f>IF(SER_hh_emih_in!I28=0,0,SER_hh_emih_in!I28/SER_summary!I$27)</f>
        <v>0</v>
      </c>
      <c r="J28" s="146">
        <f>IF(SER_hh_emih_in!J28=0,0,SER_hh_emih_in!J28/SER_summary!J$27)</f>
        <v>0</v>
      </c>
      <c r="K28" s="146">
        <f>IF(SER_hh_emih_in!K28=0,0,SER_hh_emih_in!K28/SER_summary!K$27)</f>
        <v>0</v>
      </c>
      <c r="L28" s="146">
        <f>IF(SER_hh_emih_in!L28=0,0,SER_hh_emih_in!L28/SER_summary!L$27)</f>
        <v>0</v>
      </c>
      <c r="M28" s="146">
        <f>IF(SER_hh_emih_in!M28=0,0,SER_hh_emih_in!M28/SER_summary!M$27)</f>
        <v>0</v>
      </c>
      <c r="N28" s="146">
        <f>IF(SER_hh_emih_in!N28=0,0,SER_hh_emih_in!N28/SER_summary!N$27)</f>
        <v>0</v>
      </c>
      <c r="O28" s="146">
        <f>IF(SER_hh_emih_in!O28=0,0,SER_hh_emih_in!O28/SER_summary!O$27)</f>
        <v>0</v>
      </c>
      <c r="P28" s="146">
        <f>IF(SER_hh_emih_in!P28=0,0,SER_hh_emih_in!P28/SER_summary!P$27)</f>
        <v>0</v>
      </c>
      <c r="Q28" s="146">
        <f>IF(SER_hh_emih_in!Q28=0,0,SER_hh_emih_in!Q28/SER_summary!Q$27)</f>
        <v>0</v>
      </c>
      <c r="R28" s="146">
        <f>IF(SER_hh_emih_in!R28=0,0,SER_hh_emih_in!R28/SER_summary!R$27)</f>
        <v>0</v>
      </c>
      <c r="S28" s="146">
        <f>IF(SER_hh_emih_in!S28=0,0,SER_hh_emih_in!S28/SER_summary!S$27)</f>
        <v>0</v>
      </c>
      <c r="T28" s="146">
        <f>IF(SER_hh_emih_in!T28=0,0,SER_hh_emih_in!T28/SER_summary!T$27)</f>
        <v>0</v>
      </c>
      <c r="U28" s="146">
        <f>IF(SER_hh_emih_in!U28=0,0,SER_hh_emih_in!U28/SER_summary!U$27)</f>
        <v>0</v>
      </c>
      <c r="V28" s="146">
        <f>IF(SER_hh_emih_in!V28=0,0,SER_hh_emih_in!V28/SER_summary!V$27)</f>
        <v>0</v>
      </c>
      <c r="W28" s="146">
        <f>IF(SER_hh_emih_in!W28=0,0,SER_hh_emih_in!W28/SER_summary!W$27)</f>
        <v>0</v>
      </c>
      <c r="X28" s="146">
        <f>IF(SER_hh_emih_in!X28=0,0,SER_hh_emih_in!X28/SER_summary!X$27)</f>
        <v>0</v>
      </c>
      <c r="Y28" s="146">
        <f>IF(SER_hh_emih_in!Y28=0,0,SER_hh_emih_in!Y28/SER_summary!Y$27)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IF(SER_hh_emih_in!C29=0,0,SER_hh_emih_in!C29/SER_summary!C$27)</f>
        <v>0.89741742044754347</v>
      </c>
      <c r="D29" s="130">
        <f>IF(SER_hh_emih_in!D29=0,0,SER_hh_emih_in!D29/SER_summary!D$27)</f>
        <v>0.92378337176264569</v>
      </c>
      <c r="E29" s="130">
        <f>IF(SER_hh_emih_in!E29=0,0,SER_hh_emih_in!E29/SER_summary!E$27)</f>
        <v>0.62677311693030924</v>
      </c>
      <c r="F29" s="130">
        <f>IF(SER_hh_emih_in!F29=0,0,SER_hh_emih_in!F29/SER_summary!F$27)</f>
        <v>0.4155774125346533</v>
      </c>
      <c r="G29" s="130">
        <f>IF(SER_hh_emih_in!G29=0,0,SER_hh_emih_in!G29/SER_summary!G$27)</f>
        <v>0.6464112828344275</v>
      </c>
      <c r="H29" s="130">
        <f>IF(SER_hh_emih_in!H29=0,0,SER_hh_emih_in!H29/SER_summary!H$27)</f>
        <v>0.93948155670868383</v>
      </c>
      <c r="I29" s="130">
        <f>IF(SER_hh_emih_in!I29=0,0,SER_hh_emih_in!I29/SER_summary!I$27)</f>
        <v>1.0103670494551691</v>
      </c>
      <c r="J29" s="130">
        <f>IF(SER_hh_emih_in!J29=0,0,SER_hh_emih_in!J29/SER_summary!J$27)</f>
        <v>1.0569050098848001</v>
      </c>
      <c r="K29" s="130">
        <f>IF(SER_hh_emih_in!K29=0,0,SER_hh_emih_in!K29/SER_summary!K$27)</f>
        <v>0.84256958510027047</v>
      </c>
      <c r="L29" s="130">
        <f>IF(SER_hh_emih_in!L29=0,0,SER_hh_emih_in!L29/SER_summary!L$27)</f>
        <v>0.22294257627110958</v>
      </c>
      <c r="M29" s="130">
        <f>IF(SER_hh_emih_in!M29=0,0,SER_hh_emih_in!M29/SER_summary!M$27)</f>
        <v>0</v>
      </c>
      <c r="N29" s="130">
        <f>IF(SER_hh_emih_in!N29=0,0,SER_hh_emih_in!N29/SER_summary!N$27)</f>
        <v>0</v>
      </c>
      <c r="O29" s="130">
        <f>IF(SER_hh_emih_in!O29=0,0,SER_hh_emih_in!O29/SER_summary!O$27)</f>
        <v>0</v>
      </c>
      <c r="P29" s="130">
        <f>IF(SER_hh_emih_in!P29=0,0,SER_hh_emih_in!P29/SER_summary!P$27)</f>
        <v>0.18153778937536777</v>
      </c>
      <c r="Q29" s="130">
        <f>IF(SER_hh_emih_in!Q29=0,0,SER_hh_emih_in!Q29/SER_summary!Q$27)</f>
        <v>0.68066587473383977</v>
      </c>
      <c r="R29" s="130">
        <f>IF(SER_hh_emih_in!R29=0,0,SER_hh_emih_in!R29/SER_summary!R$27)</f>
        <v>0.74561974798281083</v>
      </c>
      <c r="S29" s="130">
        <f>IF(SER_hh_emih_in!S29=0,0,SER_hh_emih_in!S29/SER_summary!S$27)</f>
        <v>0.44828612673966384</v>
      </c>
      <c r="T29" s="130">
        <f>IF(SER_hh_emih_in!T29=0,0,SER_hh_emih_in!T29/SER_summary!T$27)</f>
        <v>0.33137769719149512</v>
      </c>
      <c r="U29" s="130">
        <f>IF(SER_hh_emih_in!U29=0,0,SER_hh_emih_in!U29/SER_summary!U$27)</f>
        <v>0</v>
      </c>
      <c r="V29" s="130">
        <f>IF(SER_hh_emih_in!V29=0,0,SER_hh_emih_in!V29/SER_summary!V$27)</f>
        <v>0</v>
      </c>
      <c r="W29" s="130">
        <f>IF(SER_hh_emih_in!W29=0,0,SER_hh_emih_in!W29/SER_summary!W$27)</f>
        <v>7.1556525451328817E-2</v>
      </c>
      <c r="X29" s="130">
        <f>IF(SER_hh_emih_in!X29=0,0,SER_hh_emih_in!X29/SER_summary!X$27)</f>
        <v>0.51699388748771358</v>
      </c>
      <c r="Y29" s="130">
        <f>IF(SER_hh_emih_in!Y29=0,0,SER_hh_emih_in!Y29/SER_summary!Y$27)</f>
        <v>0.7582743025479225</v>
      </c>
      <c r="DA29" s="155" t="s">
        <v>904</v>
      </c>
    </row>
    <row r="30" spans="1:105" s="2" customFormat="1" ht="12" customHeight="1" x14ac:dyDescent="0.25">
      <c r="A30" s="131" t="s">
        <v>52</v>
      </c>
      <c r="B30" s="132"/>
      <c r="C30" s="132">
        <f>IF(SER_hh_emih_in!C30=0,0,SER_hh_emih_in!C30/SER_summary!C$27)</f>
        <v>0</v>
      </c>
      <c r="D30" s="132">
        <f>IF(SER_hh_emih_in!D30=0,0,SER_hh_emih_in!D30/SER_summary!D$27)</f>
        <v>0</v>
      </c>
      <c r="E30" s="132">
        <f>IF(SER_hh_emih_in!E30=0,0,SER_hh_emih_in!E30/SER_summary!E$27)</f>
        <v>0</v>
      </c>
      <c r="F30" s="132">
        <f>IF(SER_hh_emih_in!F30=0,0,SER_hh_emih_in!F30/SER_summary!F$27)</f>
        <v>0</v>
      </c>
      <c r="G30" s="132">
        <f>IF(SER_hh_emih_in!G30=0,0,SER_hh_emih_in!G30/SER_summary!G$27)</f>
        <v>0</v>
      </c>
      <c r="H30" s="132">
        <f>IF(SER_hh_emih_in!H30=0,0,SER_hh_emih_in!H30/SER_summary!H$27)</f>
        <v>0</v>
      </c>
      <c r="I30" s="132">
        <f>IF(SER_hh_emih_in!I30=0,0,SER_hh_emih_in!I30/SER_summary!I$27)</f>
        <v>0</v>
      </c>
      <c r="J30" s="132">
        <f>IF(SER_hh_emih_in!J30=0,0,SER_hh_emih_in!J30/SER_summary!J$27)</f>
        <v>0</v>
      </c>
      <c r="K30" s="132">
        <f>IF(SER_hh_emih_in!K30=0,0,SER_hh_emih_in!K30/SER_summary!K$27)</f>
        <v>0</v>
      </c>
      <c r="L30" s="132">
        <f>IF(SER_hh_emih_in!L30=0,0,SER_hh_emih_in!L30/SER_summary!L$27)</f>
        <v>0</v>
      </c>
      <c r="M30" s="132">
        <f>IF(SER_hh_emih_in!M30=0,0,SER_hh_emih_in!M30/SER_summary!M$27)</f>
        <v>0</v>
      </c>
      <c r="N30" s="132">
        <f>IF(SER_hh_emih_in!N30=0,0,SER_hh_emih_in!N30/SER_summary!N$27)</f>
        <v>0</v>
      </c>
      <c r="O30" s="132">
        <f>IF(SER_hh_emih_in!O30=0,0,SER_hh_emih_in!O30/SER_summary!O$27)</f>
        <v>0</v>
      </c>
      <c r="P30" s="132">
        <f>IF(SER_hh_emih_in!P30=0,0,SER_hh_emih_in!P30/SER_summary!P$27)</f>
        <v>0</v>
      </c>
      <c r="Q30" s="132">
        <f>IF(SER_hh_emih_in!Q30=0,0,SER_hh_emih_in!Q30/SER_summary!Q$27)</f>
        <v>0</v>
      </c>
      <c r="R30" s="132">
        <f>IF(SER_hh_emih_in!R30=0,0,SER_hh_emih_in!R30/SER_summary!R$27)</f>
        <v>0</v>
      </c>
      <c r="S30" s="132">
        <f>IF(SER_hh_emih_in!S30=0,0,SER_hh_emih_in!S30/SER_summary!S$27)</f>
        <v>0</v>
      </c>
      <c r="T30" s="132">
        <f>IF(SER_hh_emih_in!T30=0,0,SER_hh_emih_in!T30/SER_summary!T$27)</f>
        <v>0</v>
      </c>
      <c r="U30" s="132">
        <f>IF(SER_hh_emih_in!U30=0,0,SER_hh_emih_in!U30/SER_summary!U$27)</f>
        <v>0</v>
      </c>
      <c r="V30" s="132">
        <f>IF(SER_hh_emih_in!V30=0,0,SER_hh_emih_in!V30/SER_summary!V$27)</f>
        <v>0</v>
      </c>
      <c r="W30" s="132">
        <f>IF(SER_hh_emih_in!W30=0,0,SER_hh_emih_in!W30/SER_summary!W$27)</f>
        <v>0</v>
      </c>
      <c r="X30" s="132">
        <f>IF(SER_hh_emih_in!X30=0,0,SER_hh_emih_in!X30/SER_summary!X$27)</f>
        <v>0</v>
      </c>
      <c r="Y30" s="132">
        <f>IF(SER_hh_emih_in!Y30=0,0,SER_hh_emih_in!Y30/SER_summary!Y$27)</f>
        <v>0</v>
      </c>
      <c r="DA30" s="156" t="s">
        <v>905</v>
      </c>
    </row>
    <row r="31" spans="1:105" ht="12" customHeight="1" x14ac:dyDescent="0.25">
      <c r="A31" s="131" t="s">
        <v>149</v>
      </c>
      <c r="B31" s="132"/>
      <c r="C31" s="132">
        <f>IF(SER_hh_emih_in!C31=0,0,SER_hh_emih_in!C31/SER_summary!C$27)</f>
        <v>3.5677637358045899</v>
      </c>
      <c r="D31" s="132">
        <f>IF(SER_hh_emih_in!D31=0,0,SER_hh_emih_in!D31/SER_summary!D$27)</f>
        <v>3.6795026918499687</v>
      </c>
      <c r="E31" s="132">
        <f>IF(SER_hh_emih_in!E31=0,0,SER_hh_emih_in!E31/SER_summary!E$27)</f>
        <v>3.6716462513851624</v>
      </c>
      <c r="F31" s="132">
        <f>IF(SER_hh_emih_in!F31=0,0,SER_hh_emih_in!F31/SER_summary!F$27)</f>
        <v>3.4456410133151434</v>
      </c>
      <c r="G31" s="132">
        <f>IF(SER_hh_emih_in!G31=0,0,SER_hh_emih_in!G31/SER_summary!G$27)</f>
        <v>3.5262260752222208</v>
      </c>
      <c r="H31" s="132">
        <f>IF(SER_hh_emih_in!H31=0,0,SER_hh_emih_in!H31/SER_summary!H$27)</f>
        <v>3.417557234392143</v>
      </c>
      <c r="I31" s="132">
        <f>IF(SER_hh_emih_in!I31=0,0,SER_hh_emih_in!I31/SER_summary!I$27)</f>
        <v>3.8645788289763887</v>
      </c>
      <c r="J31" s="132">
        <f>IF(SER_hh_emih_in!J31=0,0,SER_hh_emih_in!J31/SER_summary!J$27)</f>
        <v>3.8151381347389024</v>
      </c>
      <c r="K31" s="132">
        <f>IF(SER_hh_emih_in!K31=0,0,SER_hh_emih_in!K31/SER_summary!K$27)</f>
        <v>3.6898224344708326</v>
      </c>
      <c r="L31" s="132">
        <f>IF(SER_hh_emih_in!L31=0,0,SER_hh_emih_in!L31/SER_summary!L$27)</f>
        <v>3.5765279228693583</v>
      </c>
      <c r="M31" s="132">
        <f>IF(SER_hh_emih_in!M31=0,0,SER_hh_emih_in!M31/SER_summary!M$27)</f>
        <v>0</v>
      </c>
      <c r="N31" s="132">
        <f>IF(SER_hh_emih_in!N31=0,0,SER_hh_emih_in!N31/SER_summary!N$27)</f>
        <v>0</v>
      </c>
      <c r="O31" s="132">
        <f>IF(SER_hh_emih_in!O31=0,0,SER_hh_emih_in!O31/SER_summary!O$27)</f>
        <v>0</v>
      </c>
      <c r="P31" s="132">
        <f>IF(SER_hh_emih_in!P31=0,0,SER_hh_emih_in!P31/SER_summary!P$27)</f>
        <v>3.1477336354736667</v>
      </c>
      <c r="Q31" s="132">
        <f>IF(SER_hh_emih_in!Q31=0,0,SER_hh_emih_in!Q31/SER_summary!Q$27)</f>
        <v>3.5357461846068459</v>
      </c>
      <c r="R31" s="132">
        <f>IF(SER_hh_emih_in!R31=0,0,SER_hh_emih_in!R31/SER_summary!R$27)</f>
        <v>3.6350046674714354</v>
      </c>
      <c r="S31" s="132">
        <f>IF(SER_hh_emih_in!S31=0,0,SER_hh_emih_in!S31/SER_summary!S$27)</f>
        <v>3.5291492894672616</v>
      </c>
      <c r="T31" s="132">
        <f>IF(SER_hh_emih_in!T31=0,0,SER_hh_emih_in!T31/SER_summary!T$27)</f>
        <v>4.0560421206301349</v>
      </c>
      <c r="U31" s="132">
        <f>IF(SER_hh_emih_in!U31=0,0,SER_hh_emih_in!U31/SER_summary!U$27)</f>
        <v>0</v>
      </c>
      <c r="V31" s="132">
        <f>IF(SER_hh_emih_in!V31=0,0,SER_hh_emih_in!V31/SER_summary!V$27)</f>
        <v>0</v>
      </c>
      <c r="W31" s="132">
        <f>IF(SER_hh_emih_in!W31=0,0,SER_hh_emih_in!W31/SER_summary!W$27)</f>
        <v>3.3209703836836391</v>
      </c>
      <c r="X31" s="132">
        <f>IF(SER_hh_emih_in!X31=0,0,SER_hh_emih_in!X31/SER_summary!X$27)</f>
        <v>3.8376620886647919</v>
      </c>
      <c r="Y31" s="132">
        <f>IF(SER_hh_emih_in!Y31=0,0,SER_hh_emih_in!Y31/SER_summary!Y$27)</f>
        <v>4.2550177557256061</v>
      </c>
      <c r="DA31" s="156" t="s">
        <v>906</v>
      </c>
    </row>
    <row r="32" spans="1:105" ht="12" customHeight="1" x14ac:dyDescent="0.25">
      <c r="A32" s="131" t="s">
        <v>128</v>
      </c>
      <c r="B32" s="132"/>
      <c r="C32" s="132">
        <f>IF(SER_hh_emih_in!C32=0,0,SER_hh_emih_in!C32/SER_summary!C$27)</f>
        <v>0</v>
      </c>
      <c r="D32" s="132">
        <f>IF(SER_hh_emih_in!D32=0,0,SER_hh_emih_in!D32/SER_summary!D$27)</f>
        <v>0</v>
      </c>
      <c r="E32" s="132">
        <f>IF(SER_hh_emih_in!E32=0,0,SER_hh_emih_in!E32/SER_summary!E$27)</f>
        <v>0</v>
      </c>
      <c r="F32" s="132">
        <f>IF(SER_hh_emih_in!F32=0,0,SER_hh_emih_in!F32/SER_summary!F$27)</f>
        <v>0</v>
      </c>
      <c r="G32" s="132">
        <f>IF(SER_hh_emih_in!G32=0,0,SER_hh_emih_in!G32/SER_summary!G$27)</f>
        <v>0</v>
      </c>
      <c r="H32" s="132">
        <f>IF(SER_hh_emih_in!H32=0,0,SER_hh_emih_in!H32/SER_summary!H$27)</f>
        <v>0</v>
      </c>
      <c r="I32" s="132">
        <f>IF(SER_hh_emih_in!I32=0,0,SER_hh_emih_in!I32/SER_summary!I$27)</f>
        <v>0</v>
      </c>
      <c r="J32" s="132">
        <f>IF(SER_hh_emih_in!J32=0,0,SER_hh_emih_in!J32/SER_summary!J$27)</f>
        <v>0</v>
      </c>
      <c r="K32" s="132">
        <f>IF(SER_hh_emih_in!K32=0,0,SER_hh_emih_in!K32/SER_summary!K$27)</f>
        <v>0</v>
      </c>
      <c r="L32" s="132">
        <f>IF(SER_hh_emih_in!L32=0,0,SER_hh_emih_in!L32/SER_summary!L$27)</f>
        <v>0</v>
      </c>
      <c r="M32" s="132">
        <f>IF(SER_hh_emih_in!M32=0,0,SER_hh_emih_in!M32/SER_summary!M$27)</f>
        <v>0</v>
      </c>
      <c r="N32" s="132">
        <f>IF(SER_hh_emih_in!N32=0,0,SER_hh_emih_in!N32/SER_summary!N$27)</f>
        <v>0</v>
      </c>
      <c r="O32" s="132">
        <f>IF(SER_hh_emih_in!O32=0,0,SER_hh_emih_in!O32/SER_summary!O$27)</f>
        <v>0</v>
      </c>
      <c r="P32" s="132">
        <f>IF(SER_hh_emih_in!P32=0,0,SER_hh_emih_in!P32/SER_summary!P$27)</f>
        <v>0</v>
      </c>
      <c r="Q32" s="132">
        <f>IF(SER_hh_emih_in!Q32=0,0,SER_hh_emih_in!Q32/SER_summary!Q$27)</f>
        <v>0</v>
      </c>
      <c r="R32" s="132">
        <f>IF(SER_hh_emih_in!R32=0,0,SER_hh_emih_in!R32/SER_summary!R$27)</f>
        <v>0</v>
      </c>
      <c r="S32" s="132">
        <f>IF(SER_hh_emih_in!S32=0,0,SER_hh_emih_in!S32/SER_summary!S$27)</f>
        <v>0</v>
      </c>
      <c r="T32" s="132">
        <f>IF(SER_hh_emih_in!T32=0,0,SER_hh_emih_in!T32/SER_summary!T$27)</f>
        <v>0</v>
      </c>
      <c r="U32" s="132">
        <f>IF(SER_hh_emih_in!U32=0,0,SER_hh_emih_in!U32/SER_summary!U$27)</f>
        <v>0</v>
      </c>
      <c r="V32" s="132">
        <f>IF(SER_hh_emih_in!V32=0,0,SER_hh_emih_in!V32/SER_summary!V$27)</f>
        <v>0</v>
      </c>
      <c r="W32" s="132">
        <f>IF(SER_hh_emih_in!W32=0,0,SER_hh_emih_in!W32/SER_summary!W$27)</f>
        <v>0</v>
      </c>
      <c r="X32" s="132">
        <f>IF(SER_hh_emih_in!X32=0,0,SER_hh_emih_in!X32/SER_summary!X$27)</f>
        <v>0</v>
      </c>
      <c r="Y32" s="132">
        <f>IF(SER_hh_emih_in!Y32=0,0,SER_hh_emih_in!Y32/SER_summary!Y$27)</f>
        <v>0</v>
      </c>
      <c r="DA32" s="156" t="s">
        <v>907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X33" s="68">
        <f>IF(SER_hh_emih_in!X33=0,0,SER_hh_emih_in!X33/SER_summary!X$27)</f>
        <v>0</v>
      </c>
      <c r="Y33" s="68">
        <f>IF(SER_hh_emih_in!Y33=0,0,SER_hh_emih_in!Y33/SER_summary!Y$27)</f>
        <v>0</v>
      </c>
      <c r="DA33" s="111" t="s">
        <v>908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78" t="s">
        <v>81</v>
      </c>
      <c r="B3" s="179">
        <f t="shared" ref="B3" si="0">SUM(B4:B9)</f>
        <v>100.69618243917866</v>
      </c>
      <c r="C3" s="179">
        <f t="shared" ref="C3:W3" si="1">SUM(C4:C9)</f>
        <v>107.36552227285672</v>
      </c>
      <c r="D3" s="179">
        <f t="shared" si="1"/>
        <v>114.74939190015024</v>
      </c>
      <c r="E3" s="179">
        <f t="shared" si="1"/>
        <v>124.41826011256759</v>
      </c>
      <c r="F3" s="179">
        <f t="shared" si="1"/>
        <v>132.99693821297043</v>
      </c>
      <c r="G3" s="179">
        <f t="shared" si="1"/>
        <v>140.93869253737608</v>
      </c>
      <c r="H3" s="179">
        <f t="shared" si="1"/>
        <v>147.67374487220422</v>
      </c>
      <c r="I3" s="179">
        <f t="shared" si="1"/>
        <v>159.7629361526667</v>
      </c>
      <c r="J3" s="179">
        <f t="shared" si="1"/>
        <v>165.3566262320316</v>
      </c>
      <c r="K3" s="179">
        <f t="shared" si="1"/>
        <v>166.70169872037906</v>
      </c>
      <c r="L3" s="179">
        <f t="shared" si="1"/>
        <v>168.42067288330111</v>
      </c>
      <c r="M3" s="179">
        <f t="shared" si="1"/>
        <v>170.15280220404387</v>
      </c>
      <c r="N3" s="179">
        <f t="shared" si="1"/>
        <v>172.89169519567028</v>
      </c>
      <c r="O3" s="179">
        <f t="shared" si="1"/>
        <v>176.0948997579176</v>
      </c>
      <c r="P3" s="179">
        <f t="shared" si="1"/>
        <v>180.11451156506644</v>
      </c>
      <c r="Q3" s="179">
        <f t="shared" si="1"/>
        <v>185.52419727476442</v>
      </c>
      <c r="R3" s="179">
        <f t="shared" si="1"/>
        <v>187.98573003552548</v>
      </c>
      <c r="S3" s="179">
        <f t="shared" si="1"/>
        <v>192.28697492035076</v>
      </c>
      <c r="T3" s="179">
        <f t="shared" si="1"/>
        <v>190.07852559256818</v>
      </c>
      <c r="U3" s="179">
        <f t="shared" si="1"/>
        <v>186.7483274815653</v>
      </c>
      <c r="V3" s="179">
        <f t="shared" si="1"/>
        <v>178.72228419901427</v>
      </c>
      <c r="W3" s="179">
        <f t="shared" si="1"/>
        <v>182.27329484719849</v>
      </c>
      <c r="X3" s="179">
        <f t="shared" ref="X3:Y3" si="2">SUM(X4:X9)</f>
        <v>178.79412446120352</v>
      </c>
      <c r="Y3" s="179">
        <f t="shared" si="2"/>
        <v>179.02158854114663</v>
      </c>
      <c r="DA3" s="188" t="s">
        <v>218</v>
      </c>
    </row>
    <row r="4" spans="1:105" ht="12" customHeight="1" x14ac:dyDescent="0.25">
      <c r="A4" s="131" t="s">
        <v>7</v>
      </c>
      <c r="B4" s="180">
        <f t="shared" ref="B4:B9" si="3">B12*B44/11630</f>
        <v>7.4940061625859853</v>
      </c>
      <c r="C4" s="180">
        <f t="shared" ref="C4:R9" si="4">C12*C44/11630</f>
        <v>7.9578501181881363</v>
      </c>
      <c r="D4" s="180">
        <f t="shared" si="4"/>
        <v>8.4595275330506894</v>
      </c>
      <c r="E4" s="180">
        <f t="shared" si="4"/>
        <v>9.1373760329704208</v>
      </c>
      <c r="F4" s="180">
        <f t="shared" si="4"/>
        <v>9.7042585982253016</v>
      </c>
      <c r="G4" s="180">
        <f t="shared" si="4"/>
        <v>10.296075799124308</v>
      </c>
      <c r="H4" s="180">
        <f t="shared" si="4"/>
        <v>10.750719880152626</v>
      </c>
      <c r="I4" s="180">
        <f t="shared" si="4"/>
        <v>11.857894193928928</v>
      </c>
      <c r="J4" s="180">
        <f t="shared" si="4"/>
        <v>12.396284036058482</v>
      </c>
      <c r="K4" s="180">
        <f t="shared" si="4"/>
        <v>12.429605629836839</v>
      </c>
      <c r="L4" s="180">
        <f t="shared" si="4"/>
        <v>12.574538230596088</v>
      </c>
      <c r="M4" s="180">
        <f t="shared" si="4"/>
        <v>12.747277068417697</v>
      </c>
      <c r="N4" s="180">
        <f t="shared" si="4"/>
        <v>12.917826940753107</v>
      </c>
      <c r="O4" s="180">
        <f t="shared" si="4"/>
        <v>13.153759951038948</v>
      </c>
      <c r="P4" s="180">
        <f t="shared" si="4"/>
        <v>13.574289114516242</v>
      </c>
      <c r="Q4" s="180">
        <f t="shared" si="4"/>
        <v>13.953193056338137</v>
      </c>
      <c r="R4" s="180">
        <f t="shared" si="4"/>
        <v>14.067332896200284</v>
      </c>
      <c r="S4" s="180">
        <f t="shared" ref="D4:W9" si="5">S12*S44/11630</f>
        <v>14.187648370667027</v>
      </c>
      <c r="T4" s="180">
        <f t="shared" si="5"/>
        <v>14.282739294852565</v>
      </c>
      <c r="U4" s="180">
        <f t="shared" si="5"/>
        <v>14.310915013777359</v>
      </c>
      <c r="V4" s="180">
        <f t="shared" si="5"/>
        <v>14.292662327959837</v>
      </c>
      <c r="W4" s="180">
        <f t="shared" si="5"/>
        <v>14.193103316378052</v>
      </c>
      <c r="X4" s="180">
        <f t="shared" ref="X4:Y4" si="6">X12*X44/11630</f>
        <v>14.033309440958645</v>
      </c>
      <c r="Y4" s="180">
        <f t="shared" si="6"/>
        <v>13.818694462175062</v>
      </c>
      <c r="DA4" s="189" t="s">
        <v>909</v>
      </c>
    </row>
    <row r="5" spans="1:105" ht="12" customHeight="1" x14ac:dyDescent="0.25">
      <c r="A5" s="131" t="s">
        <v>6</v>
      </c>
      <c r="B5" s="180">
        <f t="shared" si="3"/>
        <v>22.53449145643447</v>
      </c>
      <c r="C5" s="180">
        <f t="shared" si="4"/>
        <v>23.372464692915571</v>
      </c>
      <c r="D5" s="180">
        <f t="shared" si="5"/>
        <v>24.216618412942204</v>
      </c>
      <c r="E5" s="180">
        <f t="shared" si="5"/>
        <v>25.244034602000571</v>
      </c>
      <c r="F5" s="180">
        <f t="shared" si="5"/>
        <v>25.982484740186766</v>
      </c>
      <c r="G5" s="180">
        <f t="shared" si="5"/>
        <v>26.456256114220778</v>
      </c>
      <c r="H5" s="180">
        <f t="shared" si="5"/>
        <v>26.653121324792274</v>
      </c>
      <c r="I5" s="180">
        <f t="shared" si="5"/>
        <v>26.729792393762722</v>
      </c>
      <c r="J5" s="180">
        <f t="shared" si="5"/>
        <v>26.844133681496405</v>
      </c>
      <c r="K5" s="180">
        <f t="shared" si="5"/>
        <v>26.866329558210143</v>
      </c>
      <c r="L5" s="180">
        <f t="shared" si="5"/>
        <v>26.812680991890268</v>
      </c>
      <c r="M5" s="180">
        <f t="shared" si="5"/>
        <v>26.677584304184666</v>
      </c>
      <c r="N5" s="180">
        <f t="shared" si="5"/>
        <v>26.779820156151747</v>
      </c>
      <c r="O5" s="180">
        <f t="shared" si="5"/>
        <v>26.993322423725836</v>
      </c>
      <c r="P5" s="180">
        <f t="shared" si="5"/>
        <v>27.210413146526363</v>
      </c>
      <c r="Q5" s="180">
        <f t="shared" si="5"/>
        <v>27.586554470928519</v>
      </c>
      <c r="R5" s="180">
        <f t="shared" si="5"/>
        <v>27.074150923963167</v>
      </c>
      <c r="S5" s="180">
        <f t="shared" si="5"/>
        <v>26.535442074617329</v>
      </c>
      <c r="T5" s="180">
        <f t="shared" si="5"/>
        <v>25.170047120727094</v>
      </c>
      <c r="U5" s="180">
        <f t="shared" si="5"/>
        <v>23.757747097901795</v>
      </c>
      <c r="V5" s="180">
        <f t="shared" si="5"/>
        <v>22.380021041817528</v>
      </c>
      <c r="W5" s="180">
        <f t="shared" si="5"/>
        <v>21.254766269404012</v>
      </c>
      <c r="X5" s="180">
        <f t="shared" ref="X5:Y5" si="7">X13*X45/11630</f>
        <v>20.011628385115849</v>
      </c>
      <c r="Y5" s="180">
        <f t="shared" si="7"/>
        <v>19.517708763648432</v>
      </c>
      <c r="DA5" s="189" t="s">
        <v>910</v>
      </c>
    </row>
    <row r="6" spans="1:105" ht="12" customHeight="1" x14ac:dyDescent="0.25">
      <c r="A6" s="131" t="s">
        <v>5</v>
      </c>
      <c r="B6" s="180">
        <f t="shared" si="3"/>
        <v>37.399714787879191</v>
      </c>
      <c r="C6" s="180">
        <f t="shared" si="4"/>
        <v>39.242581772259058</v>
      </c>
      <c r="D6" s="180">
        <f t="shared" si="5"/>
        <v>41.390696446486857</v>
      </c>
      <c r="E6" s="180">
        <f t="shared" si="5"/>
        <v>44.641116001314558</v>
      </c>
      <c r="F6" s="180">
        <f t="shared" si="5"/>
        <v>47.229489065478425</v>
      </c>
      <c r="G6" s="180">
        <f t="shared" si="5"/>
        <v>50.177036583800842</v>
      </c>
      <c r="H6" s="180">
        <f t="shared" si="5"/>
        <v>51.849823362784306</v>
      </c>
      <c r="I6" s="180">
        <f t="shared" si="5"/>
        <v>56.956531142449258</v>
      </c>
      <c r="J6" s="180">
        <f t="shared" si="5"/>
        <v>59.089895224468123</v>
      </c>
      <c r="K6" s="180">
        <f t="shared" si="5"/>
        <v>59.243179990147027</v>
      </c>
      <c r="L6" s="180">
        <f t="shared" si="5"/>
        <v>59.877306402091385</v>
      </c>
      <c r="M6" s="180">
        <f t="shared" si="5"/>
        <v>61.60439339518544</v>
      </c>
      <c r="N6" s="180">
        <f t="shared" si="5"/>
        <v>62.551072572934416</v>
      </c>
      <c r="O6" s="180">
        <f t="shared" si="5"/>
        <v>62.907248360281336</v>
      </c>
      <c r="P6" s="180">
        <f t="shared" si="5"/>
        <v>63.71688912060592</v>
      </c>
      <c r="Q6" s="180">
        <f t="shared" si="5"/>
        <v>65.361868013932252</v>
      </c>
      <c r="R6" s="180">
        <f t="shared" si="5"/>
        <v>65.594478983881473</v>
      </c>
      <c r="S6" s="180">
        <f t="shared" si="5"/>
        <v>65.999307043389635</v>
      </c>
      <c r="T6" s="180">
        <f t="shared" si="5"/>
        <v>62.884456551154202</v>
      </c>
      <c r="U6" s="180">
        <f t="shared" si="5"/>
        <v>58.061463433234671</v>
      </c>
      <c r="V6" s="180">
        <f t="shared" si="5"/>
        <v>50.905390349920914</v>
      </c>
      <c r="W6" s="180">
        <f t="shared" si="5"/>
        <v>50.774210329336462</v>
      </c>
      <c r="X6" s="180">
        <f t="shared" ref="X6:Y6" si="8">X14*X46/11630</f>
        <v>47.389343168874127</v>
      </c>
      <c r="Y6" s="180">
        <f t="shared" si="8"/>
        <v>43.751528643663221</v>
      </c>
      <c r="DA6" s="189" t="s">
        <v>911</v>
      </c>
    </row>
    <row r="7" spans="1:105" ht="12" customHeight="1" x14ac:dyDescent="0.25">
      <c r="A7" s="131" t="s">
        <v>171</v>
      </c>
      <c r="B7" s="180">
        <f t="shared" si="3"/>
        <v>17.03460744825091</v>
      </c>
      <c r="C7" s="180">
        <f t="shared" si="4"/>
        <v>18.112935153771424</v>
      </c>
      <c r="D7" s="180">
        <f t="shared" si="5"/>
        <v>19.413977242323472</v>
      </c>
      <c r="E7" s="180">
        <f t="shared" si="5"/>
        <v>21.265938155746142</v>
      </c>
      <c r="F7" s="180">
        <f t="shared" si="5"/>
        <v>22.617285478617674</v>
      </c>
      <c r="G7" s="180">
        <f t="shared" si="5"/>
        <v>23.331926963653309</v>
      </c>
      <c r="H7" s="180">
        <f t="shared" si="5"/>
        <v>23.450682670495468</v>
      </c>
      <c r="I7" s="180">
        <f t="shared" si="5"/>
        <v>23.350968971337487</v>
      </c>
      <c r="J7" s="180">
        <f t="shared" si="5"/>
        <v>23.100028983791951</v>
      </c>
      <c r="K7" s="180">
        <f t="shared" si="5"/>
        <v>22.810032076781056</v>
      </c>
      <c r="L7" s="180">
        <f t="shared" si="5"/>
        <v>22.595183347071185</v>
      </c>
      <c r="M7" s="180">
        <f t="shared" si="5"/>
        <v>21.958752346029414</v>
      </c>
      <c r="N7" s="180">
        <f t="shared" si="5"/>
        <v>21.676787892482096</v>
      </c>
      <c r="O7" s="180">
        <f t="shared" si="5"/>
        <v>21.621228326249657</v>
      </c>
      <c r="P7" s="180">
        <f t="shared" si="5"/>
        <v>21.644017505021484</v>
      </c>
      <c r="Q7" s="180">
        <f t="shared" si="5"/>
        <v>21.794451079393021</v>
      </c>
      <c r="R7" s="180">
        <f t="shared" si="5"/>
        <v>22.1043685489533</v>
      </c>
      <c r="S7" s="180">
        <f t="shared" si="5"/>
        <v>22.364242109947224</v>
      </c>
      <c r="T7" s="180">
        <f t="shared" si="5"/>
        <v>22.64864803984052</v>
      </c>
      <c r="U7" s="180">
        <f t="shared" si="5"/>
        <v>22.893414993302567</v>
      </c>
      <c r="V7" s="180">
        <f t="shared" si="5"/>
        <v>23.07328926959563</v>
      </c>
      <c r="W7" s="180">
        <f t="shared" si="5"/>
        <v>23.149482456791524</v>
      </c>
      <c r="X7" s="180">
        <f t="shared" ref="X7:Y7" si="9">X15*X47/11630</f>
        <v>22.952979279387218</v>
      </c>
      <c r="Y7" s="180">
        <f t="shared" si="9"/>
        <v>22.920349135258476</v>
      </c>
      <c r="DA7" s="189" t="s">
        <v>912</v>
      </c>
    </row>
    <row r="8" spans="1:105" ht="12" customHeight="1" x14ac:dyDescent="0.25">
      <c r="A8" s="60" t="s">
        <v>4</v>
      </c>
      <c r="B8" s="55">
        <f t="shared" si="3"/>
        <v>7.2207357690001386</v>
      </c>
      <c r="C8" s="55">
        <f t="shared" si="4"/>
        <v>8.3281523101370318</v>
      </c>
      <c r="D8" s="55">
        <f t="shared" si="5"/>
        <v>9.5763521807036067</v>
      </c>
      <c r="E8" s="55">
        <f t="shared" si="5"/>
        <v>11.016827908029359</v>
      </c>
      <c r="F8" s="55">
        <f t="shared" si="5"/>
        <v>12.48335096920038</v>
      </c>
      <c r="G8" s="55">
        <f t="shared" si="5"/>
        <v>13.874009262595086</v>
      </c>
      <c r="H8" s="55">
        <f t="shared" si="5"/>
        <v>15.122947975384319</v>
      </c>
      <c r="I8" s="55">
        <f t="shared" si="5"/>
        <v>17.304297477285782</v>
      </c>
      <c r="J8" s="55">
        <f t="shared" si="5"/>
        <v>18.596179818279413</v>
      </c>
      <c r="K8" s="55">
        <f t="shared" si="5"/>
        <v>19.109121346519441</v>
      </c>
      <c r="L8" s="55">
        <f t="shared" si="5"/>
        <v>19.586778001635061</v>
      </c>
      <c r="M8" s="55">
        <f t="shared" si="5"/>
        <v>20.327472724045922</v>
      </c>
      <c r="N8" s="55">
        <f t="shared" si="5"/>
        <v>20.752726088416505</v>
      </c>
      <c r="O8" s="55">
        <f t="shared" si="5"/>
        <v>21.30321064693705</v>
      </c>
      <c r="P8" s="55">
        <f t="shared" si="5"/>
        <v>21.91829329298923</v>
      </c>
      <c r="Q8" s="55">
        <f t="shared" si="5"/>
        <v>22.244634629648466</v>
      </c>
      <c r="R8" s="55">
        <f t="shared" si="5"/>
        <v>23.144311789965226</v>
      </c>
      <c r="S8" s="55">
        <f t="shared" si="5"/>
        <v>24.207706811825485</v>
      </c>
      <c r="T8" s="55">
        <f t="shared" si="5"/>
        <v>24.58726963932186</v>
      </c>
      <c r="U8" s="55">
        <f t="shared" si="5"/>
        <v>25.045800859065935</v>
      </c>
      <c r="V8" s="55">
        <f t="shared" si="5"/>
        <v>23.808135356880609</v>
      </c>
      <c r="W8" s="55">
        <f t="shared" si="5"/>
        <v>25.78978802926671</v>
      </c>
      <c r="X8" s="55">
        <f t="shared" ref="X8:Y8" si="10">X16*X48/11630</f>
        <v>25.453709123660381</v>
      </c>
      <c r="Y8" s="55">
        <f t="shared" si="10"/>
        <v>25.352586641422612</v>
      </c>
      <c r="DA8" s="101" t="s">
        <v>913</v>
      </c>
    </row>
    <row r="9" spans="1:105" ht="12" customHeight="1" x14ac:dyDescent="0.25">
      <c r="A9" s="62" t="s">
        <v>3</v>
      </c>
      <c r="B9" s="63">
        <f t="shared" si="3"/>
        <v>9.0126268150279625</v>
      </c>
      <c r="C9" s="63">
        <f t="shared" si="4"/>
        <v>10.351538225585511</v>
      </c>
      <c r="D9" s="63">
        <f t="shared" si="5"/>
        <v>11.692220084643422</v>
      </c>
      <c r="E9" s="63">
        <f t="shared" si="5"/>
        <v>13.112967412506555</v>
      </c>
      <c r="F9" s="63">
        <f t="shared" si="5"/>
        <v>14.980069361261883</v>
      </c>
      <c r="G9" s="63">
        <f t="shared" si="5"/>
        <v>16.803387813981768</v>
      </c>
      <c r="H9" s="63">
        <f t="shared" si="5"/>
        <v>19.846449658595244</v>
      </c>
      <c r="I9" s="63">
        <f t="shared" si="5"/>
        <v>23.563451973902513</v>
      </c>
      <c r="J9" s="63">
        <f t="shared" si="5"/>
        <v>25.330104487937234</v>
      </c>
      <c r="K9" s="63">
        <f t="shared" si="5"/>
        <v>26.243430118884557</v>
      </c>
      <c r="L9" s="63">
        <f t="shared" si="5"/>
        <v>26.974185910017116</v>
      </c>
      <c r="M9" s="63">
        <f t="shared" si="5"/>
        <v>26.837322366180732</v>
      </c>
      <c r="N9" s="63">
        <f t="shared" si="5"/>
        <v>28.213461544932407</v>
      </c>
      <c r="O9" s="63">
        <f t="shared" si="5"/>
        <v>30.116130049684763</v>
      </c>
      <c r="P9" s="63">
        <f t="shared" si="5"/>
        <v>32.050609385407213</v>
      </c>
      <c r="Q9" s="63">
        <f t="shared" si="5"/>
        <v>34.583496024524031</v>
      </c>
      <c r="R9" s="63">
        <f t="shared" si="5"/>
        <v>36.001086892562014</v>
      </c>
      <c r="S9" s="63">
        <f t="shared" si="5"/>
        <v>38.992628509904058</v>
      </c>
      <c r="T9" s="63">
        <f t="shared" si="5"/>
        <v>40.505364946671939</v>
      </c>
      <c r="U9" s="63">
        <f t="shared" si="5"/>
        <v>42.678986084282975</v>
      </c>
      <c r="V9" s="63">
        <f t="shared" si="5"/>
        <v>44.262785852839755</v>
      </c>
      <c r="W9" s="63">
        <f t="shared" si="5"/>
        <v>47.111944446021738</v>
      </c>
      <c r="X9" s="63">
        <f t="shared" ref="X9:Y9" si="11">X17*X49/11630</f>
        <v>48.953155063207312</v>
      </c>
      <c r="Y9" s="63">
        <f t="shared" si="11"/>
        <v>53.660720894978823</v>
      </c>
      <c r="DA9" s="105" t="s">
        <v>914</v>
      </c>
    </row>
    <row r="10" spans="1:105" s="2" customFormat="1" ht="12" customHeight="1" x14ac:dyDescent="0.25">
      <c r="DA10" s="7"/>
    </row>
    <row r="11" spans="1:105" ht="12.95" customHeight="1" x14ac:dyDescent="0.25">
      <c r="A11" s="178" t="s">
        <v>108</v>
      </c>
      <c r="B11" s="179">
        <f t="shared" ref="B11" si="12">SUM(B12:B17)</f>
        <v>424.40033226115571</v>
      </c>
      <c r="C11" s="179">
        <f t="shared" ref="C11:W11" si="13">SUM(C12:C17)</f>
        <v>453.65435349106679</v>
      </c>
      <c r="D11" s="179">
        <f t="shared" si="13"/>
        <v>486.00363191400027</v>
      </c>
      <c r="E11" s="179">
        <f t="shared" si="13"/>
        <v>527.57732167272968</v>
      </c>
      <c r="F11" s="179">
        <f t="shared" si="13"/>
        <v>568.36687259710573</v>
      </c>
      <c r="G11" s="179">
        <f t="shared" si="13"/>
        <v>608.64116603979585</v>
      </c>
      <c r="H11" s="179">
        <f t="shared" si="13"/>
        <v>648.29020763216738</v>
      </c>
      <c r="I11" s="179">
        <f t="shared" si="13"/>
        <v>721.26523157870088</v>
      </c>
      <c r="J11" s="179">
        <f t="shared" si="13"/>
        <v>754.79845343437478</v>
      </c>
      <c r="K11" s="179">
        <f t="shared" si="13"/>
        <v>762.02266892453235</v>
      </c>
      <c r="L11" s="179">
        <f t="shared" si="13"/>
        <v>769.88345353526745</v>
      </c>
      <c r="M11" s="179">
        <f t="shared" si="13"/>
        <v>782.71581901284526</v>
      </c>
      <c r="N11" s="179">
        <f t="shared" si="13"/>
        <v>794.20984723883475</v>
      </c>
      <c r="O11" s="179">
        <f t="shared" si="13"/>
        <v>808.00219062300016</v>
      </c>
      <c r="P11" s="179">
        <f t="shared" si="13"/>
        <v>825.86170018675102</v>
      </c>
      <c r="Q11" s="179">
        <f t="shared" si="13"/>
        <v>847.33265643559423</v>
      </c>
      <c r="R11" s="179">
        <f t="shared" si="13"/>
        <v>853.47065633430441</v>
      </c>
      <c r="S11" s="179">
        <f t="shared" si="13"/>
        <v>855.82802929416914</v>
      </c>
      <c r="T11" s="179">
        <f t="shared" si="13"/>
        <v>857.10373799983608</v>
      </c>
      <c r="U11" s="179">
        <f t="shared" si="13"/>
        <v>851.14964963163311</v>
      </c>
      <c r="V11" s="179">
        <f t="shared" si="13"/>
        <v>844.16260223719598</v>
      </c>
      <c r="W11" s="179">
        <f t="shared" si="13"/>
        <v>832.89978591846295</v>
      </c>
      <c r="X11" s="179">
        <f t="shared" ref="X11:Y11" si="14">SUM(X12:X17)</f>
        <v>817.53282923706922</v>
      </c>
      <c r="Y11" s="179">
        <f t="shared" si="14"/>
        <v>810.7798539633477</v>
      </c>
      <c r="DA11" s="188" t="s">
        <v>915</v>
      </c>
    </row>
    <row r="12" spans="1:105" ht="12" customHeight="1" x14ac:dyDescent="0.25">
      <c r="A12" s="131" t="s">
        <v>7</v>
      </c>
      <c r="B12" s="180">
        <f>B20*B52</f>
        <v>9.9492342090039969</v>
      </c>
      <c r="C12" s="180">
        <f t="shared" ref="C12:W12" si="15">C20*C52</f>
        <v>10.565045305311418</v>
      </c>
      <c r="D12" s="180">
        <f t="shared" si="15"/>
        <v>11.231085069563871</v>
      </c>
      <c r="E12" s="180">
        <f t="shared" si="15"/>
        <v>12.131014071169629</v>
      </c>
      <c r="F12" s="180">
        <f t="shared" si="15"/>
        <v>12.883621860429258</v>
      </c>
      <c r="G12" s="180">
        <f t="shared" si="15"/>
        <v>13.669333509568004</v>
      </c>
      <c r="H12" s="180">
        <f t="shared" si="15"/>
        <v>14.27293061714327</v>
      </c>
      <c r="I12" s="180">
        <f t="shared" si="15"/>
        <v>15.742843547419348</v>
      </c>
      <c r="J12" s="180">
        <f t="shared" si="15"/>
        <v>16.457623668876735</v>
      </c>
      <c r="K12" s="180">
        <f t="shared" si="15"/>
        <v>16.501862268835893</v>
      </c>
      <c r="L12" s="180">
        <f t="shared" si="15"/>
        <v>16.694278495642973</v>
      </c>
      <c r="M12" s="180">
        <f t="shared" si="15"/>
        <v>16.92361099380113</v>
      </c>
      <c r="N12" s="180">
        <f t="shared" si="15"/>
        <v>17.150037365406249</v>
      </c>
      <c r="O12" s="180">
        <f t="shared" si="15"/>
        <v>17.463268062851942</v>
      </c>
      <c r="P12" s="180">
        <f t="shared" si="15"/>
        <v>18.021573333541539</v>
      </c>
      <c r="Q12" s="180">
        <f t="shared" si="15"/>
        <v>18.524615895572214</v>
      </c>
      <c r="R12" s="180">
        <f t="shared" si="15"/>
        <v>18.676150865617512</v>
      </c>
      <c r="S12" s="180">
        <f t="shared" si="15"/>
        <v>18.83588476607963</v>
      </c>
      <c r="T12" s="180">
        <f t="shared" si="15"/>
        <v>18.962129908577097</v>
      </c>
      <c r="U12" s="180">
        <f t="shared" si="15"/>
        <v>18.999536713496653</v>
      </c>
      <c r="V12" s="180">
        <f t="shared" si="15"/>
        <v>18.975303981069963</v>
      </c>
      <c r="W12" s="180">
        <f t="shared" si="15"/>
        <v>18.84312689149278</v>
      </c>
      <c r="X12" s="180">
        <f t="shared" ref="X12:Y12" si="16">X20*X52</f>
        <v>18.630980456432539</v>
      </c>
      <c r="Y12" s="180">
        <f t="shared" si="16"/>
        <v>18.346052122727851</v>
      </c>
      <c r="DA12" s="189" t="s">
        <v>916</v>
      </c>
    </row>
    <row r="13" spans="1:105" ht="12" customHeight="1" x14ac:dyDescent="0.25">
      <c r="A13" s="131" t="s">
        <v>6</v>
      </c>
      <c r="B13" s="180">
        <f>B21*B53/1000</f>
        <v>67.919241951919716</v>
      </c>
      <c r="C13" s="180">
        <f t="shared" ref="C13:W13" si="17">C21*C53/1000</f>
        <v>70.285475779226431</v>
      </c>
      <c r="D13" s="180">
        <f t="shared" si="17"/>
        <v>72.597399435175276</v>
      </c>
      <c r="E13" s="180">
        <f t="shared" si="17"/>
        <v>75.464073478469686</v>
      </c>
      <c r="F13" s="180">
        <f t="shared" si="17"/>
        <v>77.491875208048199</v>
      </c>
      <c r="G13" s="180">
        <f t="shared" si="17"/>
        <v>78.688363264254349</v>
      </c>
      <c r="H13" s="180">
        <f t="shared" si="17"/>
        <v>79.209069413181055</v>
      </c>
      <c r="I13" s="180">
        <f t="shared" si="17"/>
        <v>79.344631370649196</v>
      </c>
      <c r="J13" s="180">
        <f t="shared" si="17"/>
        <v>79.63194283648275</v>
      </c>
      <c r="K13" s="180">
        <f t="shared" si="17"/>
        <v>79.689055580588828</v>
      </c>
      <c r="L13" s="180">
        <f t="shared" si="17"/>
        <v>79.499197709186106</v>
      </c>
      <c r="M13" s="180">
        <f t="shared" si="17"/>
        <v>79.352256773730929</v>
      </c>
      <c r="N13" s="180">
        <f t="shared" si="17"/>
        <v>79.846364200156216</v>
      </c>
      <c r="O13" s="180">
        <f t="shared" si="17"/>
        <v>80.821498743862904</v>
      </c>
      <c r="P13" s="180">
        <f t="shared" si="17"/>
        <v>81.904081460461825</v>
      </c>
      <c r="Q13" s="180">
        <f t="shared" si="17"/>
        <v>83.39544190916304</v>
      </c>
      <c r="R13" s="180">
        <f t="shared" si="17"/>
        <v>81.065941930268721</v>
      </c>
      <c r="S13" s="180">
        <f t="shared" si="17"/>
        <v>78.143400034971805</v>
      </c>
      <c r="T13" s="180">
        <f t="shared" si="17"/>
        <v>75.174129203628041</v>
      </c>
      <c r="U13" s="180">
        <f t="shared" si="17"/>
        <v>71.911440984671486</v>
      </c>
      <c r="V13" s="180">
        <f t="shared" si="17"/>
        <v>68.350753374599421</v>
      </c>
      <c r="W13" s="180">
        <f t="shared" si="17"/>
        <v>64.855187490737805</v>
      </c>
      <c r="X13" s="180">
        <f t="shared" ref="X13:Y13" si="18">X21*X53/1000</f>
        <v>61.402632125838196</v>
      </c>
      <c r="Y13" s="180">
        <f t="shared" si="18"/>
        <v>60.223096627722704</v>
      </c>
      <c r="DA13" s="189" t="s">
        <v>917</v>
      </c>
    </row>
    <row r="14" spans="1:105" ht="12" customHeight="1" x14ac:dyDescent="0.25">
      <c r="A14" s="131" t="s">
        <v>5</v>
      </c>
      <c r="B14" s="180">
        <f>B22*B54</f>
        <v>191.94917306930807</v>
      </c>
      <c r="C14" s="180">
        <f t="shared" ref="C14:W14" si="19">C22*C54</f>
        <v>199.37704595778786</v>
      </c>
      <c r="D14" s="180">
        <f t="shared" si="19"/>
        <v>208.19359818206104</v>
      </c>
      <c r="E14" s="180">
        <f t="shared" si="19"/>
        <v>221.59386978577783</v>
      </c>
      <c r="F14" s="180">
        <f t="shared" si="19"/>
        <v>232.27035160383954</v>
      </c>
      <c r="G14" s="180">
        <f t="shared" si="19"/>
        <v>245.0816039679712</v>
      </c>
      <c r="H14" s="180">
        <f t="shared" si="19"/>
        <v>252.05048797523557</v>
      </c>
      <c r="I14" s="180">
        <f t="shared" si="19"/>
        <v>275.55990442278153</v>
      </c>
      <c r="J14" s="180">
        <f t="shared" si="19"/>
        <v>285.05656543340052</v>
      </c>
      <c r="K14" s="180">
        <f t="shared" si="19"/>
        <v>284.47756314128679</v>
      </c>
      <c r="L14" s="180">
        <f t="shared" si="19"/>
        <v>286.46701192937127</v>
      </c>
      <c r="M14" s="180">
        <f t="shared" si="19"/>
        <v>293.05614669765936</v>
      </c>
      <c r="N14" s="180">
        <f t="shared" si="19"/>
        <v>295.57176030439376</v>
      </c>
      <c r="O14" s="180">
        <f t="shared" si="19"/>
        <v>295.88662667703426</v>
      </c>
      <c r="P14" s="180">
        <f t="shared" si="19"/>
        <v>297.87631084724882</v>
      </c>
      <c r="Q14" s="180">
        <f t="shared" si="19"/>
        <v>302.81044867658414</v>
      </c>
      <c r="R14" s="180">
        <f t="shared" si="19"/>
        <v>297.71728039704192</v>
      </c>
      <c r="S14" s="180">
        <f t="shared" si="19"/>
        <v>290.03003924603962</v>
      </c>
      <c r="T14" s="180">
        <f t="shared" si="19"/>
        <v>282.17805714750051</v>
      </c>
      <c r="U14" s="180">
        <f t="shared" si="19"/>
        <v>265.21138370654933</v>
      </c>
      <c r="V14" s="180">
        <f t="shared" si="19"/>
        <v>249.58478024542381</v>
      </c>
      <c r="W14" s="180">
        <f t="shared" si="19"/>
        <v>232.97694312515094</v>
      </c>
      <c r="X14" s="180">
        <f t="shared" ref="X14:Y14" si="20">X22*X54</f>
        <v>219.81938605135039</v>
      </c>
      <c r="Y14" s="180">
        <f t="shared" si="20"/>
        <v>204.05894706298767</v>
      </c>
      <c r="DA14" s="189" t="s">
        <v>918</v>
      </c>
    </row>
    <row r="15" spans="1:105" ht="12" customHeight="1" x14ac:dyDescent="0.25">
      <c r="A15" s="131" t="s">
        <v>171</v>
      </c>
      <c r="B15" s="180">
        <f>B23*B55/1000</f>
        <v>22.615580436433572</v>
      </c>
      <c r="C15" s="180">
        <f t="shared" ref="C15:W15" si="21">C23*C55/1000</f>
        <v>24.047195871959097</v>
      </c>
      <c r="D15" s="180">
        <f t="shared" si="21"/>
        <v>25.77449261737695</v>
      </c>
      <c r="E15" s="180">
        <f t="shared" si="21"/>
        <v>28.233203282115031</v>
      </c>
      <c r="F15" s="180">
        <f t="shared" si="21"/>
        <v>30.02728654295931</v>
      </c>
      <c r="G15" s="180">
        <f t="shared" si="21"/>
        <v>30.976062852430129</v>
      </c>
      <c r="H15" s="180">
        <f t="shared" si="21"/>
        <v>31.133725965509388</v>
      </c>
      <c r="I15" s="180">
        <f t="shared" si="21"/>
        <v>31.001343508750576</v>
      </c>
      <c r="J15" s="180">
        <f t="shared" si="21"/>
        <v>30.668189164554839</v>
      </c>
      <c r="K15" s="180">
        <f t="shared" si="21"/>
        <v>30.283181855361143</v>
      </c>
      <c r="L15" s="180">
        <f t="shared" si="21"/>
        <v>29.997943187949527</v>
      </c>
      <c r="M15" s="180">
        <f t="shared" si="21"/>
        <v>29.153001116931744</v>
      </c>
      <c r="N15" s="180">
        <f t="shared" si="21"/>
        <v>28.778657898352378</v>
      </c>
      <c r="O15" s="180">
        <f t="shared" si="21"/>
        <v>28.704895597520949</v>
      </c>
      <c r="P15" s="180">
        <f t="shared" si="21"/>
        <v>28.735151093995416</v>
      </c>
      <c r="Q15" s="180">
        <f t="shared" si="21"/>
        <v>28.934870554034337</v>
      </c>
      <c r="R15" s="180">
        <f t="shared" si="21"/>
        <v>29.34632491145284</v>
      </c>
      <c r="S15" s="180">
        <f t="shared" si="21"/>
        <v>29.691339696197058</v>
      </c>
      <c r="T15" s="180">
        <f t="shared" si="21"/>
        <v>30.068924281203788</v>
      </c>
      <c r="U15" s="180">
        <f t="shared" si="21"/>
        <v>30.393883147501004</v>
      </c>
      <c r="V15" s="180">
        <f t="shared" si="21"/>
        <v>30.63268883623256</v>
      </c>
      <c r="W15" s="180">
        <f t="shared" si="21"/>
        <v>30.733844859872764</v>
      </c>
      <c r="X15" s="180">
        <f t="shared" ref="X15:Y15" si="22">X23*X55/1000</f>
        <v>30.472962216812025</v>
      </c>
      <c r="Y15" s="180">
        <f t="shared" si="22"/>
        <v>30.429641603088594</v>
      </c>
      <c r="DA15" s="189" t="s">
        <v>919</v>
      </c>
    </row>
    <row r="16" spans="1:105" ht="12" customHeight="1" x14ac:dyDescent="0.25">
      <c r="A16" s="60" t="s">
        <v>4</v>
      </c>
      <c r="B16" s="55">
        <f>B24*B56</f>
        <v>94.044923879823159</v>
      </c>
      <c r="C16" s="55">
        <f t="shared" ref="C16:W16" si="23">C24*C56</f>
        <v>107.95255640072402</v>
      </c>
      <c r="D16" s="55">
        <f t="shared" si="23"/>
        <v>123.59330712925289</v>
      </c>
      <c r="E16" s="55">
        <f t="shared" si="23"/>
        <v>141.61631979008376</v>
      </c>
      <c r="F16" s="55">
        <f t="shared" si="23"/>
        <v>159.87431082218356</v>
      </c>
      <c r="G16" s="55">
        <f t="shared" si="23"/>
        <v>177.07258338274363</v>
      </c>
      <c r="H16" s="55">
        <f t="shared" si="23"/>
        <v>192.39082868652696</v>
      </c>
      <c r="I16" s="55">
        <f t="shared" si="23"/>
        <v>219.47518947857688</v>
      </c>
      <c r="J16" s="55">
        <f t="shared" si="23"/>
        <v>235.18738213729048</v>
      </c>
      <c r="K16" s="55">
        <f t="shared" si="23"/>
        <v>241.02214352195622</v>
      </c>
      <c r="L16" s="55">
        <f t="shared" si="23"/>
        <v>246.41401639470809</v>
      </c>
      <c r="M16" s="55">
        <f t="shared" si="23"/>
        <v>255.31685345485383</v>
      </c>
      <c r="N16" s="55">
        <f t="shared" si="23"/>
        <v>260.25423436190226</v>
      </c>
      <c r="O16" s="55">
        <f t="shared" si="23"/>
        <v>266.762148678811</v>
      </c>
      <c r="P16" s="55">
        <f t="shared" si="23"/>
        <v>274.07521637042004</v>
      </c>
      <c r="Q16" s="55">
        <f t="shared" si="23"/>
        <v>277.77768203114113</v>
      </c>
      <c r="R16" s="55">
        <f t="shared" si="23"/>
        <v>285.81429094297874</v>
      </c>
      <c r="S16" s="55">
        <f t="shared" si="23"/>
        <v>291.48285990871057</v>
      </c>
      <c r="T16" s="55">
        <f t="shared" si="23"/>
        <v>297.90982028473564</v>
      </c>
      <c r="U16" s="55">
        <f t="shared" si="23"/>
        <v>305.84701351323014</v>
      </c>
      <c r="V16" s="55">
        <f t="shared" si="23"/>
        <v>312.06484499413011</v>
      </c>
      <c r="W16" s="55">
        <f t="shared" si="23"/>
        <v>316.36080724383152</v>
      </c>
      <c r="X16" s="55">
        <f t="shared" ref="X16:Y16" si="24">X24*X56</f>
        <v>315.06115337407385</v>
      </c>
      <c r="Y16" s="55">
        <f t="shared" si="24"/>
        <v>315.23452046297217</v>
      </c>
      <c r="DA16" s="101" t="s">
        <v>920</v>
      </c>
    </row>
    <row r="17" spans="1:105" ht="12" customHeight="1" x14ac:dyDescent="0.25">
      <c r="A17" s="62" t="s">
        <v>3</v>
      </c>
      <c r="B17" s="63">
        <f>B25*B57/1000</f>
        <v>37.92217871466719</v>
      </c>
      <c r="C17" s="63">
        <f t="shared" ref="C17:W17" si="25">C25*C57/1000</f>
        <v>41.427034176057958</v>
      </c>
      <c r="D17" s="63">
        <f t="shared" si="25"/>
        <v>44.613749480570242</v>
      </c>
      <c r="E17" s="63">
        <f t="shared" si="25"/>
        <v>48.538841265113682</v>
      </c>
      <c r="F17" s="63">
        <f t="shared" si="25"/>
        <v>55.819426559645841</v>
      </c>
      <c r="G17" s="63">
        <f t="shared" si="25"/>
        <v>63.153219062828491</v>
      </c>
      <c r="H17" s="63">
        <f t="shared" si="25"/>
        <v>79.233164974571224</v>
      </c>
      <c r="I17" s="63">
        <f t="shared" si="25"/>
        <v>100.14131925052328</v>
      </c>
      <c r="J17" s="63">
        <f t="shared" si="25"/>
        <v>107.79675019376936</v>
      </c>
      <c r="K17" s="63">
        <f t="shared" si="25"/>
        <v>110.04886255650355</v>
      </c>
      <c r="L17" s="63">
        <f t="shared" si="25"/>
        <v>110.81100581840936</v>
      </c>
      <c r="M17" s="63">
        <f t="shared" si="25"/>
        <v>108.91394997586828</v>
      </c>
      <c r="N17" s="63">
        <f t="shared" si="25"/>
        <v>112.60879310862393</v>
      </c>
      <c r="O17" s="63">
        <f t="shared" si="25"/>
        <v>118.36375286291909</v>
      </c>
      <c r="P17" s="63">
        <f t="shared" si="25"/>
        <v>125.24936708108334</v>
      </c>
      <c r="Q17" s="63">
        <f t="shared" si="25"/>
        <v>135.88959736909945</v>
      </c>
      <c r="R17" s="63">
        <f t="shared" si="25"/>
        <v>140.85066728694474</v>
      </c>
      <c r="S17" s="63">
        <f t="shared" si="25"/>
        <v>147.6445056421704</v>
      </c>
      <c r="T17" s="63">
        <f t="shared" si="25"/>
        <v>152.81067717419086</v>
      </c>
      <c r="U17" s="63">
        <f t="shared" si="25"/>
        <v>158.78639156618448</v>
      </c>
      <c r="V17" s="63">
        <f t="shared" si="25"/>
        <v>164.5542308057401</v>
      </c>
      <c r="W17" s="63">
        <f t="shared" si="25"/>
        <v>169.1298763073772</v>
      </c>
      <c r="X17" s="63">
        <f t="shared" ref="X17:Y17" si="26">X25*X57/1000</f>
        <v>172.14571501256216</v>
      </c>
      <c r="Y17" s="63">
        <f t="shared" si="26"/>
        <v>182.4875960838487</v>
      </c>
      <c r="DA17" s="105" t="s">
        <v>921</v>
      </c>
    </row>
    <row r="18" spans="1:105" s="2" customFormat="1" ht="12" customHeight="1" x14ac:dyDescent="0.25">
      <c r="DA18" s="7"/>
    </row>
    <row r="19" spans="1:105" ht="12.95" customHeight="1" x14ac:dyDescent="0.25">
      <c r="A19" s="178" t="s">
        <v>107</v>
      </c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DA19" s="188"/>
    </row>
    <row r="20" spans="1:105" ht="12" customHeight="1" x14ac:dyDescent="0.25">
      <c r="A20" s="131" t="s">
        <v>158</v>
      </c>
      <c r="B20" s="181">
        <v>12.26086366170566</v>
      </c>
      <c r="C20" s="181">
        <v>13.176811204590827</v>
      </c>
      <c r="D20" s="181">
        <v>14.189813729583827</v>
      </c>
      <c r="E20" s="181">
        <v>15.5688419184119</v>
      </c>
      <c r="F20" s="181">
        <v>16.7732816410937</v>
      </c>
      <c r="G20" s="181">
        <v>18.063312656242672</v>
      </c>
      <c r="H20" s="181">
        <v>19.113867737506695</v>
      </c>
      <c r="I20" s="181">
        <v>21.545979004215511</v>
      </c>
      <c r="J20" s="181">
        <v>22.854034564120113</v>
      </c>
      <c r="K20" s="181">
        <v>23.123283965457244</v>
      </c>
      <c r="L20" s="181">
        <v>23.66092750718358</v>
      </c>
      <c r="M20" s="181">
        <v>24.294615683032593</v>
      </c>
      <c r="N20" s="181">
        <v>24.965261761832501</v>
      </c>
      <c r="O20" s="181">
        <v>25.831642870701277</v>
      </c>
      <c r="P20" s="181">
        <v>27.200288936497522</v>
      </c>
      <c r="Q20" s="181">
        <v>28.55157205484976</v>
      </c>
      <c r="R20" s="181">
        <v>29.265612820435283</v>
      </c>
      <c r="S20" s="181">
        <v>30.022152582336094</v>
      </c>
      <c r="T20" s="181">
        <v>30.741989893401257</v>
      </c>
      <c r="U20" s="181">
        <v>31.395919313030515</v>
      </c>
      <c r="V20" s="181">
        <v>31.957422592388898</v>
      </c>
      <c r="W20" s="181">
        <v>32.422516890007209</v>
      </c>
      <c r="X20" s="181">
        <v>32.636876252011902</v>
      </c>
      <c r="Y20" s="181">
        <v>32.708942107426211</v>
      </c>
      <c r="DA20" s="190" t="s">
        <v>922</v>
      </c>
    </row>
    <row r="21" spans="1:105" ht="12" customHeight="1" x14ac:dyDescent="0.25">
      <c r="A21" s="131" t="s">
        <v>156</v>
      </c>
      <c r="B21" s="181">
        <v>336.2626817411479</v>
      </c>
      <c r="C21" s="181">
        <v>351.94107652633727</v>
      </c>
      <c r="D21" s="181">
        <v>368.28583786287112</v>
      </c>
      <c r="E21" s="181">
        <v>388.26751230603782</v>
      </c>
      <c r="F21" s="181">
        <v>404.34485357550574</v>
      </c>
      <c r="G21" s="181">
        <v>417.27659048177003</v>
      </c>
      <c r="H21" s="181">
        <v>428.14172512775519</v>
      </c>
      <c r="I21" s="181">
        <v>438.45084175707865</v>
      </c>
      <c r="J21" s="181">
        <v>446.68145066675942</v>
      </c>
      <c r="K21" s="181">
        <v>454.47377348701292</v>
      </c>
      <c r="L21" s="181">
        <v>462.4840344814001</v>
      </c>
      <c r="M21" s="181">
        <v>471.72905508829319</v>
      </c>
      <c r="N21" s="181">
        <v>486.27391621224984</v>
      </c>
      <c r="O21" s="181">
        <v>505.64226018538284</v>
      </c>
      <c r="P21" s="181">
        <v>529.22642384547112</v>
      </c>
      <c r="Q21" s="181">
        <v>560.47442601422063</v>
      </c>
      <c r="R21" s="181">
        <v>565.04058718167016</v>
      </c>
      <c r="S21" s="181">
        <v>568.18782565963443</v>
      </c>
      <c r="T21" s="181">
        <v>571.99493896357603</v>
      </c>
      <c r="U21" s="181">
        <v>575.12637016208339</v>
      </c>
      <c r="V21" s="181">
        <v>577.35212840229008</v>
      </c>
      <c r="W21" s="181">
        <v>578.27099671442897</v>
      </c>
      <c r="X21" s="181">
        <v>577.82122271834771</v>
      </c>
      <c r="Y21" s="181">
        <v>588.75936620413393</v>
      </c>
      <c r="DA21" s="190" t="s">
        <v>923</v>
      </c>
    </row>
    <row r="22" spans="1:105" ht="12" customHeight="1" x14ac:dyDescent="0.25">
      <c r="A22" s="131" t="s">
        <v>160</v>
      </c>
      <c r="B22" s="181">
        <v>4.2286620272069673</v>
      </c>
      <c r="C22" s="181">
        <v>4.4539746927366135</v>
      </c>
      <c r="D22" s="181">
        <v>4.7552463417649742</v>
      </c>
      <c r="E22" s="181">
        <v>5.2047554201610797</v>
      </c>
      <c r="F22" s="181">
        <v>5.6179566241794685</v>
      </c>
      <c r="G22" s="181">
        <v>6.1199508899052324</v>
      </c>
      <c r="H22" s="181">
        <v>6.5068298026982454</v>
      </c>
      <c r="I22" s="181">
        <v>7.374449139119263</v>
      </c>
      <c r="J22" s="181">
        <v>7.8518345715711702</v>
      </c>
      <c r="K22" s="181">
        <v>8.0709271722414204</v>
      </c>
      <c r="L22" s="181">
        <v>8.3792921570513226</v>
      </c>
      <c r="M22" s="181">
        <v>8.8939687929366098</v>
      </c>
      <c r="N22" s="181">
        <v>9.2763337553202376</v>
      </c>
      <c r="O22" s="181">
        <v>9.7837950862966867</v>
      </c>
      <c r="P22" s="181">
        <v>10.316695537621904</v>
      </c>
      <c r="Q22" s="181">
        <v>10.997650351470666</v>
      </c>
      <c r="R22" s="181">
        <v>11.391619270672734</v>
      </c>
      <c r="S22" s="181">
        <v>11.808005026646558</v>
      </c>
      <c r="T22" s="181">
        <v>12.199194352669238</v>
      </c>
      <c r="U22" s="181">
        <v>12.542654025908661</v>
      </c>
      <c r="V22" s="181">
        <v>12.807839531153194</v>
      </c>
      <c r="W22" s="181">
        <v>12.953250175522838</v>
      </c>
      <c r="X22" s="181">
        <v>13.018308566276776</v>
      </c>
      <c r="Y22" s="181">
        <v>13.036753340073755</v>
      </c>
      <c r="DA22" s="190" t="s">
        <v>924</v>
      </c>
    </row>
    <row r="23" spans="1:105" ht="12" customHeight="1" x14ac:dyDescent="0.25">
      <c r="A23" s="131" t="s">
        <v>172</v>
      </c>
      <c r="B23" s="181">
        <v>32.411311554016564</v>
      </c>
      <c r="C23" s="181">
        <v>34.966025886938446</v>
      </c>
      <c r="D23" s="181">
        <v>38.112108108312157</v>
      </c>
      <c r="E23" s="181">
        <v>42.571723424809484</v>
      </c>
      <c r="F23" s="181">
        <v>46.044905244680038</v>
      </c>
      <c r="G23" s="181">
        <v>48.201023843324293</v>
      </c>
      <c r="H23" s="181">
        <v>49.101488549346662</v>
      </c>
      <c r="I23" s="181">
        <v>49.563459943373779</v>
      </c>
      <c r="J23" s="181">
        <v>49.761534623310915</v>
      </c>
      <c r="K23" s="181">
        <v>49.961652041258148</v>
      </c>
      <c r="L23" s="181">
        <v>50.450932763243486</v>
      </c>
      <c r="M23" s="181">
        <v>49.948448110864916</v>
      </c>
      <c r="N23" s="181">
        <v>50.412360536459275</v>
      </c>
      <c r="O23" s="181">
        <v>51.647465776388664</v>
      </c>
      <c r="P23" s="181">
        <v>53.027244892051833</v>
      </c>
      <c r="Q23" s="181">
        <v>54.530068916693921</v>
      </c>
      <c r="R23" s="181">
        <v>56.225962262997697</v>
      </c>
      <c r="S23" s="181">
        <v>57.751098309956092</v>
      </c>
      <c r="T23" s="181">
        <v>59.310165924450956</v>
      </c>
      <c r="U23" s="181">
        <v>60.767370263227427</v>
      </c>
      <c r="V23" s="181">
        <v>62.095216853401688</v>
      </c>
      <c r="W23" s="181">
        <v>63.276076349986504</v>
      </c>
      <c r="X23" s="181">
        <v>63.994867948075843</v>
      </c>
      <c r="Y23" s="181">
        <v>65.759720213338156</v>
      </c>
      <c r="DA23" s="190" t="s">
        <v>925</v>
      </c>
    </row>
    <row r="24" spans="1:105" ht="12" customHeight="1" x14ac:dyDescent="0.25">
      <c r="A24" s="60" t="s">
        <v>159</v>
      </c>
      <c r="B24" s="36">
        <v>1.6585873815020007</v>
      </c>
      <c r="C24" s="36">
        <v>1.9246225413001916</v>
      </c>
      <c r="D24" s="36">
        <v>2.2285034842827978</v>
      </c>
      <c r="E24" s="36">
        <v>2.5839534385377791</v>
      </c>
      <c r="F24" s="36">
        <v>2.9521824125739493</v>
      </c>
      <c r="G24" s="36">
        <v>3.3088801702599717</v>
      </c>
      <c r="H24" s="36">
        <v>3.6378356261440787</v>
      </c>
      <c r="I24" s="36">
        <v>4.226784467797895</v>
      </c>
      <c r="J24" s="36">
        <v>4.5866062494359934</v>
      </c>
      <c r="K24" s="36">
        <v>4.7402306671190733</v>
      </c>
      <c r="L24" s="36">
        <v>4.8930130557640066</v>
      </c>
      <c r="M24" s="36">
        <v>5.1418069692191342</v>
      </c>
      <c r="N24" s="36">
        <v>5.3138107199653328</v>
      </c>
      <c r="O24" s="36">
        <v>5.5456286692197123</v>
      </c>
      <c r="P24" s="36">
        <v>5.8257531726801313</v>
      </c>
      <c r="Q24" s="36">
        <v>6.0423914024478531</v>
      </c>
      <c r="R24" s="36">
        <v>6.4103046288353029</v>
      </c>
      <c r="S24" s="36">
        <v>6.7359890869962102</v>
      </c>
      <c r="T24" s="36">
        <v>7.1131413821859883</v>
      </c>
      <c r="U24" s="36">
        <v>7.543531060009828</v>
      </c>
      <c r="V24" s="36">
        <v>7.9212930122792109</v>
      </c>
      <c r="W24" s="36">
        <v>8.2278872996759898</v>
      </c>
      <c r="X24" s="36">
        <v>8.472704779778141</v>
      </c>
      <c r="Y24" s="36">
        <v>8.6641611488028438</v>
      </c>
      <c r="DA24" s="89" t="s">
        <v>926</v>
      </c>
    </row>
    <row r="25" spans="1:105" ht="12" customHeight="1" x14ac:dyDescent="0.25">
      <c r="A25" s="62" t="s">
        <v>157</v>
      </c>
      <c r="B25" s="38">
        <v>97.541353186417041</v>
      </c>
      <c r="C25" s="38">
        <v>108.55541090111348</v>
      </c>
      <c r="D25" s="38">
        <v>119.87291449188874</v>
      </c>
      <c r="E25" s="38">
        <v>134.40962854531099</v>
      </c>
      <c r="F25" s="38">
        <v>160.37775518398428</v>
      </c>
      <c r="G25" s="38">
        <v>188.64451635165472</v>
      </c>
      <c r="H25" s="38">
        <v>250.88272716248878</v>
      </c>
      <c r="I25" s="38">
        <v>334.91165938247389</v>
      </c>
      <c r="J25" s="38">
        <v>375.60476904827874</v>
      </c>
      <c r="K25" s="38">
        <v>402.46485034306818</v>
      </c>
      <c r="L25" s="38">
        <v>427.26255644995945</v>
      </c>
      <c r="M25" s="38">
        <v>458.88528401153621</v>
      </c>
      <c r="N25" s="38">
        <v>520.71003640302365</v>
      </c>
      <c r="O25" s="38">
        <v>571.60467940996114</v>
      </c>
      <c r="P25" s="38">
        <v>620.72149568093255</v>
      </c>
      <c r="Q25" s="38">
        <v>681.95306674252924</v>
      </c>
      <c r="R25" s="38">
        <v>713.11789406659227</v>
      </c>
      <c r="S25" s="38">
        <v>759.11240596564301</v>
      </c>
      <c r="T25" s="38">
        <v>796.55771503880703</v>
      </c>
      <c r="U25" s="38">
        <v>841.87364771634134</v>
      </c>
      <c r="V25" s="38">
        <v>891.34864337690033</v>
      </c>
      <c r="W25" s="38">
        <v>938.26257633832006</v>
      </c>
      <c r="X25" s="38">
        <v>983.30241533524372</v>
      </c>
      <c r="Y25" s="38">
        <v>1064.3175333066185</v>
      </c>
      <c r="DA25" s="90" t="s">
        <v>927</v>
      </c>
    </row>
    <row r="26" spans="1:105" s="2" customFormat="1" ht="12" customHeight="1" x14ac:dyDescent="0.25">
      <c r="DA26" s="7"/>
    </row>
    <row r="27" spans="1:105" ht="12.95" customHeight="1" x14ac:dyDescent="0.25">
      <c r="A27" s="178" t="s">
        <v>106</v>
      </c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DA27" s="188"/>
    </row>
    <row r="28" spans="1:105" ht="12" customHeight="1" x14ac:dyDescent="0.25">
      <c r="A28" s="131" t="s">
        <v>158</v>
      </c>
      <c r="B28" s="182"/>
      <c r="C28" s="182">
        <v>1.4477419935798395</v>
      </c>
      <c r="D28" s="182">
        <v>1.5598390977698919</v>
      </c>
      <c r="E28" s="182">
        <v>1.9413323590497793</v>
      </c>
      <c r="F28" s="182">
        <v>1.7826490005344091</v>
      </c>
      <c r="G28" s="182">
        <v>1.8845952860541964</v>
      </c>
      <c r="H28" s="182">
        <v>1.6619369559200905</v>
      </c>
      <c r="I28" s="182">
        <v>3.0607864410324908</v>
      </c>
      <c r="J28" s="182">
        <v>1.9545131851543509</v>
      </c>
      <c r="K28" s="182">
        <v>0.93399246470547226</v>
      </c>
      <c r="L28" s="182">
        <v>1.2211892576974499</v>
      </c>
      <c r="M28" s="182">
        <v>1.3365683886261479</v>
      </c>
      <c r="N28" s="182">
        <v>1.3934076761156717</v>
      </c>
      <c r="O28" s="182">
        <v>1.6095864475003054</v>
      </c>
      <c r="P28" s="182">
        <v>2.1328734091163319</v>
      </c>
      <c r="Q28" s="182">
        <v>2.1371270862568323</v>
      </c>
      <c r="R28" s="182">
        <v>1.5221127971477095</v>
      </c>
      <c r="S28" s="182">
        <v>1.5874685911112358</v>
      </c>
      <c r="T28" s="182">
        <v>1.5742694560290538</v>
      </c>
      <c r="U28" s="182">
        <v>2.1016714132090968</v>
      </c>
      <c r="V28" s="182">
        <v>2.1213423771282756</v>
      </c>
      <c r="W28" s="182">
        <v>2.4064266566680885</v>
      </c>
      <c r="X28" s="182">
        <v>1.997008362539102</v>
      </c>
      <c r="Y28" s="182">
        <v>1.9566611414685049</v>
      </c>
      <c r="DA28" s="191" t="s">
        <v>928</v>
      </c>
    </row>
    <row r="29" spans="1:105" ht="12" customHeight="1" x14ac:dyDescent="0.25">
      <c r="A29" s="131" t="s">
        <v>156</v>
      </c>
      <c r="B29" s="182"/>
      <c r="C29" s="182">
        <v>57.860675077865267</v>
      </c>
      <c r="D29" s="182">
        <v>60.342772886256228</v>
      </c>
      <c r="E29" s="182">
        <v>65.873575186750372</v>
      </c>
      <c r="F29" s="182">
        <v>63.944653442856861</v>
      </c>
      <c r="G29" s="182">
        <v>62.859491860389198</v>
      </c>
      <c r="H29" s="182">
        <v>62.942023896202272</v>
      </c>
      <c r="I29" s="182">
        <v>64.627649406758508</v>
      </c>
      <c r="J29" s="182">
        <v>66.091283987546035</v>
      </c>
      <c r="K29" s="182">
        <v>68.13509570650973</v>
      </c>
      <c r="L29" s="182">
        <v>73.883836181137553</v>
      </c>
      <c r="M29" s="182">
        <v>73.189674049749954</v>
      </c>
      <c r="N29" s="182">
        <v>77.404352984345849</v>
      </c>
      <c r="O29" s="182">
        <v>82.310367869335266</v>
      </c>
      <c r="P29" s="182">
        <v>88.211813066846787</v>
      </c>
      <c r="Q29" s="182">
        <v>97.339286156295543</v>
      </c>
      <c r="R29" s="182">
        <v>72.701256873959267</v>
      </c>
      <c r="S29" s="182">
        <v>77.031074659101819</v>
      </c>
      <c r="T29" s="182">
        <v>76.996787353691559</v>
      </c>
      <c r="U29" s="182">
        <v>80.535784182853206</v>
      </c>
      <c r="V29" s="182">
        <v>84.536126109541954</v>
      </c>
      <c r="W29" s="182">
        <v>89.130681378985685</v>
      </c>
      <c r="X29" s="182">
        <v>96.889512160214281</v>
      </c>
      <c r="Y29" s="182">
        <v>83.63940035974548</v>
      </c>
      <c r="DA29" s="191" t="s">
        <v>929</v>
      </c>
    </row>
    <row r="30" spans="1:105" ht="12" customHeight="1" x14ac:dyDescent="0.25">
      <c r="A30" s="131" t="s">
        <v>160</v>
      </c>
      <c r="B30" s="182"/>
      <c r="C30" s="182">
        <v>0.88568631087011074</v>
      </c>
      <c r="D30" s="182">
        <v>0.97880071343523634</v>
      </c>
      <c r="E30" s="182">
        <v>1.1446392313860683</v>
      </c>
      <c r="F30" s="182">
        <v>1.1263896928677317</v>
      </c>
      <c r="G30" s="182">
        <v>1.2337102162415139</v>
      </c>
      <c r="H30" s="182">
        <v>1.1376036378975849</v>
      </c>
      <c r="I30" s="182">
        <v>1.7533056472911284</v>
      </c>
      <c r="J30" s="182">
        <v>1.4561861458871439</v>
      </c>
      <c r="K30" s="182">
        <v>1.3637318320563185</v>
      </c>
      <c r="L30" s="182">
        <v>1.4347546776776339</v>
      </c>
      <c r="M30" s="182">
        <v>1.7483868521268011</v>
      </c>
      <c r="N30" s="182">
        <v>1.5199686002812127</v>
      </c>
      <c r="O30" s="182">
        <v>2.2607669782675774</v>
      </c>
      <c r="P30" s="182">
        <v>1.9890865972123599</v>
      </c>
      <c r="Q30" s="182">
        <v>2.044686645905081</v>
      </c>
      <c r="R30" s="182">
        <v>1.8287235968797013</v>
      </c>
      <c r="S30" s="182">
        <v>2.1647726081006251</v>
      </c>
      <c r="T30" s="182">
        <v>1.9111579263038934</v>
      </c>
      <c r="U30" s="182">
        <v>2.6042266515070001</v>
      </c>
      <c r="V30" s="182">
        <v>2.254272102456893</v>
      </c>
      <c r="W30" s="182">
        <v>2.1900972902747249</v>
      </c>
      <c r="X30" s="182">
        <v>1.8937819876336395</v>
      </c>
      <c r="Y30" s="182">
        <v>2.1832173818976042</v>
      </c>
      <c r="DA30" s="191" t="s">
        <v>930</v>
      </c>
    </row>
    <row r="31" spans="1:105" ht="12" customHeight="1" x14ac:dyDescent="0.25">
      <c r="A31" s="131" t="s">
        <v>172</v>
      </c>
      <c r="B31" s="182"/>
      <c r="C31" s="182">
        <v>5.5003548791798806</v>
      </c>
      <c r="D31" s="182">
        <v>6.1537702856122998</v>
      </c>
      <c r="E31" s="182">
        <v>7.5306578791260677</v>
      </c>
      <c r="F31" s="182">
        <v>6.6089133917763903</v>
      </c>
      <c r="G31" s="182">
        <v>5.357901801098599</v>
      </c>
      <c r="H31" s="182">
        <v>4.1696908628034421</v>
      </c>
      <c r="I31" s="182">
        <v>3.8000611360148753</v>
      </c>
      <c r="J31" s="182">
        <v>3.6064785624434776</v>
      </c>
      <c r="K31" s="182">
        <v>3.6803165510497777</v>
      </c>
      <c r="L31" s="182">
        <v>4.0427874141386795</v>
      </c>
      <c r="M31" s="182">
        <v>4.9978702268013109</v>
      </c>
      <c r="N31" s="182">
        <v>6.6176827112066547</v>
      </c>
      <c r="O31" s="182">
        <v>8.7657631190554568</v>
      </c>
      <c r="P31" s="182">
        <v>7.9886925074395592</v>
      </c>
      <c r="Q31" s="182">
        <v>6.8607258257406869</v>
      </c>
      <c r="R31" s="182">
        <v>5.8655842091072188</v>
      </c>
      <c r="S31" s="182">
        <v>5.3251971829732696</v>
      </c>
      <c r="T31" s="182">
        <v>5.1655461769383422</v>
      </c>
      <c r="U31" s="182">
        <v>5.1375208898262485</v>
      </c>
      <c r="V31" s="182">
        <v>5.3706340043129401</v>
      </c>
      <c r="W31" s="182">
        <v>6.1787297233861267</v>
      </c>
      <c r="X31" s="182">
        <v>7.3364743092959941</v>
      </c>
      <c r="Y31" s="182">
        <v>10.53061538431777</v>
      </c>
      <c r="DA31" s="191" t="s">
        <v>931</v>
      </c>
    </row>
    <row r="32" spans="1:105" ht="12" customHeight="1" x14ac:dyDescent="0.25">
      <c r="A32" s="60" t="s">
        <v>159</v>
      </c>
      <c r="B32" s="41"/>
      <c r="C32" s="41">
        <v>0.31327579950074602</v>
      </c>
      <c r="D32" s="41">
        <v>0.35643764160263203</v>
      </c>
      <c r="E32" s="41">
        <v>0.41392093574947708</v>
      </c>
      <c r="F32" s="41">
        <v>0.4332797813870517</v>
      </c>
      <c r="G32" s="41">
        <v>0.42906882840936689</v>
      </c>
      <c r="H32" s="41">
        <v>0.40947055002263255</v>
      </c>
      <c r="I32" s="41">
        <v>0.67852441818379772</v>
      </c>
      <c r="J32" s="41">
        <v>0.45947743001719221</v>
      </c>
      <c r="K32" s="41">
        <v>0.26449446327562587</v>
      </c>
      <c r="L32" s="41">
        <v>0.27612880412289353</v>
      </c>
      <c r="M32" s="41">
        <v>0.3860206831380335</v>
      </c>
      <c r="N32" s="41">
        <v>0.32467285138147428</v>
      </c>
      <c r="O32" s="41">
        <v>0.40166712913846592</v>
      </c>
      <c r="P32" s="41">
        <v>0.46908706227063934</v>
      </c>
      <c r="Q32" s="41">
        <v>0.42686502424782535</v>
      </c>
      <c r="R32" s="41">
        <v>0.68118902588819541</v>
      </c>
      <c r="S32" s="41">
        <v>0.68212209976353932</v>
      </c>
      <c r="T32" s="41">
        <v>0.79107323093925519</v>
      </c>
      <c r="U32" s="41">
        <v>0.86366945921089133</v>
      </c>
      <c r="V32" s="41">
        <v>0.8068307806787498</v>
      </c>
      <c r="W32" s="41">
        <v>0.7160648374194114</v>
      </c>
      <c r="X32" s="41">
        <v>0.92334189828594937</v>
      </c>
      <c r="Y32" s="41">
        <v>0.65093379904189419</v>
      </c>
      <c r="DA32" s="92" t="s">
        <v>932</v>
      </c>
    </row>
    <row r="33" spans="1:105" ht="12" customHeight="1" x14ac:dyDescent="0.25">
      <c r="A33" s="62" t="s">
        <v>157</v>
      </c>
      <c r="B33" s="42"/>
      <c r="C33" s="42">
        <v>30.522328351979837</v>
      </c>
      <c r="D33" s="42">
        <v>30.825774228058663</v>
      </c>
      <c r="E33" s="42">
        <v>34.044984690705661</v>
      </c>
      <c r="F33" s="42">
        <v>45.476397275956685</v>
      </c>
      <c r="G33" s="42">
        <v>47.775031804953841</v>
      </c>
      <c r="H33" s="42">
        <v>92.760539162813899</v>
      </c>
      <c r="I33" s="42">
        <v>114.85470644804377</v>
      </c>
      <c r="J33" s="42">
        <v>74.738094356510487</v>
      </c>
      <c r="K33" s="42">
        <v>72.336478570746124</v>
      </c>
      <c r="L33" s="42">
        <v>72.572737911845138</v>
      </c>
      <c r="M33" s="42">
        <v>124.38326672439064</v>
      </c>
      <c r="N33" s="42">
        <v>176.67945883953121</v>
      </c>
      <c r="O33" s="42">
        <v>125.63273736344797</v>
      </c>
      <c r="P33" s="42">
        <v>121.45329484171754</v>
      </c>
      <c r="Q33" s="42">
        <v>133.80430897344183</v>
      </c>
      <c r="R33" s="42">
        <v>155.54809404845366</v>
      </c>
      <c r="S33" s="42">
        <v>222.67397073858194</v>
      </c>
      <c r="T33" s="42">
        <v>163.078046436612</v>
      </c>
      <c r="U33" s="42">
        <v>166.7692275192519</v>
      </c>
      <c r="V33" s="42">
        <v>183.27930463400082</v>
      </c>
      <c r="W33" s="42">
        <v>202.4620270098734</v>
      </c>
      <c r="X33" s="42">
        <v>267.71380973550561</v>
      </c>
      <c r="Y33" s="42">
        <v>244.09316440798682</v>
      </c>
      <c r="DA33" s="93" t="s">
        <v>933</v>
      </c>
    </row>
    <row r="34" spans="1:105" s="2" customFormat="1" ht="12" customHeight="1" x14ac:dyDescent="0.25">
      <c r="DA34" s="7"/>
    </row>
    <row r="35" spans="1:105" ht="12.95" customHeight="1" x14ac:dyDescent="0.25">
      <c r="A35" s="178" t="s">
        <v>105</v>
      </c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DA35" s="188"/>
    </row>
    <row r="36" spans="1:105" ht="12" customHeight="1" x14ac:dyDescent="0.25">
      <c r="A36" s="131" t="s">
        <v>158</v>
      </c>
      <c r="B36" s="182"/>
      <c r="C36" s="182">
        <v>0.53179445069467235</v>
      </c>
      <c r="D36" s="182">
        <v>0.54683657277689157</v>
      </c>
      <c r="E36" s="182">
        <v>0.5623041702217062</v>
      </c>
      <c r="F36" s="182">
        <v>0.57820927785261134</v>
      </c>
      <c r="G36" s="182">
        <v>0.59456427090522368</v>
      </c>
      <c r="H36" s="182">
        <v>0.61138187465606819</v>
      </c>
      <c r="I36" s="182">
        <v>0.62867517432367492</v>
      </c>
      <c r="J36" s="182">
        <v>0.6464576252497487</v>
      </c>
      <c r="K36" s="182">
        <v>0.66474306336834132</v>
      </c>
      <c r="L36" s="182">
        <v>0.68354571597111402</v>
      </c>
      <c r="M36" s="182">
        <v>0.70288021277713497</v>
      </c>
      <c r="N36" s="182">
        <v>0.72276159731576328</v>
      </c>
      <c r="O36" s="182">
        <v>0.7432053386315296</v>
      </c>
      <c r="P36" s="182">
        <v>0.76422734332008702</v>
      </c>
      <c r="Q36" s="182">
        <v>0.78584396790459365</v>
      </c>
      <c r="R36" s="182">
        <v>0.80807203156218677</v>
      </c>
      <c r="S36" s="182">
        <v>0.83092882921042488</v>
      </c>
      <c r="T36" s="182">
        <v>0.85443214496389075</v>
      </c>
      <c r="U36" s="182">
        <v>1.447741993579843</v>
      </c>
      <c r="V36" s="182">
        <v>1.5598390977698919</v>
      </c>
      <c r="W36" s="182">
        <v>1.941332359049774</v>
      </c>
      <c r="X36" s="182">
        <v>1.7826490005344056</v>
      </c>
      <c r="Y36" s="182">
        <v>1.8845952860541928</v>
      </c>
      <c r="DA36" s="191" t="s">
        <v>934</v>
      </c>
    </row>
    <row r="37" spans="1:105" ht="12" customHeight="1" x14ac:dyDescent="0.25">
      <c r="A37" s="131" t="s">
        <v>156</v>
      </c>
      <c r="B37" s="182"/>
      <c r="C37" s="182">
        <v>42.182280292675898</v>
      </c>
      <c r="D37" s="182">
        <v>43.998011549722378</v>
      </c>
      <c r="E37" s="182">
        <v>45.891900743583676</v>
      </c>
      <c r="F37" s="182">
        <v>47.867312173388939</v>
      </c>
      <c r="G37" s="182">
        <v>49.927754954124907</v>
      </c>
      <c r="H37" s="182">
        <v>52.076889250217107</v>
      </c>
      <c r="I37" s="182">
        <v>54.318532777435053</v>
      </c>
      <c r="J37" s="182">
        <v>57.860675077865267</v>
      </c>
      <c r="K37" s="182">
        <v>60.342772886256228</v>
      </c>
      <c r="L37" s="182">
        <v>65.873575186750315</v>
      </c>
      <c r="M37" s="182">
        <v>63.944653442856861</v>
      </c>
      <c r="N37" s="182">
        <v>62.859491860389141</v>
      </c>
      <c r="O37" s="182">
        <v>62.942023896202272</v>
      </c>
      <c r="P37" s="182">
        <v>64.627649406758565</v>
      </c>
      <c r="Q37" s="182">
        <v>66.091283987546035</v>
      </c>
      <c r="R37" s="182">
        <v>68.135095706509674</v>
      </c>
      <c r="S37" s="182">
        <v>73.883836181137553</v>
      </c>
      <c r="T37" s="182">
        <v>73.18967404975001</v>
      </c>
      <c r="U37" s="182">
        <v>77.404352984345792</v>
      </c>
      <c r="V37" s="182">
        <v>82.310367869335209</v>
      </c>
      <c r="W37" s="182">
        <v>88.211813066846844</v>
      </c>
      <c r="X37" s="182">
        <v>97.339286156295543</v>
      </c>
      <c r="Y37" s="182">
        <v>72.701256873959323</v>
      </c>
      <c r="DA37" s="191" t="s">
        <v>935</v>
      </c>
    </row>
    <row r="38" spans="1:105" ht="12" customHeight="1" x14ac:dyDescent="0.25">
      <c r="A38" s="131" t="s">
        <v>160</v>
      </c>
      <c r="B38" s="182"/>
      <c r="C38" s="182">
        <v>0.6603736453404645</v>
      </c>
      <c r="D38" s="182">
        <v>0.67752906440687521</v>
      </c>
      <c r="E38" s="182">
        <v>0.69513015298996272</v>
      </c>
      <c r="F38" s="182">
        <v>0.71318848884934294</v>
      </c>
      <c r="G38" s="182">
        <v>0.73171595051575</v>
      </c>
      <c r="H38" s="182">
        <v>0.75072472510457189</v>
      </c>
      <c r="I38" s="182">
        <v>0.88568631087011074</v>
      </c>
      <c r="J38" s="182">
        <v>0.97880071343523678</v>
      </c>
      <c r="K38" s="182">
        <v>1.1446392313860674</v>
      </c>
      <c r="L38" s="182">
        <v>1.1263896928677308</v>
      </c>
      <c r="M38" s="182">
        <v>1.2337102162415139</v>
      </c>
      <c r="N38" s="182">
        <v>1.137603637897584</v>
      </c>
      <c r="O38" s="182">
        <v>1.7533056472911284</v>
      </c>
      <c r="P38" s="182">
        <v>1.456186145887143</v>
      </c>
      <c r="Q38" s="182">
        <v>1.3637318320563185</v>
      </c>
      <c r="R38" s="182">
        <v>1.434754677677633</v>
      </c>
      <c r="S38" s="182">
        <v>1.7483868521268011</v>
      </c>
      <c r="T38" s="182">
        <v>1.5199686002812136</v>
      </c>
      <c r="U38" s="182">
        <v>2.2607669782675774</v>
      </c>
      <c r="V38" s="182">
        <v>1.9890865972123599</v>
      </c>
      <c r="W38" s="182">
        <v>2.044686645905081</v>
      </c>
      <c r="X38" s="182">
        <v>1.8287235968797013</v>
      </c>
      <c r="Y38" s="182">
        <v>2.1647726081006251</v>
      </c>
      <c r="DA38" s="191" t="s">
        <v>936</v>
      </c>
    </row>
    <row r="39" spans="1:105" ht="12" customHeight="1" x14ac:dyDescent="0.25">
      <c r="A39" s="131" t="s">
        <v>172</v>
      </c>
      <c r="B39" s="182"/>
      <c r="C39" s="182">
        <v>2.945640546257998</v>
      </c>
      <c r="D39" s="182">
        <v>3.007688064238593</v>
      </c>
      <c r="E39" s="182">
        <v>3.0710425626287403</v>
      </c>
      <c r="F39" s="182">
        <v>3.1357315719058363</v>
      </c>
      <c r="G39" s="182">
        <v>3.2017832024543438</v>
      </c>
      <c r="H39" s="182">
        <v>3.2692261567810732</v>
      </c>
      <c r="I39" s="182">
        <v>3.3380897419877584</v>
      </c>
      <c r="J39" s="182">
        <v>3.4084038825063416</v>
      </c>
      <c r="K39" s="182">
        <v>3.4801991331025448</v>
      </c>
      <c r="L39" s="182">
        <v>3.5535066921533414</v>
      </c>
      <c r="M39" s="182">
        <v>5.5003548791798806</v>
      </c>
      <c r="N39" s="182">
        <v>6.1537702856122962</v>
      </c>
      <c r="O39" s="182">
        <v>7.5306578791260677</v>
      </c>
      <c r="P39" s="182">
        <v>6.6089133917763903</v>
      </c>
      <c r="Q39" s="182">
        <v>5.357901801098599</v>
      </c>
      <c r="R39" s="182">
        <v>4.1696908628034421</v>
      </c>
      <c r="S39" s="182">
        <v>3.8000611360148753</v>
      </c>
      <c r="T39" s="182">
        <v>3.6064785624434776</v>
      </c>
      <c r="U39" s="182">
        <v>3.6803165510497777</v>
      </c>
      <c r="V39" s="182">
        <v>4.0427874141386795</v>
      </c>
      <c r="W39" s="182">
        <v>4.9978702268013038</v>
      </c>
      <c r="X39" s="182">
        <v>6.6176827112066618</v>
      </c>
      <c r="Y39" s="182">
        <v>8.7657631190554497</v>
      </c>
      <c r="DA39" s="191" t="s">
        <v>937</v>
      </c>
    </row>
    <row r="40" spans="1:105" ht="12" customHeight="1" x14ac:dyDescent="0.25">
      <c r="A40" s="60" t="s">
        <v>159</v>
      </c>
      <c r="B40" s="41"/>
      <c r="C40" s="41">
        <v>4.7240639702555098E-2</v>
      </c>
      <c r="D40" s="41">
        <v>5.2556698620025877E-2</v>
      </c>
      <c r="E40" s="41">
        <v>5.84709814944957E-2</v>
      </c>
      <c r="F40" s="41">
        <v>6.5050807350881534E-2</v>
      </c>
      <c r="G40" s="41">
        <v>7.2371070723344477E-2</v>
      </c>
      <c r="H40" s="41">
        <v>8.0515094138525534E-2</v>
      </c>
      <c r="I40" s="41">
        <v>8.9575576529981049E-2</v>
      </c>
      <c r="J40" s="41">
        <v>9.9655648379093797E-2</v>
      </c>
      <c r="K40" s="41">
        <v>0.11087004559254598</v>
      </c>
      <c r="L40" s="41">
        <v>0.12334641547796021</v>
      </c>
      <c r="M40" s="41">
        <v>0.13722676968290592</v>
      </c>
      <c r="N40" s="41">
        <v>0.15266910063527561</v>
      </c>
      <c r="O40" s="41">
        <v>0.16984917988408643</v>
      </c>
      <c r="P40" s="41">
        <v>0.18896255881022039</v>
      </c>
      <c r="Q40" s="41">
        <v>0.21022679448010351</v>
      </c>
      <c r="R40" s="41">
        <v>0.31327579950074558</v>
      </c>
      <c r="S40" s="41">
        <v>0.35643764160263203</v>
      </c>
      <c r="T40" s="41">
        <v>0.41392093574947708</v>
      </c>
      <c r="U40" s="41">
        <v>0.4332797813870517</v>
      </c>
      <c r="V40" s="41">
        <v>0.42906882840936689</v>
      </c>
      <c r="W40" s="41">
        <v>0.40947055002263255</v>
      </c>
      <c r="X40" s="41">
        <v>0.67852441818379816</v>
      </c>
      <c r="Y40" s="41">
        <v>0.45947743001719132</v>
      </c>
      <c r="DA40" s="92" t="s">
        <v>938</v>
      </c>
    </row>
    <row r="41" spans="1:105" ht="12" customHeight="1" x14ac:dyDescent="0.25">
      <c r="A41" s="62" t="s">
        <v>157</v>
      </c>
      <c r="B41" s="42"/>
      <c r="C41" s="42">
        <v>19.508270637283402</v>
      </c>
      <c r="D41" s="42">
        <v>19.508270637283402</v>
      </c>
      <c r="E41" s="42">
        <v>19.508270637283402</v>
      </c>
      <c r="F41" s="42">
        <v>19.508270637283402</v>
      </c>
      <c r="G41" s="42">
        <v>19.508270637283402</v>
      </c>
      <c r="H41" s="42">
        <v>30.522328351979809</v>
      </c>
      <c r="I41" s="42">
        <v>30.825774228058663</v>
      </c>
      <c r="J41" s="42">
        <v>34.044984690705633</v>
      </c>
      <c r="K41" s="42">
        <v>45.476397275956685</v>
      </c>
      <c r="L41" s="42">
        <v>47.775031804953869</v>
      </c>
      <c r="M41" s="42">
        <v>92.76053916281387</v>
      </c>
      <c r="N41" s="42">
        <v>114.85470644804377</v>
      </c>
      <c r="O41" s="42">
        <v>74.738094356510487</v>
      </c>
      <c r="P41" s="42">
        <v>72.336478570746067</v>
      </c>
      <c r="Q41" s="42">
        <v>72.572737911845138</v>
      </c>
      <c r="R41" s="42">
        <v>124.38326672439064</v>
      </c>
      <c r="S41" s="42">
        <v>176.67945883953121</v>
      </c>
      <c r="T41" s="42">
        <v>125.63273736344797</v>
      </c>
      <c r="U41" s="42">
        <v>121.45329484171759</v>
      </c>
      <c r="V41" s="42">
        <v>133.80430897344195</v>
      </c>
      <c r="W41" s="42">
        <v>155.54809404845378</v>
      </c>
      <c r="X41" s="42">
        <v>222.67397073858206</v>
      </c>
      <c r="Y41" s="42">
        <v>163.07804643661188</v>
      </c>
      <c r="DA41" s="93" t="s">
        <v>939</v>
      </c>
    </row>
    <row r="42" spans="1:105" s="2" customFormat="1" ht="12" customHeight="1" x14ac:dyDescent="0.25">
      <c r="DA42" s="7"/>
    </row>
    <row r="43" spans="1:105" ht="12.95" customHeight="1" x14ac:dyDescent="0.25">
      <c r="A43" s="178" t="s">
        <v>104</v>
      </c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DA43" s="192"/>
    </row>
    <row r="44" spans="1:105" ht="12" customHeight="1" x14ac:dyDescent="0.25">
      <c r="A44" s="131" t="s">
        <v>7</v>
      </c>
      <c r="B44" s="184">
        <v>8760</v>
      </c>
      <c r="C44" s="184">
        <v>8760</v>
      </c>
      <c r="D44" s="184">
        <v>8760.0000000000018</v>
      </c>
      <c r="E44" s="184">
        <v>8760.0000000000036</v>
      </c>
      <c r="F44" s="184">
        <v>8759.9999999999964</v>
      </c>
      <c r="G44" s="184">
        <v>8760</v>
      </c>
      <c r="H44" s="184">
        <v>8760</v>
      </c>
      <c r="I44" s="184">
        <v>8759.9999999999964</v>
      </c>
      <c r="J44" s="184">
        <v>8759.9999999999964</v>
      </c>
      <c r="K44" s="184">
        <v>8760.0000000000018</v>
      </c>
      <c r="L44" s="184">
        <v>8760.0000000000036</v>
      </c>
      <c r="M44" s="184">
        <v>8759.9999999999945</v>
      </c>
      <c r="N44" s="184">
        <v>8759.9999999999945</v>
      </c>
      <c r="O44" s="184">
        <v>8759.9999999999964</v>
      </c>
      <c r="P44" s="184">
        <v>8760</v>
      </c>
      <c r="Q44" s="184">
        <v>8759.9999999999964</v>
      </c>
      <c r="R44" s="184">
        <v>8759.9999999999945</v>
      </c>
      <c r="S44" s="184">
        <v>8759.9999999999982</v>
      </c>
      <c r="T44" s="184">
        <v>8759.9999999999982</v>
      </c>
      <c r="U44" s="184">
        <v>8760</v>
      </c>
      <c r="V44" s="184">
        <v>8760.0000000000018</v>
      </c>
      <c r="W44" s="184">
        <v>8760</v>
      </c>
      <c r="X44" s="184">
        <v>8760</v>
      </c>
      <c r="Y44" s="184">
        <v>8760</v>
      </c>
      <c r="DA44" s="193" t="s">
        <v>940</v>
      </c>
    </row>
    <row r="45" spans="1:105" ht="12" customHeight="1" x14ac:dyDescent="0.25">
      <c r="A45" s="131" t="s">
        <v>6</v>
      </c>
      <c r="B45" s="184">
        <v>3858.6434139511975</v>
      </c>
      <c r="C45" s="184">
        <v>3867.3959500882784</v>
      </c>
      <c r="D45" s="184">
        <v>3879.4677816800213</v>
      </c>
      <c r="E45" s="184">
        <v>3890.4356588308069</v>
      </c>
      <c r="F45" s="184">
        <v>3899.4578040226402</v>
      </c>
      <c r="G45" s="184">
        <v>3910.1875530833395</v>
      </c>
      <c r="H45" s="184">
        <v>3913.3877383459267</v>
      </c>
      <c r="I45" s="184">
        <v>3917.9397543266568</v>
      </c>
      <c r="J45" s="184">
        <v>3920.5030493463296</v>
      </c>
      <c r="K45" s="184">
        <v>3920.9325607579904</v>
      </c>
      <c r="L45" s="184">
        <v>3922.4481368527295</v>
      </c>
      <c r="M45" s="184">
        <v>3909.9115522619572</v>
      </c>
      <c r="N45" s="184">
        <v>3900.6072666666955</v>
      </c>
      <c r="O45" s="184">
        <v>3884.2677340448304</v>
      </c>
      <c r="P45" s="184">
        <v>3863.7525658213667</v>
      </c>
      <c r="Q45" s="184">
        <v>3847.1122779870711</v>
      </c>
      <c r="R45" s="184">
        <v>3884.1511952891196</v>
      </c>
      <c r="S45" s="184">
        <v>3949.2419217705833</v>
      </c>
      <c r="T45" s="184">
        <v>3893.9945312985215</v>
      </c>
      <c r="U45" s="184">
        <v>3842.2620234726501</v>
      </c>
      <c r="V45" s="184">
        <v>3807.999646907524</v>
      </c>
      <c r="W45" s="184">
        <v>3811.4596731135985</v>
      </c>
      <c r="X45" s="184">
        <v>3790.3137058022385</v>
      </c>
      <c r="Y45" s="184">
        <v>3769.1677384908785</v>
      </c>
      <c r="DA45" s="193" t="s">
        <v>941</v>
      </c>
    </row>
    <row r="46" spans="1:105" ht="12" customHeight="1" x14ac:dyDescent="0.25">
      <c r="A46" s="131" t="s">
        <v>5</v>
      </c>
      <c r="B46" s="184">
        <v>2266.0096734356976</v>
      </c>
      <c r="C46" s="184">
        <v>2289.0861072743551</v>
      </c>
      <c r="D46" s="184">
        <v>2312.1450605397126</v>
      </c>
      <c r="E46" s="184">
        <v>2342.9176068687875</v>
      </c>
      <c r="F46" s="184">
        <v>2364.8259626711401</v>
      </c>
      <c r="G46" s="184">
        <v>2381.0801219738505</v>
      </c>
      <c r="H46" s="184">
        <v>2392.4311773934305</v>
      </c>
      <c r="I46" s="184">
        <v>2403.8492050366726</v>
      </c>
      <c r="J46" s="184">
        <v>2410.8039062903904</v>
      </c>
      <c r="K46" s="184">
        <v>2421.977240233939</v>
      </c>
      <c r="L46" s="184">
        <v>2430.9014457413837</v>
      </c>
      <c r="M46" s="184">
        <v>2444.7843980053567</v>
      </c>
      <c r="N46" s="184">
        <v>2461.2262459513904</v>
      </c>
      <c r="O46" s="184">
        <v>2472.6068448799451</v>
      </c>
      <c r="P46" s="184">
        <v>2487.7017523311756</v>
      </c>
      <c r="Q46" s="184">
        <v>2510.3444360135582</v>
      </c>
      <c r="R46" s="184">
        <v>2562.376592870829</v>
      </c>
      <c r="S46" s="184">
        <v>2646.5256595833898</v>
      </c>
      <c r="T46" s="184">
        <v>2591.7898687197817</v>
      </c>
      <c r="U46" s="184">
        <v>2546.1004361550108</v>
      </c>
      <c r="V46" s="184">
        <v>2372.0584612067314</v>
      </c>
      <c r="W46" s="184">
        <v>2534.603030708387</v>
      </c>
      <c r="X46" s="184">
        <v>2507.23137278374</v>
      </c>
      <c r="Y46" s="184">
        <v>2493.5455438214167</v>
      </c>
      <c r="DA46" s="193" t="s">
        <v>942</v>
      </c>
    </row>
    <row r="47" spans="1:105" ht="12" customHeight="1" x14ac:dyDescent="0.25">
      <c r="A47" s="131" t="s">
        <v>171</v>
      </c>
      <c r="B47" s="184">
        <v>8759.9999999999982</v>
      </c>
      <c r="C47" s="184">
        <v>8759.9999999999982</v>
      </c>
      <c r="D47" s="184">
        <v>8759.9999999999964</v>
      </c>
      <c r="E47" s="184">
        <v>8759.9999999999982</v>
      </c>
      <c r="F47" s="184">
        <v>8760</v>
      </c>
      <c r="G47" s="184">
        <v>8760.0000000000018</v>
      </c>
      <c r="H47" s="184">
        <v>8760.0000000000018</v>
      </c>
      <c r="I47" s="184">
        <v>8759.9999999999982</v>
      </c>
      <c r="J47" s="184">
        <v>8760</v>
      </c>
      <c r="K47" s="184">
        <v>8760.0000000000018</v>
      </c>
      <c r="L47" s="184">
        <v>8760.0000000000018</v>
      </c>
      <c r="M47" s="184">
        <v>8760</v>
      </c>
      <c r="N47" s="184">
        <v>8759.9999999999982</v>
      </c>
      <c r="O47" s="184">
        <v>8760</v>
      </c>
      <c r="P47" s="184">
        <v>8760</v>
      </c>
      <c r="Q47" s="184">
        <v>8760.0000000000018</v>
      </c>
      <c r="R47" s="184">
        <v>8760</v>
      </c>
      <c r="S47" s="184">
        <v>8760</v>
      </c>
      <c r="T47" s="184">
        <v>8760.0000000000018</v>
      </c>
      <c r="U47" s="184">
        <v>8760.0000000000018</v>
      </c>
      <c r="V47" s="184">
        <v>8759.9999999999982</v>
      </c>
      <c r="W47" s="184">
        <v>8760</v>
      </c>
      <c r="X47" s="184">
        <v>8760</v>
      </c>
      <c r="Y47" s="184">
        <v>8760</v>
      </c>
      <c r="DA47" s="193" t="s">
        <v>943</v>
      </c>
    </row>
    <row r="48" spans="1:105" ht="12" customHeight="1" x14ac:dyDescent="0.25">
      <c r="A48" s="60" t="s">
        <v>4</v>
      </c>
      <c r="B48" s="44">
        <v>892.94725891620885</v>
      </c>
      <c r="C48" s="44">
        <v>897.21276268214501</v>
      </c>
      <c r="D48" s="44">
        <v>901.12465188029944</v>
      </c>
      <c r="E48" s="44">
        <v>904.73830106798925</v>
      </c>
      <c r="F48" s="44">
        <v>908.0969358064973</v>
      </c>
      <c r="G48" s="44">
        <v>911.23495597967008</v>
      </c>
      <c r="H48" s="44">
        <v>914.18019327880995</v>
      </c>
      <c r="I48" s="44">
        <v>916.95548885938047</v>
      </c>
      <c r="J48" s="44">
        <v>919.57982320811755</v>
      </c>
      <c r="K48" s="44">
        <v>922.06914274569942</v>
      </c>
      <c r="L48" s="44">
        <v>924.4369759962558</v>
      </c>
      <c r="M48" s="44">
        <v>925.94164694441849</v>
      </c>
      <c r="N48" s="44">
        <v>927.37858809499153</v>
      </c>
      <c r="O48" s="44">
        <v>928.75372705961877</v>
      </c>
      <c r="P48" s="44">
        <v>930.07224211381208</v>
      </c>
      <c r="Q48" s="44">
        <v>931.33868369528955</v>
      </c>
      <c r="R48" s="44">
        <v>941.75957832352015</v>
      </c>
      <c r="S48" s="44">
        <v>965.87370629512986</v>
      </c>
      <c r="T48" s="44">
        <v>959.85404452934301</v>
      </c>
      <c r="U48" s="44">
        <v>952.38027877076752</v>
      </c>
      <c r="V48" s="44">
        <v>887.27909805325794</v>
      </c>
      <c r="W48" s="44">
        <v>948.07962273658052</v>
      </c>
      <c r="X48" s="44">
        <v>939.58469312367481</v>
      </c>
      <c r="Y48" s="44">
        <v>935.33722831722196</v>
      </c>
      <c r="DA48" s="95" t="s">
        <v>944</v>
      </c>
    </row>
    <row r="49" spans="1:105" ht="12" customHeight="1" x14ac:dyDescent="0.25">
      <c r="A49" s="62" t="s">
        <v>3</v>
      </c>
      <c r="B49" s="185">
        <v>2763.9986259079337</v>
      </c>
      <c r="C49" s="185">
        <v>2906.0344762294349</v>
      </c>
      <c r="D49" s="185">
        <v>3047.9509381659113</v>
      </c>
      <c r="E49" s="185">
        <v>3141.8922873435031</v>
      </c>
      <c r="F49" s="185">
        <v>3121.1034833063873</v>
      </c>
      <c r="G49" s="185">
        <v>3094.4329232400551</v>
      </c>
      <c r="H49" s="185">
        <v>2913.1009672974606</v>
      </c>
      <c r="I49" s="185">
        <v>2736.5621754084718</v>
      </c>
      <c r="J49" s="185">
        <v>2732.8200030629241</v>
      </c>
      <c r="K49" s="185">
        <v>2773.4143288025321</v>
      </c>
      <c r="L49" s="185">
        <v>2831.0345151779275</v>
      </c>
      <c r="M49" s="185">
        <v>2865.730782767836</v>
      </c>
      <c r="N49" s="185">
        <v>2913.8271418205554</v>
      </c>
      <c r="O49" s="185">
        <v>2959.1034755671394</v>
      </c>
      <c r="P49" s="185">
        <v>2976.0516626880649</v>
      </c>
      <c r="Q49" s="185">
        <v>2959.8002095241613</v>
      </c>
      <c r="R49" s="185">
        <v>2972.5996235965599</v>
      </c>
      <c r="S49" s="185">
        <v>3071.4605165819285</v>
      </c>
      <c r="T49" s="185">
        <v>3082.7518275624643</v>
      </c>
      <c r="U49" s="185">
        <v>3125.9392147174171</v>
      </c>
      <c r="V49" s="185">
        <v>3128.3072878036846</v>
      </c>
      <c r="W49" s="185">
        <v>3239.5927075087307</v>
      </c>
      <c r="X49" s="185">
        <v>3307.2283753537231</v>
      </c>
      <c r="Y49" s="185">
        <v>3419.8170034628351</v>
      </c>
      <c r="DA49" s="194" t="s">
        <v>945</v>
      </c>
    </row>
    <row r="50" spans="1:105" s="2" customFormat="1" ht="12" customHeight="1" x14ac:dyDescent="0.25">
      <c r="DA50" s="7"/>
    </row>
    <row r="51" spans="1:105" ht="12.95" customHeight="1" x14ac:dyDescent="0.25">
      <c r="A51" s="178" t="s">
        <v>103</v>
      </c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DA51" s="188"/>
    </row>
    <row r="52" spans="1:105" ht="12" customHeight="1" x14ac:dyDescent="0.25">
      <c r="A52" s="131" t="s">
        <v>101</v>
      </c>
      <c r="B52" s="180">
        <v>0.81146275527705503</v>
      </c>
      <c r="C52" s="180">
        <v>0.80179074749363755</v>
      </c>
      <c r="D52" s="180">
        <v>0.79148925303709872</v>
      </c>
      <c r="E52" s="180">
        <v>0.77918538416292515</v>
      </c>
      <c r="F52" s="180">
        <v>0.76810382941791366</v>
      </c>
      <c r="G52" s="180">
        <v>0.75674566286399791</v>
      </c>
      <c r="H52" s="180">
        <v>0.74673168262725986</v>
      </c>
      <c r="I52" s="180">
        <v>0.73066271643257574</v>
      </c>
      <c r="J52" s="180">
        <v>0.72011896292108191</v>
      </c>
      <c r="K52" s="180">
        <v>0.71364700158884131</v>
      </c>
      <c r="L52" s="180">
        <v>0.7055631479608947</v>
      </c>
      <c r="M52" s="180">
        <v>0.69659924711715493</v>
      </c>
      <c r="N52" s="180">
        <v>0.68695604031781643</v>
      </c>
      <c r="O52" s="180">
        <v>0.67604171172012839</v>
      </c>
      <c r="P52" s="180">
        <v>0.66255080508942965</v>
      </c>
      <c r="Q52" s="180">
        <v>0.64881246678764326</v>
      </c>
      <c r="R52" s="180">
        <v>0.63816025245083974</v>
      </c>
      <c r="S52" s="180">
        <v>0.62739954153593758</v>
      </c>
      <c r="T52" s="180">
        <v>0.61681530617662794</v>
      </c>
      <c r="U52" s="180">
        <v>0.60515943247475201</v>
      </c>
      <c r="V52" s="180">
        <v>0.5937682842291917</v>
      </c>
      <c r="W52" s="180">
        <v>0.58117409439303369</v>
      </c>
      <c r="X52" s="180">
        <v>0.57085673005497983</v>
      </c>
      <c r="Y52" s="180">
        <v>0.56088796948778663</v>
      </c>
      <c r="DA52" s="189" t="s">
        <v>946</v>
      </c>
    </row>
    <row r="53" spans="1:105" ht="12" customHeight="1" x14ac:dyDescent="0.25">
      <c r="A53" s="131" t="s">
        <v>100</v>
      </c>
      <c r="B53" s="180">
        <v>201.98269281693101</v>
      </c>
      <c r="C53" s="180">
        <v>199.70807747974442</v>
      </c>
      <c r="D53" s="180">
        <v>197.12243038301801</v>
      </c>
      <c r="E53" s="180">
        <v>194.36102966809094</v>
      </c>
      <c r="F53" s="180">
        <v>191.64798197085912</v>
      </c>
      <c r="G53" s="180">
        <v>188.57603100476851</v>
      </c>
      <c r="H53" s="180">
        <v>185.00665729215132</v>
      </c>
      <c r="I53" s="180">
        <v>180.96585480980707</v>
      </c>
      <c r="J53" s="180">
        <v>178.27456841473156</v>
      </c>
      <c r="K53" s="180">
        <v>175.34357366578828</v>
      </c>
      <c r="L53" s="180">
        <v>171.8960910690277</v>
      </c>
      <c r="M53" s="180">
        <v>168.21574994755969</v>
      </c>
      <c r="N53" s="180">
        <v>164.20038488205628</v>
      </c>
      <c r="O53" s="180">
        <v>159.83928778862636</v>
      </c>
      <c r="P53" s="180">
        <v>154.76188975094902</v>
      </c>
      <c r="Q53" s="180">
        <v>148.79437497661507</v>
      </c>
      <c r="R53" s="180">
        <v>143.46923702350719</v>
      </c>
      <c r="S53" s="180">
        <v>137.53092992489178</v>
      </c>
      <c r="T53" s="180">
        <v>131.42446564271967</v>
      </c>
      <c r="U53" s="180">
        <v>125.03589596214348</v>
      </c>
      <c r="V53" s="180">
        <v>118.38659634588488</v>
      </c>
      <c r="W53" s="180">
        <v>112.15362323067644</v>
      </c>
      <c r="X53" s="180">
        <v>106.26579590997162</v>
      </c>
      <c r="Y53" s="180">
        <v>102.28813346273327</v>
      </c>
      <c r="DA53" s="189" t="s">
        <v>947</v>
      </c>
    </row>
    <row r="54" spans="1:105" ht="12" customHeight="1" x14ac:dyDescent="0.25">
      <c r="A54" s="131" t="s">
        <v>140</v>
      </c>
      <c r="B54" s="180">
        <v>45.392412974675722</v>
      </c>
      <c r="C54" s="180">
        <v>44.763847958751313</v>
      </c>
      <c r="D54" s="180">
        <v>43.781874422259094</v>
      </c>
      <c r="E54" s="180">
        <v>42.575270478112074</v>
      </c>
      <c r="F54" s="180">
        <v>41.344276423238462</v>
      </c>
      <c r="G54" s="180">
        <v>40.046335073085253</v>
      </c>
      <c r="H54" s="180">
        <v>38.736296417452863</v>
      </c>
      <c r="I54" s="180">
        <v>37.366845878835619</v>
      </c>
      <c r="J54" s="180">
        <v>36.304453798032583</v>
      </c>
      <c r="K54" s="180">
        <v>35.247197387643261</v>
      </c>
      <c r="L54" s="180">
        <v>34.187495382686258</v>
      </c>
      <c r="M54" s="180">
        <v>32.949985942203661</v>
      </c>
      <c r="N54" s="180">
        <v>31.862993301084607</v>
      </c>
      <c r="O54" s="180">
        <v>30.242520828288502</v>
      </c>
      <c r="P54" s="180">
        <v>28.873228812557564</v>
      </c>
      <c r="Q54" s="180">
        <v>27.534104013053177</v>
      </c>
      <c r="R54" s="180">
        <v>26.134763928031116</v>
      </c>
      <c r="S54" s="180">
        <v>24.562154114225287</v>
      </c>
      <c r="T54" s="180">
        <v>23.13087643248824</v>
      </c>
      <c r="U54" s="180">
        <v>21.14475797217375</v>
      </c>
      <c r="V54" s="180">
        <v>19.486875958926984</v>
      </c>
      <c r="W54" s="180">
        <v>17.985983437994332</v>
      </c>
      <c r="X54" s="180">
        <v>16.885402964005678</v>
      </c>
      <c r="Y54" s="180">
        <v>15.652589393996559</v>
      </c>
      <c r="DA54" s="189" t="s">
        <v>948</v>
      </c>
    </row>
    <row r="55" spans="1:105" ht="12" customHeight="1" x14ac:dyDescent="0.25">
      <c r="A55" s="131" t="s">
        <v>173</v>
      </c>
      <c r="B55" s="180">
        <v>697.76813563198561</v>
      </c>
      <c r="C55" s="180">
        <v>687.73031140899332</v>
      </c>
      <c r="D55" s="180">
        <v>676.28094840955794</v>
      </c>
      <c r="E55" s="180">
        <v>663.19145692987365</v>
      </c>
      <c r="F55" s="180">
        <v>652.13048834384608</v>
      </c>
      <c r="G55" s="180">
        <v>642.64325490505587</v>
      </c>
      <c r="H55" s="180">
        <v>634.06888233582174</v>
      </c>
      <c r="I55" s="180">
        <v>625.48788047020105</v>
      </c>
      <c r="J55" s="180">
        <v>616.30312241592821</v>
      </c>
      <c r="K55" s="180">
        <v>606.12851293134588</v>
      </c>
      <c r="L55" s="180">
        <v>594.59640377164283</v>
      </c>
      <c r="M55" s="180">
        <v>583.66179970645192</v>
      </c>
      <c r="N55" s="180">
        <v>570.86511308152399</v>
      </c>
      <c r="O55" s="180">
        <v>555.78517098594568</v>
      </c>
      <c r="P55" s="180">
        <v>541.89409901441968</v>
      </c>
      <c r="Q55" s="180">
        <v>530.62229938198686</v>
      </c>
      <c r="R55" s="180">
        <v>521.93548550018602</v>
      </c>
      <c r="S55" s="180">
        <v>514.12597448520512</v>
      </c>
      <c r="T55" s="180">
        <v>506.97757816940623</v>
      </c>
      <c r="U55" s="180">
        <v>500.16782058929186</v>
      </c>
      <c r="V55" s="180">
        <v>493.31801044438168</v>
      </c>
      <c r="W55" s="180">
        <v>485.71034477360286</v>
      </c>
      <c r="X55" s="180">
        <v>476.17821856491958</v>
      </c>
      <c r="Y55" s="180">
        <v>462.73982772993156</v>
      </c>
      <c r="DA55" s="189" t="s">
        <v>949</v>
      </c>
    </row>
    <row r="56" spans="1:105" ht="12" customHeight="1" x14ac:dyDescent="0.25">
      <c r="A56" s="60" t="s">
        <v>99</v>
      </c>
      <c r="B56" s="55">
        <v>56.701820433878488</v>
      </c>
      <c r="C56" s="55">
        <v>56.090248391144762</v>
      </c>
      <c r="D56" s="55">
        <v>55.46022611179766</v>
      </c>
      <c r="E56" s="55">
        <v>54.806064876394345</v>
      </c>
      <c r="F56" s="55">
        <v>54.154618000990098</v>
      </c>
      <c r="G56" s="55">
        <v>53.514353579274953</v>
      </c>
      <c r="H56" s="55">
        <v>52.886069756387393</v>
      </c>
      <c r="I56" s="55">
        <v>51.92485946484063</v>
      </c>
      <c r="J56" s="55">
        <v>51.27699421902873</v>
      </c>
      <c r="K56" s="55">
        <v>50.846079114635167</v>
      </c>
      <c r="L56" s="55">
        <v>50.360383997837587</v>
      </c>
      <c r="M56" s="55">
        <v>49.655083316678414</v>
      </c>
      <c r="N56" s="55">
        <v>48.976948573659428</v>
      </c>
      <c r="O56" s="55">
        <v>48.103139353602856</v>
      </c>
      <c r="P56" s="55">
        <v>47.045456312103255</v>
      </c>
      <c r="Q56" s="55">
        <v>45.971481079264365</v>
      </c>
      <c r="R56" s="55">
        <v>44.58669400160921</v>
      </c>
      <c r="S56" s="55">
        <v>43.272466172995536</v>
      </c>
      <c r="T56" s="55">
        <v>41.88161098988067</v>
      </c>
      <c r="U56" s="55">
        <v>40.544277087238726</v>
      </c>
      <c r="V56" s="55">
        <v>39.395695186427524</v>
      </c>
      <c r="W56" s="55">
        <v>38.449822624124863</v>
      </c>
      <c r="X56" s="55">
        <v>37.185427978799915</v>
      </c>
      <c r="Y56" s="55">
        <v>36.383732371659448</v>
      </c>
      <c r="DA56" s="101" t="s">
        <v>950</v>
      </c>
    </row>
    <row r="57" spans="1:105" ht="12" customHeight="1" x14ac:dyDescent="0.25">
      <c r="A57" s="62" t="s">
        <v>98</v>
      </c>
      <c r="B57" s="63">
        <v>388.78052719026641</v>
      </c>
      <c r="C57" s="63">
        <v>381.62108947102735</v>
      </c>
      <c r="D57" s="63">
        <v>372.17539649950749</v>
      </c>
      <c r="E57" s="63">
        <v>361.12622131643417</v>
      </c>
      <c r="F57" s="63">
        <v>348.04968117685758</v>
      </c>
      <c r="G57" s="63">
        <v>334.77368059352301</v>
      </c>
      <c r="H57" s="63">
        <v>315.81753702499583</v>
      </c>
      <c r="I57" s="63">
        <v>299.00816064501498</v>
      </c>
      <c r="J57" s="63">
        <v>286.99515841321386</v>
      </c>
      <c r="K57" s="63">
        <v>273.4372019387431</v>
      </c>
      <c r="L57" s="63">
        <v>259.3510808415233</v>
      </c>
      <c r="M57" s="63">
        <v>237.34461263118263</v>
      </c>
      <c r="N57" s="63">
        <v>216.26007803979795</v>
      </c>
      <c r="O57" s="63">
        <v>207.07274997311086</v>
      </c>
      <c r="P57" s="63">
        <v>201.78029591787305</v>
      </c>
      <c r="Q57" s="63">
        <v>199.26532190580269</v>
      </c>
      <c r="R57" s="63">
        <v>197.51385915130584</v>
      </c>
      <c r="S57" s="63">
        <v>194.49623597490344</v>
      </c>
      <c r="T57" s="63">
        <v>191.83880124335516</v>
      </c>
      <c r="U57" s="63">
        <v>188.61071610556638</v>
      </c>
      <c r="V57" s="63">
        <v>184.61264515119652</v>
      </c>
      <c r="W57" s="63">
        <v>180.25857640771139</v>
      </c>
      <c r="X57" s="63">
        <v>175.06894351914249</v>
      </c>
      <c r="Y57" s="63">
        <v>171.45972923784953</v>
      </c>
      <c r="DA57" s="105" t="s">
        <v>951</v>
      </c>
    </row>
    <row r="58" spans="1:105" s="2" customFormat="1" ht="12" customHeight="1" x14ac:dyDescent="0.25">
      <c r="DA58" s="7"/>
    </row>
    <row r="59" spans="1:105" ht="12.95" customHeight="1" x14ac:dyDescent="0.25">
      <c r="A59" s="178" t="s">
        <v>102</v>
      </c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DA59" s="188"/>
    </row>
    <row r="60" spans="1:105" ht="12" customHeight="1" x14ac:dyDescent="0.25">
      <c r="A60" s="131" t="s">
        <v>101</v>
      </c>
      <c r="B60" s="180"/>
      <c r="C60" s="180">
        <v>0.72343172412882739</v>
      </c>
      <c r="D60" s="180">
        <v>0.71146907259274639</v>
      </c>
      <c r="E60" s="180">
        <v>0.69860160036762931</v>
      </c>
      <c r="F60" s="180">
        <v>0.68538623286265965</v>
      </c>
      <c r="G60" s="180">
        <v>0.67291816974242591</v>
      </c>
      <c r="H60" s="180">
        <v>0.66170423865525363</v>
      </c>
      <c r="I60" s="180">
        <v>0.64691198081076184</v>
      </c>
      <c r="J60" s="180">
        <v>0.63409979355781942</v>
      </c>
      <c r="K60" s="180">
        <v>0.62490101340955817</v>
      </c>
      <c r="L60" s="180">
        <v>0.61177095371397183</v>
      </c>
      <c r="M60" s="180">
        <v>0.5983185140791899</v>
      </c>
      <c r="N60" s="180">
        <v>0.58340462931677761</v>
      </c>
      <c r="O60" s="180">
        <v>0.56928545260261865</v>
      </c>
      <c r="P60" s="180">
        <v>0.55251628686505838</v>
      </c>
      <c r="Q60" s="180">
        <v>0.53376595186127307</v>
      </c>
      <c r="R60" s="180">
        <v>0.53035184301176352</v>
      </c>
      <c r="S60" s="180">
        <v>0.52536579452481935</v>
      </c>
      <c r="T60" s="180">
        <v>0.52061291153706335</v>
      </c>
      <c r="U60" s="180">
        <v>0.51613648290166914</v>
      </c>
      <c r="V60" s="180">
        <v>0.51172529034520875</v>
      </c>
      <c r="W60" s="180">
        <v>0.50865493860313749</v>
      </c>
      <c r="X60" s="180">
        <v>0.50558458686106622</v>
      </c>
      <c r="Y60" s="180">
        <v>0.50251423511899496</v>
      </c>
      <c r="DA60" s="189" t="s">
        <v>952</v>
      </c>
    </row>
    <row r="61" spans="1:105" ht="12" customHeight="1" x14ac:dyDescent="0.25">
      <c r="A61" s="131" t="s">
        <v>100</v>
      </c>
      <c r="B61" s="180"/>
      <c r="C61" s="180">
        <v>188.14720663611007</v>
      </c>
      <c r="D61" s="180">
        <v>185.5857789044835</v>
      </c>
      <c r="E61" s="180">
        <v>184.23235264770855</v>
      </c>
      <c r="F61" s="180">
        <v>182.9108410247369</v>
      </c>
      <c r="G61" s="180">
        <v>179.46423227854481</v>
      </c>
      <c r="H61" s="180">
        <v>175.38896574758419</v>
      </c>
      <c r="I61" s="180">
        <v>171.86089204348596</v>
      </c>
      <c r="J61" s="180">
        <v>169.06368255637184</v>
      </c>
      <c r="K61" s="180">
        <v>165.19934601607821</v>
      </c>
      <c r="L61" s="180">
        <v>161.68876008657827</v>
      </c>
      <c r="M61" s="180">
        <v>157.79861783456872</v>
      </c>
      <c r="N61" s="180">
        <v>152.12500874402801</v>
      </c>
      <c r="O61" s="180">
        <v>145.96546374320499</v>
      </c>
      <c r="P61" s="180">
        <v>138.18498646072379</v>
      </c>
      <c r="Q61" s="180">
        <v>130.11186751646005</v>
      </c>
      <c r="R61" s="180">
        <v>122.78155366748932</v>
      </c>
      <c r="S61" s="180">
        <v>117.14290638167655</v>
      </c>
      <c r="T61" s="180">
        <v>111.43268269176706</v>
      </c>
      <c r="U61" s="180">
        <v>105.697731039481</v>
      </c>
      <c r="V61" s="180">
        <v>100.00202038942302</v>
      </c>
      <c r="W61" s="180">
        <v>97.541970687843218</v>
      </c>
      <c r="X61" s="180">
        <v>95.081920986263427</v>
      </c>
      <c r="Y61" s="180">
        <v>92.621871284683621</v>
      </c>
      <c r="DA61" s="189" t="s">
        <v>953</v>
      </c>
    </row>
    <row r="62" spans="1:105" ht="12" customHeight="1" x14ac:dyDescent="0.25">
      <c r="A62" s="131" t="s">
        <v>140</v>
      </c>
      <c r="B62" s="180"/>
      <c r="C62" s="180">
        <v>42.231460118899392</v>
      </c>
      <c r="D62" s="180">
        <v>40.42828205477602</v>
      </c>
      <c r="E62" s="180">
        <v>39.273428121934103</v>
      </c>
      <c r="F62" s="180">
        <v>38.219302347390382</v>
      </c>
      <c r="G62" s="180">
        <v>37.306657887876263</v>
      </c>
      <c r="H62" s="180">
        <v>36.081188027289166</v>
      </c>
      <c r="I62" s="180">
        <v>34.741941689986376</v>
      </c>
      <c r="J62" s="180">
        <v>33.696167531453469</v>
      </c>
      <c r="K62" s="180">
        <v>32.539318393970269</v>
      </c>
      <c r="L62" s="180">
        <v>31.391622359916816</v>
      </c>
      <c r="M62" s="180">
        <v>30.093305537264609</v>
      </c>
      <c r="N62" s="180">
        <v>28.659608072289039</v>
      </c>
      <c r="O62" s="180">
        <v>27.082892453813027</v>
      </c>
      <c r="P62" s="180">
        <v>25.668855529248869</v>
      </c>
      <c r="Q62" s="180">
        <v>24.115696268354931</v>
      </c>
      <c r="R62" s="180">
        <v>21.843710448860097</v>
      </c>
      <c r="S62" s="180">
        <v>20.753911251124563</v>
      </c>
      <c r="T62" s="180">
        <v>18.6848620808472</v>
      </c>
      <c r="U62" s="180">
        <v>16.995999741031945</v>
      </c>
      <c r="V62" s="180">
        <v>15.717256581079187</v>
      </c>
      <c r="W62" s="180">
        <v>14.931393752025228</v>
      </c>
      <c r="X62" s="180">
        <v>14.145530922971266</v>
      </c>
      <c r="Y62" s="180">
        <v>13.359668093917307</v>
      </c>
      <c r="DA62" s="189" t="s">
        <v>954</v>
      </c>
    </row>
    <row r="63" spans="1:105" ht="12" customHeight="1" x14ac:dyDescent="0.25">
      <c r="A63" s="131" t="s">
        <v>173</v>
      </c>
      <c r="B63" s="180"/>
      <c r="C63" s="180">
        <v>633.95719445830991</v>
      </c>
      <c r="D63" s="180">
        <v>621.72708128371357</v>
      </c>
      <c r="E63" s="180">
        <v>611.04705352038081</v>
      </c>
      <c r="F63" s="180">
        <v>602.5342741774125</v>
      </c>
      <c r="G63" s="180">
        <v>594.05318042457623</v>
      </c>
      <c r="H63" s="180">
        <v>584.89346901271108</v>
      </c>
      <c r="I63" s="180">
        <v>578.10390950290355</v>
      </c>
      <c r="J63" s="180">
        <v>567.06874669342596</v>
      </c>
      <c r="K63" s="180">
        <v>555.21440158631776</v>
      </c>
      <c r="L63" s="180">
        <v>542.76538619221594</v>
      </c>
      <c r="M63" s="180">
        <v>528.63466973273307</v>
      </c>
      <c r="N63" s="180">
        <v>521.57568904590948</v>
      </c>
      <c r="O63" s="180">
        <v>516.53506326628712</v>
      </c>
      <c r="P63" s="180">
        <v>502.25394535504847</v>
      </c>
      <c r="Q63" s="180">
        <v>493.03793086920564</v>
      </c>
      <c r="R63" s="180">
        <v>485.93272370870039</v>
      </c>
      <c r="S63" s="180">
        <v>477.32410584752193</v>
      </c>
      <c r="T63" s="180">
        <v>469.01252653678125</v>
      </c>
      <c r="U63" s="180">
        <v>460.98569108039931</v>
      </c>
      <c r="V63" s="180">
        <v>453.03603986152149</v>
      </c>
      <c r="W63" s="180">
        <v>443.97531906429106</v>
      </c>
      <c r="X63" s="180">
        <v>434.91459826706063</v>
      </c>
      <c r="Y63" s="180">
        <v>425.85387746983019</v>
      </c>
      <c r="DA63" s="189" t="s">
        <v>955</v>
      </c>
    </row>
    <row r="64" spans="1:105" ht="12" customHeight="1" x14ac:dyDescent="0.25">
      <c r="A64" s="60" t="s">
        <v>99</v>
      </c>
      <c r="B64" s="55"/>
      <c r="C64" s="55">
        <v>52.944602860896012</v>
      </c>
      <c r="D64" s="55">
        <v>52.241427511851079</v>
      </c>
      <c r="E64" s="55">
        <v>51.551931567528456</v>
      </c>
      <c r="F64" s="55">
        <v>50.652006330254714</v>
      </c>
      <c r="G64" s="55">
        <v>49.64668278581852</v>
      </c>
      <c r="H64" s="55">
        <v>48.55928640715144</v>
      </c>
      <c r="I64" s="55">
        <v>47.402065696921831</v>
      </c>
      <c r="J64" s="55">
        <v>46.493794782319078</v>
      </c>
      <c r="K64" s="55">
        <v>45.828160828904899</v>
      </c>
      <c r="L64" s="55">
        <v>44.855295751157023</v>
      </c>
      <c r="M64" s="55">
        <v>43.22007975790563</v>
      </c>
      <c r="N64" s="55">
        <v>41.869829211865159</v>
      </c>
      <c r="O64" s="55">
        <v>40.179220167090726</v>
      </c>
      <c r="P64" s="55">
        <v>38.431221451150087</v>
      </c>
      <c r="Q64" s="55">
        <v>36.598706205200202</v>
      </c>
      <c r="R64" s="55">
        <v>36.146900150408072</v>
      </c>
      <c r="S64" s="55">
        <v>35.6085518859906</v>
      </c>
      <c r="T64" s="55">
        <v>35.09837401169947</v>
      </c>
      <c r="U64" s="55">
        <v>34.600833848387559</v>
      </c>
      <c r="V64" s="55">
        <v>34.108360956521274</v>
      </c>
      <c r="W64" s="55">
        <v>33.767277346956064</v>
      </c>
      <c r="X64" s="55">
        <v>33.426193737390847</v>
      </c>
      <c r="Y64" s="55">
        <v>33.085110127825637</v>
      </c>
      <c r="DA64" s="101" t="s">
        <v>956</v>
      </c>
    </row>
    <row r="65" spans="1:105" ht="12" customHeight="1" x14ac:dyDescent="0.25">
      <c r="A65" s="62" t="s">
        <v>98</v>
      </c>
      <c r="B65" s="63"/>
      <c r="C65" s="63">
        <v>363.31734186343277</v>
      </c>
      <c r="D65" s="63">
        <v>349.42029250449315</v>
      </c>
      <c r="E65" s="63">
        <v>338.0682244988347</v>
      </c>
      <c r="F65" s="63">
        <v>326.87332172033581</v>
      </c>
      <c r="G65" s="63">
        <v>312.25993332712341</v>
      </c>
      <c r="H65" s="63">
        <v>292.89649846018392</v>
      </c>
      <c r="I65" s="63">
        <v>275.82069819427369</v>
      </c>
      <c r="J65" s="63">
        <v>256.42824634119785</v>
      </c>
      <c r="K65" s="63">
        <v>236.63210787153511</v>
      </c>
      <c r="L65" s="63">
        <v>216.06421308052296</v>
      </c>
      <c r="M65" s="63">
        <v>203.1799126929524</v>
      </c>
      <c r="N65" s="63">
        <v>200.21653161323033</v>
      </c>
      <c r="O65" s="63">
        <v>198.35529136745842</v>
      </c>
      <c r="P65" s="63">
        <v>197.6294480083501</v>
      </c>
      <c r="Q65" s="63">
        <v>196.70967249090785</v>
      </c>
      <c r="R65" s="63">
        <v>194.36593791984009</v>
      </c>
      <c r="S65" s="63">
        <v>189.37097439594345</v>
      </c>
      <c r="T65" s="63">
        <v>184.48890218177186</v>
      </c>
      <c r="U65" s="63">
        <v>179.76015393425584</v>
      </c>
      <c r="V65" s="63">
        <v>175.07945645948715</v>
      </c>
      <c r="W65" s="63">
        <v>171.92802624321638</v>
      </c>
      <c r="X65" s="63">
        <v>168.77659602694561</v>
      </c>
      <c r="Y65" s="63">
        <v>165.62516581067484</v>
      </c>
      <c r="DA65" s="105" t="s">
        <v>957</v>
      </c>
    </row>
    <row r="66" spans="1:105" s="2" customFormat="1" ht="12" customHeight="1" x14ac:dyDescent="0.25">
      <c r="DA66" s="7"/>
    </row>
    <row r="67" spans="1:105" ht="12.95" customHeight="1" x14ac:dyDescent="0.25">
      <c r="A67" s="178" t="s">
        <v>97</v>
      </c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DA67" s="195"/>
    </row>
    <row r="68" spans="1:105" ht="12" customHeight="1" x14ac:dyDescent="0.25">
      <c r="A68" s="131" t="s">
        <v>96</v>
      </c>
      <c r="B68" s="187">
        <f>1000000*B20/SER_summary!B$8</f>
        <v>416.38008563234712</v>
      </c>
      <c r="C68" s="187">
        <f>1000000*C20/SER_summary!C$8</f>
        <v>428.39028707182848</v>
      </c>
      <c r="D68" s="187">
        <f>1000000*D20/SER_summary!D$8</f>
        <v>438.91774191656344</v>
      </c>
      <c r="E68" s="187">
        <f>1000000*E20/SER_summary!E$8</f>
        <v>448.66344662900156</v>
      </c>
      <c r="F68" s="187">
        <f>1000000*F20/SER_summary!F$8</f>
        <v>457.15907768751202</v>
      </c>
      <c r="G68" s="187">
        <f>1000000*G20/SER_summary!G$8</f>
        <v>464.20623698445627</v>
      </c>
      <c r="H68" s="187">
        <f>1000000*H20/SER_summary!H$8</f>
        <v>472.22323100054319</v>
      </c>
      <c r="I68" s="187">
        <f>1000000*I20/SER_summary!I$8</f>
        <v>482.20966101924841</v>
      </c>
      <c r="J68" s="187">
        <f>1000000*J20/SER_summary!J$8</f>
        <v>489.87620293726496</v>
      </c>
      <c r="K68" s="187">
        <f>1000000*K20/SER_summary!K$8</f>
        <v>496.62050202564768</v>
      </c>
      <c r="L68" s="187">
        <f>1000000*L20/SER_summary!L$8</f>
        <v>503.60088687892932</v>
      </c>
      <c r="M68" s="187">
        <f>1000000*M20/SER_summary!M$8</f>
        <v>506.65330321265282</v>
      </c>
      <c r="N68" s="187">
        <f>1000000*N20/SER_summary!N$8</f>
        <v>515.59302201381456</v>
      </c>
      <c r="O68" s="187">
        <f>1000000*O20/SER_summary!O$8</f>
        <v>526.92651509604582</v>
      </c>
      <c r="P68" s="187">
        <f>1000000*P20/SER_summary!P$8</f>
        <v>545.51063293109894</v>
      </c>
      <c r="Q68" s="187">
        <f>1000000*Q20/SER_summary!Q$8</f>
        <v>568.19237630606506</v>
      </c>
      <c r="R68" s="187">
        <f>1000000*R20/SER_summary!R$8</f>
        <v>578.21362402884915</v>
      </c>
      <c r="S68" s="187">
        <f>1000000*S20/SER_summary!S$8</f>
        <v>588.27837789508351</v>
      </c>
      <c r="T68" s="187">
        <f>1000000*T20/SER_summary!T$8</f>
        <v>598.15654581355477</v>
      </c>
      <c r="U68" s="187">
        <f>1000000*U20/SER_summary!U$8</f>
        <v>607.70857374621323</v>
      </c>
      <c r="V68" s="187">
        <f>1000000*V20/SER_summary!V$8</f>
        <v>616.67470161903043</v>
      </c>
      <c r="W68" s="187">
        <f>1000000*W20/SER_summary!W$8</f>
        <v>624.76447819208988</v>
      </c>
      <c r="X68" s="187">
        <f>1000000*X20/SER_summary!X$8</f>
        <v>628.84907669566405</v>
      </c>
      <c r="Y68" s="187">
        <f>1000000*Y20/SER_summary!Y$8</f>
        <v>630.90137920297798</v>
      </c>
      <c r="DA68" s="196" t="s">
        <v>958</v>
      </c>
    </row>
    <row r="69" spans="1:105" ht="12" customHeight="1" x14ac:dyDescent="0.25">
      <c r="A69" s="131" t="s">
        <v>95</v>
      </c>
      <c r="B69" s="187">
        <f>1000*B21/SER_summary!B$3</f>
        <v>9.5744759860170336E-2</v>
      </c>
      <c r="C69" s="187">
        <f>1000*C21/SER_summary!C$3</f>
        <v>0.10092953208643574</v>
      </c>
      <c r="D69" s="187">
        <f>1000*D21/SER_summary!D$3</f>
        <v>0.10660623326354436</v>
      </c>
      <c r="E69" s="187">
        <f>1000*E21/SER_summary!E$3</f>
        <v>0.11314814272197755</v>
      </c>
      <c r="F69" s="187">
        <f>1000*F21/SER_summary!F$3</f>
        <v>0.11896243009945361</v>
      </c>
      <c r="G69" s="187">
        <f>1000*G21/SER_summary!G$3</f>
        <v>0.12436638744456997</v>
      </c>
      <c r="H69" s="187">
        <f>1000*H21/SER_summary!H$3</f>
        <v>0.13014078977448876</v>
      </c>
      <c r="I69" s="187">
        <f>1000*I21/SER_summary!I$3</f>
        <v>0.13490865698592228</v>
      </c>
      <c r="J69" s="187">
        <f>1000*J21/SER_summary!J$3</f>
        <v>0.13904026503935574</v>
      </c>
      <c r="K69" s="187">
        <f>1000*K21/SER_summary!K$3</f>
        <v>0.14274319362653742</v>
      </c>
      <c r="L69" s="187">
        <f>1000*L21/SER_summary!L$3</f>
        <v>0.14719527917507966</v>
      </c>
      <c r="M69" s="187">
        <f>1000*M21/SER_summary!M$3</f>
        <v>0.15453413794730675</v>
      </c>
      <c r="N69" s="187">
        <f>1000*N21/SER_summary!N$3</f>
        <v>0.16189481905868572</v>
      </c>
      <c r="O69" s="187">
        <f>1000*O21/SER_summary!O$3</f>
        <v>0.16998452590530638</v>
      </c>
      <c r="P69" s="187">
        <f>1000*P21/SER_summary!P$3</f>
        <v>0.17952890055418846</v>
      </c>
      <c r="Q69" s="187">
        <f>1000*Q21/SER_summary!Q$3</f>
        <v>0.19150755131619035</v>
      </c>
      <c r="R69" s="187">
        <f>1000*R21/SER_summary!R$3</f>
        <v>0.19513947228464629</v>
      </c>
      <c r="S69" s="187">
        <f>1000*S21/SER_summary!S$3</f>
        <v>0.19873120788969112</v>
      </c>
      <c r="T69" s="187">
        <f>1000*T21/SER_summary!T$3</f>
        <v>0.2023901135671842</v>
      </c>
      <c r="U69" s="187">
        <f>1000*U21/SER_summary!U$3</f>
        <v>0.20451119058462536</v>
      </c>
      <c r="V69" s="187">
        <f>1000*V21/SER_summary!V$3</f>
        <v>0.20546507263308206</v>
      </c>
      <c r="W69" s="187">
        <f>1000*W21/SER_summary!W$3</f>
        <v>0.20573467353304994</v>
      </c>
      <c r="X69" s="187">
        <f>1000*X21/SER_summary!X$3</f>
        <v>0.20592360462065465</v>
      </c>
      <c r="Y69" s="187">
        <f>1000*Y21/SER_summary!Y$3</f>
        <v>0.20605595960497169</v>
      </c>
      <c r="DA69" s="196" t="s">
        <v>959</v>
      </c>
    </row>
    <row r="70" spans="1:105" ht="12" customHeight="1" x14ac:dyDescent="0.25">
      <c r="A70" s="131" t="s">
        <v>141</v>
      </c>
      <c r="B70" s="187">
        <f>1000000*B22/SER_summary!B$8</f>
        <v>143.60576102791026</v>
      </c>
      <c r="C70" s="187">
        <f>1000000*C22/SER_summary!C$8</f>
        <v>144.80282578286713</v>
      </c>
      <c r="D70" s="187">
        <f>1000000*D22/SER_summary!D$8</f>
        <v>147.08875157628273</v>
      </c>
      <c r="E70" s="187">
        <f>1000000*E22/SER_summary!E$8</f>
        <v>149.99082898444945</v>
      </c>
      <c r="F70" s="187">
        <f>1000000*F22/SER_summary!F$8</f>
        <v>153.11850857533619</v>
      </c>
      <c r="G70" s="187">
        <f>1000000*G22/SER_summary!G$8</f>
        <v>157.27565741662352</v>
      </c>
      <c r="H70" s="187">
        <f>1000000*H22/SER_summary!H$8</f>
        <v>160.75638040391752</v>
      </c>
      <c r="I70" s="187">
        <f>1000000*I22/SER_summary!I$8</f>
        <v>165.04381717269118</v>
      </c>
      <c r="J70" s="187">
        <f>1000000*J22/SER_summary!J$8</f>
        <v>168.30406444083891</v>
      </c>
      <c r="K70" s="187">
        <f>1000000*K22/SER_summary!K$8</f>
        <v>173.33990751826659</v>
      </c>
      <c r="L70" s="187">
        <f>1000000*L22/SER_summary!L$8</f>
        <v>178.34545836918457</v>
      </c>
      <c r="M70" s="187">
        <f>1000000*M22/SER_summary!M$8</f>
        <v>185.47972630654513</v>
      </c>
      <c r="N70" s="187">
        <f>1000000*N22/SER_summary!N$8</f>
        <v>191.57872245611298</v>
      </c>
      <c r="O70" s="187">
        <f>1000000*O22/SER_summary!O$8</f>
        <v>199.57464862149411</v>
      </c>
      <c r="P70" s="187">
        <f>1000000*P22/SER_summary!P$8</f>
        <v>206.90468125631054</v>
      </c>
      <c r="Q70" s="187">
        <f>1000000*Q22/SER_summary!Q$8</f>
        <v>218.85944055833289</v>
      </c>
      <c r="R70" s="187">
        <f>1000000*R22/SER_summary!R$8</f>
        <v>225.06924773682525</v>
      </c>
      <c r="S70" s="187">
        <f>1000000*S22/SER_summary!S$8</f>
        <v>231.37561586238914</v>
      </c>
      <c r="T70" s="187">
        <f>1000000*T22/SER_summary!T$8</f>
        <v>237.36355327041329</v>
      </c>
      <c r="U70" s="187">
        <f>1000000*U22/SER_summary!U$8</f>
        <v>242.77927055041232</v>
      </c>
      <c r="V70" s="187">
        <f>1000000*V22/SER_summary!V$8</f>
        <v>247.14980059560253</v>
      </c>
      <c r="W70" s="187">
        <f>1000000*W22/SER_summary!W$8</f>
        <v>249.6021704378029</v>
      </c>
      <c r="X70" s="187">
        <f>1000000*X22/SER_summary!X$8</f>
        <v>250.83746553525458</v>
      </c>
      <c r="Y70" s="187">
        <f>1000000*Y22/SER_summary!Y$8</f>
        <v>251.45740377565394</v>
      </c>
      <c r="DA70" s="196" t="s">
        <v>960</v>
      </c>
    </row>
    <row r="71" spans="1:105" ht="12" customHeight="1" x14ac:dyDescent="0.25">
      <c r="A71" s="131" t="s">
        <v>174</v>
      </c>
      <c r="B71" s="187">
        <f>1000*B23/SER_summary!B$3</f>
        <v>9.2285389072145306E-3</v>
      </c>
      <c r="C71" s="187">
        <f>1000*C23/SER_summary!C$3</f>
        <v>1.00275440040225E-2</v>
      </c>
      <c r="D71" s="187">
        <f>1000*D23/SER_summary!D$3</f>
        <v>1.1032159994903127E-2</v>
      </c>
      <c r="E71" s="187">
        <f>1000*E23/SER_summary!E$3</f>
        <v>1.2406166587005463E-2</v>
      </c>
      <c r="F71" s="187">
        <f>1000*F23/SER_summary!F$3</f>
        <v>1.3546886458846313E-2</v>
      </c>
      <c r="G71" s="187">
        <f>1000*G23/SER_summary!G$3</f>
        <v>1.4365980127480252E-2</v>
      </c>
      <c r="H71" s="187">
        <f>1000*H23/SER_summary!H$3</f>
        <v>1.4925213133590793E-2</v>
      </c>
      <c r="I71" s="187">
        <f>1000*I23/SER_summary!I$3</f>
        <v>1.5250375138384965E-2</v>
      </c>
      <c r="J71" s="187">
        <f>1000*J23/SER_summary!J$3</f>
        <v>1.548946559670763E-2</v>
      </c>
      <c r="K71" s="187">
        <f>1000*K23/SER_summary!K$3</f>
        <v>1.5692183327781828E-2</v>
      </c>
      <c r="L71" s="187">
        <f>1000*L23/SER_summary!L$3</f>
        <v>1.605707133448616E-2</v>
      </c>
      <c r="M71" s="187">
        <f>1000*M23/SER_summary!M$3</f>
        <v>1.6362656248031151E-2</v>
      </c>
      <c r="N71" s="187">
        <f>1000*N23/SER_summary!N$3</f>
        <v>1.6783750300538337E-2</v>
      </c>
      <c r="O71" s="187">
        <f>1000*O23/SER_summary!O$3</f>
        <v>1.7362611228324217E-2</v>
      </c>
      <c r="P71" s="187">
        <f>1000*P23/SER_summary!P$3</f>
        <v>1.7988374249558438E-2</v>
      </c>
      <c r="Q71" s="187">
        <f>1000*Q23/SER_summary!Q$3</f>
        <v>1.863228630359344E-2</v>
      </c>
      <c r="R71" s="187">
        <f>1000*R23/SER_summary!R$3</f>
        <v>1.9417905286103199E-2</v>
      </c>
      <c r="S71" s="187">
        <f>1000*S23/SER_summary!S$3</f>
        <v>2.0199210552900845E-2</v>
      </c>
      <c r="T71" s="187">
        <f>1000*T23/SER_summary!T$3</f>
        <v>2.0985834662957666E-2</v>
      </c>
      <c r="U71" s="187">
        <f>1000*U23/SER_summary!U$3</f>
        <v>2.1608480998231785E-2</v>
      </c>
      <c r="V71" s="187">
        <f>1000*V23/SER_summary!V$3</f>
        <v>2.20981228150272E-2</v>
      </c>
      <c r="W71" s="187">
        <f>1000*W23/SER_summary!W$3</f>
        <v>2.2512079949161989E-2</v>
      </c>
      <c r="X71" s="187">
        <f>1000*X23/SER_summary!X$3</f>
        <v>2.280645529614627E-2</v>
      </c>
      <c r="Y71" s="187">
        <f>1000*Y23/SER_summary!Y$3</f>
        <v>2.301480541919013E-2</v>
      </c>
      <c r="DA71" s="196" t="s">
        <v>961</v>
      </c>
    </row>
    <row r="72" spans="1:105" ht="12" customHeight="1" x14ac:dyDescent="0.25">
      <c r="A72" s="60" t="s">
        <v>94</v>
      </c>
      <c r="B72" s="187">
        <f>1000000*B24/SER_summary!B$8</f>
        <v>56.325783810441685</v>
      </c>
      <c r="C72" s="187">
        <f>1000000*C24/SER_summary!C$8</f>
        <v>62.57125416544234</v>
      </c>
      <c r="D72" s="187">
        <f>1000000*D24/SER_summary!D$8</f>
        <v>68.93182220816135</v>
      </c>
      <c r="E72" s="187">
        <f>1000000*E24/SER_summary!E$8</f>
        <v>74.46446317193238</v>
      </c>
      <c r="F72" s="187">
        <f>1000000*F24/SER_summary!F$8</f>
        <v>80.462310105799858</v>
      </c>
      <c r="G72" s="187">
        <f>1000000*G24/SER_summary!G$8</f>
        <v>85.034392179334091</v>
      </c>
      <c r="H72" s="187">
        <f>1000000*H24/SER_summary!H$8</f>
        <v>89.875608475395268</v>
      </c>
      <c r="I72" s="187">
        <f>1000000*I24/SER_summary!I$8</f>
        <v>94.597525831593458</v>
      </c>
      <c r="J72" s="187">
        <f>1000000*J24/SER_summary!J$8</f>
        <v>98.313899348412008</v>
      </c>
      <c r="K72" s="187">
        <f>1000000*K24/SER_summary!K$8</f>
        <v>101.8062891559311</v>
      </c>
      <c r="L72" s="187">
        <f>1000000*L24/SER_summary!L$8</f>
        <v>104.14324263682447</v>
      </c>
      <c r="M72" s="187">
        <f>1000000*M24/SER_summary!M$8</f>
        <v>107.23007597342361</v>
      </c>
      <c r="N72" s="187">
        <f>1000000*N24/SER_summary!N$8</f>
        <v>109.74304029549361</v>
      </c>
      <c r="O72" s="187">
        <f>1000000*O24/SER_summary!O$8</f>
        <v>113.12245230840541</v>
      </c>
      <c r="P72" s="187">
        <f>1000000*P24/SER_summary!P$8</f>
        <v>116.83737286572797</v>
      </c>
      <c r="Q72" s="187">
        <f>1000000*Q24/SER_summary!Q$8</f>
        <v>120.2469945589218</v>
      </c>
      <c r="R72" s="187">
        <f>1000000*R24/SER_summary!R$8</f>
        <v>126.65121667910587</v>
      </c>
      <c r="S72" s="187">
        <f>1000000*S24/SER_summary!S$8</f>
        <v>131.99042682730823</v>
      </c>
      <c r="T72" s="187">
        <f>1000000*T24/SER_summary!T$8</f>
        <v>138.40262435207907</v>
      </c>
      <c r="U72" s="187">
        <f>1000000*U24/SER_summary!U$8</f>
        <v>146.01478796596933</v>
      </c>
      <c r="V72" s="187">
        <f>1000000*V24/SER_summary!V$8</f>
        <v>152.85528708274461</v>
      </c>
      <c r="W72" s="187">
        <f>1000000*W24/SER_summary!W$8</f>
        <v>158.54696699964461</v>
      </c>
      <c r="X72" s="187">
        <f>1000000*X24/SER_summary!X$8</f>
        <v>163.25252872661108</v>
      </c>
      <c r="Y72" s="187">
        <f>1000000*Y24/SER_summary!Y$8</f>
        <v>167.11733447275029</v>
      </c>
      <c r="DA72" s="196" t="s">
        <v>962</v>
      </c>
    </row>
    <row r="73" spans="1:105" ht="12" customHeight="1" x14ac:dyDescent="0.25">
      <c r="A73" s="62" t="s">
        <v>93</v>
      </c>
      <c r="B73" s="52">
        <f>1000*B25/SER_summary!B$3</f>
        <v>2.7773148625688707E-2</v>
      </c>
      <c r="C73" s="52">
        <f>1000*C25/SER_summary!C$3</f>
        <v>3.1131480689439304E-2</v>
      </c>
      <c r="D73" s="52">
        <f>1000*D25/SER_summary!D$3</f>
        <v>3.4699134667951721E-2</v>
      </c>
      <c r="E73" s="52">
        <f>1000*E25/SER_summary!E$3</f>
        <v>3.9169385415552156E-2</v>
      </c>
      <c r="F73" s="52">
        <f>1000*F25/SER_summary!F$3</f>
        <v>4.7184791204518912E-2</v>
      </c>
      <c r="G73" s="52">
        <f>1000*G25/SER_summary!G$3</f>
        <v>5.6224186894348126E-2</v>
      </c>
      <c r="H73" s="52">
        <f>1000*H25/SER_summary!H$3</f>
        <v>7.6259972661999395E-2</v>
      </c>
      <c r="I73" s="52">
        <f>1000*I25/SER_summary!I$3</f>
        <v>0.10305028038068935</v>
      </c>
      <c r="J73" s="52">
        <f>1000*J25/SER_summary!J$3</f>
        <v>0.11691595108900059</v>
      </c>
      <c r="K73" s="52">
        <f>1000*K25/SER_summary!K$3</f>
        <v>0.12640799406225287</v>
      </c>
      <c r="L73" s="52">
        <f>1000*L25/SER_summary!L$3</f>
        <v>0.13598530238612883</v>
      </c>
      <c r="M73" s="52">
        <f>1000*M25/SER_summary!M$3</f>
        <v>0.15032663563230159</v>
      </c>
      <c r="N73" s="52">
        <f>1000*N25/SER_summary!N$3</f>
        <v>0.17335961135269615</v>
      </c>
      <c r="O73" s="52">
        <f>1000*O25/SER_summary!O$3</f>
        <v>0.19215947337774697</v>
      </c>
      <c r="P73" s="52">
        <f>1000*P25/SER_summary!P$3</f>
        <v>0.21056667363700626</v>
      </c>
      <c r="Q73" s="52">
        <f>1000*Q25/SER_summary!Q$3</f>
        <v>0.23301538101064881</v>
      </c>
      <c r="R73" s="52">
        <f>1000*R25/SER_summary!R$3</f>
        <v>0.24627867923433194</v>
      </c>
      <c r="S73" s="52">
        <f>1000*S25/SER_summary!S$3</f>
        <v>0.26550960536062618</v>
      </c>
      <c r="T73" s="52">
        <f>1000*T25/SER_summary!T$3</f>
        <v>0.28184760987856733</v>
      </c>
      <c r="U73" s="52">
        <f>1000*U25/SER_summary!U$3</f>
        <v>0.29936478476507405</v>
      </c>
      <c r="V73" s="52">
        <f>1000*V25/SER_summary!V$3</f>
        <v>0.31720851927859206</v>
      </c>
      <c r="W73" s="52">
        <f>1000*W25/SER_summary!W$3</f>
        <v>0.33381087055723346</v>
      </c>
      <c r="X73" s="52">
        <f>1000*X25/SER_summary!X$3</f>
        <v>0.35042876557119557</v>
      </c>
      <c r="Y73" s="52">
        <f>1000*Y25/SER_summary!Y$3</f>
        <v>0.37249338734740933</v>
      </c>
      <c r="DA73" s="98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V15 B69:V71 B16:V16 B72:Q72 R72:V72 W13:Y17 W69:Y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'SER_se-appl'!B4</f>
        <v>7.4940061625859853</v>
      </c>
      <c r="C3" s="198">
        <f>'SER_se-appl'!C4</f>
        <v>7.9578501181881363</v>
      </c>
      <c r="D3" s="198">
        <f>'SER_se-appl'!D4</f>
        <v>8.4595275330506894</v>
      </c>
      <c r="E3" s="198">
        <f>'SER_se-appl'!E4</f>
        <v>9.1373760329704208</v>
      </c>
      <c r="F3" s="198">
        <f>'SER_se-appl'!F4</f>
        <v>9.7042585982253016</v>
      </c>
      <c r="G3" s="198">
        <f>'SER_se-appl'!G4</f>
        <v>10.296075799124308</v>
      </c>
      <c r="H3" s="198">
        <f>'SER_se-appl'!H4</f>
        <v>10.750719880152626</v>
      </c>
      <c r="I3" s="198">
        <f>'SER_se-appl'!I4</f>
        <v>11.857894193928928</v>
      </c>
      <c r="J3" s="198">
        <f>'SER_se-appl'!J4</f>
        <v>12.396284036058482</v>
      </c>
      <c r="K3" s="198">
        <f>'SER_se-appl'!K4</f>
        <v>12.429605629836839</v>
      </c>
      <c r="L3" s="198">
        <f>'SER_se-appl'!L4</f>
        <v>12.574538230596088</v>
      </c>
      <c r="M3" s="198">
        <f>'SER_se-appl'!M4</f>
        <v>12.747277068417697</v>
      </c>
      <c r="N3" s="198">
        <f>'SER_se-appl'!N4</f>
        <v>12.917826940753107</v>
      </c>
      <c r="O3" s="198">
        <f>'SER_se-appl'!O4</f>
        <v>13.153759951038948</v>
      </c>
      <c r="P3" s="198">
        <f>'SER_se-appl'!P4</f>
        <v>13.574289114516242</v>
      </c>
      <c r="Q3" s="198">
        <f>'SER_se-appl'!Q4</f>
        <v>13.953193056338137</v>
      </c>
      <c r="R3" s="198">
        <f>'SER_se-appl'!R4</f>
        <v>14.067332896200284</v>
      </c>
      <c r="S3" s="198">
        <f>'SER_se-appl'!S4</f>
        <v>14.187648370667027</v>
      </c>
      <c r="T3" s="198">
        <f>'SER_se-appl'!T4</f>
        <v>14.282739294852565</v>
      </c>
      <c r="U3" s="198">
        <f>'SER_se-appl'!U4</f>
        <v>14.310915013777359</v>
      </c>
      <c r="V3" s="198">
        <f>'SER_se-appl'!V4</f>
        <v>14.292662327959837</v>
      </c>
      <c r="W3" s="198">
        <f>'SER_se-appl'!W4</f>
        <v>14.193103316378052</v>
      </c>
      <c r="X3" s="198">
        <f>'SER_se-appl'!X4</f>
        <v>14.033309440958645</v>
      </c>
      <c r="Y3" s="198">
        <f>'SER_se-appl'!Y4</f>
        <v>13.818694462175062</v>
      </c>
      <c r="DA3" s="205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'SER_se-appl'!B12</f>
        <v>9.9492342090039969</v>
      </c>
      <c r="C5" s="59">
        <f>'SER_se-appl'!C12</f>
        <v>10.565045305311418</v>
      </c>
      <c r="D5" s="59">
        <f>'SER_se-appl'!D12</f>
        <v>11.231085069563871</v>
      </c>
      <c r="E5" s="59">
        <f>'SER_se-appl'!E12</f>
        <v>12.131014071169629</v>
      </c>
      <c r="F5" s="59">
        <f>'SER_se-appl'!F12</f>
        <v>12.883621860429258</v>
      </c>
      <c r="G5" s="59">
        <f>'SER_se-appl'!G12</f>
        <v>13.669333509568004</v>
      </c>
      <c r="H5" s="59">
        <f>'SER_se-appl'!H12</f>
        <v>14.27293061714327</v>
      </c>
      <c r="I5" s="59">
        <f>'SER_se-appl'!I12</f>
        <v>15.742843547419348</v>
      </c>
      <c r="J5" s="59">
        <f>'SER_se-appl'!J12</f>
        <v>16.457623668876735</v>
      </c>
      <c r="K5" s="59">
        <f>'SER_se-appl'!K12</f>
        <v>16.501862268835893</v>
      </c>
      <c r="L5" s="59">
        <f>'SER_se-appl'!L12</f>
        <v>16.694278495642973</v>
      </c>
      <c r="M5" s="59">
        <f>'SER_se-appl'!M12</f>
        <v>16.92361099380113</v>
      </c>
      <c r="N5" s="59">
        <f>'SER_se-appl'!N12</f>
        <v>17.150037365406249</v>
      </c>
      <c r="O5" s="59">
        <f>'SER_se-appl'!O12</f>
        <v>17.463268062851942</v>
      </c>
      <c r="P5" s="59">
        <f>'SER_se-appl'!P12</f>
        <v>18.021573333541539</v>
      </c>
      <c r="Q5" s="59">
        <f>'SER_se-appl'!Q12</f>
        <v>18.524615895572214</v>
      </c>
      <c r="R5" s="59">
        <f>'SER_se-appl'!R12</f>
        <v>18.676150865617512</v>
      </c>
      <c r="S5" s="59">
        <f>'SER_se-appl'!S12</f>
        <v>18.83588476607963</v>
      </c>
      <c r="T5" s="59">
        <f>'SER_se-appl'!T12</f>
        <v>18.962129908577097</v>
      </c>
      <c r="U5" s="59">
        <f>'SER_se-appl'!U12</f>
        <v>18.999536713496653</v>
      </c>
      <c r="V5" s="59">
        <f>'SER_se-appl'!V12</f>
        <v>18.975303981069963</v>
      </c>
      <c r="W5" s="59">
        <f>'SER_se-appl'!W12</f>
        <v>18.84312689149278</v>
      </c>
      <c r="X5" s="59">
        <f>'SER_se-appl'!X12</f>
        <v>18.630980456432539</v>
      </c>
      <c r="Y5" s="59">
        <f>'SER_se-appl'!Y12</f>
        <v>18.346052122727851</v>
      </c>
      <c r="DA5" s="104" t="s">
        <v>916</v>
      </c>
    </row>
    <row r="6" spans="1:105" ht="12" customHeight="1" x14ac:dyDescent="0.25">
      <c r="A6" s="200" t="str">
        <f>"Penetration factor "&amp;MID('SER_se-appl'!A68,FIND("(",'SER_se-appl'!A68),100)</f>
        <v>Penetration factor (sqm per building cell)</v>
      </c>
      <c r="B6" s="201">
        <f>'SER_se-appl'!B68</f>
        <v>416.38008563234712</v>
      </c>
      <c r="C6" s="201">
        <f>'SER_se-appl'!C68</f>
        <v>428.39028707182848</v>
      </c>
      <c r="D6" s="201">
        <f>'SER_se-appl'!D68</f>
        <v>438.91774191656344</v>
      </c>
      <c r="E6" s="201">
        <f>'SER_se-appl'!E68</f>
        <v>448.66344662900156</v>
      </c>
      <c r="F6" s="201">
        <f>'SER_se-appl'!F68</f>
        <v>457.15907768751202</v>
      </c>
      <c r="G6" s="201">
        <f>'SER_se-appl'!G68</f>
        <v>464.20623698445627</v>
      </c>
      <c r="H6" s="201">
        <f>'SER_se-appl'!H68</f>
        <v>472.22323100054319</v>
      </c>
      <c r="I6" s="201">
        <f>'SER_se-appl'!I68</f>
        <v>482.20966101924841</v>
      </c>
      <c r="J6" s="201">
        <f>'SER_se-appl'!J68</f>
        <v>489.87620293726496</v>
      </c>
      <c r="K6" s="201">
        <f>'SER_se-appl'!K68</f>
        <v>496.62050202564768</v>
      </c>
      <c r="L6" s="201">
        <f>'SER_se-appl'!L68</f>
        <v>503.60088687892932</v>
      </c>
      <c r="M6" s="201">
        <f>'SER_se-appl'!M68</f>
        <v>506.65330321265282</v>
      </c>
      <c r="N6" s="201">
        <f>'SER_se-appl'!N68</f>
        <v>515.59302201381456</v>
      </c>
      <c r="O6" s="201">
        <f>'SER_se-appl'!O68</f>
        <v>526.92651509604582</v>
      </c>
      <c r="P6" s="201">
        <f>'SER_se-appl'!P68</f>
        <v>545.51063293109894</v>
      </c>
      <c r="Q6" s="201">
        <f>'SER_se-appl'!Q68</f>
        <v>568.19237630606506</v>
      </c>
      <c r="R6" s="201">
        <f>'SER_se-appl'!R68</f>
        <v>578.21362402884915</v>
      </c>
      <c r="S6" s="201">
        <f>'SER_se-appl'!S68</f>
        <v>588.27837789508351</v>
      </c>
      <c r="T6" s="201">
        <f>'SER_se-appl'!T68</f>
        <v>598.15654581355477</v>
      </c>
      <c r="U6" s="201">
        <f>'SER_se-appl'!U68</f>
        <v>607.70857374621323</v>
      </c>
      <c r="V6" s="201">
        <f>'SER_se-appl'!V68</f>
        <v>616.67470161903043</v>
      </c>
      <c r="W6" s="201">
        <f>'SER_se-appl'!W68</f>
        <v>624.76447819208988</v>
      </c>
      <c r="X6" s="201">
        <f>'SER_se-appl'!X68</f>
        <v>628.84907669566405</v>
      </c>
      <c r="Y6" s="201">
        <f>'SER_se-appl'!Y68</f>
        <v>630.90137920297798</v>
      </c>
      <c r="DA6" s="206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"&amp;MID('SER_se-appl'!A20,FIND("(",'SER_se-appl'!A20),100)</f>
        <v>Stock of appliances (serviced million m2)</v>
      </c>
      <c r="B8" s="34">
        <f>'SER_se-appl'!B20</f>
        <v>12.26086366170566</v>
      </c>
      <c r="C8" s="34">
        <f>'SER_se-appl'!C20</f>
        <v>13.176811204590827</v>
      </c>
      <c r="D8" s="34">
        <f>'SER_se-appl'!D20</f>
        <v>14.189813729583827</v>
      </c>
      <c r="E8" s="34">
        <f>'SER_se-appl'!E20</f>
        <v>15.5688419184119</v>
      </c>
      <c r="F8" s="34">
        <f>'SER_se-appl'!F20</f>
        <v>16.7732816410937</v>
      </c>
      <c r="G8" s="34">
        <f>'SER_se-appl'!G20</f>
        <v>18.063312656242672</v>
      </c>
      <c r="H8" s="34">
        <f>'SER_se-appl'!H20</f>
        <v>19.113867737506695</v>
      </c>
      <c r="I8" s="34">
        <f>'SER_se-appl'!I20</f>
        <v>21.545979004215511</v>
      </c>
      <c r="J8" s="34">
        <f>'SER_se-appl'!J20</f>
        <v>22.854034564120113</v>
      </c>
      <c r="K8" s="34">
        <f>'SER_se-appl'!K20</f>
        <v>23.123283965457244</v>
      </c>
      <c r="L8" s="34">
        <f>'SER_se-appl'!L20</f>
        <v>23.66092750718358</v>
      </c>
      <c r="M8" s="34">
        <f>'SER_se-appl'!M20</f>
        <v>24.294615683032593</v>
      </c>
      <c r="N8" s="34">
        <f>'SER_se-appl'!N20</f>
        <v>24.965261761832501</v>
      </c>
      <c r="O8" s="34">
        <f>'SER_se-appl'!O20</f>
        <v>25.831642870701277</v>
      </c>
      <c r="P8" s="34">
        <f>'SER_se-appl'!P20</f>
        <v>27.200288936497522</v>
      </c>
      <c r="Q8" s="34">
        <f>'SER_se-appl'!Q20</f>
        <v>28.55157205484976</v>
      </c>
      <c r="R8" s="34">
        <f>'SER_se-appl'!R20</f>
        <v>29.265612820435283</v>
      </c>
      <c r="S8" s="34">
        <f>'SER_se-appl'!S20</f>
        <v>30.022152582336094</v>
      </c>
      <c r="T8" s="34">
        <f>'SER_se-appl'!T20</f>
        <v>30.741989893401257</v>
      </c>
      <c r="U8" s="34">
        <f>'SER_se-appl'!U20</f>
        <v>31.395919313030515</v>
      </c>
      <c r="V8" s="34">
        <f>'SER_se-appl'!V20</f>
        <v>31.957422592388898</v>
      </c>
      <c r="W8" s="34">
        <f>'SER_se-appl'!W20</f>
        <v>32.422516890007209</v>
      </c>
      <c r="X8" s="34">
        <f>'SER_se-appl'!X20</f>
        <v>32.636876252011902</v>
      </c>
      <c r="Y8" s="34">
        <f>'SER_se-appl'!Y20</f>
        <v>32.708942107426211</v>
      </c>
      <c r="DA8" s="88" t="s">
        <v>922</v>
      </c>
    </row>
    <row r="9" spans="1:105" ht="12.95" customHeight="1" x14ac:dyDescent="0.25">
      <c r="A9" s="202" t="str">
        <f>"Number of new appliances "&amp;MID('SER_se-appl'!A28,FIND("(",'SER_se-appl'!A28),100)</f>
        <v>Number of new appliances (serviced million m2)</v>
      </c>
      <c r="B9" s="36"/>
      <c r="C9" s="36">
        <f>'SER_se-appl'!C28</f>
        <v>1.4477419935798395</v>
      </c>
      <c r="D9" s="36">
        <f>'SER_se-appl'!D28</f>
        <v>1.5598390977698919</v>
      </c>
      <c r="E9" s="36">
        <f>'SER_se-appl'!E28</f>
        <v>1.9413323590497793</v>
      </c>
      <c r="F9" s="36">
        <f>'SER_se-appl'!F28</f>
        <v>1.7826490005344091</v>
      </c>
      <c r="G9" s="36">
        <f>'SER_se-appl'!G28</f>
        <v>1.8845952860541964</v>
      </c>
      <c r="H9" s="36">
        <f>'SER_se-appl'!H28</f>
        <v>1.6619369559200905</v>
      </c>
      <c r="I9" s="36">
        <f>'SER_se-appl'!I28</f>
        <v>3.0607864410324908</v>
      </c>
      <c r="J9" s="36">
        <f>'SER_se-appl'!J28</f>
        <v>1.9545131851543509</v>
      </c>
      <c r="K9" s="36">
        <f>'SER_se-appl'!K28</f>
        <v>0.93399246470547226</v>
      </c>
      <c r="L9" s="36">
        <f>'SER_se-appl'!L28</f>
        <v>1.2211892576974499</v>
      </c>
      <c r="M9" s="36">
        <f>'SER_se-appl'!M28</f>
        <v>1.3365683886261479</v>
      </c>
      <c r="N9" s="36">
        <f>'SER_se-appl'!N28</f>
        <v>1.3934076761156717</v>
      </c>
      <c r="O9" s="36">
        <f>'SER_se-appl'!O28</f>
        <v>1.6095864475003054</v>
      </c>
      <c r="P9" s="36">
        <f>'SER_se-appl'!P28</f>
        <v>2.1328734091163319</v>
      </c>
      <c r="Q9" s="36">
        <f>'SER_se-appl'!Q28</f>
        <v>2.1371270862568323</v>
      </c>
      <c r="R9" s="36">
        <f>'SER_se-appl'!R28</f>
        <v>1.5221127971477095</v>
      </c>
      <c r="S9" s="36">
        <f>'SER_se-appl'!S28</f>
        <v>1.5874685911112358</v>
      </c>
      <c r="T9" s="36">
        <f>'SER_se-appl'!T28</f>
        <v>1.5742694560290538</v>
      </c>
      <c r="U9" s="36">
        <f>'SER_se-appl'!U28</f>
        <v>2.1016714132090968</v>
      </c>
      <c r="V9" s="36">
        <f>'SER_se-appl'!V28</f>
        <v>2.1213423771282756</v>
      </c>
      <c r="W9" s="36">
        <f>'SER_se-appl'!W28</f>
        <v>2.4064266566680885</v>
      </c>
      <c r="X9" s="36">
        <f>'SER_se-appl'!X28</f>
        <v>1.997008362539102</v>
      </c>
      <c r="Y9" s="36">
        <f>'SER_se-appl'!Y28</f>
        <v>1.9566611414685049</v>
      </c>
      <c r="DA9" s="89" t="s">
        <v>928</v>
      </c>
    </row>
    <row r="10" spans="1:105" ht="12" customHeight="1" x14ac:dyDescent="0.25">
      <c r="A10" s="203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0.53179445069467235</v>
      </c>
      <c r="D10" s="38">
        <f>'SER_se-appl'!D36</f>
        <v>0.54683657277689157</v>
      </c>
      <c r="E10" s="38">
        <f>'SER_se-appl'!E36</f>
        <v>0.5623041702217062</v>
      </c>
      <c r="F10" s="38">
        <f>'SER_se-appl'!F36</f>
        <v>0.57820927785261134</v>
      </c>
      <c r="G10" s="38">
        <f>'SER_se-appl'!G36</f>
        <v>0.59456427090522368</v>
      </c>
      <c r="H10" s="38">
        <f>'SER_se-appl'!H36</f>
        <v>0.61138187465606819</v>
      </c>
      <c r="I10" s="38">
        <f>'SER_se-appl'!I36</f>
        <v>0.62867517432367492</v>
      </c>
      <c r="J10" s="38">
        <f>'SER_se-appl'!J36</f>
        <v>0.6464576252497487</v>
      </c>
      <c r="K10" s="38">
        <f>'SER_se-appl'!K36</f>
        <v>0.66474306336834132</v>
      </c>
      <c r="L10" s="38">
        <f>'SER_se-appl'!L36</f>
        <v>0.68354571597111402</v>
      </c>
      <c r="M10" s="38">
        <f>'SER_se-appl'!M36</f>
        <v>0.70288021277713497</v>
      </c>
      <c r="N10" s="38">
        <f>'SER_se-appl'!N36</f>
        <v>0.72276159731576328</v>
      </c>
      <c r="O10" s="38">
        <f>'SER_se-appl'!O36</f>
        <v>0.7432053386315296</v>
      </c>
      <c r="P10" s="38">
        <f>'SER_se-appl'!P36</f>
        <v>0.76422734332008702</v>
      </c>
      <c r="Q10" s="38">
        <f>'SER_se-appl'!Q36</f>
        <v>0.78584396790459365</v>
      </c>
      <c r="R10" s="38">
        <f>'SER_se-appl'!R36</f>
        <v>0.80807203156218677</v>
      </c>
      <c r="S10" s="38">
        <f>'SER_se-appl'!S36</f>
        <v>0.83092882921042488</v>
      </c>
      <c r="T10" s="38">
        <f>'SER_se-appl'!T36</f>
        <v>0.85443214496389075</v>
      </c>
      <c r="U10" s="38">
        <f>'SER_se-appl'!U36</f>
        <v>1.447741993579843</v>
      </c>
      <c r="V10" s="38">
        <f>'SER_se-appl'!V36</f>
        <v>1.5598390977698919</v>
      </c>
      <c r="W10" s="38">
        <f>'SER_se-appl'!W36</f>
        <v>1.941332359049774</v>
      </c>
      <c r="X10" s="38">
        <f>'SER_se-appl'!X36</f>
        <v>1.7826490005344056</v>
      </c>
      <c r="Y10" s="38">
        <f>'SER_se-appl'!Y36</f>
        <v>1.8845952860541928</v>
      </c>
      <c r="DA10" s="90" t="s">
        <v>934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'SER_se-appl'!B44</f>
        <v>8760</v>
      </c>
      <c r="C12" s="204">
        <f>'SER_se-appl'!C44</f>
        <v>8760</v>
      </c>
      <c r="D12" s="204">
        <f>'SER_se-appl'!D44</f>
        <v>8760.0000000000018</v>
      </c>
      <c r="E12" s="204">
        <f>'SER_se-appl'!E44</f>
        <v>8760.0000000000036</v>
      </c>
      <c r="F12" s="204">
        <f>'SER_se-appl'!F44</f>
        <v>8759.9999999999964</v>
      </c>
      <c r="G12" s="204">
        <f>'SER_se-appl'!G44</f>
        <v>8760</v>
      </c>
      <c r="H12" s="204">
        <f>'SER_se-appl'!H44</f>
        <v>8760</v>
      </c>
      <c r="I12" s="204">
        <f>'SER_se-appl'!I44</f>
        <v>8759.9999999999964</v>
      </c>
      <c r="J12" s="204">
        <f>'SER_se-appl'!J44</f>
        <v>8759.9999999999964</v>
      </c>
      <c r="K12" s="204">
        <f>'SER_se-appl'!K44</f>
        <v>8760.0000000000018</v>
      </c>
      <c r="L12" s="204">
        <f>'SER_se-appl'!L44</f>
        <v>8760.0000000000036</v>
      </c>
      <c r="M12" s="204">
        <f>'SER_se-appl'!M44</f>
        <v>8759.9999999999945</v>
      </c>
      <c r="N12" s="204">
        <f>'SER_se-appl'!N44</f>
        <v>8759.9999999999945</v>
      </c>
      <c r="O12" s="204">
        <f>'SER_se-appl'!O44</f>
        <v>8759.9999999999964</v>
      </c>
      <c r="P12" s="204">
        <f>'SER_se-appl'!P44</f>
        <v>8760</v>
      </c>
      <c r="Q12" s="204">
        <f>'SER_se-appl'!Q44</f>
        <v>8759.9999999999964</v>
      </c>
      <c r="R12" s="204">
        <f>'SER_se-appl'!R44</f>
        <v>8759.9999999999945</v>
      </c>
      <c r="S12" s="204">
        <f>'SER_se-appl'!S44</f>
        <v>8759.9999999999982</v>
      </c>
      <c r="T12" s="204">
        <f>'SER_se-appl'!T44</f>
        <v>8759.9999999999982</v>
      </c>
      <c r="U12" s="204">
        <f>'SER_se-appl'!U44</f>
        <v>8760</v>
      </c>
      <c r="V12" s="204">
        <f>'SER_se-appl'!V44</f>
        <v>8760.0000000000018</v>
      </c>
      <c r="W12" s="204">
        <f>'SER_se-appl'!W44</f>
        <v>8760</v>
      </c>
      <c r="X12" s="204">
        <f>'SER_se-appl'!X44</f>
        <v>8760</v>
      </c>
      <c r="Y12" s="204">
        <f>'SER_se-appl'!Y44</f>
        <v>8760</v>
      </c>
      <c r="DA12" s="208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0.81146275527705503</v>
      </c>
      <c r="C14" s="59">
        <f>'SER_se-appl'!C52</f>
        <v>0.80179074749363755</v>
      </c>
      <c r="D14" s="59">
        <f>'SER_se-appl'!D52</f>
        <v>0.79148925303709872</v>
      </c>
      <c r="E14" s="59">
        <f>'SER_se-appl'!E52</f>
        <v>0.77918538416292515</v>
      </c>
      <c r="F14" s="59">
        <f>'SER_se-appl'!F52</f>
        <v>0.76810382941791366</v>
      </c>
      <c r="G14" s="59">
        <f>'SER_se-appl'!G52</f>
        <v>0.75674566286399791</v>
      </c>
      <c r="H14" s="59">
        <f>'SER_se-appl'!H52</f>
        <v>0.74673168262725986</v>
      </c>
      <c r="I14" s="59">
        <f>'SER_se-appl'!I52</f>
        <v>0.73066271643257574</v>
      </c>
      <c r="J14" s="59">
        <f>'SER_se-appl'!J52</f>
        <v>0.72011896292108191</v>
      </c>
      <c r="K14" s="59">
        <f>'SER_se-appl'!K52</f>
        <v>0.71364700158884131</v>
      </c>
      <c r="L14" s="59">
        <f>'SER_se-appl'!L52</f>
        <v>0.7055631479608947</v>
      </c>
      <c r="M14" s="59">
        <f>'SER_se-appl'!M52</f>
        <v>0.69659924711715493</v>
      </c>
      <c r="N14" s="59">
        <f>'SER_se-appl'!N52</f>
        <v>0.68695604031781643</v>
      </c>
      <c r="O14" s="59">
        <f>'SER_se-appl'!O52</f>
        <v>0.67604171172012839</v>
      </c>
      <c r="P14" s="59">
        <f>'SER_se-appl'!P52</f>
        <v>0.66255080508942965</v>
      </c>
      <c r="Q14" s="59">
        <f>'SER_se-appl'!Q52</f>
        <v>0.64881246678764326</v>
      </c>
      <c r="R14" s="59">
        <f>'SER_se-appl'!R52</f>
        <v>0.63816025245083974</v>
      </c>
      <c r="S14" s="59">
        <f>'SER_se-appl'!S52</f>
        <v>0.62739954153593758</v>
      </c>
      <c r="T14" s="59">
        <f>'SER_se-appl'!T52</f>
        <v>0.61681530617662794</v>
      </c>
      <c r="U14" s="59">
        <f>'SER_se-appl'!U52</f>
        <v>0.60515943247475201</v>
      </c>
      <c r="V14" s="59">
        <f>'SER_se-appl'!V52</f>
        <v>0.5937682842291917</v>
      </c>
      <c r="W14" s="59">
        <f>'SER_se-appl'!W52</f>
        <v>0.58117409439303369</v>
      </c>
      <c r="X14" s="59">
        <f>'SER_se-appl'!X52</f>
        <v>0.57085673005497983</v>
      </c>
      <c r="Y14" s="59">
        <f>'SER_se-appl'!Y52</f>
        <v>0.56088796948778663</v>
      </c>
      <c r="DA14" s="104" t="s">
        <v>946</v>
      </c>
    </row>
    <row r="15" spans="1:105" ht="12" customHeight="1" x14ac:dyDescent="0.25">
      <c r="A15" s="203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0.72343172412882739</v>
      </c>
      <c r="D15" s="63">
        <f>'SER_se-appl'!D60</f>
        <v>0.71146907259274639</v>
      </c>
      <c r="E15" s="63">
        <f>'SER_se-appl'!E60</f>
        <v>0.69860160036762931</v>
      </c>
      <c r="F15" s="63">
        <f>'SER_se-appl'!F60</f>
        <v>0.68538623286265965</v>
      </c>
      <c r="G15" s="63">
        <f>'SER_se-appl'!G60</f>
        <v>0.67291816974242591</v>
      </c>
      <c r="H15" s="63">
        <f>'SER_se-appl'!H60</f>
        <v>0.66170423865525363</v>
      </c>
      <c r="I15" s="63">
        <f>'SER_se-appl'!I60</f>
        <v>0.64691198081076184</v>
      </c>
      <c r="J15" s="63">
        <f>'SER_se-appl'!J60</f>
        <v>0.63409979355781942</v>
      </c>
      <c r="K15" s="63">
        <f>'SER_se-appl'!K60</f>
        <v>0.62490101340955817</v>
      </c>
      <c r="L15" s="63">
        <f>'SER_se-appl'!L60</f>
        <v>0.61177095371397183</v>
      </c>
      <c r="M15" s="63">
        <f>'SER_se-appl'!M60</f>
        <v>0.5983185140791899</v>
      </c>
      <c r="N15" s="63">
        <f>'SER_se-appl'!N60</f>
        <v>0.58340462931677761</v>
      </c>
      <c r="O15" s="63">
        <f>'SER_se-appl'!O60</f>
        <v>0.56928545260261865</v>
      </c>
      <c r="P15" s="63">
        <f>'SER_se-appl'!P60</f>
        <v>0.55251628686505838</v>
      </c>
      <c r="Q15" s="63">
        <f>'SER_se-appl'!Q60</f>
        <v>0.53376595186127307</v>
      </c>
      <c r="R15" s="63">
        <f>'SER_se-appl'!R60</f>
        <v>0.53035184301176352</v>
      </c>
      <c r="S15" s="63">
        <f>'SER_se-appl'!S60</f>
        <v>0.52536579452481935</v>
      </c>
      <c r="T15" s="63">
        <f>'SER_se-appl'!T60</f>
        <v>0.52061291153706335</v>
      </c>
      <c r="U15" s="63">
        <f>'SER_se-appl'!U60</f>
        <v>0.51613648290166914</v>
      </c>
      <c r="V15" s="63">
        <f>'SER_se-appl'!V60</f>
        <v>0.51172529034520875</v>
      </c>
      <c r="W15" s="63">
        <f>'SER_se-appl'!W60</f>
        <v>0.50865493860313749</v>
      </c>
      <c r="X15" s="63">
        <f>'SER_se-appl'!X60</f>
        <v>0.50558458686106622</v>
      </c>
      <c r="Y15" s="63">
        <f>'SER_se-appl'!Y60</f>
        <v>0.50251423511899496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'SER_se-appl'!B5</f>
        <v>22.53449145643447</v>
      </c>
      <c r="C3" s="198">
        <f>'SER_se-appl'!C5</f>
        <v>23.372464692915571</v>
      </c>
      <c r="D3" s="198">
        <f>'SER_se-appl'!D5</f>
        <v>24.216618412942204</v>
      </c>
      <c r="E3" s="198">
        <f>'SER_se-appl'!E5</f>
        <v>25.244034602000571</v>
      </c>
      <c r="F3" s="198">
        <f>'SER_se-appl'!F5</f>
        <v>25.982484740186766</v>
      </c>
      <c r="G3" s="198">
        <f>'SER_se-appl'!G5</f>
        <v>26.456256114220778</v>
      </c>
      <c r="H3" s="198">
        <f>'SER_se-appl'!H5</f>
        <v>26.653121324792274</v>
      </c>
      <c r="I3" s="198">
        <f>'SER_se-appl'!I5</f>
        <v>26.729792393762722</v>
      </c>
      <c r="J3" s="198">
        <f>'SER_se-appl'!J5</f>
        <v>26.844133681496405</v>
      </c>
      <c r="K3" s="198">
        <f>'SER_se-appl'!K5</f>
        <v>26.866329558210143</v>
      </c>
      <c r="L3" s="198">
        <f>'SER_se-appl'!L5</f>
        <v>26.812680991890268</v>
      </c>
      <c r="M3" s="198">
        <f>'SER_se-appl'!M5</f>
        <v>26.677584304184666</v>
      </c>
      <c r="N3" s="198">
        <f>'SER_se-appl'!N5</f>
        <v>26.779820156151747</v>
      </c>
      <c r="O3" s="198">
        <f>'SER_se-appl'!O5</f>
        <v>26.993322423725836</v>
      </c>
      <c r="P3" s="198">
        <f>'SER_se-appl'!P5</f>
        <v>27.210413146526363</v>
      </c>
      <c r="Q3" s="198">
        <f>'SER_se-appl'!Q5</f>
        <v>27.586554470928519</v>
      </c>
      <c r="R3" s="198">
        <f>'SER_se-appl'!R5</f>
        <v>27.074150923963167</v>
      </c>
      <c r="S3" s="198">
        <f>'SER_se-appl'!S5</f>
        <v>26.535442074617329</v>
      </c>
      <c r="T3" s="198">
        <f>'SER_se-appl'!T5</f>
        <v>25.170047120727094</v>
      </c>
      <c r="U3" s="198">
        <f>'SER_se-appl'!U5</f>
        <v>23.757747097901795</v>
      </c>
      <c r="V3" s="198">
        <f>'SER_se-appl'!V5</f>
        <v>22.380021041817528</v>
      </c>
      <c r="W3" s="198">
        <f>'SER_se-appl'!W5</f>
        <v>21.254766269404012</v>
      </c>
      <c r="X3" s="198">
        <f>'SER_se-appl'!X5</f>
        <v>20.011628385115849</v>
      </c>
      <c r="Y3" s="198">
        <f>'SER_se-appl'!Y5</f>
        <v>19.517708763648432</v>
      </c>
      <c r="DA3" s="205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'SER_se-appl'!B13</f>
        <v>67.919241951919716</v>
      </c>
      <c r="C5" s="59">
        <f>'SER_se-appl'!C13</f>
        <v>70.285475779226431</v>
      </c>
      <c r="D5" s="59">
        <f>'SER_se-appl'!D13</f>
        <v>72.597399435175276</v>
      </c>
      <c r="E5" s="59">
        <f>'SER_se-appl'!E13</f>
        <v>75.464073478469686</v>
      </c>
      <c r="F5" s="59">
        <f>'SER_se-appl'!F13</f>
        <v>77.491875208048199</v>
      </c>
      <c r="G5" s="59">
        <f>'SER_se-appl'!G13</f>
        <v>78.688363264254349</v>
      </c>
      <c r="H5" s="59">
        <f>'SER_se-appl'!H13</f>
        <v>79.209069413181055</v>
      </c>
      <c r="I5" s="59">
        <f>'SER_se-appl'!I13</f>
        <v>79.344631370649196</v>
      </c>
      <c r="J5" s="59">
        <f>'SER_se-appl'!J13</f>
        <v>79.63194283648275</v>
      </c>
      <c r="K5" s="59">
        <f>'SER_se-appl'!K13</f>
        <v>79.689055580588828</v>
      </c>
      <c r="L5" s="59">
        <f>'SER_se-appl'!L13</f>
        <v>79.499197709186106</v>
      </c>
      <c r="M5" s="59">
        <f>'SER_se-appl'!M13</f>
        <v>79.352256773730929</v>
      </c>
      <c r="N5" s="59">
        <f>'SER_se-appl'!N13</f>
        <v>79.846364200156216</v>
      </c>
      <c r="O5" s="59">
        <f>'SER_se-appl'!O13</f>
        <v>80.821498743862904</v>
      </c>
      <c r="P5" s="59">
        <f>'SER_se-appl'!P13</f>
        <v>81.904081460461825</v>
      </c>
      <c r="Q5" s="59">
        <f>'SER_se-appl'!Q13</f>
        <v>83.39544190916304</v>
      </c>
      <c r="R5" s="59">
        <f>'SER_se-appl'!R13</f>
        <v>81.065941930268721</v>
      </c>
      <c r="S5" s="59">
        <f>'SER_se-appl'!S13</f>
        <v>78.143400034971805</v>
      </c>
      <c r="T5" s="59">
        <f>'SER_se-appl'!T13</f>
        <v>75.174129203628041</v>
      </c>
      <c r="U5" s="59">
        <f>'SER_se-appl'!U13</f>
        <v>71.911440984671486</v>
      </c>
      <c r="V5" s="59">
        <f>'SER_se-appl'!V13</f>
        <v>68.350753374599421</v>
      </c>
      <c r="W5" s="59">
        <f>'SER_se-appl'!W13</f>
        <v>64.855187490737805</v>
      </c>
      <c r="X5" s="59">
        <f>'SER_se-appl'!X13</f>
        <v>61.402632125838196</v>
      </c>
      <c r="Y5" s="59">
        <f>'SER_se-appl'!Y13</f>
        <v>60.223096627722704</v>
      </c>
      <c r="DA5" s="104" t="s">
        <v>917</v>
      </c>
    </row>
    <row r="6" spans="1:105" ht="12" customHeight="1" x14ac:dyDescent="0.25">
      <c r="A6" s="200" t="str">
        <f>"Penetration factor "&amp;MID('SER_se-appl'!A69,FIND("(",'SER_se-appl'!A69),100)</f>
        <v>Penetration factor (unit per capita)</v>
      </c>
      <c r="B6" s="201">
        <f>'SER_se-appl'!B69</f>
        <v>9.5744759860170336E-2</v>
      </c>
      <c r="C6" s="201">
        <f>'SER_se-appl'!C69</f>
        <v>0.10092953208643574</v>
      </c>
      <c r="D6" s="201">
        <f>'SER_se-appl'!D69</f>
        <v>0.10660623326354436</v>
      </c>
      <c r="E6" s="201">
        <f>'SER_se-appl'!E69</f>
        <v>0.11314814272197755</v>
      </c>
      <c r="F6" s="201">
        <f>'SER_se-appl'!F69</f>
        <v>0.11896243009945361</v>
      </c>
      <c r="G6" s="201">
        <f>'SER_se-appl'!G69</f>
        <v>0.12436638744456997</v>
      </c>
      <c r="H6" s="201">
        <f>'SER_se-appl'!H69</f>
        <v>0.13014078977448876</v>
      </c>
      <c r="I6" s="201">
        <f>'SER_se-appl'!I69</f>
        <v>0.13490865698592228</v>
      </c>
      <c r="J6" s="201">
        <f>'SER_se-appl'!J69</f>
        <v>0.13904026503935574</v>
      </c>
      <c r="K6" s="201">
        <f>'SER_se-appl'!K69</f>
        <v>0.14274319362653742</v>
      </c>
      <c r="L6" s="201">
        <f>'SER_se-appl'!L69</f>
        <v>0.14719527917507966</v>
      </c>
      <c r="M6" s="201">
        <f>'SER_se-appl'!M69</f>
        <v>0.15453413794730675</v>
      </c>
      <c r="N6" s="201">
        <f>'SER_se-appl'!N69</f>
        <v>0.16189481905868572</v>
      </c>
      <c r="O6" s="201">
        <f>'SER_se-appl'!O69</f>
        <v>0.16998452590530638</v>
      </c>
      <c r="P6" s="201">
        <f>'SER_se-appl'!P69</f>
        <v>0.17952890055418846</v>
      </c>
      <c r="Q6" s="201">
        <f>'SER_se-appl'!Q69</f>
        <v>0.19150755131619035</v>
      </c>
      <c r="R6" s="201">
        <f>'SER_se-appl'!R69</f>
        <v>0.19513947228464629</v>
      </c>
      <c r="S6" s="201">
        <f>'SER_se-appl'!S69</f>
        <v>0.19873120788969112</v>
      </c>
      <c r="T6" s="201">
        <f>'SER_se-appl'!T69</f>
        <v>0.2023901135671842</v>
      </c>
      <c r="U6" s="201">
        <f>'SER_se-appl'!U69</f>
        <v>0.20451119058462536</v>
      </c>
      <c r="V6" s="201">
        <f>'SER_se-appl'!V69</f>
        <v>0.20546507263308206</v>
      </c>
      <c r="W6" s="201">
        <f>'SER_se-appl'!W69</f>
        <v>0.20573467353304994</v>
      </c>
      <c r="X6" s="201">
        <f>'SER_se-appl'!X69</f>
        <v>0.20592360462065465</v>
      </c>
      <c r="Y6" s="201">
        <f>'SER_se-appl'!Y69</f>
        <v>0.20605595960497169</v>
      </c>
      <c r="DA6" s="206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"&amp;MID('SER_se-appl'!A21,FIND("(",'SER_se-appl'!A21),100)</f>
        <v>Stock of appliances (thousand units)</v>
      </c>
      <c r="B8" s="34">
        <f>'SER_se-appl'!B21</f>
        <v>336.2626817411479</v>
      </c>
      <c r="C8" s="34">
        <f>'SER_se-appl'!C21</f>
        <v>351.94107652633727</v>
      </c>
      <c r="D8" s="34">
        <f>'SER_se-appl'!D21</f>
        <v>368.28583786287112</v>
      </c>
      <c r="E8" s="34">
        <f>'SER_se-appl'!E21</f>
        <v>388.26751230603782</v>
      </c>
      <c r="F8" s="34">
        <f>'SER_se-appl'!F21</f>
        <v>404.34485357550574</v>
      </c>
      <c r="G8" s="34">
        <f>'SER_se-appl'!G21</f>
        <v>417.27659048177003</v>
      </c>
      <c r="H8" s="34">
        <f>'SER_se-appl'!H21</f>
        <v>428.14172512775519</v>
      </c>
      <c r="I8" s="34">
        <f>'SER_se-appl'!I21</f>
        <v>438.45084175707865</v>
      </c>
      <c r="J8" s="34">
        <f>'SER_se-appl'!J21</f>
        <v>446.68145066675942</v>
      </c>
      <c r="K8" s="34">
        <f>'SER_se-appl'!K21</f>
        <v>454.47377348701292</v>
      </c>
      <c r="L8" s="34">
        <f>'SER_se-appl'!L21</f>
        <v>462.4840344814001</v>
      </c>
      <c r="M8" s="34">
        <f>'SER_se-appl'!M21</f>
        <v>471.72905508829319</v>
      </c>
      <c r="N8" s="34">
        <f>'SER_se-appl'!N21</f>
        <v>486.27391621224984</v>
      </c>
      <c r="O8" s="34">
        <f>'SER_se-appl'!O21</f>
        <v>505.64226018538284</v>
      </c>
      <c r="P8" s="34">
        <f>'SER_se-appl'!P21</f>
        <v>529.22642384547112</v>
      </c>
      <c r="Q8" s="34">
        <f>'SER_se-appl'!Q21</f>
        <v>560.47442601422063</v>
      </c>
      <c r="R8" s="34">
        <f>'SER_se-appl'!R21</f>
        <v>565.04058718167016</v>
      </c>
      <c r="S8" s="34">
        <f>'SER_se-appl'!S21</f>
        <v>568.18782565963443</v>
      </c>
      <c r="T8" s="34">
        <f>'SER_se-appl'!T21</f>
        <v>571.99493896357603</v>
      </c>
      <c r="U8" s="34">
        <f>'SER_se-appl'!U21</f>
        <v>575.12637016208339</v>
      </c>
      <c r="V8" s="34">
        <f>'SER_se-appl'!V21</f>
        <v>577.35212840229008</v>
      </c>
      <c r="W8" s="34">
        <f>'SER_se-appl'!W21</f>
        <v>578.27099671442897</v>
      </c>
      <c r="X8" s="34">
        <f>'SER_se-appl'!X21</f>
        <v>577.82122271834771</v>
      </c>
      <c r="Y8" s="34">
        <f>'SER_se-appl'!Y21</f>
        <v>588.75936620413393</v>
      </c>
      <c r="DA8" s="88" t="s">
        <v>923</v>
      </c>
    </row>
    <row r="9" spans="1:105" ht="12.95" customHeight="1" x14ac:dyDescent="0.25">
      <c r="A9" s="202" t="str">
        <f>"Number of new appliances "&amp;MID('SER_se-appl'!A29,FIND("(",'SER_se-appl'!A29),100)</f>
        <v>Number of new appliances (thousand units)</v>
      </c>
      <c r="B9" s="36"/>
      <c r="C9" s="36">
        <f>'SER_se-appl'!C29</f>
        <v>57.860675077865267</v>
      </c>
      <c r="D9" s="36">
        <f>'SER_se-appl'!D29</f>
        <v>60.342772886256228</v>
      </c>
      <c r="E9" s="36">
        <f>'SER_se-appl'!E29</f>
        <v>65.873575186750372</v>
      </c>
      <c r="F9" s="36">
        <f>'SER_se-appl'!F29</f>
        <v>63.944653442856861</v>
      </c>
      <c r="G9" s="36">
        <f>'SER_se-appl'!G29</f>
        <v>62.859491860389198</v>
      </c>
      <c r="H9" s="36">
        <f>'SER_se-appl'!H29</f>
        <v>62.942023896202272</v>
      </c>
      <c r="I9" s="36">
        <f>'SER_se-appl'!I29</f>
        <v>64.627649406758508</v>
      </c>
      <c r="J9" s="36">
        <f>'SER_se-appl'!J29</f>
        <v>66.091283987546035</v>
      </c>
      <c r="K9" s="36">
        <f>'SER_se-appl'!K29</f>
        <v>68.13509570650973</v>
      </c>
      <c r="L9" s="36">
        <f>'SER_se-appl'!L29</f>
        <v>73.883836181137553</v>
      </c>
      <c r="M9" s="36">
        <f>'SER_se-appl'!M29</f>
        <v>73.189674049749954</v>
      </c>
      <c r="N9" s="36">
        <f>'SER_se-appl'!N29</f>
        <v>77.404352984345849</v>
      </c>
      <c r="O9" s="36">
        <f>'SER_se-appl'!O29</f>
        <v>82.310367869335266</v>
      </c>
      <c r="P9" s="36">
        <f>'SER_se-appl'!P29</f>
        <v>88.211813066846787</v>
      </c>
      <c r="Q9" s="36">
        <f>'SER_se-appl'!Q29</f>
        <v>97.339286156295543</v>
      </c>
      <c r="R9" s="36">
        <f>'SER_se-appl'!R29</f>
        <v>72.701256873959267</v>
      </c>
      <c r="S9" s="36">
        <f>'SER_se-appl'!S29</f>
        <v>77.031074659101819</v>
      </c>
      <c r="T9" s="36">
        <f>'SER_se-appl'!T29</f>
        <v>76.996787353691559</v>
      </c>
      <c r="U9" s="36">
        <f>'SER_se-appl'!U29</f>
        <v>80.535784182853206</v>
      </c>
      <c r="V9" s="36">
        <f>'SER_se-appl'!V29</f>
        <v>84.536126109541954</v>
      </c>
      <c r="W9" s="36">
        <f>'SER_se-appl'!W29</f>
        <v>89.130681378985685</v>
      </c>
      <c r="X9" s="36">
        <f>'SER_se-appl'!X29</f>
        <v>96.889512160214281</v>
      </c>
      <c r="Y9" s="36">
        <f>'SER_se-appl'!Y29</f>
        <v>83.63940035974548</v>
      </c>
      <c r="DA9" s="89" t="s">
        <v>929</v>
      </c>
    </row>
    <row r="10" spans="1:105" ht="12" customHeight="1" x14ac:dyDescent="0.25">
      <c r="A10" s="203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42.182280292675898</v>
      </c>
      <c r="D10" s="38">
        <f>'SER_se-appl'!D37</f>
        <v>43.998011549722378</v>
      </c>
      <c r="E10" s="38">
        <f>'SER_se-appl'!E37</f>
        <v>45.891900743583676</v>
      </c>
      <c r="F10" s="38">
        <f>'SER_se-appl'!F37</f>
        <v>47.867312173388939</v>
      </c>
      <c r="G10" s="38">
        <f>'SER_se-appl'!G37</f>
        <v>49.927754954124907</v>
      </c>
      <c r="H10" s="38">
        <f>'SER_se-appl'!H37</f>
        <v>52.076889250217107</v>
      </c>
      <c r="I10" s="38">
        <f>'SER_se-appl'!I37</f>
        <v>54.318532777435053</v>
      </c>
      <c r="J10" s="38">
        <f>'SER_se-appl'!J37</f>
        <v>57.860675077865267</v>
      </c>
      <c r="K10" s="38">
        <f>'SER_se-appl'!K37</f>
        <v>60.342772886256228</v>
      </c>
      <c r="L10" s="38">
        <f>'SER_se-appl'!L37</f>
        <v>65.873575186750315</v>
      </c>
      <c r="M10" s="38">
        <f>'SER_se-appl'!M37</f>
        <v>63.944653442856861</v>
      </c>
      <c r="N10" s="38">
        <f>'SER_se-appl'!N37</f>
        <v>62.859491860389141</v>
      </c>
      <c r="O10" s="38">
        <f>'SER_se-appl'!O37</f>
        <v>62.942023896202272</v>
      </c>
      <c r="P10" s="38">
        <f>'SER_se-appl'!P37</f>
        <v>64.627649406758565</v>
      </c>
      <c r="Q10" s="38">
        <f>'SER_se-appl'!Q37</f>
        <v>66.091283987546035</v>
      </c>
      <c r="R10" s="38">
        <f>'SER_se-appl'!R37</f>
        <v>68.135095706509674</v>
      </c>
      <c r="S10" s="38">
        <f>'SER_se-appl'!S37</f>
        <v>73.883836181137553</v>
      </c>
      <c r="T10" s="38">
        <f>'SER_se-appl'!T37</f>
        <v>73.18967404975001</v>
      </c>
      <c r="U10" s="38">
        <f>'SER_se-appl'!U37</f>
        <v>77.404352984345792</v>
      </c>
      <c r="V10" s="38">
        <f>'SER_se-appl'!V37</f>
        <v>82.310367869335209</v>
      </c>
      <c r="W10" s="38">
        <f>'SER_se-appl'!W37</f>
        <v>88.211813066846844</v>
      </c>
      <c r="X10" s="38">
        <f>'SER_se-appl'!X37</f>
        <v>97.339286156295543</v>
      </c>
      <c r="Y10" s="38">
        <f>'SER_se-appl'!Y37</f>
        <v>72.701256873959323</v>
      </c>
      <c r="DA10" s="90" t="s">
        <v>935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'SER_se-appl'!B45</f>
        <v>3858.6434139511975</v>
      </c>
      <c r="C12" s="204">
        <f>'SER_se-appl'!C45</f>
        <v>3867.3959500882784</v>
      </c>
      <c r="D12" s="204">
        <f>'SER_se-appl'!D45</f>
        <v>3879.4677816800213</v>
      </c>
      <c r="E12" s="204">
        <f>'SER_se-appl'!E45</f>
        <v>3890.4356588308069</v>
      </c>
      <c r="F12" s="204">
        <f>'SER_se-appl'!F45</f>
        <v>3899.4578040226402</v>
      </c>
      <c r="G12" s="204">
        <f>'SER_se-appl'!G45</f>
        <v>3910.1875530833395</v>
      </c>
      <c r="H12" s="204">
        <f>'SER_se-appl'!H45</f>
        <v>3913.3877383459267</v>
      </c>
      <c r="I12" s="204">
        <f>'SER_se-appl'!I45</f>
        <v>3917.9397543266568</v>
      </c>
      <c r="J12" s="204">
        <f>'SER_se-appl'!J45</f>
        <v>3920.5030493463296</v>
      </c>
      <c r="K12" s="204">
        <f>'SER_se-appl'!K45</f>
        <v>3920.9325607579904</v>
      </c>
      <c r="L12" s="204">
        <f>'SER_se-appl'!L45</f>
        <v>3922.4481368527295</v>
      </c>
      <c r="M12" s="204">
        <f>'SER_se-appl'!M45</f>
        <v>3909.9115522619572</v>
      </c>
      <c r="N12" s="204">
        <f>'SER_se-appl'!N45</f>
        <v>3900.6072666666955</v>
      </c>
      <c r="O12" s="204">
        <f>'SER_se-appl'!O45</f>
        <v>3884.2677340448304</v>
      </c>
      <c r="P12" s="204">
        <f>'SER_se-appl'!P45</f>
        <v>3863.7525658213667</v>
      </c>
      <c r="Q12" s="204">
        <f>'SER_se-appl'!Q45</f>
        <v>3847.1122779870711</v>
      </c>
      <c r="R12" s="204">
        <f>'SER_se-appl'!R45</f>
        <v>3884.1511952891196</v>
      </c>
      <c r="S12" s="204">
        <f>'SER_se-appl'!S45</f>
        <v>3949.2419217705833</v>
      </c>
      <c r="T12" s="204">
        <f>'SER_se-appl'!T45</f>
        <v>3893.9945312985215</v>
      </c>
      <c r="U12" s="204">
        <f>'SER_se-appl'!U45</f>
        <v>3842.2620234726501</v>
      </c>
      <c r="V12" s="204">
        <f>'SER_se-appl'!V45</f>
        <v>3807.999646907524</v>
      </c>
      <c r="W12" s="204">
        <f>'SER_se-appl'!W45</f>
        <v>3811.4596731135985</v>
      </c>
      <c r="X12" s="204">
        <f>'SER_se-appl'!X45</f>
        <v>3790.3137058022385</v>
      </c>
      <c r="Y12" s="204">
        <f>'SER_se-appl'!Y45</f>
        <v>3769.1677384908785</v>
      </c>
      <c r="DA12" s="208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201.98269281693101</v>
      </c>
      <c r="C14" s="59">
        <f>'SER_se-appl'!C53</f>
        <v>199.70807747974442</v>
      </c>
      <c r="D14" s="59">
        <f>'SER_se-appl'!D53</f>
        <v>197.12243038301801</v>
      </c>
      <c r="E14" s="59">
        <f>'SER_se-appl'!E53</f>
        <v>194.36102966809094</v>
      </c>
      <c r="F14" s="59">
        <f>'SER_se-appl'!F53</f>
        <v>191.64798197085912</v>
      </c>
      <c r="G14" s="59">
        <f>'SER_se-appl'!G53</f>
        <v>188.57603100476851</v>
      </c>
      <c r="H14" s="59">
        <f>'SER_se-appl'!H53</f>
        <v>185.00665729215132</v>
      </c>
      <c r="I14" s="59">
        <f>'SER_se-appl'!I53</f>
        <v>180.96585480980707</v>
      </c>
      <c r="J14" s="59">
        <f>'SER_se-appl'!J53</f>
        <v>178.27456841473156</v>
      </c>
      <c r="K14" s="59">
        <f>'SER_se-appl'!K53</f>
        <v>175.34357366578828</v>
      </c>
      <c r="L14" s="59">
        <f>'SER_se-appl'!L53</f>
        <v>171.8960910690277</v>
      </c>
      <c r="M14" s="59">
        <f>'SER_se-appl'!M53</f>
        <v>168.21574994755969</v>
      </c>
      <c r="N14" s="59">
        <f>'SER_se-appl'!N53</f>
        <v>164.20038488205628</v>
      </c>
      <c r="O14" s="59">
        <f>'SER_se-appl'!O53</f>
        <v>159.83928778862636</v>
      </c>
      <c r="P14" s="59">
        <f>'SER_se-appl'!P53</f>
        <v>154.76188975094902</v>
      </c>
      <c r="Q14" s="59">
        <f>'SER_se-appl'!Q53</f>
        <v>148.79437497661507</v>
      </c>
      <c r="R14" s="59">
        <f>'SER_se-appl'!R53</f>
        <v>143.46923702350719</v>
      </c>
      <c r="S14" s="59">
        <f>'SER_se-appl'!S53</f>
        <v>137.53092992489178</v>
      </c>
      <c r="T14" s="59">
        <f>'SER_se-appl'!T53</f>
        <v>131.42446564271967</v>
      </c>
      <c r="U14" s="59">
        <f>'SER_se-appl'!U53</f>
        <v>125.03589596214348</v>
      </c>
      <c r="V14" s="59">
        <f>'SER_se-appl'!V53</f>
        <v>118.38659634588488</v>
      </c>
      <c r="W14" s="59">
        <f>'SER_se-appl'!W53</f>
        <v>112.15362323067644</v>
      </c>
      <c r="X14" s="59">
        <f>'SER_se-appl'!X53</f>
        <v>106.26579590997162</v>
      </c>
      <c r="Y14" s="59">
        <f>'SER_se-appl'!Y53</f>
        <v>102.28813346273327</v>
      </c>
      <c r="DA14" s="104" t="s">
        <v>947</v>
      </c>
    </row>
    <row r="15" spans="1:105" ht="12" customHeight="1" x14ac:dyDescent="0.25">
      <c r="A15" s="203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188.14720663611007</v>
      </c>
      <c r="D15" s="63">
        <f>'SER_se-appl'!D61</f>
        <v>185.5857789044835</v>
      </c>
      <c r="E15" s="63">
        <f>'SER_se-appl'!E61</f>
        <v>184.23235264770855</v>
      </c>
      <c r="F15" s="63">
        <f>'SER_se-appl'!F61</f>
        <v>182.9108410247369</v>
      </c>
      <c r="G15" s="63">
        <f>'SER_se-appl'!G61</f>
        <v>179.46423227854481</v>
      </c>
      <c r="H15" s="63">
        <f>'SER_se-appl'!H61</f>
        <v>175.38896574758419</v>
      </c>
      <c r="I15" s="63">
        <f>'SER_se-appl'!I61</f>
        <v>171.86089204348596</v>
      </c>
      <c r="J15" s="63">
        <f>'SER_se-appl'!J61</f>
        <v>169.06368255637184</v>
      </c>
      <c r="K15" s="63">
        <f>'SER_se-appl'!K61</f>
        <v>165.19934601607821</v>
      </c>
      <c r="L15" s="63">
        <f>'SER_se-appl'!L61</f>
        <v>161.68876008657827</v>
      </c>
      <c r="M15" s="63">
        <f>'SER_se-appl'!M61</f>
        <v>157.79861783456872</v>
      </c>
      <c r="N15" s="63">
        <f>'SER_se-appl'!N61</f>
        <v>152.12500874402801</v>
      </c>
      <c r="O15" s="63">
        <f>'SER_se-appl'!O61</f>
        <v>145.96546374320499</v>
      </c>
      <c r="P15" s="63">
        <f>'SER_se-appl'!P61</f>
        <v>138.18498646072379</v>
      </c>
      <c r="Q15" s="63">
        <f>'SER_se-appl'!Q61</f>
        <v>130.11186751646005</v>
      </c>
      <c r="R15" s="63">
        <f>'SER_se-appl'!R61</f>
        <v>122.78155366748932</v>
      </c>
      <c r="S15" s="63">
        <f>'SER_se-appl'!S61</f>
        <v>117.14290638167655</v>
      </c>
      <c r="T15" s="63">
        <f>'SER_se-appl'!T61</f>
        <v>111.43268269176706</v>
      </c>
      <c r="U15" s="63">
        <f>'SER_se-appl'!U61</f>
        <v>105.697731039481</v>
      </c>
      <c r="V15" s="63">
        <f>'SER_se-appl'!V61</f>
        <v>100.00202038942302</v>
      </c>
      <c r="W15" s="63">
        <f>'SER_se-appl'!W61</f>
        <v>97.541970687843218</v>
      </c>
      <c r="X15" s="63">
        <f>'SER_se-appl'!X61</f>
        <v>95.081920986263427</v>
      </c>
      <c r="Y15" s="63">
        <f>'SER_se-appl'!Y61</f>
        <v>92.621871284683621</v>
      </c>
      <c r="DA15" s="105" t="s">
        <v>953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'SER_se-appl'!B6</f>
        <v>37.399714787879191</v>
      </c>
      <c r="C3" s="198">
        <f>'SER_se-appl'!C6</f>
        <v>39.242581772259058</v>
      </c>
      <c r="D3" s="198">
        <f>'SER_se-appl'!D6</f>
        <v>41.390696446486857</v>
      </c>
      <c r="E3" s="198">
        <f>'SER_se-appl'!E6</f>
        <v>44.641116001314558</v>
      </c>
      <c r="F3" s="198">
        <f>'SER_se-appl'!F6</f>
        <v>47.229489065478425</v>
      </c>
      <c r="G3" s="198">
        <f>'SER_se-appl'!G6</f>
        <v>50.177036583800842</v>
      </c>
      <c r="H3" s="198">
        <f>'SER_se-appl'!H6</f>
        <v>51.849823362784306</v>
      </c>
      <c r="I3" s="198">
        <f>'SER_se-appl'!I6</f>
        <v>56.956531142449258</v>
      </c>
      <c r="J3" s="198">
        <f>'SER_se-appl'!J6</f>
        <v>59.089895224468123</v>
      </c>
      <c r="K3" s="198">
        <f>'SER_se-appl'!K6</f>
        <v>59.243179990147027</v>
      </c>
      <c r="L3" s="198">
        <f>'SER_se-appl'!L6</f>
        <v>59.877306402091385</v>
      </c>
      <c r="M3" s="198">
        <f>'SER_se-appl'!M6</f>
        <v>61.60439339518544</v>
      </c>
      <c r="N3" s="198">
        <f>'SER_se-appl'!N6</f>
        <v>62.551072572934416</v>
      </c>
      <c r="O3" s="198">
        <f>'SER_se-appl'!O6</f>
        <v>62.907248360281336</v>
      </c>
      <c r="P3" s="198">
        <f>'SER_se-appl'!P6</f>
        <v>63.71688912060592</v>
      </c>
      <c r="Q3" s="198">
        <f>'SER_se-appl'!Q6</f>
        <v>65.361868013932252</v>
      </c>
      <c r="R3" s="198">
        <f>'SER_se-appl'!R6</f>
        <v>65.594478983881473</v>
      </c>
      <c r="S3" s="198">
        <f>'SER_se-appl'!S6</f>
        <v>65.999307043389635</v>
      </c>
      <c r="T3" s="198">
        <f>'SER_se-appl'!T6</f>
        <v>62.884456551154202</v>
      </c>
      <c r="U3" s="198">
        <f>'SER_se-appl'!U6</f>
        <v>58.061463433234671</v>
      </c>
      <c r="V3" s="198">
        <f>'SER_se-appl'!V6</f>
        <v>50.905390349920914</v>
      </c>
      <c r="W3" s="198">
        <f>'SER_se-appl'!W6</f>
        <v>50.774210329336462</v>
      </c>
      <c r="X3" s="198">
        <f>'SER_se-appl'!X6</f>
        <v>47.389343168874127</v>
      </c>
      <c r="Y3" s="198">
        <f>'SER_se-appl'!Y6</f>
        <v>43.751528643663221</v>
      </c>
      <c r="DA3" s="205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'SER_se-appl'!B14</f>
        <v>191.94917306930807</v>
      </c>
      <c r="C5" s="59">
        <f>'SER_se-appl'!C14</f>
        <v>199.37704595778786</v>
      </c>
      <c r="D5" s="59">
        <f>'SER_se-appl'!D14</f>
        <v>208.19359818206104</v>
      </c>
      <c r="E5" s="59">
        <f>'SER_se-appl'!E14</f>
        <v>221.59386978577783</v>
      </c>
      <c r="F5" s="59">
        <f>'SER_se-appl'!F14</f>
        <v>232.27035160383954</v>
      </c>
      <c r="G5" s="59">
        <f>'SER_se-appl'!G14</f>
        <v>245.0816039679712</v>
      </c>
      <c r="H5" s="59">
        <f>'SER_se-appl'!H14</f>
        <v>252.05048797523557</v>
      </c>
      <c r="I5" s="59">
        <f>'SER_se-appl'!I14</f>
        <v>275.55990442278153</v>
      </c>
      <c r="J5" s="59">
        <f>'SER_se-appl'!J14</f>
        <v>285.05656543340052</v>
      </c>
      <c r="K5" s="59">
        <f>'SER_se-appl'!K14</f>
        <v>284.47756314128679</v>
      </c>
      <c r="L5" s="59">
        <f>'SER_se-appl'!L14</f>
        <v>286.46701192937127</v>
      </c>
      <c r="M5" s="59">
        <f>'SER_se-appl'!M14</f>
        <v>293.05614669765936</v>
      </c>
      <c r="N5" s="59">
        <f>'SER_se-appl'!N14</f>
        <v>295.57176030439376</v>
      </c>
      <c r="O5" s="59">
        <f>'SER_se-appl'!O14</f>
        <v>295.88662667703426</v>
      </c>
      <c r="P5" s="59">
        <f>'SER_se-appl'!P14</f>
        <v>297.87631084724882</v>
      </c>
      <c r="Q5" s="59">
        <f>'SER_se-appl'!Q14</f>
        <v>302.81044867658414</v>
      </c>
      <c r="R5" s="59">
        <f>'SER_se-appl'!R14</f>
        <v>297.71728039704192</v>
      </c>
      <c r="S5" s="59">
        <f>'SER_se-appl'!S14</f>
        <v>290.03003924603962</v>
      </c>
      <c r="T5" s="59">
        <f>'SER_se-appl'!T14</f>
        <v>282.17805714750051</v>
      </c>
      <c r="U5" s="59">
        <f>'SER_se-appl'!U14</f>
        <v>265.21138370654933</v>
      </c>
      <c r="V5" s="59">
        <f>'SER_se-appl'!V14</f>
        <v>249.58478024542381</v>
      </c>
      <c r="W5" s="59">
        <f>'SER_se-appl'!W14</f>
        <v>232.97694312515094</v>
      </c>
      <c r="X5" s="59">
        <f>'SER_se-appl'!X14</f>
        <v>219.81938605135039</v>
      </c>
      <c r="Y5" s="59">
        <f>'SER_se-appl'!Y14</f>
        <v>204.05894706298767</v>
      </c>
      <c r="DA5" s="104" t="s">
        <v>918</v>
      </c>
    </row>
    <row r="6" spans="1:105" ht="12" customHeight="1" x14ac:dyDescent="0.25">
      <c r="A6" s="200" t="str">
        <f>"Penetration factor "&amp;MID('SER_se-appl'!A70,FIND("(",'SER_se-appl'!A70),100)</f>
        <v>Penetration factor (unit per building cell)</v>
      </c>
      <c r="B6" s="201">
        <f>'SER_se-appl'!B70</f>
        <v>143.60576102791026</v>
      </c>
      <c r="C6" s="201">
        <f>'SER_se-appl'!C70</f>
        <v>144.80282578286713</v>
      </c>
      <c r="D6" s="201">
        <f>'SER_se-appl'!D70</f>
        <v>147.08875157628273</v>
      </c>
      <c r="E6" s="201">
        <f>'SER_se-appl'!E70</f>
        <v>149.99082898444945</v>
      </c>
      <c r="F6" s="201">
        <f>'SER_se-appl'!F70</f>
        <v>153.11850857533619</v>
      </c>
      <c r="G6" s="201">
        <f>'SER_se-appl'!G70</f>
        <v>157.27565741662352</v>
      </c>
      <c r="H6" s="201">
        <f>'SER_se-appl'!H70</f>
        <v>160.75638040391752</v>
      </c>
      <c r="I6" s="201">
        <f>'SER_se-appl'!I70</f>
        <v>165.04381717269118</v>
      </c>
      <c r="J6" s="201">
        <f>'SER_se-appl'!J70</f>
        <v>168.30406444083891</v>
      </c>
      <c r="K6" s="201">
        <f>'SER_se-appl'!K70</f>
        <v>173.33990751826659</v>
      </c>
      <c r="L6" s="201">
        <f>'SER_se-appl'!L70</f>
        <v>178.34545836918457</v>
      </c>
      <c r="M6" s="201">
        <f>'SER_se-appl'!M70</f>
        <v>185.47972630654513</v>
      </c>
      <c r="N6" s="201">
        <f>'SER_se-appl'!N70</f>
        <v>191.57872245611298</v>
      </c>
      <c r="O6" s="201">
        <f>'SER_se-appl'!O70</f>
        <v>199.57464862149411</v>
      </c>
      <c r="P6" s="201">
        <f>'SER_se-appl'!P70</f>
        <v>206.90468125631054</v>
      </c>
      <c r="Q6" s="201">
        <f>'SER_se-appl'!Q70</f>
        <v>218.85944055833289</v>
      </c>
      <c r="R6" s="201">
        <f>'SER_se-appl'!R70</f>
        <v>225.06924773682525</v>
      </c>
      <c r="S6" s="201">
        <f>'SER_se-appl'!S70</f>
        <v>231.37561586238914</v>
      </c>
      <c r="T6" s="201">
        <f>'SER_se-appl'!T70</f>
        <v>237.36355327041329</v>
      </c>
      <c r="U6" s="201">
        <f>'SER_se-appl'!U70</f>
        <v>242.77927055041232</v>
      </c>
      <c r="V6" s="201">
        <f>'SER_se-appl'!V70</f>
        <v>247.14980059560253</v>
      </c>
      <c r="W6" s="201">
        <f>'SER_se-appl'!W70</f>
        <v>249.6021704378029</v>
      </c>
      <c r="X6" s="201">
        <f>'SER_se-appl'!X70</f>
        <v>250.83746553525458</v>
      </c>
      <c r="Y6" s="201">
        <f>'SER_se-appl'!Y70</f>
        <v>251.45740377565394</v>
      </c>
      <c r="DA6" s="206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"&amp;MID('SER_se-appl'!A22,FIND("(",'SER_se-appl'!A22),1000)</f>
        <v>Stock of appliances (million units)</v>
      </c>
      <c r="B8" s="34">
        <f>'SER_se-appl'!B22</f>
        <v>4.2286620272069673</v>
      </c>
      <c r="C8" s="34">
        <f>'SER_se-appl'!C22</f>
        <v>4.4539746927366135</v>
      </c>
      <c r="D8" s="34">
        <f>'SER_se-appl'!D22</f>
        <v>4.7552463417649742</v>
      </c>
      <c r="E8" s="34">
        <f>'SER_se-appl'!E22</f>
        <v>5.2047554201610797</v>
      </c>
      <c r="F8" s="34">
        <f>'SER_se-appl'!F22</f>
        <v>5.6179566241794685</v>
      </c>
      <c r="G8" s="34">
        <f>'SER_se-appl'!G22</f>
        <v>6.1199508899052324</v>
      </c>
      <c r="H8" s="34">
        <f>'SER_se-appl'!H22</f>
        <v>6.5068298026982454</v>
      </c>
      <c r="I8" s="34">
        <f>'SER_se-appl'!I22</f>
        <v>7.374449139119263</v>
      </c>
      <c r="J8" s="34">
        <f>'SER_se-appl'!J22</f>
        <v>7.8518345715711702</v>
      </c>
      <c r="K8" s="34">
        <f>'SER_se-appl'!K22</f>
        <v>8.0709271722414204</v>
      </c>
      <c r="L8" s="34">
        <f>'SER_se-appl'!L22</f>
        <v>8.3792921570513226</v>
      </c>
      <c r="M8" s="34">
        <f>'SER_se-appl'!M22</f>
        <v>8.8939687929366098</v>
      </c>
      <c r="N8" s="34">
        <f>'SER_se-appl'!N22</f>
        <v>9.2763337553202376</v>
      </c>
      <c r="O8" s="34">
        <f>'SER_se-appl'!O22</f>
        <v>9.7837950862966867</v>
      </c>
      <c r="P8" s="34">
        <f>'SER_se-appl'!P22</f>
        <v>10.316695537621904</v>
      </c>
      <c r="Q8" s="34">
        <f>'SER_se-appl'!Q22</f>
        <v>10.997650351470666</v>
      </c>
      <c r="R8" s="34">
        <f>'SER_se-appl'!R22</f>
        <v>11.391619270672734</v>
      </c>
      <c r="S8" s="34">
        <f>'SER_se-appl'!S22</f>
        <v>11.808005026646558</v>
      </c>
      <c r="T8" s="34">
        <f>'SER_se-appl'!T22</f>
        <v>12.199194352669238</v>
      </c>
      <c r="U8" s="34">
        <f>'SER_se-appl'!U22</f>
        <v>12.542654025908661</v>
      </c>
      <c r="V8" s="34">
        <f>'SER_se-appl'!V22</f>
        <v>12.807839531153194</v>
      </c>
      <c r="W8" s="34">
        <f>'SER_se-appl'!W22</f>
        <v>12.953250175522838</v>
      </c>
      <c r="X8" s="34">
        <f>'SER_se-appl'!X22</f>
        <v>13.018308566276776</v>
      </c>
      <c r="Y8" s="34">
        <f>'SER_se-appl'!Y22</f>
        <v>13.036753340073755</v>
      </c>
      <c r="DA8" s="88" t="s">
        <v>924</v>
      </c>
    </row>
    <row r="9" spans="1:105" ht="12.95" customHeight="1" x14ac:dyDescent="0.25">
      <c r="A9" s="202" t="str">
        <f>"Number of new appliances "&amp;MID('SER_se-appl'!A30,FIND("(",'SER_se-appl'!A30),100)</f>
        <v>Number of new appliances (million units)</v>
      </c>
      <c r="B9" s="36"/>
      <c r="C9" s="36">
        <f>'SER_se-appl'!C30</f>
        <v>0.88568631087011074</v>
      </c>
      <c r="D9" s="36">
        <f>'SER_se-appl'!D30</f>
        <v>0.97880071343523634</v>
      </c>
      <c r="E9" s="36">
        <f>'SER_se-appl'!E30</f>
        <v>1.1446392313860683</v>
      </c>
      <c r="F9" s="36">
        <f>'SER_se-appl'!F30</f>
        <v>1.1263896928677317</v>
      </c>
      <c r="G9" s="36">
        <f>'SER_se-appl'!G30</f>
        <v>1.2337102162415139</v>
      </c>
      <c r="H9" s="36">
        <f>'SER_se-appl'!H30</f>
        <v>1.1376036378975849</v>
      </c>
      <c r="I9" s="36">
        <f>'SER_se-appl'!I30</f>
        <v>1.7533056472911284</v>
      </c>
      <c r="J9" s="36">
        <f>'SER_se-appl'!J30</f>
        <v>1.4561861458871439</v>
      </c>
      <c r="K9" s="36">
        <f>'SER_se-appl'!K30</f>
        <v>1.3637318320563185</v>
      </c>
      <c r="L9" s="36">
        <f>'SER_se-appl'!L30</f>
        <v>1.4347546776776339</v>
      </c>
      <c r="M9" s="36">
        <f>'SER_se-appl'!M30</f>
        <v>1.7483868521268011</v>
      </c>
      <c r="N9" s="36">
        <f>'SER_se-appl'!N30</f>
        <v>1.5199686002812127</v>
      </c>
      <c r="O9" s="36">
        <f>'SER_se-appl'!O30</f>
        <v>2.2607669782675774</v>
      </c>
      <c r="P9" s="36">
        <f>'SER_se-appl'!P30</f>
        <v>1.9890865972123599</v>
      </c>
      <c r="Q9" s="36">
        <f>'SER_se-appl'!Q30</f>
        <v>2.044686645905081</v>
      </c>
      <c r="R9" s="36">
        <f>'SER_se-appl'!R30</f>
        <v>1.8287235968797013</v>
      </c>
      <c r="S9" s="36">
        <f>'SER_se-appl'!S30</f>
        <v>2.1647726081006251</v>
      </c>
      <c r="T9" s="36">
        <f>'SER_se-appl'!T30</f>
        <v>1.9111579263038934</v>
      </c>
      <c r="U9" s="36">
        <f>'SER_se-appl'!U30</f>
        <v>2.6042266515070001</v>
      </c>
      <c r="V9" s="36">
        <f>'SER_se-appl'!V30</f>
        <v>2.254272102456893</v>
      </c>
      <c r="W9" s="36">
        <f>'SER_se-appl'!W30</f>
        <v>2.1900972902747249</v>
      </c>
      <c r="X9" s="36">
        <f>'SER_se-appl'!X30</f>
        <v>1.8937819876336395</v>
      </c>
      <c r="Y9" s="36">
        <f>'SER_se-appl'!Y30</f>
        <v>2.1832173818976042</v>
      </c>
      <c r="DA9" s="89" t="s">
        <v>930</v>
      </c>
    </row>
    <row r="10" spans="1:105" ht="12" customHeight="1" x14ac:dyDescent="0.25">
      <c r="A10" s="203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0.6603736453404645</v>
      </c>
      <c r="D10" s="38">
        <f>'SER_se-appl'!D38</f>
        <v>0.67752906440687521</v>
      </c>
      <c r="E10" s="38">
        <f>'SER_se-appl'!E38</f>
        <v>0.69513015298996272</v>
      </c>
      <c r="F10" s="38">
        <f>'SER_se-appl'!F38</f>
        <v>0.71318848884934294</v>
      </c>
      <c r="G10" s="38">
        <f>'SER_se-appl'!G38</f>
        <v>0.73171595051575</v>
      </c>
      <c r="H10" s="38">
        <f>'SER_se-appl'!H38</f>
        <v>0.75072472510457189</v>
      </c>
      <c r="I10" s="38">
        <f>'SER_se-appl'!I38</f>
        <v>0.88568631087011074</v>
      </c>
      <c r="J10" s="38">
        <f>'SER_se-appl'!J38</f>
        <v>0.97880071343523678</v>
      </c>
      <c r="K10" s="38">
        <f>'SER_se-appl'!K38</f>
        <v>1.1446392313860674</v>
      </c>
      <c r="L10" s="38">
        <f>'SER_se-appl'!L38</f>
        <v>1.1263896928677308</v>
      </c>
      <c r="M10" s="38">
        <f>'SER_se-appl'!M38</f>
        <v>1.2337102162415139</v>
      </c>
      <c r="N10" s="38">
        <f>'SER_se-appl'!N38</f>
        <v>1.137603637897584</v>
      </c>
      <c r="O10" s="38">
        <f>'SER_se-appl'!O38</f>
        <v>1.7533056472911284</v>
      </c>
      <c r="P10" s="38">
        <f>'SER_se-appl'!P38</f>
        <v>1.456186145887143</v>
      </c>
      <c r="Q10" s="38">
        <f>'SER_se-appl'!Q38</f>
        <v>1.3637318320563185</v>
      </c>
      <c r="R10" s="38">
        <f>'SER_se-appl'!R38</f>
        <v>1.434754677677633</v>
      </c>
      <c r="S10" s="38">
        <f>'SER_se-appl'!S38</f>
        <v>1.7483868521268011</v>
      </c>
      <c r="T10" s="38">
        <f>'SER_se-appl'!T38</f>
        <v>1.5199686002812136</v>
      </c>
      <c r="U10" s="38">
        <f>'SER_se-appl'!U38</f>
        <v>2.2607669782675774</v>
      </c>
      <c r="V10" s="38">
        <f>'SER_se-appl'!V38</f>
        <v>1.9890865972123599</v>
      </c>
      <c r="W10" s="38">
        <f>'SER_se-appl'!W38</f>
        <v>2.044686645905081</v>
      </c>
      <c r="X10" s="38">
        <f>'SER_se-appl'!X38</f>
        <v>1.8287235968797013</v>
      </c>
      <c r="Y10" s="38">
        <f>'SER_se-appl'!Y38</f>
        <v>2.1647726081006251</v>
      </c>
      <c r="DA10" s="90" t="s">
        <v>936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'SER_se-appl'!B46</f>
        <v>2266.0096734356976</v>
      </c>
      <c r="C12" s="204">
        <f>'SER_se-appl'!C46</f>
        <v>2289.0861072743551</v>
      </c>
      <c r="D12" s="204">
        <f>'SER_se-appl'!D46</f>
        <v>2312.1450605397126</v>
      </c>
      <c r="E12" s="204">
        <f>'SER_se-appl'!E46</f>
        <v>2342.9176068687875</v>
      </c>
      <c r="F12" s="204">
        <f>'SER_se-appl'!F46</f>
        <v>2364.8259626711401</v>
      </c>
      <c r="G12" s="204">
        <f>'SER_se-appl'!G46</f>
        <v>2381.0801219738505</v>
      </c>
      <c r="H12" s="204">
        <f>'SER_se-appl'!H46</f>
        <v>2392.4311773934305</v>
      </c>
      <c r="I12" s="204">
        <f>'SER_se-appl'!I46</f>
        <v>2403.8492050366726</v>
      </c>
      <c r="J12" s="204">
        <f>'SER_se-appl'!J46</f>
        <v>2410.8039062903904</v>
      </c>
      <c r="K12" s="204">
        <f>'SER_se-appl'!K46</f>
        <v>2421.977240233939</v>
      </c>
      <c r="L12" s="204">
        <f>'SER_se-appl'!L46</f>
        <v>2430.9014457413837</v>
      </c>
      <c r="M12" s="204">
        <f>'SER_se-appl'!M46</f>
        <v>2444.7843980053567</v>
      </c>
      <c r="N12" s="204">
        <f>'SER_se-appl'!N46</f>
        <v>2461.2262459513904</v>
      </c>
      <c r="O12" s="204">
        <f>'SER_se-appl'!O46</f>
        <v>2472.6068448799451</v>
      </c>
      <c r="P12" s="204">
        <f>'SER_se-appl'!P46</f>
        <v>2487.7017523311756</v>
      </c>
      <c r="Q12" s="204">
        <f>'SER_se-appl'!Q46</f>
        <v>2510.3444360135582</v>
      </c>
      <c r="R12" s="204">
        <f>'SER_se-appl'!R46</f>
        <v>2562.376592870829</v>
      </c>
      <c r="S12" s="204">
        <f>'SER_se-appl'!S46</f>
        <v>2646.5256595833898</v>
      </c>
      <c r="T12" s="204">
        <f>'SER_se-appl'!T46</f>
        <v>2591.7898687197817</v>
      </c>
      <c r="U12" s="204">
        <f>'SER_se-appl'!U46</f>
        <v>2546.1004361550108</v>
      </c>
      <c r="V12" s="204">
        <f>'SER_se-appl'!V46</f>
        <v>2372.0584612067314</v>
      </c>
      <c r="W12" s="204">
        <f>'SER_se-appl'!W46</f>
        <v>2534.603030708387</v>
      </c>
      <c r="X12" s="204">
        <f>'SER_se-appl'!X46</f>
        <v>2507.23137278374</v>
      </c>
      <c r="Y12" s="204">
        <f>'SER_se-appl'!Y46</f>
        <v>2493.5455438214167</v>
      </c>
      <c r="DA12" s="208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45.392412974675722</v>
      </c>
      <c r="C14" s="59">
        <f>'SER_se-appl'!C54</f>
        <v>44.763847958751313</v>
      </c>
      <c r="D14" s="59">
        <f>'SER_se-appl'!D54</f>
        <v>43.781874422259094</v>
      </c>
      <c r="E14" s="59">
        <f>'SER_se-appl'!E54</f>
        <v>42.575270478112074</v>
      </c>
      <c r="F14" s="59">
        <f>'SER_se-appl'!F54</f>
        <v>41.344276423238462</v>
      </c>
      <c r="G14" s="59">
        <f>'SER_se-appl'!G54</f>
        <v>40.046335073085253</v>
      </c>
      <c r="H14" s="59">
        <f>'SER_se-appl'!H54</f>
        <v>38.736296417452863</v>
      </c>
      <c r="I14" s="59">
        <f>'SER_se-appl'!I54</f>
        <v>37.366845878835619</v>
      </c>
      <c r="J14" s="59">
        <f>'SER_se-appl'!J54</f>
        <v>36.304453798032583</v>
      </c>
      <c r="K14" s="59">
        <f>'SER_se-appl'!K54</f>
        <v>35.247197387643261</v>
      </c>
      <c r="L14" s="59">
        <f>'SER_se-appl'!L54</f>
        <v>34.187495382686258</v>
      </c>
      <c r="M14" s="59">
        <f>'SER_se-appl'!M54</f>
        <v>32.949985942203661</v>
      </c>
      <c r="N14" s="59">
        <f>'SER_se-appl'!N54</f>
        <v>31.862993301084607</v>
      </c>
      <c r="O14" s="59">
        <f>'SER_se-appl'!O54</f>
        <v>30.242520828288502</v>
      </c>
      <c r="P14" s="59">
        <f>'SER_se-appl'!P54</f>
        <v>28.873228812557564</v>
      </c>
      <c r="Q14" s="59">
        <f>'SER_se-appl'!Q54</f>
        <v>27.534104013053177</v>
      </c>
      <c r="R14" s="59">
        <f>'SER_se-appl'!R54</f>
        <v>26.134763928031116</v>
      </c>
      <c r="S14" s="59">
        <f>'SER_se-appl'!S54</f>
        <v>24.562154114225287</v>
      </c>
      <c r="T14" s="59">
        <f>'SER_se-appl'!T54</f>
        <v>23.13087643248824</v>
      </c>
      <c r="U14" s="59">
        <f>'SER_se-appl'!U54</f>
        <v>21.14475797217375</v>
      </c>
      <c r="V14" s="59">
        <f>'SER_se-appl'!V54</f>
        <v>19.486875958926984</v>
      </c>
      <c r="W14" s="59">
        <f>'SER_se-appl'!W54</f>
        <v>17.985983437994332</v>
      </c>
      <c r="X14" s="59">
        <f>'SER_se-appl'!X54</f>
        <v>16.885402964005678</v>
      </c>
      <c r="Y14" s="59">
        <f>'SER_se-appl'!Y54</f>
        <v>15.652589393996559</v>
      </c>
      <c r="DA14" s="104" t="s">
        <v>948</v>
      </c>
    </row>
    <row r="15" spans="1:105" ht="12" customHeight="1" x14ac:dyDescent="0.25">
      <c r="A15" s="203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42.231460118899392</v>
      </c>
      <c r="D15" s="63">
        <f>'SER_se-appl'!D62</f>
        <v>40.42828205477602</v>
      </c>
      <c r="E15" s="63">
        <f>'SER_se-appl'!E62</f>
        <v>39.273428121934103</v>
      </c>
      <c r="F15" s="63">
        <f>'SER_se-appl'!F62</f>
        <v>38.219302347390382</v>
      </c>
      <c r="G15" s="63">
        <f>'SER_se-appl'!G62</f>
        <v>37.306657887876263</v>
      </c>
      <c r="H15" s="63">
        <f>'SER_se-appl'!H62</f>
        <v>36.081188027289166</v>
      </c>
      <c r="I15" s="63">
        <f>'SER_se-appl'!I62</f>
        <v>34.741941689986376</v>
      </c>
      <c r="J15" s="63">
        <f>'SER_se-appl'!J62</f>
        <v>33.696167531453469</v>
      </c>
      <c r="K15" s="63">
        <f>'SER_se-appl'!K62</f>
        <v>32.539318393970269</v>
      </c>
      <c r="L15" s="63">
        <f>'SER_se-appl'!L62</f>
        <v>31.391622359916816</v>
      </c>
      <c r="M15" s="63">
        <f>'SER_se-appl'!M62</f>
        <v>30.093305537264609</v>
      </c>
      <c r="N15" s="63">
        <f>'SER_se-appl'!N62</f>
        <v>28.659608072289039</v>
      </c>
      <c r="O15" s="63">
        <f>'SER_se-appl'!O62</f>
        <v>27.082892453813027</v>
      </c>
      <c r="P15" s="63">
        <f>'SER_se-appl'!P62</f>
        <v>25.668855529248869</v>
      </c>
      <c r="Q15" s="63">
        <f>'SER_se-appl'!Q62</f>
        <v>24.115696268354931</v>
      </c>
      <c r="R15" s="63">
        <f>'SER_se-appl'!R62</f>
        <v>21.843710448860097</v>
      </c>
      <c r="S15" s="63">
        <f>'SER_se-appl'!S62</f>
        <v>20.753911251124563</v>
      </c>
      <c r="T15" s="63">
        <f>'SER_se-appl'!T62</f>
        <v>18.6848620808472</v>
      </c>
      <c r="U15" s="63">
        <f>'SER_se-appl'!U62</f>
        <v>16.995999741031945</v>
      </c>
      <c r="V15" s="63">
        <f>'SER_se-appl'!V62</f>
        <v>15.717256581079187</v>
      </c>
      <c r="W15" s="63">
        <f>'SER_se-appl'!W62</f>
        <v>14.931393752025228</v>
      </c>
      <c r="X15" s="63">
        <f>'SER_se-appl'!X62</f>
        <v>14.145530922971266</v>
      </c>
      <c r="Y15" s="63">
        <f>'SER_se-appl'!Y62</f>
        <v>13.359668093917307</v>
      </c>
      <c r="DA15" s="105" t="s">
        <v>954</v>
      </c>
    </row>
    <row r="16" spans="1:105" ht="12.95" customHeight="1" x14ac:dyDescent="0.25">
      <c r="A16" s="203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DA16" s="105" t="s">
        <v>964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'SER_se-appl'!B7</f>
        <v>17.03460744825091</v>
      </c>
      <c r="C3" s="198">
        <f>'SER_se-appl'!C7</f>
        <v>18.112935153771424</v>
      </c>
      <c r="D3" s="198">
        <f>'SER_se-appl'!D7</f>
        <v>19.413977242323472</v>
      </c>
      <c r="E3" s="198">
        <f>'SER_se-appl'!E7</f>
        <v>21.265938155746142</v>
      </c>
      <c r="F3" s="198">
        <f>'SER_se-appl'!F7</f>
        <v>22.617285478617674</v>
      </c>
      <c r="G3" s="198">
        <f>'SER_se-appl'!G7</f>
        <v>23.331926963653309</v>
      </c>
      <c r="H3" s="198">
        <f>'SER_se-appl'!H7</f>
        <v>23.450682670495468</v>
      </c>
      <c r="I3" s="198">
        <f>'SER_se-appl'!I7</f>
        <v>23.350968971337487</v>
      </c>
      <c r="J3" s="198">
        <f>'SER_se-appl'!J7</f>
        <v>23.100028983791951</v>
      </c>
      <c r="K3" s="198">
        <f>'SER_se-appl'!K7</f>
        <v>22.810032076781056</v>
      </c>
      <c r="L3" s="198">
        <f>'SER_se-appl'!L7</f>
        <v>22.595183347071185</v>
      </c>
      <c r="M3" s="198">
        <f>'SER_se-appl'!M7</f>
        <v>21.958752346029414</v>
      </c>
      <c r="N3" s="198">
        <f>'SER_se-appl'!N7</f>
        <v>21.676787892482096</v>
      </c>
      <c r="O3" s="198">
        <f>'SER_se-appl'!O7</f>
        <v>21.621228326249657</v>
      </c>
      <c r="P3" s="198">
        <f>'SER_se-appl'!P7</f>
        <v>21.644017505021484</v>
      </c>
      <c r="Q3" s="198">
        <f>'SER_se-appl'!Q7</f>
        <v>21.794451079393021</v>
      </c>
      <c r="R3" s="198">
        <f>'SER_se-appl'!R7</f>
        <v>22.1043685489533</v>
      </c>
      <c r="S3" s="198">
        <f>'SER_se-appl'!S7</f>
        <v>22.364242109947224</v>
      </c>
      <c r="T3" s="198">
        <f>'SER_se-appl'!T7</f>
        <v>22.64864803984052</v>
      </c>
      <c r="U3" s="198">
        <f>'SER_se-appl'!U7</f>
        <v>22.893414993302567</v>
      </c>
      <c r="V3" s="198">
        <f>'SER_se-appl'!V7</f>
        <v>23.07328926959563</v>
      </c>
      <c r="W3" s="198">
        <f>'SER_se-appl'!W7</f>
        <v>23.149482456791524</v>
      </c>
      <c r="X3" s="198">
        <f>'SER_se-appl'!X7</f>
        <v>22.952979279387218</v>
      </c>
      <c r="Y3" s="198">
        <f>'SER_se-appl'!Y7</f>
        <v>22.920349135258476</v>
      </c>
      <c r="DA3" s="205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'SER_se-appl'!B15</f>
        <v>22.615580436433572</v>
      </c>
      <c r="C5" s="59">
        <f>'SER_se-appl'!C15</f>
        <v>24.047195871959097</v>
      </c>
      <c r="D5" s="59">
        <f>'SER_se-appl'!D15</f>
        <v>25.77449261737695</v>
      </c>
      <c r="E5" s="59">
        <f>'SER_se-appl'!E15</f>
        <v>28.233203282115031</v>
      </c>
      <c r="F5" s="59">
        <f>'SER_se-appl'!F15</f>
        <v>30.02728654295931</v>
      </c>
      <c r="G5" s="59">
        <f>'SER_se-appl'!G15</f>
        <v>30.976062852430129</v>
      </c>
      <c r="H5" s="59">
        <f>'SER_se-appl'!H15</f>
        <v>31.133725965509388</v>
      </c>
      <c r="I5" s="59">
        <f>'SER_se-appl'!I15</f>
        <v>31.001343508750576</v>
      </c>
      <c r="J5" s="59">
        <f>'SER_se-appl'!J15</f>
        <v>30.668189164554839</v>
      </c>
      <c r="K5" s="59">
        <f>'SER_se-appl'!K15</f>
        <v>30.283181855361143</v>
      </c>
      <c r="L5" s="59">
        <f>'SER_se-appl'!L15</f>
        <v>29.997943187949527</v>
      </c>
      <c r="M5" s="59">
        <f>'SER_se-appl'!M15</f>
        <v>29.153001116931744</v>
      </c>
      <c r="N5" s="59">
        <f>'SER_se-appl'!N15</f>
        <v>28.778657898352378</v>
      </c>
      <c r="O5" s="59">
        <f>'SER_se-appl'!O15</f>
        <v>28.704895597520949</v>
      </c>
      <c r="P5" s="59">
        <f>'SER_se-appl'!P15</f>
        <v>28.735151093995416</v>
      </c>
      <c r="Q5" s="59">
        <f>'SER_se-appl'!Q15</f>
        <v>28.934870554034337</v>
      </c>
      <c r="R5" s="59">
        <f>'SER_se-appl'!R15</f>
        <v>29.34632491145284</v>
      </c>
      <c r="S5" s="59">
        <f>'SER_se-appl'!S15</f>
        <v>29.691339696197058</v>
      </c>
      <c r="T5" s="59">
        <f>'SER_se-appl'!T15</f>
        <v>30.068924281203788</v>
      </c>
      <c r="U5" s="59">
        <f>'SER_se-appl'!U15</f>
        <v>30.393883147501004</v>
      </c>
      <c r="V5" s="59">
        <f>'SER_se-appl'!V15</f>
        <v>30.63268883623256</v>
      </c>
      <c r="W5" s="59">
        <f>'SER_se-appl'!W15</f>
        <v>30.733844859872764</v>
      </c>
      <c r="X5" s="59">
        <f>'SER_se-appl'!X15</f>
        <v>30.472962216812025</v>
      </c>
      <c r="Y5" s="59">
        <f>'SER_se-appl'!Y15</f>
        <v>30.429641603088594</v>
      </c>
      <c r="DA5" s="104" t="s">
        <v>919</v>
      </c>
    </row>
    <row r="6" spans="1:105" ht="12" customHeight="1" x14ac:dyDescent="0.25">
      <c r="A6" s="200" t="str">
        <f>"Penetration factor "&amp;MID('SER_se-appl'!A71,FIND("(",'SER_se-appl'!A71),100)</f>
        <v>Penetration factor (unit per capita)</v>
      </c>
      <c r="B6" s="201">
        <f>'SER_se-appl'!B71</f>
        <v>9.2285389072145306E-3</v>
      </c>
      <c r="C6" s="201">
        <f>'SER_se-appl'!C71</f>
        <v>1.00275440040225E-2</v>
      </c>
      <c r="D6" s="201">
        <f>'SER_se-appl'!D71</f>
        <v>1.1032159994903127E-2</v>
      </c>
      <c r="E6" s="201">
        <f>'SER_se-appl'!E71</f>
        <v>1.2406166587005463E-2</v>
      </c>
      <c r="F6" s="201">
        <f>'SER_se-appl'!F71</f>
        <v>1.3546886458846313E-2</v>
      </c>
      <c r="G6" s="201">
        <f>'SER_se-appl'!G71</f>
        <v>1.4365980127480252E-2</v>
      </c>
      <c r="H6" s="201">
        <f>'SER_se-appl'!H71</f>
        <v>1.4925213133590793E-2</v>
      </c>
      <c r="I6" s="201">
        <f>'SER_se-appl'!I71</f>
        <v>1.5250375138384965E-2</v>
      </c>
      <c r="J6" s="201">
        <f>'SER_se-appl'!J71</f>
        <v>1.548946559670763E-2</v>
      </c>
      <c r="K6" s="201">
        <f>'SER_se-appl'!K71</f>
        <v>1.5692183327781828E-2</v>
      </c>
      <c r="L6" s="201">
        <f>'SER_se-appl'!L71</f>
        <v>1.605707133448616E-2</v>
      </c>
      <c r="M6" s="201">
        <f>'SER_se-appl'!M71</f>
        <v>1.6362656248031151E-2</v>
      </c>
      <c r="N6" s="201">
        <f>'SER_se-appl'!N71</f>
        <v>1.6783750300538337E-2</v>
      </c>
      <c r="O6" s="201">
        <f>'SER_se-appl'!O71</f>
        <v>1.7362611228324217E-2</v>
      </c>
      <c r="P6" s="201">
        <f>'SER_se-appl'!P71</f>
        <v>1.7988374249558438E-2</v>
      </c>
      <c r="Q6" s="201">
        <f>'SER_se-appl'!Q71</f>
        <v>1.863228630359344E-2</v>
      </c>
      <c r="R6" s="201">
        <f>'SER_se-appl'!R71</f>
        <v>1.9417905286103199E-2</v>
      </c>
      <c r="S6" s="201">
        <f>'SER_se-appl'!S71</f>
        <v>2.0199210552900845E-2</v>
      </c>
      <c r="T6" s="201">
        <f>'SER_se-appl'!T71</f>
        <v>2.0985834662957666E-2</v>
      </c>
      <c r="U6" s="201">
        <f>'SER_se-appl'!U71</f>
        <v>2.1608480998231785E-2</v>
      </c>
      <c r="V6" s="201">
        <f>'SER_se-appl'!V71</f>
        <v>2.20981228150272E-2</v>
      </c>
      <c r="W6" s="201">
        <f>'SER_se-appl'!W71</f>
        <v>2.2512079949161989E-2</v>
      </c>
      <c r="X6" s="201">
        <f>'SER_se-appl'!X71</f>
        <v>2.280645529614627E-2</v>
      </c>
      <c r="Y6" s="201">
        <f>'SER_se-appl'!Y71</f>
        <v>2.301480541919013E-2</v>
      </c>
      <c r="DA6" s="206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"&amp;MID('SER_se-appl'!A23,FIND("(",'SER_se-appl'!A23),100)</f>
        <v>Stock of appliances (thousand units)</v>
      </c>
      <c r="B8" s="34">
        <f>'SER_se-appl'!B23</f>
        <v>32.411311554016564</v>
      </c>
      <c r="C8" s="34">
        <f>'SER_se-appl'!C23</f>
        <v>34.966025886938446</v>
      </c>
      <c r="D8" s="34">
        <f>'SER_se-appl'!D23</f>
        <v>38.112108108312157</v>
      </c>
      <c r="E8" s="34">
        <f>'SER_se-appl'!E23</f>
        <v>42.571723424809484</v>
      </c>
      <c r="F8" s="34">
        <f>'SER_se-appl'!F23</f>
        <v>46.044905244680038</v>
      </c>
      <c r="G8" s="34">
        <f>'SER_se-appl'!G23</f>
        <v>48.201023843324293</v>
      </c>
      <c r="H8" s="34">
        <f>'SER_se-appl'!H23</f>
        <v>49.101488549346662</v>
      </c>
      <c r="I8" s="34">
        <f>'SER_se-appl'!I23</f>
        <v>49.563459943373779</v>
      </c>
      <c r="J8" s="34">
        <f>'SER_se-appl'!J23</f>
        <v>49.761534623310915</v>
      </c>
      <c r="K8" s="34">
        <f>'SER_se-appl'!K23</f>
        <v>49.961652041258148</v>
      </c>
      <c r="L8" s="34">
        <f>'SER_se-appl'!L23</f>
        <v>50.450932763243486</v>
      </c>
      <c r="M8" s="34">
        <f>'SER_se-appl'!M23</f>
        <v>49.948448110864916</v>
      </c>
      <c r="N8" s="34">
        <f>'SER_se-appl'!N23</f>
        <v>50.412360536459275</v>
      </c>
      <c r="O8" s="34">
        <f>'SER_se-appl'!O23</f>
        <v>51.647465776388664</v>
      </c>
      <c r="P8" s="34">
        <f>'SER_se-appl'!P23</f>
        <v>53.027244892051833</v>
      </c>
      <c r="Q8" s="34">
        <f>'SER_se-appl'!Q23</f>
        <v>54.530068916693921</v>
      </c>
      <c r="R8" s="34">
        <f>'SER_se-appl'!R23</f>
        <v>56.225962262997697</v>
      </c>
      <c r="S8" s="34">
        <f>'SER_se-appl'!S23</f>
        <v>57.751098309956092</v>
      </c>
      <c r="T8" s="34">
        <f>'SER_se-appl'!T23</f>
        <v>59.310165924450956</v>
      </c>
      <c r="U8" s="34">
        <f>'SER_se-appl'!U23</f>
        <v>60.767370263227427</v>
      </c>
      <c r="V8" s="34">
        <f>'SER_se-appl'!V23</f>
        <v>62.095216853401688</v>
      </c>
      <c r="W8" s="34">
        <f>'SER_se-appl'!W23</f>
        <v>63.276076349986504</v>
      </c>
      <c r="X8" s="34">
        <f>'SER_se-appl'!X23</f>
        <v>63.994867948075843</v>
      </c>
      <c r="Y8" s="34">
        <f>'SER_se-appl'!Y23</f>
        <v>65.759720213338156</v>
      </c>
      <c r="DA8" s="88" t="s">
        <v>925</v>
      </c>
    </row>
    <row r="9" spans="1:105" ht="12.95" customHeight="1" x14ac:dyDescent="0.25">
      <c r="A9" s="202" t="str">
        <f>"Number of new appliances "&amp;MID('SER_se-appl'!A31,FIND("(",'SER_se-appl'!A31),100)</f>
        <v>Number of new appliances (thousand units)</v>
      </c>
      <c r="B9" s="36"/>
      <c r="C9" s="36">
        <f>'SER_se-appl'!C31</f>
        <v>5.5003548791798806</v>
      </c>
      <c r="D9" s="36">
        <f>'SER_se-appl'!D31</f>
        <v>6.1537702856122998</v>
      </c>
      <c r="E9" s="36">
        <f>'SER_se-appl'!E31</f>
        <v>7.5306578791260677</v>
      </c>
      <c r="F9" s="36">
        <f>'SER_se-appl'!F31</f>
        <v>6.6089133917763903</v>
      </c>
      <c r="G9" s="36">
        <f>'SER_se-appl'!G31</f>
        <v>5.357901801098599</v>
      </c>
      <c r="H9" s="36">
        <f>'SER_se-appl'!H31</f>
        <v>4.1696908628034421</v>
      </c>
      <c r="I9" s="36">
        <f>'SER_se-appl'!I31</f>
        <v>3.8000611360148753</v>
      </c>
      <c r="J9" s="36">
        <f>'SER_se-appl'!J31</f>
        <v>3.6064785624434776</v>
      </c>
      <c r="K9" s="36">
        <f>'SER_se-appl'!K31</f>
        <v>3.6803165510497777</v>
      </c>
      <c r="L9" s="36">
        <f>'SER_se-appl'!L31</f>
        <v>4.0427874141386795</v>
      </c>
      <c r="M9" s="36">
        <f>'SER_se-appl'!M31</f>
        <v>4.9978702268013109</v>
      </c>
      <c r="N9" s="36">
        <f>'SER_se-appl'!N31</f>
        <v>6.6176827112066547</v>
      </c>
      <c r="O9" s="36">
        <f>'SER_se-appl'!O31</f>
        <v>8.7657631190554568</v>
      </c>
      <c r="P9" s="36">
        <f>'SER_se-appl'!P31</f>
        <v>7.9886925074395592</v>
      </c>
      <c r="Q9" s="36">
        <f>'SER_se-appl'!Q31</f>
        <v>6.8607258257406869</v>
      </c>
      <c r="R9" s="36">
        <f>'SER_se-appl'!R31</f>
        <v>5.8655842091072188</v>
      </c>
      <c r="S9" s="36">
        <f>'SER_se-appl'!S31</f>
        <v>5.3251971829732696</v>
      </c>
      <c r="T9" s="36">
        <f>'SER_se-appl'!T31</f>
        <v>5.1655461769383422</v>
      </c>
      <c r="U9" s="36">
        <f>'SER_se-appl'!U31</f>
        <v>5.1375208898262485</v>
      </c>
      <c r="V9" s="36">
        <f>'SER_se-appl'!V31</f>
        <v>5.3706340043129401</v>
      </c>
      <c r="W9" s="36">
        <f>'SER_se-appl'!W31</f>
        <v>6.1787297233861267</v>
      </c>
      <c r="X9" s="36">
        <f>'SER_se-appl'!X31</f>
        <v>7.3364743092959941</v>
      </c>
      <c r="Y9" s="36">
        <f>'SER_se-appl'!Y31</f>
        <v>10.53061538431777</v>
      </c>
      <c r="DA9" s="89" t="s">
        <v>931</v>
      </c>
    </row>
    <row r="10" spans="1:105" ht="12" customHeight="1" x14ac:dyDescent="0.25">
      <c r="A10" s="203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2.945640546257998</v>
      </c>
      <c r="D10" s="38">
        <f>'SER_se-appl'!D39</f>
        <v>3.007688064238593</v>
      </c>
      <c r="E10" s="38">
        <f>'SER_se-appl'!E39</f>
        <v>3.0710425626287403</v>
      </c>
      <c r="F10" s="38">
        <f>'SER_se-appl'!F39</f>
        <v>3.1357315719058363</v>
      </c>
      <c r="G10" s="38">
        <f>'SER_se-appl'!G39</f>
        <v>3.2017832024543438</v>
      </c>
      <c r="H10" s="38">
        <f>'SER_se-appl'!H39</f>
        <v>3.2692261567810732</v>
      </c>
      <c r="I10" s="38">
        <f>'SER_se-appl'!I39</f>
        <v>3.3380897419877584</v>
      </c>
      <c r="J10" s="38">
        <f>'SER_se-appl'!J39</f>
        <v>3.4084038825063416</v>
      </c>
      <c r="K10" s="38">
        <f>'SER_se-appl'!K39</f>
        <v>3.4801991331025448</v>
      </c>
      <c r="L10" s="38">
        <f>'SER_se-appl'!L39</f>
        <v>3.5535066921533414</v>
      </c>
      <c r="M10" s="38">
        <f>'SER_se-appl'!M39</f>
        <v>5.5003548791798806</v>
      </c>
      <c r="N10" s="38">
        <f>'SER_se-appl'!N39</f>
        <v>6.1537702856122962</v>
      </c>
      <c r="O10" s="38">
        <f>'SER_se-appl'!O39</f>
        <v>7.5306578791260677</v>
      </c>
      <c r="P10" s="38">
        <f>'SER_se-appl'!P39</f>
        <v>6.6089133917763903</v>
      </c>
      <c r="Q10" s="38">
        <f>'SER_se-appl'!Q39</f>
        <v>5.357901801098599</v>
      </c>
      <c r="R10" s="38">
        <f>'SER_se-appl'!R39</f>
        <v>4.1696908628034421</v>
      </c>
      <c r="S10" s="38">
        <f>'SER_se-appl'!S39</f>
        <v>3.8000611360148753</v>
      </c>
      <c r="T10" s="38">
        <f>'SER_se-appl'!T39</f>
        <v>3.6064785624434776</v>
      </c>
      <c r="U10" s="38">
        <f>'SER_se-appl'!U39</f>
        <v>3.6803165510497777</v>
      </c>
      <c r="V10" s="38">
        <f>'SER_se-appl'!V39</f>
        <v>4.0427874141386795</v>
      </c>
      <c r="W10" s="38">
        <f>'SER_se-appl'!W39</f>
        <v>4.9978702268013038</v>
      </c>
      <c r="X10" s="38">
        <f>'SER_se-appl'!X39</f>
        <v>6.6176827112066618</v>
      </c>
      <c r="Y10" s="38">
        <f>'SER_se-appl'!Y39</f>
        <v>8.7657631190554497</v>
      </c>
      <c r="DA10" s="90" t="s">
        <v>937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'SER_se-appl'!B47</f>
        <v>8759.9999999999982</v>
      </c>
      <c r="C12" s="204">
        <f>'SER_se-appl'!C47</f>
        <v>8759.9999999999982</v>
      </c>
      <c r="D12" s="204">
        <f>'SER_se-appl'!D47</f>
        <v>8759.9999999999964</v>
      </c>
      <c r="E12" s="204">
        <f>'SER_se-appl'!E47</f>
        <v>8759.9999999999982</v>
      </c>
      <c r="F12" s="204">
        <f>'SER_se-appl'!F47</f>
        <v>8760</v>
      </c>
      <c r="G12" s="204">
        <f>'SER_se-appl'!G47</f>
        <v>8760.0000000000018</v>
      </c>
      <c r="H12" s="204">
        <f>'SER_se-appl'!H47</f>
        <v>8760.0000000000018</v>
      </c>
      <c r="I12" s="204">
        <f>'SER_se-appl'!I47</f>
        <v>8759.9999999999982</v>
      </c>
      <c r="J12" s="204">
        <f>'SER_se-appl'!J47</f>
        <v>8760</v>
      </c>
      <c r="K12" s="204">
        <f>'SER_se-appl'!K47</f>
        <v>8760.0000000000018</v>
      </c>
      <c r="L12" s="204">
        <f>'SER_se-appl'!L47</f>
        <v>8760.0000000000018</v>
      </c>
      <c r="M12" s="204">
        <f>'SER_se-appl'!M47</f>
        <v>8760</v>
      </c>
      <c r="N12" s="204">
        <f>'SER_se-appl'!N47</f>
        <v>8759.9999999999982</v>
      </c>
      <c r="O12" s="204">
        <f>'SER_se-appl'!O47</f>
        <v>8760</v>
      </c>
      <c r="P12" s="204">
        <f>'SER_se-appl'!P47</f>
        <v>8760</v>
      </c>
      <c r="Q12" s="204">
        <f>'SER_se-appl'!Q47</f>
        <v>8760.0000000000018</v>
      </c>
      <c r="R12" s="204">
        <f>'SER_se-appl'!R47</f>
        <v>8760</v>
      </c>
      <c r="S12" s="204">
        <f>'SER_se-appl'!S47</f>
        <v>8760</v>
      </c>
      <c r="T12" s="204">
        <f>'SER_se-appl'!T47</f>
        <v>8760.0000000000018</v>
      </c>
      <c r="U12" s="204">
        <f>'SER_se-appl'!U47</f>
        <v>8760.0000000000018</v>
      </c>
      <c r="V12" s="204">
        <f>'SER_se-appl'!V47</f>
        <v>8759.9999999999982</v>
      </c>
      <c r="W12" s="204">
        <f>'SER_se-appl'!W47</f>
        <v>8760</v>
      </c>
      <c r="X12" s="204">
        <f>'SER_se-appl'!X47</f>
        <v>8760</v>
      </c>
      <c r="Y12" s="204">
        <f>'SER_se-appl'!Y47</f>
        <v>8760</v>
      </c>
      <c r="DA12" s="208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697.76813563198561</v>
      </c>
      <c r="C14" s="59">
        <f>'SER_se-appl'!C55</f>
        <v>687.73031140899332</v>
      </c>
      <c r="D14" s="59">
        <f>'SER_se-appl'!D55</f>
        <v>676.28094840955794</v>
      </c>
      <c r="E14" s="59">
        <f>'SER_se-appl'!E55</f>
        <v>663.19145692987365</v>
      </c>
      <c r="F14" s="59">
        <f>'SER_se-appl'!F55</f>
        <v>652.13048834384608</v>
      </c>
      <c r="G14" s="59">
        <f>'SER_se-appl'!G55</f>
        <v>642.64325490505587</v>
      </c>
      <c r="H14" s="59">
        <f>'SER_se-appl'!H55</f>
        <v>634.06888233582174</v>
      </c>
      <c r="I14" s="59">
        <f>'SER_se-appl'!I55</f>
        <v>625.48788047020105</v>
      </c>
      <c r="J14" s="59">
        <f>'SER_se-appl'!J55</f>
        <v>616.30312241592821</v>
      </c>
      <c r="K14" s="59">
        <f>'SER_se-appl'!K55</f>
        <v>606.12851293134588</v>
      </c>
      <c r="L14" s="59">
        <f>'SER_se-appl'!L55</f>
        <v>594.59640377164283</v>
      </c>
      <c r="M14" s="59">
        <f>'SER_se-appl'!M55</f>
        <v>583.66179970645192</v>
      </c>
      <c r="N14" s="59">
        <f>'SER_se-appl'!N55</f>
        <v>570.86511308152399</v>
      </c>
      <c r="O14" s="59">
        <f>'SER_se-appl'!O55</f>
        <v>555.78517098594568</v>
      </c>
      <c r="P14" s="59">
        <f>'SER_se-appl'!P55</f>
        <v>541.89409901441968</v>
      </c>
      <c r="Q14" s="59">
        <f>'SER_se-appl'!Q55</f>
        <v>530.62229938198686</v>
      </c>
      <c r="R14" s="59">
        <f>'SER_se-appl'!R55</f>
        <v>521.93548550018602</v>
      </c>
      <c r="S14" s="59">
        <f>'SER_se-appl'!S55</f>
        <v>514.12597448520512</v>
      </c>
      <c r="T14" s="59">
        <f>'SER_se-appl'!T55</f>
        <v>506.97757816940623</v>
      </c>
      <c r="U14" s="59">
        <f>'SER_se-appl'!U55</f>
        <v>500.16782058929186</v>
      </c>
      <c r="V14" s="59">
        <f>'SER_se-appl'!V55</f>
        <v>493.31801044438168</v>
      </c>
      <c r="W14" s="59">
        <f>'SER_se-appl'!W55</f>
        <v>485.71034477360286</v>
      </c>
      <c r="X14" s="59">
        <f>'SER_se-appl'!X55</f>
        <v>476.17821856491958</v>
      </c>
      <c r="Y14" s="59">
        <f>'SER_se-appl'!Y55</f>
        <v>462.73982772993156</v>
      </c>
      <c r="DA14" s="104" t="s">
        <v>949</v>
      </c>
    </row>
    <row r="15" spans="1:105" ht="12" customHeight="1" x14ac:dyDescent="0.25">
      <c r="A15" s="203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633.95719445830991</v>
      </c>
      <c r="D15" s="63">
        <f>'SER_se-appl'!D63</f>
        <v>621.72708128371357</v>
      </c>
      <c r="E15" s="63">
        <f>'SER_se-appl'!E63</f>
        <v>611.04705352038081</v>
      </c>
      <c r="F15" s="63">
        <f>'SER_se-appl'!F63</f>
        <v>602.5342741774125</v>
      </c>
      <c r="G15" s="63">
        <f>'SER_se-appl'!G63</f>
        <v>594.05318042457623</v>
      </c>
      <c r="H15" s="63">
        <f>'SER_se-appl'!H63</f>
        <v>584.89346901271108</v>
      </c>
      <c r="I15" s="63">
        <f>'SER_se-appl'!I63</f>
        <v>578.10390950290355</v>
      </c>
      <c r="J15" s="63">
        <f>'SER_se-appl'!J63</f>
        <v>567.06874669342596</v>
      </c>
      <c r="K15" s="63">
        <f>'SER_se-appl'!K63</f>
        <v>555.21440158631776</v>
      </c>
      <c r="L15" s="63">
        <f>'SER_se-appl'!L63</f>
        <v>542.76538619221594</v>
      </c>
      <c r="M15" s="63">
        <f>'SER_se-appl'!M63</f>
        <v>528.63466973273307</v>
      </c>
      <c r="N15" s="63">
        <f>'SER_se-appl'!N63</f>
        <v>521.57568904590948</v>
      </c>
      <c r="O15" s="63">
        <f>'SER_se-appl'!O63</f>
        <v>516.53506326628712</v>
      </c>
      <c r="P15" s="63">
        <f>'SER_se-appl'!P63</f>
        <v>502.25394535504847</v>
      </c>
      <c r="Q15" s="63">
        <f>'SER_se-appl'!Q63</f>
        <v>493.03793086920564</v>
      </c>
      <c r="R15" s="63">
        <f>'SER_se-appl'!R63</f>
        <v>485.93272370870039</v>
      </c>
      <c r="S15" s="63">
        <f>'SER_se-appl'!S63</f>
        <v>477.32410584752193</v>
      </c>
      <c r="T15" s="63">
        <f>'SER_se-appl'!T63</f>
        <v>469.01252653678125</v>
      </c>
      <c r="U15" s="63">
        <f>'SER_se-appl'!U63</f>
        <v>460.98569108039931</v>
      </c>
      <c r="V15" s="63">
        <f>'SER_se-appl'!V63</f>
        <v>453.03603986152149</v>
      </c>
      <c r="W15" s="63">
        <f>'SER_se-appl'!W63</f>
        <v>443.97531906429106</v>
      </c>
      <c r="X15" s="63">
        <f>'SER_se-appl'!X63</f>
        <v>434.91459826706063</v>
      </c>
      <c r="Y15" s="63">
        <f>'SER_se-appl'!Y63</f>
        <v>425.85387746983019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'SER_se-appl'!B8</f>
        <v>7.2207357690001386</v>
      </c>
      <c r="C3" s="198">
        <f>'SER_se-appl'!C8</f>
        <v>8.3281523101370318</v>
      </c>
      <c r="D3" s="198">
        <f>'SER_se-appl'!D8</f>
        <v>9.5763521807036067</v>
      </c>
      <c r="E3" s="198">
        <f>'SER_se-appl'!E8</f>
        <v>11.016827908029359</v>
      </c>
      <c r="F3" s="198">
        <f>'SER_se-appl'!F8</f>
        <v>12.48335096920038</v>
      </c>
      <c r="G3" s="198">
        <f>'SER_se-appl'!G8</f>
        <v>13.874009262595086</v>
      </c>
      <c r="H3" s="198">
        <f>'SER_se-appl'!H8</f>
        <v>15.122947975384319</v>
      </c>
      <c r="I3" s="198">
        <f>'SER_se-appl'!I8</f>
        <v>17.304297477285782</v>
      </c>
      <c r="J3" s="198">
        <f>'SER_se-appl'!J8</f>
        <v>18.596179818279413</v>
      </c>
      <c r="K3" s="198">
        <f>'SER_se-appl'!K8</f>
        <v>19.109121346519441</v>
      </c>
      <c r="L3" s="198">
        <f>'SER_se-appl'!L8</f>
        <v>19.586778001635061</v>
      </c>
      <c r="M3" s="198">
        <f>'SER_se-appl'!M8</f>
        <v>20.327472724045922</v>
      </c>
      <c r="N3" s="198">
        <f>'SER_se-appl'!N8</f>
        <v>20.752726088416505</v>
      </c>
      <c r="O3" s="198">
        <f>'SER_se-appl'!O8</f>
        <v>21.30321064693705</v>
      </c>
      <c r="P3" s="198">
        <f>'SER_se-appl'!P8</f>
        <v>21.91829329298923</v>
      </c>
      <c r="Q3" s="198">
        <f>'SER_se-appl'!Q8</f>
        <v>22.244634629648466</v>
      </c>
      <c r="R3" s="198">
        <f>'SER_se-appl'!R8</f>
        <v>23.144311789965226</v>
      </c>
      <c r="S3" s="198">
        <f>'SER_se-appl'!S8</f>
        <v>24.207706811825485</v>
      </c>
      <c r="T3" s="198">
        <f>'SER_se-appl'!T8</f>
        <v>24.58726963932186</v>
      </c>
      <c r="U3" s="198">
        <f>'SER_se-appl'!U8</f>
        <v>25.045800859065935</v>
      </c>
      <c r="V3" s="198">
        <f>'SER_se-appl'!V8</f>
        <v>23.808135356880609</v>
      </c>
      <c r="W3" s="198">
        <f>'SER_se-appl'!W8</f>
        <v>25.78978802926671</v>
      </c>
      <c r="X3" s="198">
        <f>'SER_se-appl'!X8</f>
        <v>25.453709123660381</v>
      </c>
      <c r="Y3" s="198">
        <f>'SER_se-appl'!Y8</f>
        <v>25.352586641422612</v>
      </c>
      <c r="DA3" s="205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'SER_se-appl'!B16</f>
        <v>94.044923879823159</v>
      </c>
      <c r="C5" s="59">
        <f>'SER_se-appl'!C16</f>
        <v>107.95255640072402</v>
      </c>
      <c r="D5" s="59">
        <f>'SER_se-appl'!D16</f>
        <v>123.59330712925289</v>
      </c>
      <c r="E5" s="59">
        <f>'SER_se-appl'!E16</f>
        <v>141.61631979008376</v>
      </c>
      <c r="F5" s="59">
        <f>'SER_se-appl'!F16</f>
        <v>159.87431082218356</v>
      </c>
      <c r="G5" s="59">
        <f>'SER_se-appl'!G16</f>
        <v>177.07258338274363</v>
      </c>
      <c r="H5" s="59">
        <f>'SER_se-appl'!H16</f>
        <v>192.39082868652696</v>
      </c>
      <c r="I5" s="59">
        <f>'SER_se-appl'!I16</f>
        <v>219.47518947857688</v>
      </c>
      <c r="J5" s="59">
        <f>'SER_se-appl'!J16</f>
        <v>235.18738213729048</v>
      </c>
      <c r="K5" s="59">
        <f>'SER_se-appl'!K16</f>
        <v>241.02214352195622</v>
      </c>
      <c r="L5" s="59">
        <f>'SER_se-appl'!L16</f>
        <v>246.41401639470809</v>
      </c>
      <c r="M5" s="59">
        <f>'SER_se-appl'!M16</f>
        <v>255.31685345485383</v>
      </c>
      <c r="N5" s="59">
        <f>'SER_se-appl'!N16</f>
        <v>260.25423436190226</v>
      </c>
      <c r="O5" s="59">
        <f>'SER_se-appl'!O16</f>
        <v>266.762148678811</v>
      </c>
      <c r="P5" s="59">
        <f>'SER_se-appl'!P16</f>
        <v>274.07521637042004</v>
      </c>
      <c r="Q5" s="59">
        <f>'SER_se-appl'!Q16</f>
        <v>277.77768203114113</v>
      </c>
      <c r="R5" s="59">
        <f>'SER_se-appl'!R16</f>
        <v>285.81429094297874</v>
      </c>
      <c r="S5" s="59">
        <f>'SER_se-appl'!S16</f>
        <v>291.48285990871057</v>
      </c>
      <c r="T5" s="59">
        <f>'SER_se-appl'!T16</f>
        <v>297.90982028473564</v>
      </c>
      <c r="U5" s="59">
        <f>'SER_se-appl'!U16</f>
        <v>305.84701351323014</v>
      </c>
      <c r="V5" s="59">
        <f>'SER_se-appl'!V16</f>
        <v>312.06484499413011</v>
      </c>
      <c r="W5" s="59">
        <f>'SER_se-appl'!W16</f>
        <v>316.36080724383152</v>
      </c>
      <c r="X5" s="59">
        <f>'SER_se-appl'!X16</f>
        <v>315.06115337407385</v>
      </c>
      <c r="Y5" s="59">
        <f>'SER_se-appl'!Y16</f>
        <v>315.23452046297217</v>
      </c>
      <c r="DA5" s="104" t="s">
        <v>920</v>
      </c>
    </row>
    <row r="6" spans="1:105" ht="12" customHeight="1" x14ac:dyDescent="0.25">
      <c r="A6" s="200" t="str">
        <f>"Penetration factor "&amp;MID('SER_se-appl'!A72,FIND("(",'SER_se-appl'!A72),100)</f>
        <v>Penetration factor (sqm per building cell)</v>
      </c>
      <c r="B6" s="201">
        <f>'SER_se-appl'!B72</f>
        <v>56.325783810441685</v>
      </c>
      <c r="C6" s="201">
        <f>'SER_se-appl'!C72</f>
        <v>62.57125416544234</v>
      </c>
      <c r="D6" s="201">
        <f>'SER_se-appl'!D72</f>
        <v>68.93182220816135</v>
      </c>
      <c r="E6" s="201">
        <f>'SER_se-appl'!E72</f>
        <v>74.46446317193238</v>
      </c>
      <c r="F6" s="201">
        <f>'SER_se-appl'!F72</f>
        <v>80.462310105799858</v>
      </c>
      <c r="G6" s="201">
        <f>'SER_se-appl'!G72</f>
        <v>85.034392179334091</v>
      </c>
      <c r="H6" s="201">
        <f>'SER_se-appl'!H72</f>
        <v>89.875608475395268</v>
      </c>
      <c r="I6" s="201">
        <f>'SER_se-appl'!I72</f>
        <v>94.597525831593458</v>
      </c>
      <c r="J6" s="201">
        <f>'SER_se-appl'!J72</f>
        <v>98.313899348412008</v>
      </c>
      <c r="K6" s="201">
        <f>'SER_se-appl'!K72</f>
        <v>101.8062891559311</v>
      </c>
      <c r="L6" s="201">
        <f>'SER_se-appl'!L72</f>
        <v>104.14324263682447</v>
      </c>
      <c r="M6" s="201">
        <f>'SER_se-appl'!M72</f>
        <v>107.23007597342361</v>
      </c>
      <c r="N6" s="201">
        <f>'SER_se-appl'!N72</f>
        <v>109.74304029549361</v>
      </c>
      <c r="O6" s="201">
        <f>'SER_se-appl'!O72</f>
        <v>113.12245230840541</v>
      </c>
      <c r="P6" s="201">
        <f>'SER_se-appl'!P72</f>
        <v>116.83737286572797</v>
      </c>
      <c r="Q6" s="201">
        <f>'SER_se-appl'!Q72</f>
        <v>120.2469945589218</v>
      </c>
      <c r="R6" s="201">
        <f>'SER_se-appl'!R72</f>
        <v>126.65121667910587</v>
      </c>
      <c r="S6" s="201">
        <f>'SER_se-appl'!S72</f>
        <v>131.99042682730823</v>
      </c>
      <c r="T6" s="201">
        <f>'SER_se-appl'!T72</f>
        <v>138.40262435207907</v>
      </c>
      <c r="U6" s="201">
        <f>'SER_se-appl'!U72</f>
        <v>146.01478796596933</v>
      </c>
      <c r="V6" s="201">
        <f>'SER_se-appl'!V72</f>
        <v>152.85528708274461</v>
      </c>
      <c r="W6" s="201">
        <f>'SER_se-appl'!W72</f>
        <v>158.54696699964461</v>
      </c>
      <c r="X6" s="201">
        <f>'SER_se-appl'!X72</f>
        <v>163.25252872661108</v>
      </c>
      <c r="Y6" s="201">
        <f>'SER_se-appl'!Y72</f>
        <v>167.11733447275029</v>
      </c>
      <c r="DA6" s="206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"&amp;MID('SER_se-appl'!A24,FIND("(",'SER_se-appl'!A24),100)</f>
        <v>Stock of appliances (serviced million m2)</v>
      </c>
      <c r="B8" s="34">
        <f>'SER_se-appl'!B24</f>
        <v>1.6585873815020007</v>
      </c>
      <c r="C8" s="34">
        <f>'SER_se-appl'!C24</f>
        <v>1.9246225413001916</v>
      </c>
      <c r="D8" s="34">
        <f>'SER_se-appl'!D24</f>
        <v>2.2285034842827978</v>
      </c>
      <c r="E8" s="34">
        <f>'SER_se-appl'!E24</f>
        <v>2.5839534385377791</v>
      </c>
      <c r="F8" s="34">
        <f>'SER_se-appl'!F24</f>
        <v>2.9521824125739493</v>
      </c>
      <c r="G8" s="34">
        <f>'SER_se-appl'!G24</f>
        <v>3.3088801702599717</v>
      </c>
      <c r="H8" s="34">
        <f>'SER_se-appl'!H24</f>
        <v>3.6378356261440787</v>
      </c>
      <c r="I8" s="34">
        <f>'SER_se-appl'!I24</f>
        <v>4.226784467797895</v>
      </c>
      <c r="J8" s="34">
        <f>'SER_se-appl'!J24</f>
        <v>4.5866062494359934</v>
      </c>
      <c r="K8" s="34">
        <f>'SER_se-appl'!K24</f>
        <v>4.7402306671190733</v>
      </c>
      <c r="L8" s="34">
        <f>'SER_se-appl'!L24</f>
        <v>4.8930130557640066</v>
      </c>
      <c r="M8" s="34">
        <f>'SER_se-appl'!M24</f>
        <v>5.1418069692191342</v>
      </c>
      <c r="N8" s="34">
        <f>'SER_se-appl'!N24</f>
        <v>5.3138107199653328</v>
      </c>
      <c r="O8" s="34">
        <f>'SER_se-appl'!O24</f>
        <v>5.5456286692197123</v>
      </c>
      <c r="P8" s="34">
        <f>'SER_se-appl'!P24</f>
        <v>5.8257531726801313</v>
      </c>
      <c r="Q8" s="34">
        <f>'SER_se-appl'!Q24</f>
        <v>6.0423914024478531</v>
      </c>
      <c r="R8" s="34">
        <f>'SER_se-appl'!R24</f>
        <v>6.4103046288353029</v>
      </c>
      <c r="S8" s="34">
        <f>'SER_se-appl'!S24</f>
        <v>6.7359890869962102</v>
      </c>
      <c r="T8" s="34">
        <f>'SER_se-appl'!T24</f>
        <v>7.1131413821859883</v>
      </c>
      <c r="U8" s="34">
        <f>'SER_se-appl'!U24</f>
        <v>7.543531060009828</v>
      </c>
      <c r="V8" s="34">
        <f>'SER_se-appl'!V24</f>
        <v>7.9212930122792109</v>
      </c>
      <c r="W8" s="34">
        <f>'SER_se-appl'!W24</f>
        <v>8.2278872996759898</v>
      </c>
      <c r="X8" s="34">
        <f>'SER_se-appl'!X24</f>
        <v>8.472704779778141</v>
      </c>
      <c r="Y8" s="34">
        <f>'SER_se-appl'!Y24</f>
        <v>8.6641611488028438</v>
      </c>
      <c r="DA8" s="88" t="s">
        <v>926</v>
      </c>
    </row>
    <row r="9" spans="1:105" ht="12.95" customHeight="1" x14ac:dyDescent="0.25">
      <c r="A9" s="202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0.31327579950074602</v>
      </c>
      <c r="D9" s="36">
        <f>'SER_se-appl'!D32</f>
        <v>0.35643764160263203</v>
      </c>
      <c r="E9" s="36">
        <f>'SER_se-appl'!E32</f>
        <v>0.41392093574947708</v>
      </c>
      <c r="F9" s="36">
        <f>'SER_se-appl'!F32</f>
        <v>0.4332797813870517</v>
      </c>
      <c r="G9" s="36">
        <f>'SER_se-appl'!G32</f>
        <v>0.42906882840936689</v>
      </c>
      <c r="H9" s="36">
        <f>'SER_se-appl'!H32</f>
        <v>0.40947055002263255</v>
      </c>
      <c r="I9" s="36">
        <f>'SER_se-appl'!I32</f>
        <v>0.67852441818379772</v>
      </c>
      <c r="J9" s="36">
        <f>'SER_se-appl'!J32</f>
        <v>0.45947743001719221</v>
      </c>
      <c r="K9" s="36">
        <f>'SER_se-appl'!K32</f>
        <v>0.26449446327562587</v>
      </c>
      <c r="L9" s="36">
        <f>'SER_se-appl'!L32</f>
        <v>0.27612880412289353</v>
      </c>
      <c r="M9" s="36">
        <f>'SER_se-appl'!M32</f>
        <v>0.3860206831380335</v>
      </c>
      <c r="N9" s="36">
        <f>'SER_se-appl'!N32</f>
        <v>0.32467285138147428</v>
      </c>
      <c r="O9" s="36">
        <f>'SER_se-appl'!O32</f>
        <v>0.40166712913846592</v>
      </c>
      <c r="P9" s="36">
        <f>'SER_se-appl'!P32</f>
        <v>0.46908706227063934</v>
      </c>
      <c r="Q9" s="36">
        <f>'SER_se-appl'!Q32</f>
        <v>0.42686502424782535</v>
      </c>
      <c r="R9" s="36">
        <f>'SER_se-appl'!R32</f>
        <v>0.68118902588819541</v>
      </c>
      <c r="S9" s="36">
        <f>'SER_se-appl'!S32</f>
        <v>0.68212209976353932</v>
      </c>
      <c r="T9" s="36">
        <f>'SER_se-appl'!T32</f>
        <v>0.79107323093925519</v>
      </c>
      <c r="U9" s="36">
        <f>'SER_se-appl'!U32</f>
        <v>0.86366945921089133</v>
      </c>
      <c r="V9" s="36">
        <f>'SER_se-appl'!V32</f>
        <v>0.8068307806787498</v>
      </c>
      <c r="W9" s="36">
        <f>'SER_se-appl'!W32</f>
        <v>0.7160648374194114</v>
      </c>
      <c r="X9" s="36">
        <f>'SER_se-appl'!X32</f>
        <v>0.92334189828594937</v>
      </c>
      <c r="Y9" s="36">
        <f>'SER_se-appl'!Y32</f>
        <v>0.65093379904189419</v>
      </c>
      <c r="DA9" s="89" t="s">
        <v>932</v>
      </c>
    </row>
    <row r="10" spans="1:105" ht="12" customHeight="1" x14ac:dyDescent="0.25">
      <c r="A10" s="203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4.7240639702555098E-2</v>
      </c>
      <c r="D10" s="38">
        <f>'SER_se-appl'!D40</f>
        <v>5.2556698620025877E-2</v>
      </c>
      <c r="E10" s="38">
        <f>'SER_se-appl'!E40</f>
        <v>5.84709814944957E-2</v>
      </c>
      <c r="F10" s="38">
        <f>'SER_se-appl'!F40</f>
        <v>6.5050807350881534E-2</v>
      </c>
      <c r="G10" s="38">
        <f>'SER_se-appl'!G40</f>
        <v>7.2371070723344477E-2</v>
      </c>
      <c r="H10" s="38">
        <f>'SER_se-appl'!H40</f>
        <v>8.0515094138525534E-2</v>
      </c>
      <c r="I10" s="38">
        <f>'SER_se-appl'!I40</f>
        <v>8.9575576529981049E-2</v>
      </c>
      <c r="J10" s="38">
        <f>'SER_se-appl'!J40</f>
        <v>9.9655648379093797E-2</v>
      </c>
      <c r="K10" s="38">
        <f>'SER_se-appl'!K40</f>
        <v>0.11087004559254598</v>
      </c>
      <c r="L10" s="38">
        <f>'SER_se-appl'!L40</f>
        <v>0.12334641547796021</v>
      </c>
      <c r="M10" s="38">
        <f>'SER_se-appl'!M40</f>
        <v>0.13722676968290592</v>
      </c>
      <c r="N10" s="38">
        <f>'SER_se-appl'!N40</f>
        <v>0.15266910063527561</v>
      </c>
      <c r="O10" s="38">
        <f>'SER_se-appl'!O40</f>
        <v>0.16984917988408643</v>
      </c>
      <c r="P10" s="38">
        <f>'SER_se-appl'!P40</f>
        <v>0.18896255881022039</v>
      </c>
      <c r="Q10" s="38">
        <f>'SER_se-appl'!Q40</f>
        <v>0.21022679448010351</v>
      </c>
      <c r="R10" s="38">
        <f>'SER_se-appl'!R40</f>
        <v>0.31327579950074558</v>
      </c>
      <c r="S10" s="38">
        <f>'SER_se-appl'!S40</f>
        <v>0.35643764160263203</v>
      </c>
      <c r="T10" s="38">
        <f>'SER_se-appl'!T40</f>
        <v>0.41392093574947708</v>
      </c>
      <c r="U10" s="38">
        <f>'SER_se-appl'!U40</f>
        <v>0.4332797813870517</v>
      </c>
      <c r="V10" s="38">
        <f>'SER_se-appl'!V40</f>
        <v>0.42906882840936689</v>
      </c>
      <c r="W10" s="38">
        <f>'SER_se-appl'!W40</f>
        <v>0.40947055002263255</v>
      </c>
      <c r="X10" s="38">
        <f>'SER_se-appl'!X40</f>
        <v>0.67852441818379816</v>
      </c>
      <c r="Y10" s="38">
        <f>'SER_se-appl'!Y40</f>
        <v>0.45947743001719132</v>
      </c>
      <c r="DA10" s="90" t="s">
        <v>938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'SER_se-appl'!B48</f>
        <v>892.94725891620885</v>
      </c>
      <c r="C12" s="204">
        <f>'SER_se-appl'!C48</f>
        <v>897.21276268214501</v>
      </c>
      <c r="D12" s="204">
        <f>'SER_se-appl'!D48</f>
        <v>901.12465188029944</v>
      </c>
      <c r="E12" s="204">
        <f>'SER_se-appl'!E48</f>
        <v>904.73830106798925</v>
      </c>
      <c r="F12" s="204">
        <f>'SER_se-appl'!F48</f>
        <v>908.0969358064973</v>
      </c>
      <c r="G12" s="204">
        <f>'SER_se-appl'!G48</f>
        <v>911.23495597967008</v>
      </c>
      <c r="H12" s="204">
        <f>'SER_se-appl'!H48</f>
        <v>914.18019327880995</v>
      </c>
      <c r="I12" s="204">
        <f>'SER_se-appl'!I48</f>
        <v>916.95548885938047</v>
      </c>
      <c r="J12" s="204">
        <f>'SER_se-appl'!J48</f>
        <v>919.57982320811755</v>
      </c>
      <c r="K12" s="204">
        <f>'SER_se-appl'!K48</f>
        <v>922.06914274569942</v>
      </c>
      <c r="L12" s="204">
        <f>'SER_se-appl'!L48</f>
        <v>924.4369759962558</v>
      </c>
      <c r="M12" s="204">
        <f>'SER_se-appl'!M48</f>
        <v>925.94164694441849</v>
      </c>
      <c r="N12" s="204">
        <f>'SER_se-appl'!N48</f>
        <v>927.37858809499153</v>
      </c>
      <c r="O12" s="204">
        <f>'SER_se-appl'!O48</f>
        <v>928.75372705961877</v>
      </c>
      <c r="P12" s="204">
        <f>'SER_se-appl'!P48</f>
        <v>930.07224211381208</v>
      </c>
      <c r="Q12" s="204">
        <f>'SER_se-appl'!Q48</f>
        <v>931.33868369528955</v>
      </c>
      <c r="R12" s="204">
        <f>'SER_se-appl'!R48</f>
        <v>941.75957832352015</v>
      </c>
      <c r="S12" s="204">
        <f>'SER_se-appl'!S48</f>
        <v>965.87370629512986</v>
      </c>
      <c r="T12" s="204">
        <f>'SER_se-appl'!T48</f>
        <v>959.85404452934301</v>
      </c>
      <c r="U12" s="204">
        <f>'SER_se-appl'!U48</f>
        <v>952.38027877076752</v>
      </c>
      <c r="V12" s="204">
        <f>'SER_se-appl'!V48</f>
        <v>887.27909805325794</v>
      </c>
      <c r="W12" s="204">
        <f>'SER_se-appl'!W48</f>
        <v>948.07962273658052</v>
      </c>
      <c r="X12" s="204">
        <f>'SER_se-appl'!X48</f>
        <v>939.58469312367481</v>
      </c>
      <c r="Y12" s="204">
        <f>'SER_se-appl'!Y48</f>
        <v>935.33722831722196</v>
      </c>
      <c r="DA12" s="208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56.701820433878488</v>
      </c>
      <c r="C14" s="59">
        <f>'SER_se-appl'!C56</f>
        <v>56.090248391144762</v>
      </c>
      <c r="D14" s="59">
        <f>'SER_se-appl'!D56</f>
        <v>55.46022611179766</v>
      </c>
      <c r="E14" s="59">
        <f>'SER_se-appl'!E56</f>
        <v>54.806064876394345</v>
      </c>
      <c r="F14" s="59">
        <f>'SER_se-appl'!F56</f>
        <v>54.154618000990098</v>
      </c>
      <c r="G14" s="59">
        <f>'SER_se-appl'!G56</f>
        <v>53.514353579274953</v>
      </c>
      <c r="H14" s="59">
        <f>'SER_se-appl'!H56</f>
        <v>52.886069756387393</v>
      </c>
      <c r="I14" s="59">
        <f>'SER_se-appl'!I56</f>
        <v>51.92485946484063</v>
      </c>
      <c r="J14" s="59">
        <f>'SER_se-appl'!J56</f>
        <v>51.27699421902873</v>
      </c>
      <c r="K14" s="59">
        <f>'SER_se-appl'!K56</f>
        <v>50.846079114635167</v>
      </c>
      <c r="L14" s="59">
        <f>'SER_se-appl'!L56</f>
        <v>50.360383997837587</v>
      </c>
      <c r="M14" s="59">
        <f>'SER_se-appl'!M56</f>
        <v>49.655083316678414</v>
      </c>
      <c r="N14" s="59">
        <f>'SER_se-appl'!N56</f>
        <v>48.976948573659428</v>
      </c>
      <c r="O14" s="59">
        <f>'SER_se-appl'!O56</f>
        <v>48.103139353602856</v>
      </c>
      <c r="P14" s="59">
        <f>'SER_se-appl'!P56</f>
        <v>47.045456312103255</v>
      </c>
      <c r="Q14" s="59">
        <f>'SER_se-appl'!Q56</f>
        <v>45.971481079264365</v>
      </c>
      <c r="R14" s="59">
        <f>'SER_se-appl'!R56</f>
        <v>44.58669400160921</v>
      </c>
      <c r="S14" s="59">
        <f>'SER_se-appl'!S56</f>
        <v>43.272466172995536</v>
      </c>
      <c r="T14" s="59">
        <f>'SER_se-appl'!T56</f>
        <v>41.88161098988067</v>
      </c>
      <c r="U14" s="59">
        <f>'SER_se-appl'!U56</f>
        <v>40.544277087238726</v>
      </c>
      <c r="V14" s="59">
        <f>'SER_se-appl'!V56</f>
        <v>39.395695186427524</v>
      </c>
      <c r="W14" s="59">
        <f>'SER_se-appl'!W56</f>
        <v>38.449822624124863</v>
      </c>
      <c r="X14" s="59">
        <f>'SER_se-appl'!X56</f>
        <v>37.185427978799915</v>
      </c>
      <c r="Y14" s="59">
        <f>'SER_se-appl'!Y56</f>
        <v>36.383732371659448</v>
      </c>
      <c r="DA14" s="104" t="s">
        <v>950</v>
      </c>
    </row>
    <row r="15" spans="1:105" ht="12" customHeight="1" x14ac:dyDescent="0.25">
      <c r="A15" s="203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52.944602860896012</v>
      </c>
      <c r="D15" s="63">
        <f>'SER_se-appl'!D64</f>
        <v>52.241427511851079</v>
      </c>
      <c r="E15" s="63">
        <f>'SER_se-appl'!E64</f>
        <v>51.551931567528456</v>
      </c>
      <c r="F15" s="63">
        <f>'SER_se-appl'!F64</f>
        <v>50.652006330254714</v>
      </c>
      <c r="G15" s="63">
        <f>'SER_se-appl'!G64</f>
        <v>49.64668278581852</v>
      </c>
      <c r="H15" s="63">
        <f>'SER_se-appl'!H64</f>
        <v>48.55928640715144</v>
      </c>
      <c r="I15" s="63">
        <f>'SER_se-appl'!I64</f>
        <v>47.402065696921831</v>
      </c>
      <c r="J15" s="63">
        <f>'SER_se-appl'!J64</f>
        <v>46.493794782319078</v>
      </c>
      <c r="K15" s="63">
        <f>'SER_se-appl'!K64</f>
        <v>45.828160828904899</v>
      </c>
      <c r="L15" s="63">
        <f>'SER_se-appl'!L64</f>
        <v>44.855295751157023</v>
      </c>
      <c r="M15" s="63">
        <f>'SER_se-appl'!M64</f>
        <v>43.22007975790563</v>
      </c>
      <c r="N15" s="63">
        <f>'SER_se-appl'!N64</f>
        <v>41.869829211865159</v>
      </c>
      <c r="O15" s="63">
        <f>'SER_se-appl'!O64</f>
        <v>40.179220167090726</v>
      </c>
      <c r="P15" s="63">
        <f>'SER_se-appl'!P64</f>
        <v>38.431221451150087</v>
      </c>
      <c r="Q15" s="63">
        <f>'SER_se-appl'!Q64</f>
        <v>36.598706205200202</v>
      </c>
      <c r="R15" s="63">
        <f>'SER_se-appl'!R64</f>
        <v>36.146900150408072</v>
      </c>
      <c r="S15" s="63">
        <f>'SER_se-appl'!S64</f>
        <v>35.6085518859906</v>
      </c>
      <c r="T15" s="63">
        <f>'SER_se-appl'!T64</f>
        <v>35.09837401169947</v>
      </c>
      <c r="U15" s="63">
        <f>'SER_se-appl'!U64</f>
        <v>34.600833848387559</v>
      </c>
      <c r="V15" s="63">
        <f>'SER_se-appl'!V64</f>
        <v>34.108360956521274</v>
      </c>
      <c r="W15" s="63">
        <f>'SER_se-appl'!W64</f>
        <v>33.767277346956064</v>
      </c>
      <c r="X15" s="63">
        <f>'SER_se-appl'!X64</f>
        <v>33.426193737390847</v>
      </c>
      <c r="Y15" s="63">
        <f>'SER_se-appl'!Y64</f>
        <v>33.085110127825637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7"/>
  <sheetViews>
    <sheetView showGridLines="0" zoomScaleNormal="100" workbookViewId="0">
      <pane xSplit="1" ySplit="1" topLeftCell="I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'SER_se-appl'!B9</f>
        <v>9.0126268150279625</v>
      </c>
      <c r="C3" s="198">
        <f>'SER_se-appl'!C9</f>
        <v>10.351538225585511</v>
      </c>
      <c r="D3" s="198">
        <f>'SER_se-appl'!D9</f>
        <v>11.692220084643422</v>
      </c>
      <c r="E3" s="198">
        <f>'SER_se-appl'!E9</f>
        <v>13.112967412506555</v>
      </c>
      <c r="F3" s="198">
        <f>'SER_se-appl'!F9</f>
        <v>14.980069361261883</v>
      </c>
      <c r="G3" s="198">
        <f>'SER_se-appl'!G9</f>
        <v>16.803387813981768</v>
      </c>
      <c r="H3" s="198">
        <f>'SER_se-appl'!H9</f>
        <v>19.846449658595244</v>
      </c>
      <c r="I3" s="198">
        <f>'SER_se-appl'!I9</f>
        <v>23.563451973902513</v>
      </c>
      <c r="J3" s="198">
        <f>'SER_se-appl'!J9</f>
        <v>25.330104487937234</v>
      </c>
      <c r="K3" s="198">
        <f>'SER_se-appl'!K9</f>
        <v>26.243430118884557</v>
      </c>
      <c r="L3" s="198">
        <f>'SER_se-appl'!L9</f>
        <v>26.974185910017116</v>
      </c>
      <c r="M3" s="198">
        <f>'SER_se-appl'!M9</f>
        <v>26.837322366180732</v>
      </c>
      <c r="N3" s="198">
        <f>'SER_se-appl'!N9</f>
        <v>28.213461544932407</v>
      </c>
      <c r="O3" s="198">
        <f>'SER_se-appl'!O9</f>
        <v>30.116130049684763</v>
      </c>
      <c r="P3" s="198">
        <f>'SER_se-appl'!P9</f>
        <v>32.050609385407213</v>
      </c>
      <c r="Q3" s="198">
        <f>'SER_se-appl'!Q9</f>
        <v>34.583496024524031</v>
      </c>
      <c r="R3" s="198">
        <f>'SER_se-appl'!R9</f>
        <v>36.001086892562014</v>
      </c>
      <c r="S3" s="198">
        <f>'SER_se-appl'!S9</f>
        <v>38.992628509904058</v>
      </c>
      <c r="T3" s="198">
        <f>'SER_se-appl'!T9</f>
        <v>40.505364946671939</v>
      </c>
      <c r="U3" s="198">
        <f>'SER_se-appl'!U9</f>
        <v>42.678986084282975</v>
      </c>
      <c r="V3" s="198">
        <f>'SER_se-appl'!V9</f>
        <v>44.262785852839755</v>
      </c>
      <c r="W3" s="198">
        <f>'SER_se-appl'!W9</f>
        <v>47.111944446021738</v>
      </c>
      <c r="X3" s="198">
        <f>'SER_se-appl'!X9</f>
        <v>48.953155063207312</v>
      </c>
      <c r="Y3" s="198">
        <f>'SER_se-appl'!Y9</f>
        <v>53.660720894978823</v>
      </c>
      <c r="DA3" s="205" t="s">
        <v>914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'SER_se-appl'!B17</f>
        <v>37.92217871466719</v>
      </c>
      <c r="C5" s="59">
        <f>'SER_se-appl'!C17</f>
        <v>41.427034176057958</v>
      </c>
      <c r="D5" s="59">
        <f>'SER_se-appl'!D17</f>
        <v>44.613749480570242</v>
      </c>
      <c r="E5" s="59">
        <f>'SER_se-appl'!E17</f>
        <v>48.538841265113682</v>
      </c>
      <c r="F5" s="59">
        <f>'SER_se-appl'!F17</f>
        <v>55.819426559645841</v>
      </c>
      <c r="G5" s="59">
        <f>'SER_se-appl'!G17</f>
        <v>63.153219062828491</v>
      </c>
      <c r="H5" s="59">
        <f>'SER_se-appl'!H17</f>
        <v>79.233164974571224</v>
      </c>
      <c r="I5" s="59">
        <f>'SER_se-appl'!I17</f>
        <v>100.14131925052328</v>
      </c>
      <c r="J5" s="59">
        <f>'SER_se-appl'!J17</f>
        <v>107.79675019376936</v>
      </c>
      <c r="K5" s="59">
        <f>'SER_se-appl'!K17</f>
        <v>110.04886255650355</v>
      </c>
      <c r="L5" s="59">
        <f>'SER_se-appl'!L17</f>
        <v>110.81100581840936</v>
      </c>
      <c r="M5" s="59">
        <f>'SER_se-appl'!M17</f>
        <v>108.91394997586828</v>
      </c>
      <c r="N5" s="59">
        <f>'SER_se-appl'!N17</f>
        <v>112.60879310862393</v>
      </c>
      <c r="O5" s="59">
        <f>'SER_se-appl'!O17</f>
        <v>118.36375286291909</v>
      </c>
      <c r="P5" s="59">
        <f>'SER_se-appl'!P17</f>
        <v>125.24936708108334</v>
      </c>
      <c r="Q5" s="59">
        <f>'SER_se-appl'!Q17</f>
        <v>135.88959736909945</v>
      </c>
      <c r="R5" s="59">
        <f>'SER_se-appl'!R17</f>
        <v>140.85066728694474</v>
      </c>
      <c r="S5" s="59">
        <f>'SER_se-appl'!S17</f>
        <v>147.6445056421704</v>
      </c>
      <c r="T5" s="59">
        <f>'SER_se-appl'!T17</f>
        <v>152.81067717419086</v>
      </c>
      <c r="U5" s="59">
        <f>'SER_se-appl'!U17</f>
        <v>158.78639156618448</v>
      </c>
      <c r="V5" s="59">
        <f>'SER_se-appl'!V17</f>
        <v>164.5542308057401</v>
      </c>
      <c r="W5" s="59">
        <f>'SER_se-appl'!W17</f>
        <v>169.1298763073772</v>
      </c>
      <c r="X5" s="59">
        <f>'SER_se-appl'!X17</f>
        <v>172.14571501256216</v>
      </c>
      <c r="Y5" s="59">
        <f>'SER_se-appl'!Y17</f>
        <v>182.4875960838487</v>
      </c>
      <c r="DA5" s="104" t="s">
        <v>921</v>
      </c>
    </row>
    <row r="6" spans="1:105" ht="12" customHeight="1" x14ac:dyDescent="0.25">
      <c r="A6" s="200" t="str">
        <f>"Penetration factor "&amp;MID('SER_se-appl'!A73,FIND("(",'SER_se-appl'!A73),100)</f>
        <v>Penetration factor (unit per capita)</v>
      </c>
      <c r="B6" s="201">
        <f>'SER_se-appl'!B73</f>
        <v>2.7773148625688707E-2</v>
      </c>
      <c r="C6" s="201">
        <f>'SER_se-appl'!C73</f>
        <v>3.1131480689439304E-2</v>
      </c>
      <c r="D6" s="201">
        <f>'SER_se-appl'!D73</f>
        <v>3.4699134667951721E-2</v>
      </c>
      <c r="E6" s="201">
        <f>'SER_se-appl'!E73</f>
        <v>3.9169385415552156E-2</v>
      </c>
      <c r="F6" s="201">
        <f>'SER_se-appl'!F73</f>
        <v>4.7184791204518912E-2</v>
      </c>
      <c r="G6" s="201">
        <f>'SER_se-appl'!G73</f>
        <v>5.6224186894348126E-2</v>
      </c>
      <c r="H6" s="201">
        <f>'SER_se-appl'!H73</f>
        <v>7.6259972661999395E-2</v>
      </c>
      <c r="I6" s="201">
        <f>'SER_se-appl'!I73</f>
        <v>0.10305028038068935</v>
      </c>
      <c r="J6" s="201">
        <f>'SER_se-appl'!J73</f>
        <v>0.11691595108900059</v>
      </c>
      <c r="K6" s="201">
        <f>'SER_se-appl'!K73</f>
        <v>0.12640799406225287</v>
      </c>
      <c r="L6" s="201">
        <f>'SER_se-appl'!L73</f>
        <v>0.13598530238612883</v>
      </c>
      <c r="M6" s="201">
        <f>'SER_se-appl'!M73</f>
        <v>0.15032663563230159</v>
      </c>
      <c r="N6" s="201">
        <f>'SER_se-appl'!N73</f>
        <v>0.17335961135269615</v>
      </c>
      <c r="O6" s="201">
        <f>'SER_se-appl'!O73</f>
        <v>0.19215947337774697</v>
      </c>
      <c r="P6" s="201">
        <f>'SER_se-appl'!P73</f>
        <v>0.21056667363700626</v>
      </c>
      <c r="Q6" s="201">
        <f>'SER_se-appl'!Q73</f>
        <v>0.23301538101064881</v>
      </c>
      <c r="R6" s="201">
        <f>'SER_se-appl'!R73</f>
        <v>0.24627867923433194</v>
      </c>
      <c r="S6" s="201">
        <f>'SER_se-appl'!S73</f>
        <v>0.26550960536062618</v>
      </c>
      <c r="T6" s="201">
        <f>'SER_se-appl'!T73</f>
        <v>0.28184760987856733</v>
      </c>
      <c r="U6" s="201">
        <f>'SER_se-appl'!U73</f>
        <v>0.29936478476507405</v>
      </c>
      <c r="V6" s="201">
        <f>'SER_se-appl'!V73</f>
        <v>0.31720851927859206</v>
      </c>
      <c r="W6" s="201">
        <f>'SER_se-appl'!W73</f>
        <v>0.33381087055723346</v>
      </c>
      <c r="X6" s="201">
        <f>'SER_se-appl'!X73</f>
        <v>0.35042876557119557</v>
      </c>
      <c r="Y6" s="201">
        <f>'SER_se-appl'!Y73</f>
        <v>0.37249338734740933</v>
      </c>
      <c r="DA6" s="206" t="s">
        <v>963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"&amp;MID('SER_se-appl'!A25,FIND("(",'SER_se-appl'!A25),100)</f>
        <v>Stock of appliances (thousand units)</v>
      </c>
      <c r="B8" s="34">
        <f>'SER_se-appl'!B25</f>
        <v>97.541353186417041</v>
      </c>
      <c r="C8" s="34">
        <f>'SER_se-appl'!C25</f>
        <v>108.55541090111348</v>
      </c>
      <c r="D8" s="34">
        <f>'SER_se-appl'!D25</f>
        <v>119.87291449188874</v>
      </c>
      <c r="E8" s="34">
        <f>'SER_se-appl'!E25</f>
        <v>134.40962854531099</v>
      </c>
      <c r="F8" s="34">
        <f>'SER_se-appl'!F25</f>
        <v>160.37775518398428</v>
      </c>
      <c r="G8" s="34">
        <f>'SER_se-appl'!G25</f>
        <v>188.64451635165472</v>
      </c>
      <c r="H8" s="34">
        <f>'SER_se-appl'!H25</f>
        <v>250.88272716248878</v>
      </c>
      <c r="I8" s="34">
        <f>'SER_se-appl'!I25</f>
        <v>334.91165938247389</v>
      </c>
      <c r="J8" s="34">
        <f>'SER_se-appl'!J25</f>
        <v>375.60476904827874</v>
      </c>
      <c r="K8" s="34">
        <f>'SER_se-appl'!K25</f>
        <v>402.46485034306818</v>
      </c>
      <c r="L8" s="34">
        <f>'SER_se-appl'!L25</f>
        <v>427.26255644995945</v>
      </c>
      <c r="M8" s="34">
        <f>'SER_se-appl'!M25</f>
        <v>458.88528401153621</v>
      </c>
      <c r="N8" s="34">
        <f>'SER_se-appl'!N25</f>
        <v>520.71003640302365</v>
      </c>
      <c r="O8" s="34">
        <f>'SER_se-appl'!O25</f>
        <v>571.60467940996114</v>
      </c>
      <c r="P8" s="34">
        <f>'SER_se-appl'!P25</f>
        <v>620.72149568093255</v>
      </c>
      <c r="Q8" s="34">
        <f>'SER_se-appl'!Q25</f>
        <v>681.95306674252924</v>
      </c>
      <c r="R8" s="34">
        <f>'SER_se-appl'!R25</f>
        <v>713.11789406659227</v>
      </c>
      <c r="S8" s="34">
        <f>'SER_se-appl'!S25</f>
        <v>759.11240596564301</v>
      </c>
      <c r="T8" s="34">
        <f>'SER_se-appl'!T25</f>
        <v>796.55771503880703</v>
      </c>
      <c r="U8" s="34">
        <f>'SER_se-appl'!U25</f>
        <v>841.87364771634134</v>
      </c>
      <c r="V8" s="34">
        <f>'SER_se-appl'!V25</f>
        <v>891.34864337690033</v>
      </c>
      <c r="W8" s="34">
        <f>'SER_se-appl'!W25</f>
        <v>938.26257633832006</v>
      </c>
      <c r="X8" s="34">
        <f>'SER_se-appl'!X25</f>
        <v>983.30241533524372</v>
      </c>
      <c r="Y8" s="34">
        <f>'SER_se-appl'!Y25</f>
        <v>1064.3175333066185</v>
      </c>
      <c r="DA8" s="88" t="s">
        <v>927</v>
      </c>
    </row>
    <row r="9" spans="1:105" ht="12.95" customHeight="1" x14ac:dyDescent="0.25">
      <c r="A9" s="202" t="str">
        <f>"Number of new appliances "&amp;MID('SER_se-appl'!A33,FIND("(",'SER_se-appl'!A33),100)</f>
        <v>Number of new appliances (thousand units)</v>
      </c>
      <c r="B9" s="36"/>
      <c r="C9" s="36">
        <f>'SER_se-appl'!C33</f>
        <v>30.522328351979837</v>
      </c>
      <c r="D9" s="36">
        <f>'SER_se-appl'!D33</f>
        <v>30.825774228058663</v>
      </c>
      <c r="E9" s="36">
        <f>'SER_se-appl'!E33</f>
        <v>34.044984690705661</v>
      </c>
      <c r="F9" s="36">
        <f>'SER_se-appl'!F33</f>
        <v>45.476397275956685</v>
      </c>
      <c r="G9" s="36">
        <f>'SER_se-appl'!G33</f>
        <v>47.775031804953841</v>
      </c>
      <c r="H9" s="36">
        <f>'SER_se-appl'!H33</f>
        <v>92.760539162813899</v>
      </c>
      <c r="I9" s="36">
        <f>'SER_se-appl'!I33</f>
        <v>114.85470644804377</v>
      </c>
      <c r="J9" s="36">
        <f>'SER_se-appl'!J33</f>
        <v>74.738094356510487</v>
      </c>
      <c r="K9" s="36">
        <f>'SER_se-appl'!K33</f>
        <v>72.336478570746124</v>
      </c>
      <c r="L9" s="36">
        <f>'SER_se-appl'!L33</f>
        <v>72.572737911845138</v>
      </c>
      <c r="M9" s="36">
        <f>'SER_se-appl'!M33</f>
        <v>124.38326672439064</v>
      </c>
      <c r="N9" s="36">
        <f>'SER_se-appl'!N33</f>
        <v>176.67945883953121</v>
      </c>
      <c r="O9" s="36">
        <f>'SER_se-appl'!O33</f>
        <v>125.63273736344797</v>
      </c>
      <c r="P9" s="36">
        <f>'SER_se-appl'!P33</f>
        <v>121.45329484171754</v>
      </c>
      <c r="Q9" s="36">
        <f>'SER_se-appl'!Q33</f>
        <v>133.80430897344183</v>
      </c>
      <c r="R9" s="36">
        <f>'SER_se-appl'!R33</f>
        <v>155.54809404845366</v>
      </c>
      <c r="S9" s="36">
        <f>'SER_se-appl'!S33</f>
        <v>222.67397073858194</v>
      </c>
      <c r="T9" s="36">
        <f>'SER_se-appl'!T33</f>
        <v>163.078046436612</v>
      </c>
      <c r="U9" s="36">
        <f>'SER_se-appl'!U33</f>
        <v>166.7692275192519</v>
      </c>
      <c r="V9" s="36">
        <f>'SER_se-appl'!V33</f>
        <v>183.27930463400082</v>
      </c>
      <c r="W9" s="36">
        <f>'SER_se-appl'!W33</f>
        <v>202.4620270098734</v>
      </c>
      <c r="X9" s="36">
        <f>'SER_se-appl'!X33</f>
        <v>267.71380973550561</v>
      </c>
      <c r="Y9" s="36">
        <f>'SER_se-appl'!Y33</f>
        <v>244.09316440798682</v>
      </c>
      <c r="DA9" s="89" t="s">
        <v>933</v>
      </c>
    </row>
    <row r="10" spans="1:105" ht="12" customHeight="1" x14ac:dyDescent="0.25">
      <c r="A10" s="203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19.508270637283402</v>
      </c>
      <c r="D10" s="38">
        <f>'SER_se-appl'!D41</f>
        <v>19.508270637283402</v>
      </c>
      <c r="E10" s="38">
        <f>'SER_se-appl'!E41</f>
        <v>19.508270637283402</v>
      </c>
      <c r="F10" s="38">
        <f>'SER_se-appl'!F41</f>
        <v>19.508270637283402</v>
      </c>
      <c r="G10" s="38">
        <f>'SER_se-appl'!G41</f>
        <v>19.508270637283402</v>
      </c>
      <c r="H10" s="38">
        <f>'SER_se-appl'!H41</f>
        <v>30.522328351979809</v>
      </c>
      <c r="I10" s="38">
        <f>'SER_se-appl'!I41</f>
        <v>30.825774228058663</v>
      </c>
      <c r="J10" s="38">
        <f>'SER_se-appl'!J41</f>
        <v>34.044984690705633</v>
      </c>
      <c r="K10" s="38">
        <f>'SER_se-appl'!K41</f>
        <v>45.476397275956685</v>
      </c>
      <c r="L10" s="38">
        <f>'SER_se-appl'!L41</f>
        <v>47.775031804953869</v>
      </c>
      <c r="M10" s="38">
        <f>'SER_se-appl'!M41</f>
        <v>92.76053916281387</v>
      </c>
      <c r="N10" s="38">
        <f>'SER_se-appl'!N41</f>
        <v>114.85470644804377</v>
      </c>
      <c r="O10" s="38">
        <f>'SER_se-appl'!O41</f>
        <v>74.738094356510487</v>
      </c>
      <c r="P10" s="38">
        <f>'SER_se-appl'!P41</f>
        <v>72.336478570746067</v>
      </c>
      <c r="Q10" s="38">
        <f>'SER_se-appl'!Q41</f>
        <v>72.572737911845138</v>
      </c>
      <c r="R10" s="38">
        <f>'SER_se-appl'!R41</f>
        <v>124.38326672439064</v>
      </c>
      <c r="S10" s="38">
        <f>'SER_se-appl'!S41</f>
        <v>176.67945883953121</v>
      </c>
      <c r="T10" s="38">
        <f>'SER_se-appl'!T41</f>
        <v>125.63273736344797</v>
      </c>
      <c r="U10" s="38">
        <f>'SER_se-appl'!U41</f>
        <v>121.45329484171759</v>
      </c>
      <c r="V10" s="38">
        <f>'SER_se-appl'!V41</f>
        <v>133.80430897344195</v>
      </c>
      <c r="W10" s="38">
        <f>'SER_se-appl'!W41</f>
        <v>155.54809404845378</v>
      </c>
      <c r="X10" s="38">
        <f>'SER_se-appl'!X41</f>
        <v>222.67397073858206</v>
      </c>
      <c r="Y10" s="38">
        <f>'SER_se-appl'!Y41</f>
        <v>163.07804643661188</v>
      </c>
      <c r="DA10" s="90" t="s">
        <v>939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'SER_se-appl'!B49</f>
        <v>2763.9986259079337</v>
      </c>
      <c r="C12" s="204">
        <f>'SER_se-appl'!C49</f>
        <v>2906.0344762294349</v>
      </c>
      <c r="D12" s="204">
        <f>'SER_se-appl'!D49</f>
        <v>3047.9509381659113</v>
      </c>
      <c r="E12" s="204">
        <f>'SER_se-appl'!E49</f>
        <v>3141.8922873435031</v>
      </c>
      <c r="F12" s="204">
        <f>'SER_se-appl'!F49</f>
        <v>3121.1034833063873</v>
      </c>
      <c r="G12" s="204">
        <f>'SER_se-appl'!G49</f>
        <v>3094.4329232400551</v>
      </c>
      <c r="H12" s="204">
        <f>'SER_se-appl'!H49</f>
        <v>2913.1009672974606</v>
      </c>
      <c r="I12" s="204">
        <f>'SER_se-appl'!I49</f>
        <v>2736.5621754084718</v>
      </c>
      <c r="J12" s="204">
        <f>'SER_se-appl'!J49</f>
        <v>2732.8200030629241</v>
      </c>
      <c r="K12" s="204">
        <f>'SER_se-appl'!K49</f>
        <v>2773.4143288025321</v>
      </c>
      <c r="L12" s="204">
        <f>'SER_se-appl'!L49</f>
        <v>2831.0345151779275</v>
      </c>
      <c r="M12" s="204">
        <f>'SER_se-appl'!M49</f>
        <v>2865.730782767836</v>
      </c>
      <c r="N12" s="204">
        <f>'SER_se-appl'!N49</f>
        <v>2913.8271418205554</v>
      </c>
      <c r="O12" s="204">
        <f>'SER_se-appl'!O49</f>
        <v>2959.1034755671394</v>
      </c>
      <c r="P12" s="204">
        <f>'SER_se-appl'!P49</f>
        <v>2976.0516626880649</v>
      </c>
      <c r="Q12" s="204">
        <f>'SER_se-appl'!Q49</f>
        <v>2959.8002095241613</v>
      </c>
      <c r="R12" s="204">
        <f>'SER_se-appl'!R49</f>
        <v>2972.5996235965599</v>
      </c>
      <c r="S12" s="204">
        <f>'SER_se-appl'!S49</f>
        <v>3071.4605165819285</v>
      </c>
      <c r="T12" s="204">
        <f>'SER_se-appl'!T49</f>
        <v>3082.7518275624643</v>
      </c>
      <c r="U12" s="204">
        <f>'SER_se-appl'!U49</f>
        <v>3125.9392147174171</v>
      </c>
      <c r="V12" s="204">
        <f>'SER_se-appl'!V49</f>
        <v>3128.3072878036846</v>
      </c>
      <c r="W12" s="204">
        <f>'SER_se-appl'!W49</f>
        <v>3239.5927075087307</v>
      </c>
      <c r="X12" s="204">
        <f>'SER_se-appl'!X49</f>
        <v>3307.2283753537231</v>
      </c>
      <c r="Y12" s="204">
        <f>'SER_se-appl'!Y49</f>
        <v>3419.8170034628351</v>
      </c>
      <c r="DA12" s="208" t="s">
        <v>945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388.78052719026641</v>
      </c>
      <c r="C14" s="59">
        <f>'SER_se-appl'!C57</f>
        <v>381.62108947102735</v>
      </c>
      <c r="D14" s="59">
        <f>'SER_se-appl'!D57</f>
        <v>372.17539649950749</v>
      </c>
      <c r="E14" s="59">
        <f>'SER_se-appl'!E57</f>
        <v>361.12622131643417</v>
      </c>
      <c r="F14" s="59">
        <f>'SER_se-appl'!F57</f>
        <v>348.04968117685758</v>
      </c>
      <c r="G14" s="59">
        <f>'SER_se-appl'!G57</f>
        <v>334.77368059352301</v>
      </c>
      <c r="H14" s="59">
        <f>'SER_se-appl'!H57</f>
        <v>315.81753702499583</v>
      </c>
      <c r="I14" s="59">
        <f>'SER_se-appl'!I57</f>
        <v>299.00816064501498</v>
      </c>
      <c r="J14" s="59">
        <f>'SER_se-appl'!J57</f>
        <v>286.99515841321386</v>
      </c>
      <c r="K14" s="59">
        <f>'SER_se-appl'!K57</f>
        <v>273.4372019387431</v>
      </c>
      <c r="L14" s="59">
        <f>'SER_se-appl'!L57</f>
        <v>259.3510808415233</v>
      </c>
      <c r="M14" s="59">
        <f>'SER_se-appl'!M57</f>
        <v>237.34461263118263</v>
      </c>
      <c r="N14" s="59">
        <f>'SER_se-appl'!N57</f>
        <v>216.26007803979795</v>
      </c>
      <c r="O14" s="59">
        <f>'SER_se-appl'!O57</f>
        <v>207.07274997311086</v>
      </c>
      <c r="P14" s="59">
        <f>'SER_se-appl'!P57</f>
        <v>201.78029591787305</v>
      </c>
      <c r="Q14" s="59">
        <f>'SER_se-appl'!Q57</f>
        <v>199.26532190580269</v>
      </c>
      <c r="R14" s="59">
        <f>'SER_se-appl'!R57</f>
        <v>197.51385915130584</v>
      </c>
      <c r="S14" s="59">
        <f>'SER_se-appl'!S57</f>
        <v>194.49623597490344</v>
      </c>
      <c r="T14" s="59">
        <f>'SER_se-appl'!T57</f>
        <v>191.83880124335516</v>
      </c>
      <c r="U14" s="59">
        <f>'SER_se-appl'!U57</f>
        <v>188.61071610556638</v>
      </c>
      <c r="V14" s="59">
        <f>'SER_se-appl'!V57</f>
        <v>184.61264515119652</v>
      </c>
      <c r="W14" s="59">
        <f>'SER_se-appl'!W57</f>
        <v>180.25857640771139</v>
      </c>
      <c r="X14" s="59">
        <f>'SER_se-appl'!X57</f>
        <v>175.06894351914249</v>
      </c>
      <c r="Y14" s="59">
        <f>'SER_se-appl'!Y57</f>
        <v>171.45972923784953</v>
      </c>
      <c r="DA14" s="104" t="s">
        <v>951</v>
      </c>
    </row>
    <row r="15" spans="1:105" ht="12" customHeight="1" x14ac:dyDescent="0.25">
      <c r="A15" s="203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363.31734186343277</v>
      </c>
      <c r="D15" s="63">
        <f>'SER_se-appl'!D65</f>
        <v>349.42029250449315</v>
      </c>
      <c r="E15" s="63">
        <f>'SER_se-appl'!E65</f>
        <v>338.0682244988347</v>
      </c>
      <c r="F15" s="63">
        <f>'SER_se-appl'!F65</f>
        <v>326.87332172033581</v>
      </c>
      <c r="G15" s="63">
        <f>'SER_se-appl'!G65</f>
        <v>312.25993332712341</v>
      </c>
      <c r="H15" s="63">
        <f>'SER_se-appl'!H65</f>
        <v>292.89649846018392</v>
      </c>
      <c r="I15" s="63">
        <f>'SER_se-appl'!I65</f>
        <v>275.82069819427369</v>
      </c>
      <c r="J15" s="63">
        <f>'SER_se-appl'!J65</f>
        <v>256.42824634119785</v>
      </c>
      <c r="K15" s="63">
        <f>'SER_se-appl'!K65</f>
        <v>236.63210787153511</v>
      </c>
      <c r="L15" s="63">
        <f>'SER_se-appl'!L65</f>
        <v>216.06421308052296</v>
      </c>
      <c r="M15" s="63">
        <f>'SER_se-appl'!M65</f>
        <v>203.1799126929524</v>
      </c>
      <c r="N15" s="63">
        <f>'SER_se-appl'!N65</f>
        <v>200.21653161323033</v>
      </c>
      <c r="O15" s="63">
        <f>'SER_se-appl'!O65</f>
        <v>198.35529136745842</v>
      </c>
      <c r="P15" s="63">
        <f>'SER_se-appl'!P65</f>
        <v>197.6294480083501</v>
      </c>
      <c r="Q15" s="63">
        <f>'SER_se-appl'!Q65</f>
        <v>196.70967249090785</v>
      </c>
      <c r="R15" s="63">
        <f>'SER_se-appl'!R65</f>
        <v>194.36593791984009</v>
      </c>
      <c r="S15" s="63">
        <f>'SER_se-appl'!S65</f>
        <v>189.37097439594345</v>
      </c>
      <c r="T15" s="63">
        <f>'SER_se-appl'!T65</f>
        <v>184.48890218177186</v>
      </c>
      <c r="U15" s="63">
        <f>'SER_se-appl'!U65</f>
        <v>179.76015393425584</v>
      </c>
      <c r="V15" s="63">
        <f>'SER_se-appl'!V65</f>
        <v>175.07945645948715</v>
      </c>
      <c r="W15" s="63">
        <f>'SER_se-appl'!W65</f>
        <v>171.92802624321638</v>
      </c>
      <c r="X15" s="63">
        <f>'SER_se-appl'!X65</f>
        <v>168.77659602694561</v>
      </c>
      <c r="Y15" s="63">
        <f>'SER_se-appl'!Y65</f>
        <v>165.62516581067484</v>
      </c>
      <c r="DA15" s="105" t="s">
        <v>957</v>
      </c>
    </row>
    <row r="17" spans="1:105" ht="12" customHeight="1" x14ac:dyDescent="0.25">
      <c r="A17" s="197" t="s">
        <v>184</v>
      </c>
      <c r="B17" s="198">
        <v>5.3196720857981399</v>
      </c>
      <c r="C17" s="198">
        <v>6.4355815253662154</v>
      </c>
      <c r="D17" s="198">
        <v>7.5584532602106265</v>
      </c>
      <c r="E17" s="198">
        <v>8.6514656152143417</v>
      </c>
      <c r="F17" s="198">
        <v>9.6922857347679585</v>
      </c>
      <c r="G17" s="198">
        <v>10.639344171596274</v>
      </c>
      <c r="H17" s="198">
        <v>11.47040187205673</v>
      </c>
      <c r="I17" s="198">
        <v>12.208415253896796</v>
      </c>
      <c r="J17" s="198">
        <v>12.891613408743357</v>
      </c>
      <c r="K17" s="198">
        <v>13.541401806064174</v>
      </c>
      <c r="L17" s="198">
        <v>14.185792228795044</v>
      </c>
      <c r="M17" s="198">
        <v>14.197485624059244</v>
      </c>
      <c r="N17" s="198">
        <v>15.177510495563764</v>
      </c>
      <c r="O17" s="198">
        <v>16.434538747422987</v>
      </c>
      <c r="P17" s="198">
        <v>17.44543540752839</v>
      </c>
      <c r="Q17" s="198">
        <v>18.422718064383837</v>
      </c>
      <c r="R17" s="198">
        <v>18.74931542923655</v>
      </c>
      <c r="S17" s="198">
        <v>20.638863423905505</v>
      </c>
      <c r="T17" s="198">
        <v>21.550760173563233</v>
      </c>
      <c r="U17" s="198">
        <v>23.232139797642137</v>
      </c>
      <c r="V17" s="198">
        <v>25.319459904951522</v>
      </c>
      <c r="W17" s="198">
        <v>27.260941342867454</v>
      </c>
      <c r="X17" s="198">
        <v>29.293148909119509</v>
      </c>
      <c r="Y17" s="198">
        <v>33.687121245487418</v>
      </c>
      <c r="DA17" s="205" t="s">
        <v>965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E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27" t="s">
        <v>150</v>
      </c>
    </row>
    <row r="2" spans="1:105" x14ac:dyDescent="0.25">
      <c r="A2" s="6"/>
    </row>
    <row r="3" spans="1:105" x14ac:dyDescent="0.25">
      <c r="A3" s="218" t="s">
        <v>179</v>
      </c>
      <c r="B3" s="219">
        <v>1734.8337630079391</v>
      </c>
      <c r="C3" s="219">
        <v>1610.2185950087501</v>
      </c>
      <c r="D3" s="219">
        <v>1684.93497744909</v>
      </c>
      <c r="E3" s="219">
        <v>1712.867539402029</v>
      </c>
      <c r="F3" s="219">
        <v>1705.9133904009359</v>
      </c>
      <c r="G3" s="219">
        <v>1905.382179802956</v>
      </c>
      <c r="H3" s="219">
        <v>1832.4107622684201</v>
      </c>
      <c r="I3" s="219">
        <v>1840.5697205985639</v>
      </c>
      <c r="J3" s="219">
        <v>1785.8733412245069</v>
      </c>
      <c r="K3" s="219">
        <v>1168.7746662048471</v>
      </c>
      <c r="L3" s="219">
        <v>1434.292475262798</v>
      </c>
      <c r="M3" s="219">
        <v>1745.143444312574</v>
      </c>
      <c r="N3" s="219">
        <v>2062.2578691293829</v>
      </c>
      <c r="O3" s="219">
        <v>1891.3936654391159</v>
      </c>
      <c r="P3" s="219">
        <v>1914.000261086198</v>
      </c>
      <c r="Q3" s="219">
        <v>1972.987179</v>
      </c>
      <c r="R3" s="219">
        <v>1839.078461035811</v>
      </c>
      <c r="S3" s="219">
        <v>2191.8641196139879</v>
      </c>
      <c r="T3" s="219">
        <v>1866.7676001138129</v>
      </c>
      <c r="U3" s="219">
        <v>2116.734482882398</v>
      </c>
      <c r="V3" s="219">
        <v>2400.419463252927</v>
      </c>
      <c r="W3" s="219">
        <v>2460.3408298180971</v>
      </c>
      <c r="X3" s="219">
        <v>2870.9039564151299</v>
      </c>
      <c r="Y3" s="219">
        <v>2003.8</v>
      </c>
      <c r="DA3" s="210" t="s">
        <v>974</v>
      </c>
    </row>
    <row r="5" spans="1:105" x14ac:dyDescent="0.25">
      <c r="A5" s="218" t="s">
        <v>120</v>
      </c>
      <c r="B5" s="219">
        <v>885.04761337617822</v>
      </c>
      <c r="C5" s="219">
        <v>900.55675347134559</v>
      </c>
      <c r="D5" s="219">
        <v>884.46244791882975</v>
      </c>
      <c r="E5" s="219">
        <v>860.35470495137463</v>
      </c>
      <c r="F5" s="219">
        <v>925.06278131482384</v>
      </c>
      <c r="G5" s="219">
        <v>817.55833711051355</v>
      </c>
      <c r="H5" s="219">
        <v>907.14414950448122</v>
      </c>
      <c r="I5" s="219">
        <v>1061.474994043647</v>
      </c>
      <c r="J5" s="219">
        <v>972.62913107383361</v>
      </c>
      <c r="K5" s="219">
        <v>791.01571537635357</v>
      </c>
      <c r="L5" s="219">
        <v>908.03445446977344</v>
      </c>
      <c r="M5" s="219">
        <v>991.95165136628918</v>
      </c>
      <c r="N5" s="219">
        <v>962.91525264398945</v>
      </c>
      <c r="O5" s="219">
        <v>955.84924794557855</v>
      </c>
      <c r="P5" s="219">
        <v>1029.8615128677541</v>
      </c>
      <c r="Q5" s="219">
        <v>964.31953601087889</v>
      </c>
      <c r="R5" s="219">
        <v>962.48351369500836</v>
      </c>
      <c r="S5" s="219">
        <v>1088.1376517059221</v>
      </c>
      <c r="T5" s="219">
        <v>1005.666554249726</v>
      </c>
      <c r="U5" s="219">
        <v>1064.260137442122</v>
      </c>
      <c r="V5" s="219">
        <v>1022.964942921188</v>
      </c>
      <c r="W5" s="219">
        <v>1139.6404976961851</v>
      </c>
      <c r="X5" s="219">
        <v>1386.8376556324899</v>
      </c>
      <c r="Y5" s="219">
        <v>1275.369031576701</v>
      </c>
      <c r="DA5" s="210" t="s">
        <v>975</v>
      </c>
    </row>
    <row r="6" spans="1:105" x14ac:dyDescent="0.25">
      <c r="A6" s="220" t="s">
        <v>119</v>
      </c>
      <c r="B6" s="221">
        <v>1106.309516720223</v>
      </c>
      <c r="C6" s="221">
        <v>1050.9940408842119</v>
      </c>
      <c r="D6" s="221">
        <v>995.67856504820054</v>
      </c>
      <c r="E6" s="221">
        <v>995.67856504820054</v>
      </c>
      <c r="F6" s="221">
        <v>995.67856504820054</v>
      </c>
      <c r="G6" s="221">
        <v>940.36308921218938</v>
      </c>
      <c r="H6" s="221">
        <v>995.67856504820054</v>
      </c>
      <c r="I6" s="221">
        <v>1161.624992556234</v>
      </c>
      <c r="J6" s="221">
        <v>1161.624992556234</v>
      </c>
      <c r="K6" s="221">
        <v>1106.309516720223</v>
      </c>
      <c r="L6" s="221">
        <v>1050.9940408842119</v>
      </c>
      <c r="M6" s="221">
        <v>1050.9940408842119</v>
      </c>
      <c r="N6" s="221">
        <v>1050.9940408842119</v>
      </c>
      <c r="O6" s="221">
        <v>1050.9940408842119</v>
      </c>
      <c r="P6" s="221">
        <v>1106.309516720223</v>
      </c>
      <c r="Q6" s="221">
        <v>1106.309516720223</v>
      </c>
      <c r="R6" s="221">
        <v>1050.9940408842119</v>
      </c>
      <c r="S6" s="221">
        <v>1161.624992556234</v>
      </c>
      <c r="T6" s="221">
        <v>1161.624992556234</v>
      </c>
      <c r="U6" s="221">
        <v>1161.624992556234</v>
      </c>
      <c r="V6" s="221">
        <v>1161.624992556234</v>
      </c>
      <c r="W6" s="221">
        <v>1216.9404683922451</v>
      </c>
      <c r="X6" s="221">
        <v>1493.517847572301</v>
      </c>
      <c r="Y6" s="221">
        <v>1438.2023717362899</v>
      </c>
      <c r="DA6" s="211" t="s">
        <v>976</v>
      </c>
    </row>
    <row r="7" spans="1:105" x14ac:dyDescent="0.25">
      <c r="A7" s="224" t="s">
        <v>118</v>
      </c>
      <c r="B7" s="225"/>
      <c r="C7" s="225">
        <v>0</v>
      </c>
      <c r="D7" s="225">
        <v>0</v>
      </c>
      <c r="E7" s="225">
        <v>0</v>
      </c>
      <c r="F7" s="225">
        <v>55.315475836011139</v>
      </c>
      <c r="G7" s="225">
        <v>0</v>
      </c>
      <c r="H7" s="225">
        <v>55.31547583601116</v>
      </c>
      <c r="I7" s="225">
        <v>221.26190334404461</v>
      </c>
      <c r="J7" s="225">
        <v>0</v>
      </c>
      <c r="K7" s="225">
        <v>0</v>
      </c>
      <c r="L7" s="225">
        <v>0</v>
      </c>
      <c r="M7" s="225">
        <v>0</v>
      </c>
      <c r="N7" s="225">
        <v>55.315475836011139</v>
      </c>
      <c r="O7" s="225">
        <v>55.315475836011139</v>
      </c>
      <c r="P7" s="225">
        <v>110.63095167202231</v>
      </c>
      <c r="Q7" s="225">
        <v>0</v>
      </c>
      <c r="R7" s="225">
        <v>0</v>
      </c>
      <c r="S7" s="225">
        <v>165.94642750803339</v>
      </c>
      <c r="T7" s="225">
        <v>0</v>
      </c>
      <c r="U7" s="225">
        <v>55.315475836011139</v>
      </c>
      <c r="V7" s="225">
        <v>0</v>
      </c>
      <c r="W7" s="225">
        <v>110.63095167202231</v>
      </c>
      <c r="X7" s="225">
        <v>331.89285501606679</v>
      </c>
      <c r="Y7" s="225">
        <v>0</v>
      </c>
      <c r="DA7" s="212" t="s">
        <v>977</v>
      </c>
    </row>
    <row r="8" spans="1:105" x14ac:dyDescent="0.25">
      <c r="A8" s="226" t="s">
        <v>117</v>
      </c>
      <c r="B8" s="227"/>
      <c r="C8" s="227">
        <f t="shared" ref="C8" si="0">IF(B6=0,0,B6+C7-C6)</f>
        <v>55.315475836011046</v>
      </c>
      <c r="D8" s="227">
        <f t="shared" ref="D8" si="1">IF(C6=0,0,C6+D7-D6)</f>
        <v>55.315475836011387</v>
      </c>
      <c r="E8" s="227">
        <f t="shared" ref="E8" si="2">IF(D6=0,0,D6+E7-E6)</f>
        <v>0</v>
      </c>
      <c r="F8" s="227">
        <f t="shared" ref="F8" si="3">IF(E6=0,0,E6+F7-F6)</f>
        <v>55.31547583601116</v>
      </c>
      <c r="G8" s="227">
        <f t="shared" ref="G8" si="4">IF(F6=0,0,F6+G7-G6)</f>
        <v>55.31547583601116</v>
      </c>
      <c r="H8" s="227">
        <f t="shared" ref="H8" si="5">IF(G6=0,0,G6+H7-H6)</f>
        <v>0</v>
      </c>
      <c r="I8" s="227">
        <f t="shared" ref="I8" si="6">IF(H6=0,0,H6+I7-I6)</f>
        <v>55.315475836011046</v>
      </c>
      <c r="J8" s="227">
        <f t="shared" ref="J8" si="7">IF(I6=0,0,I6+J7-J6)</f>
        <v>0</v>
      </c>
      <c r="K8" s="227">
        <f t="shared" ref="K8" si="8">IF(J6=0,0,J6+K7-K6)</f>
        <v>55.315475836011046</v>
      </c>
      <c r="L8" s="227">
        <f t="shared" ref="L8" si="9">IF(K6=0,0,K6+L7-L6)</f>
        <v>55.315475836011046</v>
      </c>
      <c r="M8" s="227">
        <f t="shared" ref="M8" si="10">IF(L6=0,0,L6+M7-M6)</f>
        <v>0</v>
      </c>
      <c r="N8" s="227">
        <f t="shared" ref="N8" si="11">IF(M6=0,0,M6+N7-N6)</f>
        <v>55.315475836011046</v>
      </c>
      <c r="O8" s="227">
        <f t="shared" ref="O8" si="12">IF(N6=0,0,N6+O7-O6)</f>
        <v>55.315475836011046</v>
      </c>
      <c r="P8" s="227">
        <f t="shared" ref="P8" si="13">IF(O6=0,0,O6+P7-P6)</f>
        <v>55.315475836011274</v>
      </c>
      <c r="Q8" s="227">
        <f t="shared" ref="Q8" si="14">IF(P6=0,0,P6+Q7-Q6)</f>
        <v>0</v>
      </c>
      <c r="R8" s="227">
        <f t="shared" ref="R8" si="15">IF(Q6=0,0,Q6+R7-R6)</f>
        <v>55.315475836011046</v>
      </c>
      <c r="S8" s="227">
        <f t="shared" ref="S8" si="16">IF(R6=0,0,R6+S7-S6)</f>
        <v>55.315475836011274</v>
      </c>
      <c r="T8" s="227">
        <f t="shared" ref="T8" si="17">IF(S6=0,0,S6+T7-T6)</f>
        <v>0</v>
      </c>
      <c r="U8" s="227">
        <f t="shared" ref="U8" si="18">IF(T6=0,0,T6+U7-U6)</f>
        <v>55.315475836011046</v>
      </c>
      <c r="V8" s="227">
        <f t="shared" ref="V8" si="19">IF(U6=0,0,U6+V7-V6)</f>
        <v>0</v>
      </c>
      <c r="W8" s="227">
        <f t="shared" ref="W8" si="20">IF(V6=0,0,V6+W7-W6)</f>
        <v>55.315475836011274</v>
      </c>
      <c r="X8" s="227">
        <f t="shared" ref="X8" si="21">IF(W6=0,0,W6+X7-X6)</f>
        <v>55.315475836010819</v>
      </c>
      <c r="Y8" s="227">
        <f t="shared" ref="Y8" si="22">IF(X6=0,0,X6+Y7-Y6)</f>
        <v>55.315475836011046</v>
      </c>
      <c r="DA8" s="213" t="s">
        <v>978</v>
      </c>
    </row>
    <row r="9" spans="1:105" x14ac:dyDescent="0.25">
      <c r="A9" s="222" t="s">
        <v>116</v>
      </c>
      <c r="B9" s="223">
        <f>B6-B5</f>
        <v>221.26190334404475</v>
      </c>
      <c r="C9" s="223">
        <f t="shared" ref="C9:W9" si="23">C6-C5</f>
        <v>150.43728741286634</v>
      </c>
      <c r="D9" s="223">
        <f t="shared" si="23"/>
        <v>111.21611712937079</v>
      </c>
      <c r="E9" s="223">
        <f t="shared" si="23"/>
        <v>135.32386009682591</v>
      </c>
      <c r="F9" s="223">
        <f t="shared" si="23"/>
        <v>70.615783733376702</v>
      </c>
      <c r="G9" s="223">
        <f t="shared" si="23"/>
        <v>122.80475210167583</v>
      </c>
      <c r="H9" s="223">
        <f t="shared" si="23"/>
        <v>88.534415543719319</v>
      </c>
      <c r="I9" s="223">
        <f t="shared" si="23"/>
        <v>100.14999851258699</v>
      </c>
      <c r="J9" s="223">
        <f t="shared" si="23"/>
        <v>188.99586148240041</v>
      </c>
      <c r="K9" s="223">
        <f t="shared" si="23"/>
        <v>315.2938013438694</v>
      </c>
      <c r="L9" s="223">
        <f t="shared" si="23"/>
        <v>142.95958641443849</v>
      </c>
      <c r="M9" s="223">
        <f t="shared" si="23"/>
        <v>59.042389517922743</v>
      </c>
      <c r="N9" s="223">
        <f t="shared" si="23"/>
        <v>88.07878824022248</v>
      </c>
      <c r="O9" s="223">
        <f t="shared" si="23"/>
        <v>95.144792938633373</v>
      </c>
      <c r="P9" s="223">
        <f t="shared" si="23"/>
        <v>76.448003852468901</v>
      </c>
      <c r="Q9" s="223">
        <f t="shared" si="23"/>
        <v>141.98998070934408</v>
      </c>
      <c r="R9" s="223">
        <f t="shared" si="23"/>
        <v>88.510527189203572</v>
      </c>
      <c r="S9" s="223">
        <f t="shared" si="23"/>
        <v>73.487340850311966</v>
      </c>
      <c r="T9" s="223">
        <f t="shared" si="23"/>
        <v>155.95843830650801</v>
      </c>
      <c r="U9" s="223">
        <f t="shared" si="23"/>
        <v>97.364855114112061</v>
      </c>
      <c r="V9" s="223">
        <f t="shared" si="23"/>
        <v>138.66004963504599</v>
      </c>
      <c r="W9" s="223">
        <f t="shared" si="23"/>
        <v>77.299970696059972</v>
      </c>
      <c r="X9" s="223">
        <f t="shared" ref="X9:Y9" si="24">X6-X5</f>
        <v>106.68019193981104</v>
      </c>
      <c r="Y9" s="223">
        <f t="shared" si="24"/>
        <v>162.83334015958894</v>
      </c>
      <c r="DA9" s="214" t="s">
        <v>979</v>
      </c>
    </row>
    <row r="10" spans="1:105" x14ac:dyDescent="0.25"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</row>
    <row r="11" spans="1:105" x14ac:dyDescent="0.25">
      <c r="A11" s="218" t="s">
        <v>115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DA11" s="210"/>
    </row>
    <row r="12" spans="1:105" x14ac:dyDescent="0.25">
      <c r="A12" s="228" t="s">
        <v>114</v>
      </c>
      <c r="B12" s="229">
        <f>SUM(B13,B14,B18,B19,B26,B27)</f>
        <v>99.542820292347372</v>
      </c>
      <c r="C12" s="229">
        <f t="shared" ref="C12:W12" si="25">SUM(C13,C14,C18,C19,C26,C27)</f>
        <v>98.898624247635439</v>
      </c>
      <c r="D12" s="229">
        <f t="shared" si="25"/>
        <v>100.65984522785897</v>
      </c>
      <c r="E12" s="229">
        <f t="shared" si="25"/>
        <v>102.84496990541702</v>
      </c>
      <c r="F12" s="229">
        <f t="shared" si="25"/>
        <v>108.51556319862425</v>
      </c>
      <c r="G12" s="229">
        <f t="shared" si="25"/>
        <v>109.79320722269991</v>
      </c>
      <c r="H12" s="229">
        <f t="shared" si="25"/>
        <v>117.98065348237316</v>
      </c>
      <c r="I12" s="229">
        <f t="shared" si="25"/>
        <v>125.05735167669818</v>
      </c>
      <c r="J12" s="229">
        <f t="shared" si="25"/>
        <v>120.11599312123818</v>
      </c>
      <c r="K12" s="229">
        <f t="shared" si="25"/>
        <v>109.02854686156492</v>
      </c>
      <c r="L12" s="229">
        <f t="shared" si="25"/>
        <v>116.66079105760963</v>
      </c>
      <c r="M12" s="229">
        <f t="shared" si="25"/>
        <v>115.08753224419603</v>
      </c>
      <c r="N12" s="229">
        <f t="shared" si="25"/>
        <v>113.92459157351678</v>
      </c>
      <c r="O12" s="229">
        <f t="shared" si="25"/>
        <v>112.68968185726568</v>
      </c>
      <c r="P12" s="229">
        <f t="shared" si="25"/>
        <v>117.62321582115219</v>
      </c>
      <c r="Q12" s="229">
        <f t="shared" si="25"/>
        <v>112.51418744625968</v>
      </c>
      <c r="R12" s="229">
        <f t="shared" si="25"/>
        <v>113.97007738607051</v>
      </c>
      <c r="S12" s="229">
        <f t="shared" si="25"/>
        <v>118.88976784178845</v>
      </c>
      <c r="T12" s="229">
        <f t="shared" si="25"/>
        <v>115.6914015477214</v>
      </c>
      <c r="U12" s="229">
        <f t="shared" si="25"/>
        <v>121.65614789337918</v>
      </c>
      <c r="V12" s="229">
        <f t="shared" si="25"/>
        <v>123.80206362854688</v>
      </c>
      <c r="W12" s="229">
        <f t="shared" si="25"/>
        <v>131.75717970765263</v>
      </c>
      <c r="X12" s="229">
        <f t="shared" ref="X12:Y12" si="26">SUM(X13,X14,X18,X19,X26,X27)</f>
        <v>137.1950128976784</v>
      </c>
      <c r="Y12" s="229">
        <f t="shared" si="26"/>
        <v>129.29552880481512</v>
      </c>
      <c r="DA12" s="210" t="s">
        <v>980</v>
      </c>
    </row>
    <row r="13" spans="1:105" x14ac:dyDescent="0.25">
      <c r="A13" s="58" t="s">
        <v>29</v>
      </c>
      <c r="B13" s="59">
        <v>0.54230438521066204</v>
      </c>
      <c r="C13" s="59">
        <v>0.54230438521066204</v>
      </c>
      <c r="D13" s="59">
        <v>0.54230438521066204</v>
      </c>
      <c r="E13" s="59">
        <v>1.0846087704213241</v>
      </c>
      <c r="F13" s="59">
        <v>0.54230438521066204</v>
      </c>
      <c r="G13" s="59">
        <v>1.0846087704213241</v>
      </c>
      <c r="H13" s="59">
        <v>1.0846087704213241</v>
      </c>
      <c r="I13" s="59">
        <v>0.85993121238177128</v>
      </c>
      <c r="J13" s="59">
        <v>0.85993121238177128</v>
      </c>
      <c r="K13" s="59">
        <v>0.54230438521066204</v>
      </c>
      <c r="L13" s="59">
        <v>0.85993121238177128</v>
      </c>
      <c r="M13" s="59">
        <v>0.91762682717110922</v>
      </c>
      <c r="N13" s="59">
        <v>0.91762682717110922</v>
      </c>
      <c r="O13" s="59">
        <v>1.8353396388650043</v>
      </c>
      <c r="P13" s="59">
        <v>2.1175408426483231</v>
      </c>
      <c r="Q13" s="59">
        <v>2.1175408426483231</v>
      </c>
      <c r="R13" s="59">
        <v>2.7175408426483232</v>
      </c>
      <c r="S13" s="59">
        <v>2.6364574376612206</v>
      </c>
      <c r="T13" s="59">
        <v>2.7952708512467757</v>
      </c>
      <c r="U13" s="59">
        <v>2.1846947549441103</v>
      </c>
      <c r="V13" s="59">
        <v>1.2987962166809977</v>
      </c>
      <c r="W13" s="59">
        <v>1.1258813413585553</v>
      </c>
      <c r="X13" s="59">
        <v>2.0929492691315565</v>
      </c>
      <c r="Y13" s="59">
        <v>0.55064488392089428</v>
      </c>
      <c r="DA13" s="9" t="s">
        <v>981</v>
      </c>
    </row>
    <row r="14" spans="1:105" x14ac:dyDescent="0.25">
      <c r="A14" s="60" t="s">
        <v>28</v>
      </c>
      <c r="B14" s="55">
        <f>SUM(B15:B17)</f>
        <v>40.81049011177987</v>
      </c>
      <c r="C14" s="55">
        <f t="shared" ref="C14:W14" si="27">SUM(C15:C17)</f>
        <v>33.641014617368882</v>
      </c>
      <c r="D14" s="55">
        <f t="shared" si="27"/>
        <v>36.706362854686148</v>
      </c>
      <c r="E14" s="55">
        <f t="shared" si="27"/>
        <v>38.759931212381765</v>
      </c>
      <c r="F14" s="55">
        <f t="shared" si="27"/>
        <v>43.909974204643163</v>
      </c>
      <c r="G14" s="55">
        <f t="shared" si="27"/>
        <v>46.957351676698195</v>
      </c>
      <c r="H14" s="55">
        <f t="shared" si="27"/>
        <v>46.097334479793638</v>
      </c>
      <c r="I14" s="55">
        <f t="shared" si="27"/>
        <v>48.409286328460865</v>
      </c>
      <c r="J14" s="55">
        <f t="shared" si="27"/>
        <v>48.407222699914016</v>
      </c>
      <c r="K14" s="55">
        <f t="shared" si="27"/>
        <v>45.321066208082534</v>
      </c>
      <c r="L14" s="55">
        <f t="shared" si="27"/>
        <v>50.459759243336187</v>
      </c>
      <c r="M14" s="55">
        <f t="shared" si="27"/>
        <v>50.378847807394656</v>
      </c>
      <c r="N14" s="55">
        <f t="shared" si="27"/>
        <v>52.512037833190021</v>
      </c>
      <c r="O14" s="55">
        <f t="shared" si="27"/>
        <v>53.547979363714532</v>
      </c>
      <c r="P14" s="55">
        <f t="shared" si="27"/>
        <v>62.890283748925185</v>
      </c>
      <c r="Q14" s="55">
        <f t="shared" si="27"/>
        <v>57.532846087704215</v>
      </c>
      <c r="R14" s="55">
        <f t="shared" si="27"/>
        <v>55.510662080825462</v>
      </c>
      <c r="S14" s="55">
        <f t="shared" si="27"/>
        <v>57.59914015477213</v>
      </c>
      <c r="T14" s="55">
        <f t="shared" si="27"/>
        <v>54.374806534823726</v>
      </c>
      <c r="U14" s="55">
        <f t="shared" si="27"/>
        <v>61.739122957867586</v>
      </c>
      <c r="V14" s="55">
        <f t="shared" si="27"/>
        <v>64.558555460017203</v>
      </c>
      <c r="W14" s="55">
        <f t="shared" si="27"/>
        <v>67.716852966466035</v>
      </c>
      <c r="X14" s="55">
        <f t="shared" ref="X14:Y14" si="28">SUM(X15:X17)</f>
        <v>76.840756663800505</v>
      </c>
      <c r="Y14" s="55">
        <f t="shared" si="28"/>
        <v>71.734565778159919</v>
      </c>
      <c r="DA14" s="10"/>
    </row>
    <row r="15" spans="1:105" x14ac:dyDescent="0.25">
      <c r="A15" s="61" t="s">
        <v>52</v>
      </c>
      <c r="B15" s="55">
        <v>0</v>
      </c>
      <c r="C15" s="55">
        <v>0</v>
      </c>
      <c r="D15" s="55">
        <v>0</v>
      </c>
      <c r="E15" s="55">
        <v>0</v>
      </c>
      <c r="F15" s="55">
        <v>1.109716251074806</v>
      </c>
      <c r="G15" s="55">
        <v>1.109716251074806</v>
      </c>
      <c r="H15" s="55">
        <v>1.109716251074806</v>
      </c>
      <c r="I15" s="55">
        <v>1.108684436801376</v>
      </c>
      <c r="J15" s="55">
        <v>1.108684436801376</v>
      </c>
      <c r="K15" s="55">
        <v>1.108684436801376</v>
      </c>
      <c r="L15" s="55">
        <v>1.108684436801376</v>
      </c>
      <c r="M15" s="55">
        <v>1.108684436801376</v>
      </c>
      <c r="N15" s="55">
        <v>1.108684436801376</v>
      </c>
      <c r="O15" s="55">
        <v>1.108684436801376</v>
      </c>
      <c r="P15" s="55">
        <v>2.2174548581255369</v>
      </c>
      <c r="Q15" s="55">
        <v>1.092691315563199</v>
      </c>
      <c r="R15" s="55">
        <v>2.1854686156491829</v>
      </c>
      <c r="S15" s="55">
        <v>3.390369733447979</v>
      </c>
      <c r="T15" s="55">
        <v>2.403955288048151</v>
      </c>
      <c r="U15" s="55">
        <v>3.6060189165950129</v>
      </c>
      <c r="V15" s="55">
        <v>3.609114359415305</v>
      </c>
      <c r="W15" s="55">
        <v>4.8122098022355972</v>
      </c>
      <c r="X15" s="55">
        <v>4.7079105760963023</v>
      </c>
      <c r="Y15" s="55">
        <v>4.5874462596732579</v>
      </c>
      <c r="DA15" s="10" t="s">
        <v>982</v>
      </c>
    </row>
    <row r="16" spans="1:105" x14ac:dyDescent="0.25">
      <c r="A16" s="61" t="s">
        <v>165</v>
      </c>
      <c r="B16" s="55">
        <v>32.697076526225267</v>
      </c>
      <c r="C16" s="55">
        <v>29.631728288908</v>
      </c>
      <c r="D16" s="55">
        <v>32.697076526225267</v>
      </c>
      <c r="E16" s="55">
        <v>33.718830610490109</v>
      </c>
      <c r="F16" s="55">
        <v>34.740584694754943</v>
      </c>
      <c r="G16" s="55">
        <v>37.805932932072231</v>
      </c>
      <c r="H16" s="55">
        <v>37.805932932072224</v>
      </c>
      <c r="I16" s="55">
        <v>40.119690455717958</v>
      </c>
      <c r="J16" s="55">
        <v>41.148409286328459</v>
      </c>
      <c r="K16" s="55">
        <v>38.062252794496978</v>
      </c>
      <c r="L16" s="55">
        <v>42.177128116938938</v>
      </c>
      <c r="M16" s="55">
        <v>42.177128116938938</v>
      </c>
      <c r="N16" s="55">
        <v>46.291917454858122</v>
      </c>
      <c r="O16" s="55">
        <v>44.234479793637142</v>
      </c>
      <c r="P16" s="55">
        <v>47.320636285468609</v>
      </c>
      <c r="Q16" s="55">
        <v>42.995098882201205</v>
      </c>
      <c r="R16" s="55">
        <v>44.01883061049012</v>
      </c>
      <c r="S16" s="55">
        <v>44.837747205503007</v>
      </c>
      <c r="T16" s="55">
        <v>44.633104041272567</v>
      </c>
      <c r="U16" s="55">
        <v>47.806534823731731</v>
      </c>
      <c r="V16" s="55">
        <v>51.244453998280306</v>
      </c>
      <c r="W16" s="55">
        <v>53.396732588134128</v>
      </c>
      <c r="X16" s="55">
        <v>61.903267411865862</v>
      </c>
      <c r="Y16" s="55">
        <v>52.371797076526221</v>
      </c>
      <c r="DA16" s="10" t="s">
        <v>983</v>
      </c>
    </row>
    <row r="17" spans="1:105" x14ac:dyDescent="0.25">
      <c r="A17" s="61" t="s">
        <v>113</v>
      </c>
      <c r="B17" s="55">
        <v>8.1134135855545999</v>
      </c>
      <c r="C17" s="55">
        <v>4.0092863284608775</v>
      </c>
      <c r="D17" s="55">
        <v>4.0092863284608775</v>
      </c>
      <c r="E17" s="55">
        <v>5.0411006018916593</v>
      </c>
      <c r="F17" s="55">
        <v>8.0596732588134117</v>
      </c>
      <c r="G17" s="55">
        <v>8.0417024935511598</v>
      </c>
      <c r="H17" s="55">
        <v>7.181685296646604</v>
      </c>
      <c r="I17" s="55">
        <v>7.1809114359415309</v>
      </c>
      <c r="J17" s="55">
        <v>6.1501289767841802</v>
      </c>
      <c r="K17" s="55">
        <v>6.1501289767841802</v>
      </c>
      <c r="L17" s="55">
        <v>7.1739466895958728</v>
      </c>
      <c r="M17" s="55">
        <v>7.0930352536543433</v>
      </c>
      <c r="N17" s="55">
        <v>5.1114359415305239</v>
      </c>
      <c r="O17" s="55">
        <v>8.2048151332760106</v>
      </c>
      <c r="P17" s="55">
        <v>13.352192605331043</v>
      </c>
      <c r="Q17" s="55">
        <v>13.445055889939807</v>
      </c>
      <c r="R17" s="55">
        <v>9.3063628546861565</v>
      </c>
      <c r="S17" s="55">
        <v>9.3710232158211504</v>
      </c>
      <c r="T17" s="55">
        <v>7.3377472055030086</v>
      </c>
      <c r="U17" s="55">
        <v>10.326569217540843</v>
      </c>
      <c r="V17" s="55">
        <v>9.7049871023215815</v>
      </c>
      <c r="W17" s="55">
        <v>9.5079105760963039</v>
      </c>
      <c r="X17" s="55">
        <v>10.229578675838347</v>
      </c>
      <c r="Y17" s="55">
        <v>14.775322441960443</v>
      </c>
      <c r="DA17" s="10" t="s">
        <v>984</v>
      </c>
    </row>
    <row r="18" spans="1:105" x14ac:dyDescent="0.25">
      <c r="A18" s="60" t="s">
        <v>149</v>
      </c>
      <c r="B18" s="55">
        <v>23.753224419604472</v>
      </c>
      <c r="C18" s="55">
        <v>27.880481513327599</v>
      </c>
      <c r="D18" s="55">
        <v>27.923473774720549</v>
      </c>
      <c r="E18" s="55">
        <v>26.418744625967321</v>
      </c>
      <c r="F18" s="55">
        <v>30.395528804815129</v>
      </c>
      <c r="G18" s="55">
        <v>28.46087704213241</v>
      </c>
      <c r="H18" s="55">
        <v>37.747205503009447</v>
      </c>
      <c r="I18" s="55">
        <v>40.004299226139302</v>
      </c>
      <c r="J18" s="55">
        <v>34.157351676698191</v>
      </c>
      <c r="K18" s="55">
        <v>27.042132416165089</v>
      </c>
      <c r="L18" s="55">
        <v>31.190885640584689</v>
      </c>
      <c r="M18" s="55">
        <v>30.395528804815129</v>
      </c>
      <c r="N18" s="55">
        <v>27.60103181427343</v>
      </c>
      <c r="O18" s="55">
        <v>25.601891659501291</v>
      </c>
      <c r="P18" s="55">
        <v>20.786758383490969</v>
      </c>
      <c r="Q18" s="55">
        <v>20.829750644883919</v>
      </c>
      <c r="R18" s="55">
        <v>21.45313843508168</v>
      </c>
      <c r="S18" s="55">
        <v>21.75434221840068</v>
      </c>
      <c r="T18" s="55">
        <v>20.915563198624241</v>
      </c>
      <c r="U18" s="55">
        <v>20.679707652622529</v>
      </c>
      <c r="V18" s="55">
        <v>20.249097162510751</v>
      </c>
      <c r="W18" s="55">
        <v>23.624247635425618</v>
      </c>
      <c r="X18" s="55">
        <v>20.292519346517629</v>
      </c>
      <c r="Y18" s="55">
        <v>20.088682500325628</v>
      </c>
      <c r="DA18" s="10" t="s">
        <v>985</v>
      </c>
    </row>
    <row r="19" spans="1:105" x14ac:dyDescent="0.25">
      <c r="A19" s="60" t="s">
        <v>51</v>
      </c>
      <c r="B19" s="55">
        <f>SUM(B20:B25)</f>
        <v>6.4966466036113486</v>
      </c>
      <c r="C19" s="55">
        <f t="shared" ref="C19:W19" si="29">SUM(C20:C25)</f>
        <v>9.0761822871883044</v>
      </c>
      <c r="D19" s="55">
        <f t="shared" si="29"/>
        <v>9.9837489251934652</v>
      </c>
      <c r="E19" s="55">
        <f t="shared" si="29"/>
        <v>12.706620808254517</v>
      </c>
      <c r="F19" s="55">
        <f t="shared" si="29"/>
        <v>7.9535683576956142</v>
      </c>
      <c r="G19" s="55">
        <f t="shared" si="29"/>
        <v>6.3533104041272566</v>
      </c>
      <c r="H19" s="55">
        <f t="shared" si="29"/>
        <v>6.5204643164230438</v>
      </c>
      <c r="I19" s="55">
        <f t="shared" si="29"/>
        <v>8.9805674978503873</v>
      </c>
      <c r="J19" s="55">
        <f t="shared" si="29"/>
        <v>9.8643164230438511</v>
      </c>
      <c r="K19" s="55">
        <f t="shared" si="29"/>
        <v>11.177987962166812</v>
      </c>
      <c r="L19" s="55">
        <f t="shared" si="29"/>
        <v>11.22579535683577</v>
      </c>
      <c r="M19" s="55">
        <f t="shared" si="29"/>
        <v>12.539466895958723</v>
      </c>
      <c r="N19" s="55">
        <f t="shared" si="29"/>
        <v>11.84677558039553</v>
      </c>
      <c r="O19" s="55">
        <f t="shared" si="29"/>
        <v>11.655717970765259</v>
      </c>
      <c r="P19" s="55">
        <f t="shared" si="29"/>
        <v>11.918400687876179</v>
      </c>
      <c r="Q19" s="55">
        <f t="shared" si="29"/>
        <v>10.89140154772141</v>
      </c>
      <c r="R19" s="55">
        <f t="shared" si="29"/>
        <v>11.727343078245919</v>
      </c>
      <c r="S19" s="55">
        <f t="shared" si="29"/>
        <v>14.736801375752361</v>
      </c>
      <c r="T19" s="55">
        <f t="shared" si="29"/>
        <v>15.1189165950129</v>
      </c>
      <c r="U19" s="55">
        <f t="shared" si="29"/>
        <v>15.07119518486672</v>
      </c>
      <c r="V19" s="55">
        <f t="shared" si="29"/>
        <v>17.220808254514189</v>
      </c>
      <c r="W19" s="55">
        <f t="shared" si="29"/>
        <v>17.889595872742909</v>
      </c>
      <c r="X19" s="55">
        <f t="shared" ref="X19:Y19" si="30">SUM(X20:X25)</f>
        <v>17.79398108340499</v>
      </c>
      <c r="Y19" s="55">
        <f t="shared" si="30"/>
        <v>17.484318359519591</v>
      </c>
      <c r="DA19" s="10"/>
    </row>
    <row r="20" spans="1:105" x14ac:dyDescent="0.25">
      <c r="A20" s="61" t="s">
        <v>164</v>
      </c>
      <c r="B20" s="55">
        <v>6.4966466036113486</v>
      </c>
      <c r="C20" s="55">
        <v>9.0761822871883044</v>
      </c>
      <c r="D20" s="55">
        <v>9.9837489251934652</v>
      </c>
      <c r="E20" s="55">
        <v>12.491659501289771</v>
      </c>
      <c r="F20" s="55">
        <v>7.4758383490971623</v>
      </c>
      <c r="G20" s="55">
        <v>6.0905417024935504</v>
      </c>
      <c r="H20" s="55">
        <v>6.3055030094582971</v>
      </c>
      <c r="I20" s="55">
        <v>8.6939810834049869</v>
      </c>
      <c r="J20" s="55">
        <v>9.5299226139294912</v>
      </c>
      <c r="K20" s="55">
        <v>10.771969045571799</v>
      </c>
      <c r="L20" s="55">
        <v>10.867497850386931</v>
      </c>
      <c r="M20" s="55">
        <v>12.39613069647463</v>
      </c>
      <c r="N20" s="55">
        <v>11.84677558039553</v>
      </c>
      <c r="O20" s="55">
        <v>11.655717970765259</v>
      </c>
      <c r="P20" s="55">
        <v>11.918400687876179</v>
      </c>
      <c r="Q20" s="55">
        <v>10.89140154772141</v>
      </c>
      <c r="R20" s="55">
        <v>11.727343078245919</v>
      </c>
      <c r="S20" s="55">
        <v>14.736801375752361</v>
      </c>
      <c r="T20" s="55">
        <v>15.1189165950129</v>
      </c>
      <c r="U20" s="55">
        <v>15.07119518486672</v>
      </c>
      <c r="V20" s="55">
        <v>17.220808254514189</v>
      </c>
      <c r="W20" s="55">
        <v>17.889595872742909</v>
      </c>
      <c r="X20" s="55">
        <v>17.79398108340499</v>
      </c>
      <c r="Y20" s="55">
        <v>17.38796216680997</v>
      </c>
      <c r="DA20" s="10" t="s">
        <v>986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0.2149613069647463</v>
      </c>
      <c r="F21" s="55">
        <v>0.47773000859845233</v>
      </c>
      <c r="G21" s="55">
        <v>0.26276870163370591</v>
      </c>
      <c r="H21" s="55">
        <v>0.2149613069647463</v>
      </c>
      <c r="I21" s="55">
        <v>0.28658641444539978</v>
      </c>
      <c r="J21" s="55">
        <v>0.3343938091143594</v>
      </c>
      <c r="K21" s="55">
        <v>0.40601891659501288</v>
      </c>
      <c r="L21" s="55">
        <v>0.35829750644883918</v>
      </c>
      <c r="M21" s="55">
        <v>0.14333619948409279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X21" s="55">
        <v>0</v>
      </c>
      <c r="Y21" s="55">
        <v>9.635619270962073E-2</v>
      </c>
      <c r="DA21" s="10" t="s">
        <v>987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X22" s="55">
        <v>0</v>
      </c>
      <c r="Y22" s="55">
        <v>0</v>
      </c>
      <c r="DA22" s="10" t="s">
        <v>988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" t="s">
        <v>989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" t="s">
        <v>990</v>
      </c>
    </row>
    <row r="25" spans="1:105" x14ac:dyDescent="0.25">
      <c r="A25" s="61" t="s">
        <v>151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DA25" s="10" t="s">
        <v>991</v>
      </c>
    </row>
    <row r="26" spans="1:105" x14ac:dyDescent="0.25">
      <c r="A26" s="60" t="s">
        <v>162</v>
      </c>
      <c r="B26" s="55">
        <v>11.77506448839209</v>
      </c>
      <c r="C26" s="55">
        <v>10.81969045571797</v>
      </c>
      <c r="D26" s="55">
        <v>9.3388650042992261</v>
      </c>
      <c r="E26" s="55">
        <v>9.6016337059329313</v>
      </c>
      <c r="F26" s="55">
        <v>10.150988822012041</v>
      </c>
      <c r="G26" s="55">
        <v>10.3420464316423</v>
      </c>
      <c r="H26" s="55">
        <v>9.5061049011177978</v>
      </c>
      <c r="I26" s="55">
        <v>9.0044711951848662</v>
      </c>
      <c r="J26" s="55">
        <v>9.8882201203783318</v>
      </c>
      <c r="K26" s="55">
        <v>9.1239036973344803</v>
      </c>
      <c r="L26" s="55">
        <v>8.0490971625107477</v>
      </c>
      <c r="M26" s="55">
        <v>6.4966466036113486</v>
      </c>
      <c r="N26" s="55">
        <v>5.3979363714531381</v>
      </c>
      <c r="O26" s="55">
        <v>5.0874462596732588</v>
      </c>
      <c r="P26" s="55">
        <v>4.3470335339638861</v>
      </c>
      <c r="Q26" s="55">
        <v>4.6336199484092866</v>
      </c>
      <c r="R26" s="55">
        <v>4.8485812553740324</v>
      </c>
      <c r="S26" s="55">
        <v>4.5619948409286319</v>
      </c>
      <c r="T26" s="55">
        <v>4.275322441960447</v>
      </c>
      <c r="U26" s="55">
        <v>3.6065348237317281</v>
      </c>
      <c r="V26" s="55">
        <v>3.415477214101462</v>
      </c>
      <c r="W26" s="55">
        <v>3.3438521066208078</v>
      </c>
      <c r="X26" s="55">
        <v>3.511006018916595</v>
      </c>
      <c r="Y26" s="55">
        <v>3.0572656921754078</v>
      </c>
      <c r="DA26" s="10" t="s">
        <v>992</v>
      </c>
    </row>
    <row r="27" spans="1:105" x14ac:dyDescent="0.25">
      <c r="A27" s="62" t="s">
        <v>24</v>
      </c>
      <c r="B27" s="63">
        <v>16.165090283748921</v>
      </c>
      <c r="C27" s="63">
        <v>16.938950988822011</v>
      </c>
      <c r="D27" s="63">
        <v>16.165090283748921</v>
      </c>
      <c r="E27" s="63">
        <v>14.27343078245916</v>
      </c>
      <c r="F27" s="63">
        <v>15.563198624247638</v>
      </c>
      <c r="G27" s="63">
        <v>16.595012897678416</v>
      </c>
      <c r="H27" s="63">
        <v>17.024935511607911</v>
      </c>
      <c r="I27" s="63">
        <v>17.798796216680991</v>
      </c>
      <c r="J27" s="63">
        <v>16.938950988822015</v>
      </c>
      <c r="K27" s="63">
        <v>15.821152192605334</v>
      </c>
      <c r="L27" s="63">
        <v>14.875322441960448</v>
      </c>
      <c r="M27" s="63">
        <v>14.359415305245056</v>
      </c>
      <c r="N27" s="63">
        <v>15.649183147033536</v>
      </c>
      <c r="O27" s="63">
        <v>14.961306964746345</v>
      </c>
      <c r="P27" s="63">
        <v>15.563198624247633</v>
      </c>
      <c r="Q27" s="63">
        <v>16.509028374892516</v>
      </c>
      <c r="R27" s="63">
        <v>17.712811693895095</v>
      </c>
      <c r="S27" s="63">
        <v>17.601031814273433</v>
      </c>
      <c r="T27" s="63">
        <v>18.211521926053308</v>
      </c>
      <c r="U27" s="63">
        <v>18.374892519346517</v>
      </c>
      <c r="V27" s="63">
        <v>17.059329320722266</v>
      </c>
      <c r="W27" s="63">
        <v>18.056749785038697</v>
      </c>
      <c r="X27" s="63">
        <v>16.663800515907138</v>
      </c>
      <c r="Y27" s="63">
        <v>16.380051590713666</v>
      </c>
      <c r="DA27" s="11" t="s">
        <v>993</v>
      </c>
    </row>
    <row r="29" spans="1:105" x14ac:dyDescent="0.25">
      <c r="A29" s="218" t="s">
        <v>84</v>
      </c>
      <c r="B29" s="219">
        <v>183.92338115999996</v>
      </c>
      <c r="C29" s="219">
        <v>171.87568632000003</v>
      </c>
      <c r="D29" s="219">
        <v>181.48666032</v>
      </c>
      <c r="E29" s="219">
        <v>186.4080486</v>
      </c>
      <c r="F29" s="219">
        <v>208.97737128</v>
      </c>
      <c r="G29" s="219">
        <v>216.18314316000001</v>
      </c>
      <c r="H29" s="219">
        <v>234.85185144000002</v>
      </c>
      <c r="I29" s="219">
        <v>246.646868256</v>
      </c>
      <c r="J29" s="219">
        <v>233.00213097600002</v>
      </c>
      <c r="K29" s="219">
        <v>205.32783599999996</v>
      </c>
      <c r="L29" s="219">
        <v>232.30643169599998</v>
      </c>
      <c r="M29" s="219">
        <v>230.61772857599999</v>
      </c>
      <c r="N29" s="219">
        <v>230.63567313600001</v>
      </c>
      <c r="O29" s="219">
        <v>232.64119029600005</v>
      </c>
      <c r="P29" s="219">
        <v>250.32449397599999</v>
      </c>
      <c r="Q29" s="219">
        <v>234.11381385600001</v>
      </c>
      <c r="R29" s="219">
        <v>231.57128721600003</v>
      </c>
      <c r="S29" s="219">
        <v>238.09181068800004</v>
      </c>
      <c r="T29" s="219">
        <v>227.388431016</v>
      </c>
      <c r="U29" s="219">
        <v>246.36978280800005</v>
      </c>
      <c r="V29" s="219">
        <v>250.53489316800005</v>
      </c>
      <c r="W29" s="219">
        <v>267.05220047999995</v>
      </c>
      <c r="X29" s="219">
        <v>291.40357687200003</v>
      </c>
      <c r="Y29" s="219">
        <v>268.48168508361584</v>
      </c>
      <c r="DA29" s="8"/>
    </row>
    <row r="31" spans="1:105" x14ac:dyDescent="0.25">
      <c r="A31" s="33" t="s">
        <v>183</v>
      </c>
      <c r="B31" s="59">
        <f t="shared" ref="B31:Y31" si="31">IF(B$12=0,"",B$12/B$3*1000)</f>
        <v>57.378881144067194</v>
      </c>
      <c r="C31" s="59">
        <f t="shared" si="31"/>
        <v>61.41937781254974</v>
      </c>
      <c r="D31" s="59">
        <f t="shared" si="31"/>
        <v>59.741085902467937</v>
      </c>
      <c r="E31" s="59">
        <f t="shared" si="31"/>
        <v>60.042570449622005</v>
      </c>
      <c r="F31" s="59">
        <f t="shared" si="31"/>
        <v>63.611414160434101</v>
      </c>
      <c r="G31" s="59">
        <f t="shared" si="31"/>
        <v>57.622669292547968</v>
      </c>
      <c r="H31" s="59">
        <f t="shared" si="31"/>
        <v>64.385483818224159</v>
      </c>
      <c r="I31" s="59">
        <f t="shared" si="31"/>
        <v>67.944914162789118</v>
      </c>
      <c r="J31" s="59">
        <f t="shared" si="31"/>
        <v>67.258965318827762</v>
      </c>
      <c r="K31" s="59">
        <f t="shared" si="31"/>
        <v>93.284488459690721</v>
      </c>
      <c r="L31" s="59">
        <f t="shared" si="31"/>
        <v>81.336821512805102</v>
      </c>
      <c r="M31" s="59">
        <f t="shared" si="31"/>
        <v>65.947319470652417</v>
      </c>
      <c r="N31" s="59">
        <f t="shared" si="31"/>
        <v>55.242650921056722</v>
      </c>
      <c r="O31" s="59">
        <f t="shared" si="31"/>
        <v>59.580236476631669</v>
      </c>
      <c r="P31" s="59">
        <f t="shared" si="31"/>
        <v>61.454127364852518</v>
      </c>
      <c r="Q31" s="59">
        <f t="shared" si="31"/>
        <v>57.027328227894017</v>
      </c>
      <c r="R31" s="59">
        <f t="shared" si="31"/>
        <v>61.971296929811231</v>
      </c>
      <c r="S31" s="59">
        <f t="shared" si="31"/>
        <v>54.241395156706282</v>
      </c>
      <c r="T31" s="59">
        <f t="shared" si="31"/>
        <v>61.974185506898628</v>
      </c>
      <c r="U31" s="59">
        <f t="shared" si="31"/>
        <v>57.4735040588169</v>
      </c>
      <c r="V31" s="59">
        <f t="shared" si="31"/>
        <v>51.575179056737269</v>
      </c>
      <c r="W31" s="59">
        <f t="shared" si="31"/>
        <v>53.552409532379286</v>
      </c>
      <c r="X31" s="59">
        <f t="shared" si="31"/>
        <v>47.788088692800606</v>
      </c>
      <c r="Y31" s="59">
        <f t="shared" si="31"/>
        <v>64.525166585894354</v>
      </c>
      <c r="DA31" s="211"/>
    </row>
    <row r="32" spans="1:105" x14ac:dyDescent="0.25">
      <c r="A32" s="35" t="s">
        <v>112</v>
      </c>
      <c r="B32" s="55">
        <f t="shared" ref="B32:Y32" si="32">IF(B$12=0,"",B$12/B$5*1000)</f>
        <v>112.47171201628672</v>
      </c>
      <c r="C32" s="55">
        <f t="shared" si="32"/>
        <v>109.81942433546166</v>
      </c>
      <c r="D32" s="55">
        <f t="shared" si="32"/>
        <v>113.80906613357639</v>
      </c>
      <c r="E32" s="55">
        <f t="shared" si="32"/>
        <v>119.53787119840251</v>
      </c>
      <c r="F32" s="55">
        <f t="shared" si="32"/>
        <v>117.30616060932353</v>
      </c>
      <c r="G32" s="55">
        <f t="shared" si="32"/>
        <v>134.29403412451359</v>
      </c>
      <c r="H32" s="55">
        <f t="shared" si="32"/>
        <v>130.05722800154635</v>
      </c>
      <c r="I32" s="55">
        <f t="shared" si="32"/>
        <v>117.81469406104155</v>
      </c>
      <c r="J32" s="55">
        <f t="shared" si="32"/>
        <v>123.49619118298854</v>
      </c>
      <c r="K32" s="55">
        <f t="shared" si="32"/>
        <v>137.83360398812147</v>
      </c>
      <c r="L32" s="55">
        <f t="shared" si="32"/>
        <v>128.47617233393541</v>
      </c>
      <c r="M32" s="55">
        <f t="shared" si="32"/>
        <v>116.02131221383357</v>
      </c>
      <c r="N32" s="55">
        <f t="shared" si="32"/>
        <v>118.31216844961241</v>
      </c>
      <c r="O32" s="55">
        <f t="shared" si="32"/>
        <v>117.89482713876832</v>
      </c>
      <c r="P32" s="55">
        <f t="shared" si="32"/>
        <v>114.21265320772925</v>
      </c>
      <c r="Q32" s="55">
        <f t="shared" si="32"/>
        <v>116.67728719019787</v>
      </c>
      <c r="R32" s="55">
        <f t="shared" si="32"/>
        <v>118.41249825520163</v>
      </c>
      <c r="S32" s="55">
        <f t="shared" si="32"/>
        <v>109.25986032686181</v>
      </c>
      <c r="T32" s="55">
        <f t="shared" si="32"/>
        <v>115.03952384499111</v>
      </c>
      <c r="U32" s="55">
        <f t="shared" si="32"/>
        <v>114.31053707016744</v>
      </c>
      <c r="V32" s="55">
        <f t="shared" si="32"/>
        <v>121.02278233994663</v>
      </c>
      <c r="W32" s="55">
        <f t="shared" si="32"/>
        <v>115.61293230102248</v>
      </c>
      <c r="X32" s="55">
        <f t="shared" si="32"/>
        <v>98.926512660278448</v>
      </c>
      <c r="Y32" s="55">
        <f t="shared" si="32"/>
        <v>101.37891512464505</v>
      </c>
      <c r="DA32" s="216"/>
    </row>
    <row r="33" spans="1:105" x14ac:dyDescent="0.25">
      <c r="A33" s="35" t="s">
        <v>111</v>
      </c>
      <c r="B33" s="55">
        <f>IF(AGR_ued!B$5=0,"",AGR_ued!B$5/B$5*1000)</f>
        <v>47.336516677107468</v>
      </c>
      <c r="C33" s="55">
        <f>IF(AGR_ued!C$5=0,"",AGR_ued!C$5/C$5*1000)</f>
        <v>46.49350051732501</v>
      </c>
      <c r="D33" s="55">
        <f>IF(AGR_ued!D$5=0,"",AGR_ued!D$5/D$5*1000)</f>
        <v>47.426653979122342</v>
      </c>
      <c r="E33" s="55">
        <f>IF(AGR_ued!E$5=0,"",AGR_ued!E$5/E$5*1000)</f>
        <v>48.935481841005377</v>
      </c>
      <c r="F33" s="55">
        <f>IF(AGR_ued!F$5=0,"",AGR_ued!F$5/F$5*1000)</f>
        <v>48.555859713652971</v>
      </c>
      <c r="G33" s="55">
        <f>IF(AGR_ued!G$5=0,"",AGR_ued!G$5/G$5*1000)</f>
        <v>55.720195092135008</v>
      </c>
      <c r="H33" s="55">
        <f>IF(AGR_ued!H$5=0,"",AGR_ued!H$5/H$5*1000)</f>
        <v>53.918638231954453</v>
      </c>
      <c r="I33" s="55">
        <f>IF(AGR_ued!I$5=0,"",AGR_ued!I$5/I$5*1000)</f>
        <v>48.524718947209564</v>
      </c>
      <c r="J33" s="55">
        <f>IF(AGR_ued!J$5=0,"",AGR_ued!J$5/J$5*1000)</f>
        <v>50.80354140269155</v>
      </c>
      <c r="K33" s="55">
        <f>IF(AGR_ued!K$5=0,"",AGR_ued!K$5/K$5*1000)</f>
        <v>56.425658855592744</v>
      </c>
      <c r="L33" s="55">
        <f>IF(AGR_ued!L$5=0,"",AGR_ued!L$5/L$5*1000)</f>
        <v>51.883679584054896</v>
      </c>
      <c r="M33" s="55">
        <f>IF(AGR_ued!M$5=0,"",AGR_ued!M$5/M$5*1000)</f>
        <v>46.368453512063091</v>
      </c>
      <c r="N33" s="55">
        <f>IF(AGR_ued!N$5=0,"",AGR_ued!N$5/N$5*1000)</f>
        <v>47.315830201787016</v>
      </c>
      <c r="O33" s="55">
        <f>IF(AGR_ued!O$5=0,"",AGR_ued!O$5/O$5*1000)</f>
        <v>46.701231999458514</v>
      </c>
      <c r="P33" s="55">
        <f>IF(AGR_ued!P$5=0,"",AGR_ued!P$5/P$5*1000)</f>
        <v>44.473606093488975</v>
      </c>
      <c r="Q33" s="55">
        <f>IF(AGR_ued!Q$5=0,"",AGR_ued!Q$5/Q$5*1000)</f>
        <v>45.958567600280659</v>
      </c>
      <c r="R33" s="55">
        <f>IF(AGR_ued!R$5=0,"",AGR_ued!R$5/R$5*1000)</f>
        <v>47.03771307979018</v>
      </c>
      <c r="S33" s="55">
        <f>IF(AGR_ued!S$5=0,"",AGR_ued!S$5/S$5*1000)</f>
        <v>42.959918872741007</v>
      </c>
      <c r="T33" s="55">
        <f>IF(AGR_ued!T$5=0,"",AGR_ued!T$5/T$5*1000)</f>
        <v>45.46311687639902</v>
      </c>
      <c r="U33" s="55">
        <f>IF(AGR_ued!U$5=0,"",AGR_ued!U$5/U$5*1000)</f>
        <v>44.729698435379788</v>
      </c>
      <c r="V33" s="55">
        <f>IF(AGR_ued!V$5=0,"",AGR_ued!V$5/V$5*1000)</f>
        <v>46.887767785070423</v>
      </c>
      <c r="W33" s="55">
        <f>IF(AGR_ued!W$5=0,"",AGR_ued!W$5/W$5*1000)</f>
        <v>44.895366659214766</v>
      </c>
      <c r="X33" s="55">
        <f>IF(AGR_ued!X$5=0,"",AGR_ued!X$5/X$5*1000)</f>
        <v>37.916155850471995</v>
      </c>
      <c r="Y33" s="55">
        <f>IF(AGR_ued!Y$5=0,"",AGR_ued!Y$5/Y$5*1000)</f>
        <v>38.77966686746646</v>
      </c>
      <c r="DA33" s="216"/>
    </row>
    <row r="34" spans="1:105" x14ac:dyDescent="0.25">
      <c r="A34" s="37" t="s">
        <v>110</v>
      </c>
      <c r="B34" s="217">
        <f t="shared" ref="B34:Y34" si="33">IF(B$12=0,"",B$29/B$12)</f>
        <v>1.8476810343511996</v>
      </c>
      <c r="C34" s="217">
        <f t="shared" si="33"/>
        <v>1.7378976464792371</v>
      </c>
      <c r="D34" s="217">
        <f t="shared" si="33"/>
        <v>1.80296979306075</v>
      </c>
      <c r="E34" s="217">
        <f t="shared" si="33"/>
        <v>1.8125149802798628</v>
      </c>
      <c r="F34" s="217">
        <f t="shared" si="33"/>
        <v>1.9257824879689645</v>
      </c>
      <c r="G34" s="217">
        <f t="shared" si="33"/>
        <v>1.9690028976155443</v>
      </c>
      <c r="H34" s="217">
        <f t="shared" si="33"/>
        <v>1.9905962927649654</v>
      </c>
      <c r="I34" s="217">
        <f t="shared" si="33"/>
        <v>1.972270042097473</v>
      </c>
      <c r="J34" s="217">
        <f t="shared" si="33"/>
        <v>1.9398093869216988</v>
      </c>
      <c r="K34" s="217">
        <f t="shared" si="33"/>
        <v>1.8832483960435391</v>
      </c>
      <c r="L34" s="217">
        <f t="shared" si="33"/>
        <v>1.9912982724528416</v>
      </c>
      <c r="M34" s="217">
        <f t="shared" si="33"/>
        <v>2.0038463253054091</v>
      </c>
      <c r="N34" s="217">
        <f t="shared" si="33"/>
        <v>2.024459073765196</v>
      </c>
      <c r="O34" s="217">
        <f t="shared" si="33"/>
        <v>2.0644409182969086</v>
      </c>
      <c r="P34" s="217">
        <f t="shared" si="33"/>
        <v>2.1281895094300265</v>
      </c>
      <c r="Q34" s="217">
        <f t="shared" si="33"/>
        <v>2.0807492741110551</v>
      </c>
      <c r="R34" s="217">
        <f t="shared" si="33"/>
        <v>2.0318604016698054</v>
      </c>
      <c r="S34" s="217">
        <f t="shared" si="33"/>
        <v>2.0026265927681739</v>
      </c>
      <c r="T34" s="217">
        <f t="shared" si="33"/>
        <v>1.9654739070837934</v>
      </c>
      <c r="U34" s="217">
        <f t="shared" si="33"/>
        <v>2.0251322031330576</v>
      </c>
      <c r="V34" s="217">
        <f t="shared" si="33"/>
        <v>2.023672997242596</v>
      </c>
      <c r="W34" s="217">
        <f t="shared" si="33"/>
        <v>2.0268512203474951</v>
      </c>
      <c r="X34" s="217">
        <f t="shared" si="33"/>
        <v>2.124009981976037</v>
      </c>
      <c r="Y34" s="217">
        <f t="shared" si="33"/>
        <v>2.0764962838654424</v>
      </c>
      <c r="DA34" s="214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Y14 B19:Y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994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130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99.542820292347344</v>
      </c>
      <c r="C5" s="80">
        <f t="shared" ref="C5:W5" si="1">SUM(C6:C9,C16:C17,C25:C27)</f>
        <v>98.898624247635425</v>
      </c>
      <c r="D5" s="80">
        <f t="shared" si="1"/>
        <v>100.65984522785895</v>
      </c>
      <c r="E5" s="80">
        <f t="shared" si="1"/>
        <v>102.84496990541699</v>
      </c>
      <c r="F5" s="80">
        <f t="shared" si="1"/>
        <v>108.51556319862425</v>
      </c>
      <c r="G5" s="80">
        <f t="shared" si="1"/>
        <v>109.79320722269986</v>
      </c>
      <c r="H5" s="80">
        <f t="shared" si="1"/>
        <v>117.98065348237313</v>
      </c>
      <c r="I5" s="80">
        <f t="shared" si="1"/>
        <v>125.05735167669819</v>
      </c>
      <c r="J5" s="80">
        <f t="shared" si="1"/>
        <v>120.11599312123815</v>
      </c>
      <c r="K5" s="80">
        <f t="shared" si="1"/>
        <v>109.02854686156488</v>
      </c>
      <c r="L5" s="80">
        <f t="shared" si="1"/>
        <v>116.6607910576096</v>
      </c>
      <c r="M5" s="80">
        <f t="shared" si="1"/>
        <v>115.08753224419598</v>
      </c>
      <c r="N5" s="80">
        <f t="shared" si="1"/>
        <v>113.92459157351675</v>
      </c>
      <c r="O5" s="80">
        <f t="shared" si="1"/>
        <v>112.68968185726568</v>
      </c>
      <c r="P5" s="80">
        <f t="shared" si="1"/>
        <v>117.62321582115212</v>
      </c>
      <c r="Q5" s="80">
        <f t="shared" si="1"/>
        <v>112.51418744625967</v>
      </c>
      <c r="R5" s="80">
        <f t="shared" si="1"/>
        <v>113.97007738607054</v>
      </c>
      <c r="S5" s="80">
        <f t="shared" si="1"/>
        <v>118.88976784178848</v>
      </c>
      <c r="T5" s="80">
        <f t="shared" si="1"/>
        <v>115.69140154772136</v>
      </c>
      <c r="U5" s="80">
        <f t="shared" si="1"/>
        <v>121.65614789337917</v>
      </c>
      <c r="V5" s="80">
        <f t="shared" si="1"/>
        <v>123.8020636285468</v>
      </c>
      <c r="W5" s="80">
        <f t="shared" si="1"/>
        <v>131.75717970765257</v>
      </c>
      <c r="X5" s="80">
        <f t="shared" ref="X5:Y5" si="2">SUM(X6:X9,X16:X17,X25:X27)</f>
        <v>137.19501289767837</v>
      </c>
      <c r="Y5" s="80">
        <f t="shared" si="2"/>
        <v>129.29552880481506</v>
      </c>
      <c r="DA5" s="103"/>
    </row>
    <row r="6" spans="1:105" x14ac:dyDescent="0.25">
      <c r="A6" s="238" t="s">
        <v>125</v>
      </c>
      <c r="B6" s="239">
        <v>2.7176294566736798</v>
      </c>
      <c r="C6" s="239">
        <v>2.8131928369680841</v>
      </c>
      <c r="D6" s="239">
        <v>2.7164884835775629</v>
      </c>
      <c r="E6" s="239">
        <v>2.4723615508647869</v>
      </c>
      <c r="F6" s="239">
        <v>2.687933011447889</v>
      </c>
      <c r="G6" s="239">
        <v>2.8301363378194382</v>
      </c>
      <c r="H6" s="239">
        <v>2.9441635063095939</v>
      </c>
      <c r="I6" s="239">
        <v>3.0780194512849182</v>
      </c>
      <c r="J6" s="239">
        <v>2.9350348001949831</v>
      </c>
      <c r="K6" s="239">
        <v>2.7079877027309571</v>
      </c>
      <c r="L6" s="239">
        <v>2.6179671754457958</v>
      </c>
      <c r="M6" s="239">
        <v>2.5263686177798039</v>
      </c>
      <c r="N6" s="239">
        <v>2.6926550796258679</v>
      </c>
      <c r="O6" s="239">
        <v>2.5764545384914852</v>
      </c>
      <c r="P6" s="239">
        <v>2.643096721884445</v>
      </c>
      <c r="Q6" s="239">
        <v>2.732820928117544</v>
      </c>
      <c r="R6" s="239">
        <v>2.8957343927143691</v>
      </c>
      <c r="S6" s="239">
        <v>2.8969467020419519</v>
      </c>
      <c r="T6" s="239">
        <v>2.9503456175351461</v>
      </c>
      <c r="U6" s="239">
        <v>2.992927011882927</v>
      </c>
      <c r="V6" s="239">
        <v>2.8521738396108458</v>
      </c>
      <c r="W6" s="239">
        <v>3.0279066954458189</v>
      </c>
      <c r="X6" s="239">
        <v>2.8789052615452122</v>
      </c>
      <c r="Y6" s="239">
        <v>2.7771813491187931</v>
      </c>
      <c r="DA6" s="267" t="s">
        <v>995</v>
      </c>
    </row>
    <row r="7" spans="1:105" x14ac:dyDescent="0.25">
      <c r="A7" s="240" t="s">
        <v>124</v>
      </c>
      <c r="B7" s="241">
        <v>1.7664591468378921</v>
      </c>
      <c r="C7" s="241">
        <v>1.828575344029254</v>
      </c>
      <c r="D7" s="241">
        <v>1.765717514325416</v>
      </c>
      <c r="E7" s="241">
        <v>1.607035008062111</v>
      </c>
      <c r="F7" s="241">
        <v>1.7471564574411269</v>
      </c>
      <c r="G7" s="241">
        <v>1.8395886195826341</v>
      </c>
      <c r="H7" s="241">
        <v>1.913706279101236</v>
      </c>
      <c r="I7" s="241">
        <v>2.0007126433351958</v>
      </c>
      <c r="J7" s="241">
        <v>1.907772620126738</v>
      </c>
      <c r="K7" s="241">
        <v>1.7601920067751211</v>
      </c>
      <c r="L7" s="241">
        <v>1.701678664039767</v>
      </c>
      <c r="M7" s="241">
        <v>1.6421396015568721</v>
      </c>
      <c r="N7" s="241">
        <v>1.750225801756814</v>
      </c>
      <c r="O7" s="241">
        <v>1.6746954500194651</v>
      </c>
      <c r="P7" s="241">
        <v>1.718012869224889</v>
      </c>
      <c r="Q7" s="241">
        <v>1.776333603276403</v>
      </c>
      <c r="R7" s="241">
        <v>1.8822273552643389</v>
      </c>
      <c r="S7" s="241">
        <v>1.8830153563272689</v>
      </c>
      <c r="T7" s="241">
        <v>1.9177246513978441</v>
      </c>
      <c r="U7" s="241">
        <v>1.945402557723902</v>
      </c>
      <c r="V7" s="241">
        <v>1.853912995747049</v>
      </c>
      <c r="W7" s="241">
        <v>1.9681393520397821</v>
      </c>
      <c r="X7" s="241">
        <v>1.871288420004388</v>
      </c>
      <c r="Y7" s="241">
        <v>1.8051678769272159</v>
      </c>
      <c r="DA7" s="268" t="s">
        <v>996</v>
      </c>
    </row>
    <row r="8" spans="1:105" x14ac:dyDescent="0.25">
      <c r="A8" s="240" t="s">
        <v>123</v>
      </c>
      <c r="B8" s="241">
        <v>2.445866511006312</v>
      </c>
      <c r="C8" s="241">
        <v>2.5318735532712751</v>
      </c>
      <c r="D8" s="241">
        <v>2.444839635219807</v>
      </c>
      <c r="E8" s="241">
        <v>2.2251253957783068</v>
      </c>
      <c r="F8" s="241">
        <v>2.4191397103030998</v>
      </c>
      <c r="G8" s="241">
        <v>2.547122704037494</v>
      </c>
      <c r="H8" s="241">
        <v>2.6497471556786349</v>
      </c>
      <c r="I8" s="241">
        <v>2.7702175061564258</v>
      </c>
      <c r="J8" s="241">
        <v>2.641531320175484</v>
      </c>
      <c r="K8" s="241">
        <v>2.4371889324578611</v>
      </c>
      <c r="L8" s="241">
        <v>2.3561704579012162</v>
      </c>
      <c r="M8" s="241">
        <v>2.273731756001824</v>
      </c>
      <c r="N8" s="241">
        <v>2.423389571663281</v>
      </c>
      <c r="O8" s="241">
        <v>2.318809084642337</v>
      </c>
      <c r="P8" s="241">
        <v>2.3787870496960011</v>
      </c>
      <c r="Q8" s="241">
        <v>2.4595388353057901</v>
      </c>
      <c r="R8" s="241">
        <v>2.6061609534429309</v>
      </c>
      <c r="S8" s="241">
        <v>2.6072520318377559</v>
      </c>
      <c r="T8" s="241">
        <v>2.6553110557816311</v>
      </c>
      <c r="U8" s="241">
        <v>2.693634310694633</v>
      </c>
      <c r="V8" s="241">
        <v>2.5669564556497599</v>
      </c>
      <c r="W8" s="241">
        <v>2.725116025901237</v>
      </c>
      <c r="X8" s="241">
        <v>2.5910147353906909</v>
      </c>
      <c r="Y8" s="241">
        <v>2.499463214206914</v>
      </c>
      <c r="DA8" s="268" t="s">
        <v>997</v>
      </c>
    </row>
    <row r="9" spans="1:105" x14ac:dyDescent="0.25">
      <c r="A9" s="242" t="s">
        <v>122</v>
      </c>
      <c r="B9" s="243">
        <f t="shared" ref="B9" si="3">SUM(B10:B15)</f>
        <v>24.600758631437365</v>
      </c>
      <c r="C9" s="243">
        <f t="shared" ref="C9:W9" si="4">SUM(C10:C15)</f>
        <v>24.521064235522317</v>
      </c>
      <c r="D9" s="243">
        <f t="shared" si="4"/>
        <v>24.032002506975157</v>
      </c>
      <c r="E9" s="243">
        <f t="shared" si="4"/>
        <v>24.281956553121805</v>
      </c>
      <c r="F9" s="243">
        <f t="shared" si="4"/>
        <v>25.981280094165463</v>
      </c>
      <c r="G9" s="243">
        <f t="shared" si="4"/>
        <v>26.071358558506226</v>
      </c>
      <c r="H9" s="243">
        <f t="shared" si="4"/>
        <v>28.055670795663051</v>
      </c>
      <c r="I9" s="243">
        <f t="shared" si="4"/>
        <v>29.260920724176657</v>
      </c>
      <c r="J9" s="243">
        <f t="shared" si="4"/>
        <v>28.18915160646285</v>
      </c>
      <c r="K9" s="243">
        <f t="shared" si="4"/>
        <v>25.195254957267274</v>
      </c>
      <c r="L9" s="243">
        <f t="shared" si="4"/>
        <v>26.474092412433933</v>
      </c>
      <c r="M9" s="243">
        <f t="shared" si="4"/>
        <v>25.405973518360803</v>
      </c>
      <c r="N9" s="243">
        <f t="shared" si="4"/>
        <v>24.499644315750832</v>
      </c>
      <c r="O9" s="243">
        <f t="shared" si="4"/>
        <v>23.815135370037073</v>
      </c>
      <c r="P9" s="243">
        <f t="shared" si="4"/>
        <v>23.577511603728389</v>
      </c>
      <c r="Q9" s="243">
        <f t="shared" si="4"/>
        <v>22.856431864703044</v>
      </c>
      <c r="R9" s="243">
        <f t="shared" si="4"/>
        <v>23.37689973130129</v>
      </c>
      <c r="S9" s="243">
        <f t="shared" si="4"/>
        <v>23.931765893665883</v>
      </c>
      <c r="T9" s="243">
        <f t="shared" si="4"/>
        <v>23.322330401985269</v>
      </c>
      <c r="U9" s="243">
        <f t="shared" si="4"/>
        <v>23.906968789242359</v>
      </c>
      <c r="V9" s="243">
        <f t="shared" si="4"/>
        <v>24.162641525355578</v>
      </c>
      <c r="W9" s="243">
        <f t="shared" si="4"/>
        <v>25.837685594614111</v>
      </c>
      <c r="X9" s="243">
        <f t="shared" ref="X9:Y9" si="5">SUM(X10:X15)</f>
        <v>26.641252255976077</v>
      </c>
      <c r="Y9" s="243">
        <f t="shared" si="5"/>
        <v>24.673449797477446</v>
      </c>
      <c r="DA9" s="269"/>
    </row>
    <row r="10" spans="1:105" x14ac:dyDescent="0.25">
      <c r="A10" s="253" t="s">
        <v>166</v>
      </c>
      <c r="B10" s="254">
        <v>3.122591549018551</v>
      </c>
      <c r="C10" s="254">
        <v>2.527833929258863</v>
      </c>
      <c r="D10" s="254">
        <v>3.218000387740743</v>
      </c>
      <c r="E10" s="254">
        <v>3.5822456988789662</v>
      </c>
      <c r="F10" s="254">
        <v>3.457577054393731</v>
      </c>
      <c r="G10" s="254">
        <v>4.0019558939464819</v>
      </c>
      <c r="H10" s="254">
        <v>3.7107122984622039</v>
      </c>
      <c r="I10" s="254">
        <v>4.0670561356864132</v>
      </c>
      <c r="J10" s="254">
        <v>4.43969640842566</v>
      </c>
      <c r="K10" s="254">
        <v>4.3315376723348589</v>
      </c>
      <c r="L10" s="254">
        <v>5.1583977171500912</v>
      </c>
      <c r="M10" s="254">
        <v>5.4887584545157164</v>
      </c>
      <c r="N10" s="254">
        <v>6.5705633405036776</v>
      </c>
      <c r="O10" s="254">
        <v>6.4622617238390916</v>
      </c>
      <c r="P10" s="254">
        <v>7.8314565298013754</v>
      </c>
      <c r="Q10" s="254">
        <v>6.6004041292540299</v>
      </c>
      <c r="R10" s="254">
        <v>6.5887664365383269</v>
      </c>
      <c r="S10" s="254">
        <v>6.9279396883272639</v>
      </c>
      <c r="T10" s="254">
        <v>6.8715026753992614</v>
      </c>
      <c r="U10" s="254">
        <v>7.8530523612024874</v>
      </c>
      <c r="V10" s="254">
        <v>8.9372000210219138</v>
      </c>
      <c r="W10" s="254">
        <v>9.0873049441211542</v>
      </c>
      <c r="X10" s="254">
        <v>11.70726823818201</v>
      </c>
      <c r="Y10" s="254">
        <v>9.5549638077474253</v>
      </c>
      <c r="DA10" s="270" t="s">
        <v>998</v>
      </c>
    </row>
    <row r="11" spans="1:105" x14ac:dyDescent="0.25">
      <c r="A11" s="253" t="s">
        <v>169</v>
      </c>
      <c r="B11" s="255">
        <v>7.1261595944658529</v>
      </c>
      <c r="C11" s="255">
        <v>8.3005530470094744</v>
      </c>
      <c r="D11" s="255">
        <v>8.8924892485477347</v>
      </c>
      <c r="E11" s="255">
        <v>9.1864541195618177</v>
      </c>
      <c r="F11" s="255">
        <v>10.249180650303231</v>
      </c>
      <c r="G11" s="255">
        <v>9.2830250237991851</v>
      </c>
      <c r="H11" s="255">
        <v>12.534735615565729</v>
      </c>
      <c r="I11" s="255">
        <v>13.78069443247961</v>
      </c>
      <c r="J11" s="255">
        <v>11.597458089181769</v>
      </c>
      <c r="K11" s="255">
        <v>9.4585999076745875</v>
      </c>
      <c r="L11" s="255">
        <v>11.48111096741726</v>
      </c>
      <c r="M11" s="255">
        <v>11.692996243210491</v>
      </c>
      <c r="N11" s="255">
        <v>10.34523685416943</v>
      </c>
      <c r="O11" s="255">
        <v>10.186393113361691</v>
      </c>
      <c r="P11" s="255">
        <v>9.0513065243136879</v>
      </c>
      <c r="Q11" s="255">
        <v>8.7774840518519852</v>
      </c>
      <c r="R11" s="255">
        <v>8.7054123085220745</v>
      </c>
      <c r="S11" s="255">
        <v>9.3255330594813692</v>
      </c>
      <c r="T11" s="255">
        <v>8.7157114457487044</v>
      </c>
      <c r="U11" s="255">
        <v>9.0371241436356691</v>
      </c>
      <c r="V11" s="255">
        <v>9.0115041669508109</v>
      </c>
      <c r="W11" s="255">
        <v>10.48931223538564</v>
      </c>
      <c r="X11" s="255">
        <v>9.1537037899986249</v>
      </c>
      <c r="Y11" s="255">
        <v>9.5670754519788392</v>
      </c>
      <c r="DA11" s="271" t="s">
        <v>999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1000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1001</v>
      </c>
    </row>
    <row r="14" spans="1:105" x14ac:dyDescent="0.25">
      <c r="A14" s="253" t="s">
        <v>162</v>
      </c>
      <c r="B14" s="254">
        <v>11.775064488357961</v>
      </c>
      <c r="C14" s="254">
        <v>10.81969045569873</v>
      </c>
      <c r="D14" s="254">
        <v>9.3388650043073671</v>
      </c>
      <c r="E14" s="254">
        <v>9.601633705931075</v>
      </c>
      <c r="F14" s="254">
        <v>10.150988822010421</v>
      </c>
      <c r="G14" s="254">
        <v>10.342046431645979</v>
      </c>
      <c r="H14" s="254">
        <v>9.506104901113023</v>
      </c>
      <c r="I14" s="254">
        <v>9.0044711951788692</v>
      </c>
      <c r="J14" s="254">
        <v>9.8882201203718374</v>
      </c>
      <c r="K14" s="254">
        <v>9.1239036973366066</v>
      </c>
      <c r="L14" s="254">
        <v>8.0490971624990753</v>
      </c>
      <c r="M14" s="254">
        <v>6.4966466036005226</v>
      </c>
      <c r="N14" s="254">
        <v>5.397936371447881</v>
      </c>
      <c r="O14" s="254">
        <v>5.0874462596685976</v>
      </c>
      <c r="P14" s="254">
        <v>4.3470335339658908</v>
      </c>
      <c r="Q14" s="254">
        <v>4.6336199484197378</v>
      </c>
      <c r="R14" s="254">
        <v>4.8485812553823866</v>
      </c>
      <c r="S14" s="254">
        <v>4.5619948409400823</v>
      </c>
      <c r="T14" s="254">
        <v>4.2753224419685489</v>
      </c>
      <c r="U14" s="254">
        <v>3.606534823740609</v>
      </c>
      <c r="V14" s="254">
        <v>3.4154772141044658</v>
      </c>
      <c r="W14" s="254">
        <v>3.343852106623018</v>
      </c>
      <c r="X14" s="254">
        <v>3.5110060189147219</v>
      </c>
      <c r="Y14" s="254">
        <v>3.0572656921767121</v>
      </c>
      <c r="DA14" s="270" t="s">
        <v>1002</v>
      </c>
    </row>
    <row r="15" spans="1:105" x14ac:dyDescent="0.25">
      <c r="A15" s="253" t="s">
        <v>24</v>
      </c>
      <c r="B15" s="255">
        <v>2.5769429995950031</v>
      </c>
      <c r="C15" s="255">
        <v>2.872986803555249</v>
      </c>
      <c r="D15" s="255">
        <v>2.5826478663793151</v>
      </c>
      <c r="E15" s="255">
        <v>1.9116230287499481</v>
      </c>
      <c r="F15" s="255">
        <v>2.123533567458082</v>
      </c>
      <c r="G15" s="255">
        <v>2.444331209114579</v>
      </c>
      <c r="H15" s="255">
        <v>2.3041179805220939</v>
      </c>
      <c r="I15" s="255">
        <v>2.4086989608317642</v>
      </c>
      <c r="J15" s="255">
        <v>2.2637769884835852</v>
      </c>
      <c r="K15" s="255">
        <v>2.2812136799212221</v>
      </c>
      <c r="L15" s="255">
        <v>1.7854865653675061</v>
      </c>
      <c r="M15" s="255">
        <v>1.7275722170340719</v>
      </c>
      <c r="N15" s="255">
        <v>2.185907749629846</v>
      </c>
      <c r="O15" s="255">
        <v>2.0790342731676978</v>
      </c>
      <c r="P15" s="255">
        <v>2.3477150156474349</v>
      </c>
      <c r="Q15" s="255">
        <v>2.844923735177288</v>
      </c>
      <c r="R15" s="255">
        <v>3.234139730858502</v>
      </c>
      <c r="S15" s="255">
        <v>3.1162983049171649</v>
      </c>
      <c r="T15" s="255">
        <v>3.4597938388687561</v>
      </c>
      <c r="U15" s="255">
        <v>3.4102574606635949</v>
      </c>
      <c r="V15" s="255">
        <v>2.7984601232783901</v>
      </c>
      <c r="W15" s="255">
        <v>2.9172163084843001</v>
      </c>
      <c r="X15" s="255">
        <v>2.2692742088807218</v>
      </c>
      <c r="Y15" s="255">
        <v>2.4941448455744681</v>
      </c>
      <c r="DA15" s="271" t="s">
        <v>1003</v>
      </c>
    </row>
    <row r="16" spans="1:105" x14ac:dyDescent="0.25">
      <c r="A16" s="256" t="s">
        <v>168</v>
      </c>
      <c r="B16" s="257">
        <v>18.69610623974231</v>
      </c>
      <c r="C16" s="257">
        <v>17.733434610000131</v>
      </c>
      <c r="D16" s="257">
        <v>18.9506477206135</v>
      </c>
      <c r="E16" s="257">
        <v>19.572108300581039</v>
      </c>
      <c r="F16" s="257">
        <v>20.404540289565571</v>
      </c>
      <c r="G16" s="257">
        <v>21.325215776207241</v>
      </c>
      <c r="H16" s="257">
        <v>22.28548577835835</v>
      </c>
      <c r="I16" s="257">
        <v>23.678699504021122</v>
      </c>
      <c r="J16" s="257">
        <v>23.4401797805595</v>
      </c>
      <c r="K16" s="257">
        <v>21.383446204198329</v>
      </c>
      <c r="L16" s="257">
        <v>23.488708808149571</v>
      </c>
      <c r="M16" s="257">
        <v>23.354290848330709</v>
      </c>
      <c r="N16" s="257">
        <v>24.125732151325259</v>
      </c>
      <c r="O16" s="257">
        <v>23.48060984429636</v>
      </c>
      <c r="P16" s="257">
        <v>24.606900722165229</v>
      </c>
      <c r="Q16" s="257">
        <v>22.926277348481719</v>
      </c>
      <c r="R16" s="257">
        <v>23.303815316711631</v>
      </c>
      <c r="S16" s="257">
        <v>24.05422401613021</v>
      </c>
      <c r="T16" s="257">
        <v>23.60692147693668</v>
      </c>
      <c r="U16" s="257">
        <v>25.027167269685791</v>
      </c>
      <c r="V16" s="257">
        <v>26.139414043427291</v>
      </c>
      <c r="W16" s="257">
        <v>27.622266324042929</v>
      </c>
      <c r="X16" s="257">
        <v>30.155258013075279</v>
      </c>
      <c r="Y16" s="257">
        <v>27.020162636516059</v>
      </c>
      <c r="DA16" s="272" t="s">
        <v>1004</v>
      </c>
    </row>
    <row r="17" spans="1:105" x14ac:dyDescent="0.25">
      <c r="A17" s="256" t="s">
        <v>121</v>
      </c>
      <c r="B17" s="257">
        <f t="shared" ref="B17" si="6">SUM(B18:B24)</f>
        <v>39.065195515620914</v>
      </c>
      <c r="C17" s="257">
        <f t="shared" ref="C17:W17" si="7">SUM(C18:C24)</f>
        <v>39.170533971389986</v>
      </c>
      <c r="D17" s="257">
        <f t="shared" si="7"/>
        <v>40.453227693375972</v>
      </c>
      <c r="E17" s="257">
        <f t="shared" si="7"/>
        <v>42.868153578861254</v>
      </c>
      <c r="F17" s="257">
        <f t="shared" si="7"/>
        <v>44.769175295181967</v>
      </c>
      <c r="G17" s="257">
        <f t="shared" si="7"/>
        <v>44.148133269002699</v>
      </c>
      <c r="H17" s="257">
        <f t="shared" si="7"/>
        <v>48.636337563377595</v>
      </c>
      <c r="I17" s="257">
        <f t="shared" si="7"/>
        <v>52.17757475060322</v>
      </c>
      <c r="J17" s="257">
        <f t="shared" si="7"/>
        <v>49.307261844389252</v>
      </c>
      <c r="K17" s="257">
        <f t="shared" si="7"/>
        <v>44.800899794543113</v>
      </c>
      <c r="L17" s="257">
        <f t="shared" si="7"/>
        <v>49.094602813866452</v>
      </c>
      <c r="M17" s="257">
        <f t="shared" si="7"/>
        <v>49.207703173856352</v>
      </c>
      <c r="N17" s="257">
        <f t="shared" si="7"/>
        <v>47.199979218211979</v>
      </c>
      <c r="O17" s="257">
        <f t="shared" si="7"/>
        <v>47.999669087943104</v>
      </c>
      <c r="P17" s="257">
        <f t="shared" si="7"/>
        <v>51.494898844923384</v>
      </c>
      <c r="Q17" s="257">
        <f t="shared" si="7"/>
        <v>48.661898338680949</v>
      </c>
      <c r="R17" s="257">
        <f t="shared" si="7"/>
        <v>48.332668053786477</v>
      </c>
      <c r="S17" s="257">
        <f t="shared" si="7"/>
        <v>51.796824815790146</v>
      </c>
      <c r="T17" s="257">
        <f t="shared" si="7"/>
        <v>49.474154885733697</v>
      </c>
      <c r="U17" s="257">
        <f t="shared" si="7"/>
        <v>52.948198014631494</v>
      </c>
      <c r="V17" s="257">
        <f t="shared" si="7"/>
        <v>54.21623261457141</v>
      </c>
      <c r="W17" s="257">
        <f t="shared" si="7"/>
        <v>57.849845641224412</v>
      </c>
      <c r="X17" s="257">
        <f t="shared" ref="X17:Y17" si="8">SUM(X18:X24)</f>
        <v>60.2093921880547</v>
      </c>
      <c r="Y17" s="257">
        <f t="shared" si="8"/>
        <v>58.523860196010546</v>
      </c>
      <c r="DA17" s="272"/>
    </row>
    <row r="18" spans="1:105" x14ac:dyDescent="0.25">
      <c r="A18" s="61" t="s">
        <v>29</v>
      </c>
      <c r="B18" s="55">
        <v>0.54230438521761859</v>
      </c>
      <c r="C18" s="55">
        <v>0.54230438521430435</v>
      </c>
      <c r="D18" s="55">
        <v>0.54230438520633029</v>
      </c>
      <c r="E18" s="55">
        <v>1.0846087704119041</v>
      </c>
      <c r="F18" s="55">
        <v>0.54230438520743884</v>
      </c>
      <c r="G18" s="55">
        <v>1.0846087704134291</v>
      </c>
      <c r="H18" s="55">
        <v>1.084608770415467</v>
      </c>
      <c r="I18" s="55">
        <v>0.8599312123763676</v>
      </c>
      <c r="J18" s="55">
        <v>0.85993121237534187</v>
      </c>
      <c r="K18" s="55">
        <v>0.54230438520351831</v>
      </c>
      <c r="L18" s="55">
        <v>0.85993121237535064</v>
      </c>
      <c r="M18" s="55">
        <v>0.9176268271636403</v>
      </c>
      <c r="N18" s="55">
        <v>0.9176268271628123</v>
      </c>
      <c r="O18" s="55">
        <v>1.8353396388444849</v>
      </c>
      <c r="P18" s="55">
        <v>2.1175408426257141</v>
      </c>
      <c r="Q18" s="55">
        <v>2.1175408426220259</v>
      </c>
      <c r="R18" s="55">
        <v>2.7175408426276042</v>
      </c>
      <c r="S18" s="55">
        <v>2.636457437630491</v>
      </c>
      <c r="T18" s="55">
        <v>2.7952708512271132</v>
      </c>
      <c r="U18" s="55">
        <v>2.184694754922337</v>
      </c>
      <c r="V18" s="55">
        <v>1.2987962166708931</v>
      </c>
      <c r="W18" s="55">
        <v>1.1258813413496349</v>
      </c>
      <c r="X18" s="55">
        <v>2.0929492691158158</v>
      </c>
      <c r="Y18" s="55">
        <v>0.55064488391786459</v>
      </c>
      <c r="DA18" s="101" t="s">
        <v>1005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1.1097162510682099</v>
      </c>
      <c r="G19" s="55">
        <v>1.109716251066728</v>
      </c>
      <c r="H19" s="55">
        <v>1.109716251068813</v>
      </c>
      <c r="I19" s="55">
        <v>1.1086844367944091</v>
      </c>
      <c r="J19" s="55">
        <v>1.108684436793087</v>
      </c>
      <c r="K19" s="55">
        <v>1.108684436786771</v>
      </c>
      <c r="L19" s="55">
        <v>1.1086844367930979</v>
      </c>
      <c r="M19" s="55">
        <v>1.1086844367923521</v>
      </c>
      <c r="N19" s="55">
        <v>1.108684436791352</v>
      </c>
      <c r="O19" s="55">
        <v>1.108684436788981</v>
      </c>
      <c r="P19" s="55">
        <v>2.2174548581018612</v>
      </c>
      <c r="Q19" s="55">
        <v>1.0926913155496289</v>
      </c>
      <c r="R19" s="55">
        <v>2.1854686156325198</v>
      </c>
      <c r="S19" s="55">
        <v>3.390369733408463</v>
      </c>
      <c r="T19" s="55">
        <v>2.4039552880312409</v>
      </c>
      <c r="U19" s="55">
        <v>3.606018916559075</v>
      </c>
      <c r="V19" s="55">
        <v>3.6091143593872261</v>
      </c>
      <c r="W19" s="55">
        <v>4.8122098021974686</v>
      </c>
      <c r="X19" s="55">
        <v>4.707910576060895</v>
      </c>
      <c r="Y19" s="55">
        <v>4.5874462596480159</v>
      </c>
      <c r="DA19" s="101" t="s">
        <v>1006</v>
      </c>
    </row>
    <row r="20" spans="1:105" x14ac:dyDescent="0.25">
      <c r="A20" s="61" t="s">
        <v>166</v>
      </c>
      <c r="B20" s="55">
        <v>7.2857661157186921</v>
      </c>
      <c r="C20" s="55">
        <v>5.9628325040037522</v>
      </c>
      <c r="D20" s="55">
        <v>6.8869035285985341</v>
      </c>
      <c r="E20" s="55">
        <v>6.8035328922032292</v>
      </c>
      <c r="F20" s="55">
        <v>6.9575648881019516</v>
      </c>
      <c r="G20" s="55">
        <v>8.3809433317519915</v>
      </c>
      <c r="H20" s="55">
        <v>7.5273930415964019</v>
      </c>
      <c r="I20" s="55">
        <v>7.8238753742563603</v>
      </c>
      <c r="J20" s="55">
        <v>8.764307208172383</v>
      </c>
      <c r="K20" s="55">
        <v>8.2382615255690155</v>
      </c>
      <c r="L20" s="55">
        <v>9.0164704454001257</v>
      </c>
      <c r="M20" s="55">
        <v>8.8463571990141574</v>
      </c>
      <c r="N20" s="55">
        <v>10.9596614725472</v>
      </c>
      <c r="O20" s="55">
        <v>9.779613362532503</v>
      </c>
      <c r="P20" s="55">
        <v>10.15385799220226</v>
      </c>
      <c r="Q20" s="55">
        <v>9.062942150248249</v>
      </c>
      <c r="R20" s="55">
        <v>9.6482265362772281</v>
      </c>
      <c r="S20" s="55">
        <v>9.2333638946608101</v>
      </c>
      <c r="T20" s="55">
        <v>9.618413193311163</v>
      </c>
      <c r="U20" s="55">
        <v>10.11713643210255</v>
      </c>
      <c r="V20" s="55">
        <v>11.14493368640659</v>
      </c>
      <c r="W20" s="55">
        <v>11.379312649112331</v>
      </c>
      <c r="X20" s="55">
        <v>14.246157027415061</v>
      </c>
      <c r="Y20" s="55">
        <v>10.60452120284916</v>
      </c>
      <c r="DA20" s="101" t="s">
        <v>1007</v>
      </c>
    </row>
    <row r="21" spans="1:105" x14ac:dyDescent="0.25">
      <c r="A21" s="61" t="s">
        <v>129</v>
      </c>
      <c r="B21" s="55">
        <v>8.1134135856586731</v>
      </c>
      <c r="C21" s="55">
        <v>4.0092863284878044</v>
      </c>
      <c r="D21" s="55">
        <v>4.0092863284288516</v>
      </c>
      <c r="E21" s="55">
        <v>5.0411006018478783</v>
      </c>
      <c r="F21" s="55">
        <v>8.0596732587655087</v>
      </c>
      <c r="G21" s="55">
        <v>8.04170249349262</v>
      </c>
      <c r="H21" s="55">
        <v>7.1816852966078208</v>
      </c>
      <c r="I21" s="55">
        <v>7.1809114358964079</v>
      </c>
      <c r="J21" s="55">
        <v>6.1501289767381984</v>
      </c>
      <c r="K21" s="55">
        <v>6.1501289767031659</v>
      </c>
      <c r="L21" s="55">
        <v>7.1739466895423076</v>
      </c>
      <c r="M21" s="55">
        <v>7.0930352535966108</v>
      </c>
      <c r="N21" s="55">
        <v>5.1114359414843076</v>
      </c>
      <c r="O21" s="55">
        <v>8.2048151331842796</v>
      </c>
      <c r="P21" s="55">
        <v>13.352192605188479</v>
      </c>
      <c r="Q21" s="55">
        <v>13.44505588977284</v>
      </c>
      <c r="R21" s="55">
        <v>9.3063628546152035</v>
      </c>
      <c r="S21" s="55">
        <v>9.3710232157119258</v>
      </c>
      <c r="T21" s="55">
        <v>7.3377472054513921</v>
      </c>
      <c r="U21" s="55">
        <v>10.32656921743793</v>
      </c>
      <c r="V21" s="55">
        <v>9.7049871022460756</v>
      </c>
      <c r="W21" s="55">
        <v>9.5079105760209703</v>
      </c>
      <c r="X21" s="55">
        <v>10.22957867576141</v>
      </c>
      <c r="Y21" s="55">
        <v>14.77532244187914</v>
      </c>
      <c r="DA21" s="101" t="s">
        <v>1008</v>
      </c>
    </row>
    <row r="22" spans="1:105" x14ac:dyDescent="0.25">
      <c r="A22" s="61" t="s">
        <v>169</v>
      </c>
      <c r="B22" s="55">
        <v>16.627064825331249</v>
      </c>
      <c r="C22" s="55">
        <v>19.579928466434861</v>
      </c>
      <c r="D22" s="55">
        <v>19.03098452602854</v>
      </c>
      <c r="E22" s="55">
        <v>17.447251813216951</v>
      </c>
      <c r="F22" s="55">
        <v>20.62407816298613</v>
      </c>
      <c r="G22" s="55">
        <v>19.440620719828711</v>
      </c>
      <c r="H22" s="55">
        <v>25.427431194264852</v>
      </c>
      <c r="I22" s="55">
        <v>26.510191207929321</v>
      </c>
      <c r="J22" s="55">
        <v>22.894287396452</v>
      </c>
      <c r="K22" s="55">
        <v>17.989551424850742</v>
      </c>
      <c r="L22" s="55">
        <v>20.068072179449779</v>
      </c>
      <c r="M22" s="55">
        <v>18.845868760915859</v>
      </c>
      <c r="N22" s="55">
        <v>17.255794959937901</v>
      </c>
      <c r="O22" s="55">
        <v>15.41549854595792</v>
      </c>
      <c r="P22" s="55">
        <v>11.73545185905615</v>
      </c>
      <c r="Q22" s="55">
        <v>12.052266592902059</v>
      </c>
      <c r="R22" s="55">
        <v>12.74772612647741</v>
      </c>
      <c r="S22" s="55">
        <v>12.42880915879786</v>
      </c>
      <c r="T22" s="55">
        <v>12.199851752806239</v>
      </c>
      <c r="U22" s="55">
        <v>11.642583508893081</v>
      </c>
      <c r="V22" s="55">
        <v>11.23759299548043</v>
      </c>
      <c r="W22" s="55">
        <v>13.13493539994284</v>
      </c>
      <c r="X22" s="55">
        <v>11.13881555643035</v>
      </c>
      <c r="Y22" s="55">
        <v>10.617963241002069</v>
      </c>
      <c r="DA22" s="101" t="s">
        <v>1009</v>
      </c>
    </row>
    <row r="23" spans="1:105" x14ac:dyDescent="0.25">
      <c r="A23" s="61" t="s">
        <v>164</v>
      </c>
      <c r="B23" s="55">
        <v>6.4966466036946828</v>
      </c>
      <c r="C23" s="55">
        <v>9.0761822872492619</v>
      </c>
      <c r="D23" s="55">
        <v>9.9837489251137139</v>
      </c>
      <c r="E23" s="55">
        <v>12.491659501181291</v>
      </c>
      <c r="F23" s="55">
        <v>7.4758383490527276</v>
      </c>
      <c r="G23" s="55">
        <v>6.0905417024492152</v>
      </c>
      <c r="H23" s="55">
        <v>6.3055030094242452</v>
      </c>
      <c r="I23" s="55">
        <v>8.6939810833503568</v>
      </c>
      <c r="J23" s="55">
        <v>9.5299226138582398</v>
      </c>
      <c r="K23" s="55">
        <v>10.7719690454299</v>
      </c>
      <c r="L23" s="55">
        <v>10.86749785030579</v>
      </c>
      <c r="M23" s="55">
        <v>12.39613069637373</v>
      </c>
      <c r="N23" s="55">
        <v>11.84677558028841</v>
      </c>
      <c r="O23" s="55">
        <v>11.655717970634941</v>
      </c>
      <c r="P23" s="55">
        <v>11.918400687748919</v>
      </c>
      <c r="Q23" s="55">
        <v>10.891401547586151</v>
      </c>
      <c r="R23" s="55">
        <v>11.72734307815651</v>
      </c>
      <c r="S23" s="55">
        <v>14.736801375580599</v>
      </c>
      <c r="T23" s="55">
        <v>15.118916594906549</v>
      </c>
      <c r="U23" s="55">
        <v>15.071195184716521</v>
      </c>
      <c r="V23" s="55">
        <v>17.220808254380199</v>
      </c>
      <c r="W23" s="55">
        <v>17.88959587260117</v>
      </c>
      <c r="X23" s="55">
        <v>17.79398108327117</v>
      </c>
      <c r="Y23" s="55">
        <v>17.387962166714299</v>
      </c>
      <c r="DA23" s="101" t="s">
        <v>1010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1011</v>
      </c>
    </row>
    <row r="25" spans="1:105" x14ac:dyDescent="0.25">
      <c r="A25" s="256" t="s">
        <v>167</v>
      </c>
      <c r="B25" s="257">
        <v>3.5926126221783501</v>
      </c>
      <c r="C25" s="257">
        <v>3.4076272458825629</v>
      </c>
      <c r="D25" s="257">
        <v>3.6415248890065062</v>
      </c>
      <c r="E25" s="257">
        <v>3.760943718528968</v>
      </c>
      <c r="F25" s="257">
        <v>3.9209024624717959</v>
      </c>
      <c r="G25" s="257">
        <v>4.0978179298865056</v>
      </c>
      <c r="H25" s="257">
        <v>4.2823418134261653</v>
      </c>
      <c r="I25" s="257">
        <v>4.5500594414726123</v>
      </c>
      <c r="J25" s="257">
        <v>4.5042258888516304</v>
      </c>
      <c r="K25" s="257">
        <v>4.109007391901379</v>
      </c>
      <c r="L25" s="257">
        <v>4.5135511459306423</v>
      </c>
      <c r="M25" s="257">
        <v>4.4877216147491081</v>
      </c>
      <c r="N25" s="257">
        <v>4.6359604900993432</v>
      </c>
      <c r="O25" s="257">
        <v>4.5119948625317079</v>
      </c>
      <c r="P25" s="257">
        <v>4.7284210409128944</v>
      </c>
      <c r="Q25" s="257">
        <v>4.4054752538062321</v>
      </c>
      <c r="R25" s="257">
        <v>4.4780223206992904</v>
      </c>
      <c r="S25" s="257">
        <v>4.6222196059924654</v>
      </c>
      <c r="T25" s="257">
        <v>4.5362666953899824</v>
      </c>
      <c r="U25" s="257">
        <v>4.8091787604048903</v>
      </c>
      <c r="V25" s="257">
        <v>5.0229062471382946</v>
      </c>
      <c r="W25" s="257">
        <v>5.3078486705420218</v>
      </c>
      <c r="X25" s="257">
        <v>5.7945841328462766</v>
      </c>
      <c r="Y25" s="257">
        <v>5.1921494292170536</v>
      </c>
      <c r="DA25" s="272" t="s">
        <v>1012</v>
      </c>
    </row>
    <row r="26" spans="1:105" x14ac:dyDescent="0.25">
      <c r="A26" s="256" t="s">
        <v>170</v>
      </c>
      <c r="B26" s="257">
        <v>2.7176294566736798</v>
      </c>
      <c r="C26" s="257">
        <v>2.8131928369680841</v>
      </c>
      <c r="D26" s="257">
        <v>2.7164884835775629</v>
      </c>
      <c r="E26" s="257">
        <v>2.4723615508647869</v>
      </c>
      <c r="F26" s="257">
        <v>2.687933011447889</v>
      </c>
      <c r="G26" s="257">
        <v>2.8301363378194382</v>
      </c>
      <c r="H26" s="257">
        <v>2.9441635063095939</v>
      </c>
      <c r="I26" s="257">
        <v>3.0780194512849182</v>
      </c>
      <c r="J26" s="257">
        <v>2.9350348001949831</v>
      </c>
      <c r="K26" s="257">
        <v>2.7079877027309571</v>
      </c>
      <c r="L26" s="257">
        <v>2.6179671754457958</v>
      </c>
      <c r="M26" s="257">
        <v>2.5263686177798039</v>
      </c>
      <c r="N26" s="257">
        <v>2.6926550796258679</v>
      </c>
      <c r="O26" s="257">
        <v>2.5764545384914852</v>
      </c>
      <c r="P26" s="257">
        <v>2.643096721884445</v>
      </c>
      <c r="Q26" s="257">
        <v>2.732820928117544</v>
      </c>
      <c r="R26" s="257">
        <v>2.8957343927143691</v>
      </c>
      <c r="S26" s="257">
        <v>2.8969467020419519</v>
      </c>
      <c r="T26" s="257">
        <v>2.9503456175351461</v>
      </c>
      <c r="U26" s="257">
        <v>2.992927011882927</v>
      </c>
      <c r="V26" s="257">
        <v>2.8521738396108458</v>
      </c>
      <c r="W26" s="257">
        <v>3.0279066954458189</v>
      </c>
      <c r="X26" s="257">
        <v>2.8789052615452122</v>
      </c>
      <c r="Y26" s="257">
        <v>2.7771813491187931</v>
      </c>
      <c r="DA26" s="272" t="s">
        <v>1013</v>
      </c>
    </row>
    <row r="27" spans="1:105" x14ac:dyDescent="0.25">
      <c r="A27" s="128" t="s">
        <v>33</v>
      </c>
      <c r="B27" s="258">
        <v>3.9405627121768378</v>
      </c>
      <c r="C27" s="258">
        <v>4.0791296136037198</v>
      </c>
      <c r="D27" s="258">
        <v>3.938908301187467</v>
      </c>
      <c r="E27" s="258">
        <v>3.584924248753941</v>
      </c>
      <c r="F27" s="258">
        <v>3.8975028665994391</v>
      </c>
      <c r="G27" s="258">
        <v>4.1036976898381843</v>
      </c>
      <c r="H27" s="258">
        <v>4.2690370841489118</v>
      </c>
      <c r="I27" s="258">
        <v>4.463128204363132</v>
      </c>
      <c r="J27" s="258">
        <v>4.2558004602827264</v>
      </c>
      <c r="K27" s="258">
        <v>3.9265821689598872</v>
      </c>
      <c r="L27" s="258">
        <v>3.7960524043964039</v>
      </c>
      <c r="M27" s="258">
        <v>3.6632344957807161</v>
      </c>
      <c r="N27" s="258">
        <v>3.9043498654575082</v>
      </c>
      <c r="O27" s="258">
        <v>3.7358590808126539</v>
      </c>
      <c r="P27" s="258">
        <v>3.832490246732446</v>
      </c>
      <c r="Q27" s="258">
        <v>3.962590345770439</v>
      </c>
      <c r="R27" s="258">
        <v>4.198814869435834</v>
      </c>
      <c r="S27" s="258">
        <v>4.2005727179608314</v>
      </c>
      <c r="T27" s="258">
        <v>4.2780011454259634</v>
      </c>
      <c r="U27" s="258">
        <v>4.3397441672302444</v>
      </c>
      <c r="V27" s="258">
        <v>4.1356520674357284</v>
      </c>
      <c r="W27" s="258">
        <v>4.3904647083964372</v>
      </c>
      <c r="X27" s="258">
        <v>4.1744126292405577</v>
      </c>
      <c r="Y27" s="258">
        <v>4.026912956222251</v>
      </c>
      <c r="DA27" s="273" t="s">
        <v>1014</v>
      </c>
    </row>
    <row r="29" spans="1:105" ht="12.75" x14ac:dyDescent="0.25">
      <c r="A29" s="178" t="s">
        <v>127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</v>
      </c>
      <c r="C31" s="235">
        <f t="shared" si="9"/>
        <v>0.99999999999999989</v>
      </c>
      <c r="D31" s="235">
        <f t="shared" si="9"/>
        <v>1</v>
      </c>
      <c r="E31" s="235">
        <f t="shared" si="9"/>
        <v>1.0000000000000002</v>
      </c>
      <c r="F31" s="235">
        <f t="shared" si="9"/>
        <v>0.99999999999999989</v>
      </c>
      <c r="G31" s="235">
        <f t="shared" si="9"/>
        <v>0.99999999999999989</v>
      </c>
      <c r="H31" s="235">
        <f t="shared" si="9"/>
        <v>1</v>
      </c>
      <c r="I31" s="235">
        <f t="shared" si="9"/>
        <v>1.0000000000000002</v>
      </c>
      <c r="J31" s="235">
        <f t="shared" si="9"/>
        <v>1</v>
      </c>
      <c r="K31" s="235">
        <f t="shared" si="9"/>
        <v>1</v>
      </c>
      <c r="L31" s="235">
        <f t="shared" si="9"/>
        <v>0.99999999999999989</v>
      </c>
      <c r="M31" s="235">
        <f t="shared" si="9"/>
        <v>1</v>
      </c>
      <c r="N31" s="235">
        <f t="shared" si="9"/>
        <v>0.99999999999999989</v>
      </c>
      <c r="O31" s="235">
        <f t="shared" si="9"/>
        <v>0.99999999999999989</v>
      </c>
      <c r="P31" s="235">
        <f t="shared" si="9"/>
        <v>1</v>
      </c>
      <c r="Q31" s="235">
        <f t="shared" si="9"/>
        <v>0.99999999999999989</v>
      </c>
      <c r="R31" s="235">
        <f t="shared" ref="R31:W31" si="10">SUM(R32:R40)</f>
        <v>0.99999999999999978</v>
      </c>
      <c r="S31" s="235">
        <f t="shared" si="10"/>
        <v>0.99999999999999989</v>
      </c>
      <c r="T31" s="235">
        <f t="shared" si="10"/>
        <v>1</v>
      </c>
      <c r="U31" s="235">
        <f t="shared" si="10"/>
        <v>0.99999999999999989</v>
      </c>
      <c r="V31" s="235">
        <f t="shared" si="10"/>
        <v>1</v>
      </c>
      <c r="W31" s="235">
        <f t="shared" si="10"/>
        <v>0.99999999999999989</v>
      </c>
      <c r="X31" s="235">
        <f t="shared" ref="X31:Y31" si="11">SUM(X32:X40)</f>
        <v>1.0000000000000002</v>
      </c>
      <c r="Y31" s="235">
        <f t="shared" si="11"/>
        <v>1.0000000000000002</v>
      </c>
      <c r="DA31" s="274"/>
    </row>
    <row r="32" spans="1:105" x14ac:dyDescent="0.25">
      <c r="A32" s="238" t="s">
        <v>125</v>
      </c>
      <c r="B32" s="244">
        <f t="shared" ref="B32:Y32" si="12">IF(B$6=0,0,B$6/B$5)</f>
        <v>2.7301109700250334E-2</v>
      </c>
      <c r="C32" s="244">
        <f t="shared" si="12"/>
        <v>2.8445217093455624E-2</v>
      </c>
      <c r="D32" s="244">
        <f t="shared" si="12"/>
        <v>2.6986813633861406E-2</v>
      </c>
      <c r="E32" s="244">
        <f t="shared" si="12"/>
        <v>2.4039693464235866E-2</v>
      </c>
      <c r="F32" s="244">
        <f t="shared" si="12"/>
        <v>2.4770023139703581E-2</v>
      </c>
      <c r="G32" s="244">
        <f t="shared" si="12"/>
        <v>2.5776971175265062E-2</v>
      </c>
      <c r="H32" s="244">
        <f t="shared" si="12"/>
        <v>2.4954629588905149E-2</v>
      </c>
      <c r="I32" s="244">
        <f t="shared" si="12"/>
        <v>2.4612862898634711E-2</v>
      </c>
      <c r="J32" s="244">
        <f t="shared" si="12"/>
        <v>2.4435004231555812E-2</v>
      </c>
      <c r="K32" s="244">
        <f t="shared" si="12"/>
        <v>2.4837419012557586E-2</v>
      </c>
      <c r="L32" s="244">
        <f t="shared" si="12"/>
        <v>2.2440848820860365E-2</v>
      </c>
      <c r="M32" s="244">
        <f t="shared" si="12"/>
        <v>2.1951714217134169E-2</v>
      </c>
      <c r="N32" s="244">
        <f t="shared" si="12"/>
        <v>2.3635415694145973E-2</v>
      </c>
      <c r="O32" s="244">
        <f t="shared" si="12"/>
        <v>2.2863269254365794E-2</v>
      </c>
      <c r="P32" s="244">
        <f t="shared" si="12"/>
        <v>2.2470876207833952E-2</v>
      </c>
      <c r="Q32" s="244">
        <f t="shared" si="12"/>
        <v>2.4288678522633649E-2</v>
      </c>
      <c r="R32" s="244">
        <f t="shared" si="12"/>
        <v>2.5407847911738689E-2</v>
      </c>
      <c r="S32" s="244">
        <f t="shared" si="12"/>
        <v>2.4366661274812466E-2</v>
      </c>
      <c r="T32" s="244">
        <f t="shared" si="12"/>
        <v>2.5501857338275594E-2</v>
      </c>
      <c r="U32" s="244">
        <f t="shared" si="12"/>
        <v>2.4601527039192151E-2</v>
      </c>
      <c r="V32" s="244">
        <f t="shared" si="12"/>
        <v>2.3038176876990113E-2</v>
      </c>
      <c r="W32" s="244">
        <f t="shared" si="12"/>
        <v>2.2980961661172802E-2</v>
      </c>
      <c r="X32" s="244">
        <f t="shared" si="12"/>
        <v>2.0984037252814235E-2</v>
      </c>
      <c r="Y32" s="244">
        <f t="shared" si="12"/>
        <v>2.1479330142276109E-2</v>
      </c>
      <c r="DA32" s="275"/>
    </row>
    <row r="33" spans="1:105" x14ac:dyDescent="0.25">
      <c r="A33" s="240" t="s">
        <v>124</v>
      </c>
      <c r="B33" s="245">
        <f t="shared" ref="B33:Y33" si="13">IF(B$7=0,0,B$7/B$5)</f>
        <v>1.7745721305162721E-2</v>
      </c>
      <c r="C33" s="245">
        <f t="shared" si="13"/>
        <v>1.8489391110746149E-2</v>
      </c>
      <c r="D33" s="245">
        <f t="shared" si="13"/>
        <v>1.7541428862009916E-2</v>
      </c>
      <c r="E33" s="245">
        <f t="shared" si="13"/>
        <v>1.5625800751753308E-2</v>
      </c>
      <c r="F33" s="245">
        <f t="shared" si="13"/>
        <v>1.6100515040807319E-2</v>
      </c>
      <c r="G33" s="245">
        <f t="shared" si="13"/>
        <v>1.6755031263922283E-2</v>
      </c>
      <c r="H33" s="245">
        <f t="shared" si="13"/>
        <v>1.6220509232788349E-2</v>
      </c>
      <c r="I33" s="245">
        <f t="shared" si="13"/>
        <v>1.5998360884112554E-2</v>
      </c>
      <c r="J33" s="245">
        <f t="shared" si="13"/>
        <v>1.5882752750511271E-2</v>
      </c>
      <c r="K33" s="245">
        <f t="shared" si="13"/>
        <v>1.6144322358162422E-2</v>
      </c>
      <c r="L33" s="245">
        <f t="shared" si="13"/>
        <v>1.4586551733559234E-2</v>
      </c>
      <c r="M33" s="245">
        <f t="shared" si="13"/>
        <v>1.4268614241137205E-2</v>
      </c>
      <c r="N33" s="245">
        <f t="shared" si="13"/>
        <v>1.5363020201194882E-2</v>
      </c>
      <c r="O33" s="245">
        <f t="shared" si="13"/>
        <v>1.4861125015337763E-2</v>
      </c>
      <c r="P33" s="245">
        <f t="shared" si="13"/>
        <v>1.4606069535092065E-2</v>
      </c>
      <c r="Q33" s="245">
        <f t="shared" si="13"/>
        <v>1.5787641039711867E-2</v>
      </c>
      <c r="R33" s="245">
        <f t="shared" si="13"/>
        <v>1.6515101142630138E-2</v>
      </c>
      <c r="S33" s="245">
        <f t="shared" si="13"/>
        <v>1.5838329828628105E-2</v>
      </c>
      <c r="T33" s="245">
        <f t="shared" si="13"/>
        <v>1.6576207269879129E-2</v>
      </c>
      <c r="U33" s="245">
        <f t="shared" si="13"/>
        <v>1.5990992575474896E-2</v>
      </c>
      <c r="V33" s="245">
        <f t="shared" si="13"/>
        <v>1.4974814970043568E-2</v>
      </c>
      <c r="W33" s="245">
        <f t="shared" si="13"/>
        <v>1.493762507976232E-2</v>
      </c>
      <c r="X33" s="245">
        <f t="shared" si="13"/>
        <v>1.3639624214329253E-2</v>
      </c>
      <c r="Y33" s="245">
        <f t="shared" si="13"/>
        <v>1.3961564592479474E-2</v>
      </c>
      <c r="DA33" s="276"/>
    </row>
    <row r="34" spans="1:105" x14ac:dyDescent="0.25">
      <c r="A34" s="240" t="s">
        <v>123</v>
      </c>
      <c r="B34" s="245">
        <f t="shared" ref="B34:Y34" si="14">IF(B$8=0,0,B$8/B$5)</f>
        <v>2.4570998730225304E-2</v>
      </c>
      <c r="C34" s="245">
        <f t="shared" si="14"/>
        <v>2.5600695384110056E-2</v>
      </c>
      <c r="D34" s="245">
        <f t="shared" si="14"/>
        <v>2.4288132270475268E-2</v>
      </c>
      <c r="E34" s="245">
        <f t="shared" si="14"/>
        <v>2.1635724117812265E-2</v>
      </c>
      <c r="F34" s="245">
        <f t="shared" si="14"/>
        <v>2.2293020825733222E-2</v>
      </c>
      <c r="G34" s="245">
        <f t="shared" si="14"/>
        <v>2.3199274057738552E-2</v>
      </c>
      <c r="H34" s="245">
        <f t="shared" si="14"/>
        <v>2.245916663001464E-2</v>
      </c>
      <c r="I34" s="245">
        <f t="shared" si="14"/>
        <v>2.2151576608771234E-2</v>
      </c>
      <c r="J34" s="245">
        <f t="shared" si="14"/>
        <v>2.1991503808400224E-2</v>
      </c>
      <c r="K34" s="245">
        <f t="shared" si="14"/>
        <v>2.2353677111301824E-2</v>
      </c>
      <c r="L34" s="245">
        <f t="shared" si="14"/>
        <v>2.0196763938774329E-2</v>
      </c>
      <c r="M34" s="245">
        <f t="shared" si="14"/>
        <v>1.9756542795420756E-2</v>
      </c>
      <c r="N34" s="245">
        <f t="shared" si="14"/>
        <v>2.1271874124731374E-2</v>
      </c>
      <c r="O34" s="245">
        <f t="shared" si="14"/>
        <v>2.0576942328929218E-2</v>
      </c>
      <c r="P34" s="245">
        <f t="shared" si="14"/>
        <v>2.022378858705056E-2</v>
      </c>
      <c r="Q34" s="245">
        <f t="shared" si="14"/>
        <v>2.1859810670370291E-2</v>
      </c>
      <c r="R34" s="245">
        <f t="shared" si="14"/>
        <v>2.2867063120564808E-2</v>
      </c>
      <c r="S34" s="245">
        <f t="shared" si="14"/>
        <v>2.1929995147331214E-2</v>
      </c>
      <c r="T34" s="245">
        <f t="shared" si="14"/>
        <v>2.295167160444803E-2</v>
      </c>
      <c r="U34" s="245">
        <f t="shared" si="14"/>
        <v>2.2141374335272926E-2</v>
      </c>
      <c r="V34" s="245">
        <f t="shared" si="14"/>
        <v>2.0734359189291091E-2</v>
      </c>
      <c r="W34" s="245">
        <f t="shared" si="14"/>
        <v>2.0682865495055523E-2</v>
      </c>
      <c r="X34" s="245">
        <f t="shared" si="14"/>
        <v>1.8885633527532811E-2</v>
      </c>
      <c r="Y34" s="245">
        <f t="shared" si="14"/>
        <v>1.9331397128048499E-2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0.24713744857928868</v>
      </c>
      <c r="C35" s="246">
        <f t="shared" si="15"/>
        <v>0.24794140891306274</v>
      </c>
      <c r="D35" s="246">
        <f t="shared" si="15"/>
        <v>0.23874467969402341</v>
      </c>
      <c r="E35" s="246">
        <f t="shared" si="15"/>
        <v>0.23610251989429423</v>
      </c>
      <c r="F35" s="246">
        <f t="shared" si="15"/>
        <v>0.23942445975799764</v>
      </c>
      <c r="G35" s="246">
        <f t="shared" si="15"/>
        <v>0.2374587574040368</v>
      </c>
      <c r="H35" s="246">
        <f t="shared" si="15"/>
        <v>0.23779890997005457</v>
      </c>
      <c r="I35" s="246">
        <f t="shared" si="15"/>
        <v>0.23398001262510995</v>
      </c>
      <c r="J35" s="246">
        <f t="shared" si="15"/>
        <v>0.23468275018140464</v>
      </c>
      <c r="K35" s="246">
        <f t="shared" si="15"/>
        <v>0.23108860644779622</v>
      </c>
      <c r="L35" s="246">
        <f t="shared" si="15"/>
        <v>0.22693222094954302</v>
      </c>
      <c r="M35" s="246">
        <f t="shared" si="15"/>
        <v>0.22075348235335943</v>
      </c>
      <c r="N35" s="246">
        <f t="shared" si="15"/>
        <v>0.2150514123190071</v>
      </c>
      <c r="O35" s="246">
        <f t="shared" si="15"/>
        <v>0.21133377055941691</v>
      </c>
      <c r="P35" s="246">
        <f t="shared" si="15"/>
        <v>0.2004494728283773</v>
      </c>
      <c r="Q35" s="246">
        <f t="shared" si="15"/>
        <v>0.20314266479167348</v>
      </c>
      <c r="R35" s="246">
        <f t="shared" si="15"/>
        <v>0.20511436218572246</v>
      </c>
      <c r="S35" s="246">
        <f t="shared" si="15"/>
        <v>0.20129373896593752</v>
      </c>
      <c r="T35" s="246">
        <f t="shared" si="15"/>
        <v>0.20159087097207548</v>
      </c>
      <c r="U35" s="246">
        <f t="shared" si="15"/>
        <v>0.19651262351488144</v>
      </c>
      <c r="V35" s="246">
        <f t="shared" si="15"/>
        <v>0.19517155705782641</v>
      </c>
      <c r="W35" s="246">
        <f t="shared" si="15"/>
        <v>0.19610077911460819</v>
      </c>
      <c r="X35" s="246">
        <f t="shared" si="15"/>
        <v>0.19418528190850079</v>
      </c>
      <c r="Y35" s="246">
        <f t="shared" si="15"/>
        <v>0.19082987652824843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0.18781973611792099</v>
      </c>
      <c r="C36" s="259">
        <f t="shared" si="16"/>
        <v>0.17930921430814667</v>
      </c>
      <c r="D36" s="259">
        <f t="shared" si="16"/>
        <v>0.18826422470366222</v>
      </c>
      <c r="E36" s="259">
        <f t="shared" si="16"/>
        <v>0.19030690872466433</v>
      </c>
      <c r="F36" s="259">
        <f t="shared" si="16"/>
        <v>0.18803330774054589</v>
      </c>
      <c r="G36" s="259">
        <f t="shared" si="16"/>
        <v>0.1942307390014765</v>
      </c>
      <c r="H36" s="259">
        <f t="shared" si="16"/>
        <v>0.18889101832011726</v>
      </c>
      <c r="I36" s="259">
        <f t="shared" si="16"/>
        <v>0.18934272305106833</v>
      </c>
      <c r="J36" s="259">
        <f t="shared" si="16"/>
        <v>0.19514620136304694</v>
      </c>
      <c r="K36" s="259">
        <f t="shared" si="16"/>
        <v>0.19612704030027292</v>
      </c>
      <c r="L36" s="259">
        <f t="shared" si="16"/>
        <v>0.20134192983956661</v>
      </c>
      <c r="M36" s="259">
        <f t="shared" si="16"/>
        <v>0.20292633261765414</v>
      </c>
      <c r="N36" s="259">
        <f t="shared" si="16"/>
        <v>0.21176931001553487</v>
      </c>
      <c r="O36" s="259">
        <f t="shared" si="16"/>
        <v>0.20836521549539228</v>
      </c>
      <c r="P36" s="259">
        <f t="shared" si="16"/>
        <v>0.20920105397883693</v>
      </c>
      <c r="Q36" s="259">
        <f t="shared" si="16"/>
        <v>0.20376343525061702</v>
      </c>
      <c r="R36" s="259">
        <f t="shared" si="16"/>
        <v>0.20447310251243042</v>
      </c>
      <c r="S36" s="259">
        <f t="shared" si="16"/>
        <v>0.20232375294180199</v>
      </c>
      <c r="T36" s="259">
        <f t="shared" si="16"/>
        <v>0.20405078649858951</v>
      </c>
      <c r="U36" s="259">
        <f t="shared" si="16"/>
        <v>0.20572053038881261</v>
      </c>
      <c r="V36" s="259">
        <f t="shared" si="16"/>
        <v>0.2111387587355204</v>
      </c>
      <c r="W36" s="259">
        <f t="shared" si="16"/>
        <v>0.20964524578722904</v>
      </c>
      <c r="X36" s="259">
        <f t="shared" si="16"/>
        <v>0.21979849978632549</v>
      </c>
      <c r="Y36" s="259">
        <f t="shared" si="16"/>
        <v>0.20897986872620924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0.3924461392684106</v>
      </c>
      <c r="C37" s="259">
        <f t="shared" si="17"/>
        <v>0.39606753146848267</v>
      </c>
      <c r="D37" s="259">
        <f t="shared" si="17"/>
        <v>0.40188048771388335</v>
      </c>
      <c r="E37" s="259">
        <f t="shared" si="17"/>
        <v>0.41682304558293548</v>
      </c>
      <c r="F37" s="259">
        <f t="shared" si="17"/>
        <v>0.4125599497026759</v>
      </c>
      <c r="G37" s="259">
        <f t="shared" si="17"/>
        <v>0.4021025925534219</v>
      </c>
      <c r="H37" s="259">
        <f t="shared" si="17"/>
        <v>0.41223994042925094</v>
      </c>
      <c r="I37" s="259">
        <f t="shared" si="17"/>
        <v>0.41722916766616142</v>
      </c>
      <c r="J37" s="259">
        <f t="shared" si="17"/>
        <v>0.41049705841104234</v>
      </c>
      <c r="K37" s="259">
        <f t="shared" si="17"/>
        <v>0.41090981292658579</v>
      </c>
      <c r="L37" s="259">
        <f t="shared" si="17"/>
        <v>0.42083207535959949</v>
      </c>
      <c r="M37" s="259">
        <f t="shared" si="17"/>
        <v>0.42756762799853987</v>
      </c>
      <c r="N37" s="259">
        <f t="shared" si="17"/>
        <v>0.414308961448006</v>
      </c>
      <c r="O37" s="259">
        <f t="shared" si="17"/>
        <v>0.42594555505747322</v>
      </c>
      <c r="P37" s="259">
        <f t="shared" si="17"/>
        <v>0.43779536620748544</v>
      </c>
      <c r="Q37" s="259">
        <f t="shared" si="17"/>
        <v>0.43249566515265825</v>
      </c>
      <c r="R37" s="259">
        <f t="shared" si="17"/>
        <v>0.42408208507274131</v>
      </c>
      <c r="S37" s="259">
        <f t="shared" si="17"/>
        <v>0.43567100647987062</v>
      </c>
      <c r="T37" s="259">
        <f t="shared" si="17"/>
        <v>0.42763899670906991</v>
      </c>
      <c r="U37" s="259">
        <f t="shared" si="17"/>
        <v>0.43522829656776485</v>
      </c>
      <c r="V37" s="259">
        <f t="shared" si="17"/>
        <v>0.43792672775827624</v>
      </c>
      <c r="W37" s="259">
        <f t="shared" si="17"/>
        <v>0.4390640856884131</v>
      </c>
      <c r="X37" s="259">
        <f t="shared" si="17"/>
        <v>0.43885991856686191</v>
      </c>
      <c r="Y37" s="259">
        <f t="shared" si="17"/>
        <v>0.45263638067762074</v>
      </c>
      <c r="DA37" s="278"/>
    </row>
    <row r="38" spans="1:105" x14ac:dyDescent="0.25">
      <c r="A38" s="127" t="s">
        <v>167</v>
      </c>
      <c r="B38" s="259">
        <f t="shared" ref="B38:Y38" si="18">IF(B$25=0,0,B$25/B$5)</f>
        <v>3.6091127533128001E-2</v>
      </c>
      <c r="C38" s="259">
        <f t="shared" si="18"/>
        <v>3.4455759843029732E-2</v>
      </c>
      <c r="D38" s="259">
        <f t="shared" si="18"/>
        <v>3.6176539719123921E-2</v>
      </c>
      <c r="E38" s="259">
        <f t="shared" si="18"/>
        <v>3.656905847692677E-2</v>
      </c>
      <c r="F38" s="259">
        <f t="shared" si="18"/>
        <v>3.6132167100262583E-2</v>
      </c>
      <c r="G38" s="259">
        <f t="shared" si="18"/>
        <v>3.7323055164739528E-2</v>
      </c>
      <c r="H38" s="259">
        <f t="shared" si="18"/>
        <v>3.6296983336051511E-2</v>
      </c>
      <c r="I38" s="259">
        <f t="shared" si="18"/>
        <v>3.6383782164486858E-2</v>
      </c>
      <c r="J38" s="259">
        <f t="shared" si="18"/>
        <v>3.7498968886727053E-2</v>
      </c>
      <c r="K38" s="259">
        <f t="shared" si="18"/>
        <v>3.7687445262557198E-2</v>
      </c>
      <c r="L38" s="259">
        <f t="shared" si="18"/>
        <v>3.8689529746988895E-2</v>
      </c>
      <c r="M38" s="259">
        <f t="shared" si="18"/>
        <v>3.8993985944775787E-2</v>
      </c>
      <c r="N38" s="259">
        <f t="shared" si="18"/>
        <v>4.0693237746722212E-2</v>
      </c>
      <c r="O38" s="259">
        <f t="shared" si="18"/>
        <v>4.0039112615888502E-2</v>
      </c>
      <c r="P38" s="259">
        <f t="shared" si="18"/>
        <v>4.0199725946130652E-2</v>
      </c>
      <c r="Q38" s="259">
        <f t="shared" si="18"/>
        <v>3.9154842191882921E-2</v>
      </c>
      <c r="R38" s="259">
        <f t="shared" si="18"/>
        <v>3.9291210670412302E-2</v>
      </c>
      <c r="S38" s="259">
        <f t="shared" si="18"/>
        <v>3.8878195238327355E-2</v>
      </c>
      <c r="T38" s="259">
        <f t="shared" si="18"/>
        <v>3.9210059128887163E-2</v>
      </c>
      <c r="U38" s="259">
        <f t="shared" si="18"/>
        <v>3.953091433258029E-2</v>
      </c>
      <c r="V38" s="259">
        <f t="shared" si="18"/>
        <v>4.0572072063426348E-2</v>
      </c>
      <c r="W38" s="259">
        <f t="shared" si="18"/>
        <v>4.0285081103885664E-2</v>
      </c>
      <c r="X38" s="259">
        <f t="shared" si="18"/>
        <v>4.2236113474240819E-2</v>
      </c>
      <c r="Y38" s="259">
        <f t="shared" si="18"/>
        <v>4.0157223356541115E-2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2.7301109700250334E-2</v>
      </c>
      <c r="C39" s="259">
        <f t="shared" si="19"/>
        <v>2.8445217093455624E-2</v>
      </c>
      <c r="D39" s="259">
        <f t="shared" si="19"/>
        <v>2.6986813633861406E-2</v>
      </c>
      <c r="E39" s="259">
        <f t="shared" si="19"/>
        <v>2.4039693464235866E-2</v>
      </c>
      <c r="F39" s="259">
        <f t="shared" si="19"/>
        <v>2.4770023139703581E-2</v>
      </c>
      <c r="G39" s="259">
        <f t="shared" si="19"/>
        <v>2.5776971175265062E-2</v>
      </c>
      <c r="H39" s="259">
        <f t="shared" si="19"/>
        <v>2.4954629588905149E-2</v>
      </c>
      <c r="I39" s="259">
        <f t="shared" si="19"/>
        <v>2.4612862898634711E-2</v>
      </c>
      <c r="J39" s="259">
        <f t="shared" si="19"/>
        <v>2.4435004231555812E-2</v>
      </c>
      <c r="K39" s="259">
        <f t="shared" si="19"/>
        <v>2.4837419012557586E-2</v>
      </c>
      <c r="L39" s="259">
        <f t="shared" si="19"/>
        <v>2.2440848820860365E-2</v>
      </c>
      <c r="M39" s="259">
        <f t="shared" si="19"/>
        <v>2.1951714217134169E-2</v>
      </c>
      <c r="N39" s="259">
        <f t="shared" si="19"/>
        <v>2.3635415694145973E-2</v>
      </c>
      <c r="O39" s="259">
        <f t="shared" si="19"/>
        <v>2.2863269254365794E-2</v>
      </c>
      <c r="P39" s="259">
        <f t="shared" si="19"/>
        <v>2.2470876207833952E-2</v>
      </c>
      <c r="Q39" s="259">
        <f t="shared" si="19"/>
        <v>2.4288678522633649E-2</v>
      </c>
      <c r="R39" s="259">
        <f t="shared" si="19"/>
        <v>2.5407847911738689E-2</v>
      </c>
      <c r="S39" s="259">
        <f t="shared" si="19"/>
        <v>2.4366661274812466E-2</v>
      </c>
      <c r="T39" s="259">
        <f t="shared" si="19"/>
        <v>2.5501857338275594E-2</v>
      </c>
      <c r="U39" s="259">
        <f t="shared" si="19"/>
        <v>2.4601527039192151E-2</v>
      </c>
      <c r="V39" s="259">
        <f t="shared" si="19"/>
        <v>2.3038176876990113E-2</v>
      </c>
      <c r="W39" s="259">
        <f t="shared" si="19"/>
        <v>2.2980961661172802E-2</v>
      </c>
      <c r="X39" s="259">
        <f t="shared" si="19"/>
        <v>2.0984037252814235E-2</v>
      </c>
      <c r="Y39" s="259">
        <f t="shared" si="19"/>
        <v>2.1479330142276109E-2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3.9586609065363008E-2</v>
      </c>
      <c r="C40" s="261">
        <f t="shared" si="20"/>
        <v>4.1245564785510634E-2</v>
      </c>
      <c r="D40" s="261">
        <f t="shared" si="20"/>
        <v>3.9130879769099049E-2</v>
      </c>
      <c r="E40" s="261">
        <f t="shared" si="20"/>
        <v>3.4857555523142E-2</v>
      </c>
      <c r="F40" s="261">
        <f t="shared" si="20"/>
        <v>3.5916533552570191E-2</v>
      </c>
      <c r="G40" s="261">
        <f t="shared" si="20"/>
        <v>3.7376608204134333E-2</v>
      </c>
      <c r="H40" s="261">
        <f t="shared" si="20"/>
        <v>3.6184212903912473E-2</v>
      </c>
      <c r="I40" s="261">
        <f t="shared" si="20"/>
        <v>3.5688651203020338E-2</v>
      </c>
      <c r="J40" s="261">
        <f t="shared" si="20"/>
        <v>3.5430756135755935E-2</v>
      </c>
      <c r="K40" s="261">
        <f t="shared" si="20"/>
        <v>3.6014257568208495E-2</v>
      </c>
      <c r="L40" s="261">
        <f t="shared" si="20"/>
        <v>3.2539230790247529E-2</v>
      </c>
      <c r="M40" s="261">
        <f t="shared" si="20"/>
        <v>3.1829985614844548E-2</v>
      </c>
      <c r="N40" s="261">
        <f t="shared" si="20"/>
        <v>3.4271352756511657E-2</v>
      </c>
      <c r="O40" s="261">
        <f t="shared" si="20"/>
        <v>3.3151740418830407E-2</v>
      </c>
      <c r="P40" s="261">
        <f t="shared" si="20"/>
        <v>3.2582770501359236E-2</v>
      </c>
      <c r="Q40" s="261">
        <f t="shared" si="20"/>
        <v>3.5218583857818793E-2</v>
      </c>
      <c r="R40" s="261">
        <f t="shared" si="20"/>
        <v>3.6841379472021089E-2</v>
      </c>
      <c r="S40" s="261">
        <f t="shared" si="20"/>
        <v>3.5331658848478088E-2</v>
      </c>
      <c r="T40" s="261">
        <f t="shared" si="20"/>
        <v>3.6977693140499625E-2</v>
      </c>
      <c r="U40" s="261">
        <f t="shared" si="20"/>
        <v>3.5672214206828624E-2</v>
      </c>
      <c r="V40" s="261">
        <f t="shared" si="20"/>
        <v>3.3405356471635679E-2</v>
      </c>
      <c r="W40" s="261">
        <f t="shared" si="20"/>
        <v>3.3322394408700565E-2</v>
      </c>
      <c r="X40" s="261">
        <f t="shared" si="20"/>
        <v>3.0426854016580639E-2</v>
      </c>
      <c r="Y40" s="261">
        <f t="shared" si="20"/>
        <v>3.1145028706300367E-2</v>
      </c>
      <c r="DA40" s="279"/>
    </row>
    <row r="42" spans="1:105" ht="12.75" x14ac:dyDescent="0.25">
      <c r="A42" s="178" t="s">
        <v>23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6">
        <f t="shared" ref="B44:Y44" si="21">SUM(B$45:B$53)</f>
        <v>112.47171201628665</v>
      </c>
      <c r="C44" s="236">
        <f t="shared" si="21"/>
        <v>109.81942433546165</v>
      </c>
      <c r="D44" s="236">
        <f t="shared" si="21"/>
        <v>113.80906613357638</v>
      </c>
      <c r="E44" s="236">
        <f t="shared" si="21"/>
        <v>119.5378711984025</v>
      </c>
      <c r="F44" s="236">
        <f t="shared" si="21"/>
        <v>117.3061606093235</v>
      </c>
      <c r="G44" s="236">
        <f t="shared" si="21"/>
        <v>134.29403412451356</v>
      </c>
      <c r="H44" s="236">
        <f t="shared" si="21"/>
        <v>130.05722800154629</v>
      </c>
      <c r="I44" s="236">
        <f t="shared" si="21"/>
        <v>117.81469406104156</v>
      </c>
      <c r="J44" s="236">
        <f t="shared" si="21"/>
        <v>123.49619118298851</v>
      </c>
      <c r="K44" s="236">
        <f t="shared" si="21"/>
        <v>137.83360398812141</v>
      </c>
      <c r="L44" s="236">
        <f t="shared" si="21"/>
        <v>128.47617233393535</v>
      </c>
      <c r="M44" s="236">
        <f t="shared" si="21"/>
        <v>116.02131221383355</v>
      </c>
      <c r="N44" s="236">
        <f t="shared" si="21"/>
        <v>118.3121684496124</v>
      </c>
      <c r="O44" s="236">
        <f t="shared" si="21"/>
        <v>117.89482713876832</v>
      </c>
      <c r="P44" s="236">
        <f t="shared" si="21"/>
        <v>114.21265320772919</v>
      </c>
      <c r="Q44" s="236">
        <f t="shared" si="21"/>
        <v>116.67728719019786</v>
      </c>
      <c r="R44" s="236">
        <f t="shared" si="21"/>
        <v>118.41249825520164</v>
      </c>
      <c r="S44" s="236">
        <f t="shared" si="21"/>
        <v>109.25986032686183</v>
      </c>
      <c r="T44" s="236">
        <f t="shared" si="21"/>
        <v>115.03952384499107</v>
      </c>
      <c r="U44" s="236">
        <f t="shared" si="21"/>
        <v>114.31053707016741</v>
      </c>
      <c r="V44" s="236">
        <f t="shared" si="21"/>
        <v>121.02278233994657</v>
      </c>
      <c r="W44" s="236">
        <f t="shared" si="21"/>
        <v>115.61293230102245</v>
      </c>
      <c r="X44" s="236">
        <f t="shared" si="21"/>
        <v>98.926512660278433</v>
      </c>
      <c r="Y44" s="236">
        <f t="shared" si="21"/>
        <v>101.378915124645</v>
      </c>
      <c r="DA44" s="280"/>
    </row>
    <row r="45" spans="1:105" x14ac:dyDescent="0.25">
      <c r="A45" s="238" t="s">
        <v>125</v>
      </c>
      <c r="B45" s="247">
        <f>IF(B$6=0,0,B$6/AGR!B$5*1000)</f>
        <v>3.0706025479316059</v>
      </c>
      <c r="C45" s="247">
        <f>IF(C$6=0,0,C$6/AGR!C$5*1000)</f>
        <v>3.1238373663005303</v>
      </c>
      <c r="D45" s="247">
        <f>IF(D$6=0,0,D$6/AGR!D$5*1000)</f>
        <v>3.0713440575906334</v>
      </c>
      <c r="E45" s="247">
        <f>IF(E$6=0,0,E$6/AGR!E$5*1000)</f>
        <v>2.8736537809769045</v>
      </c>
      <c r="F45" s="247">
        <f>IF(F$6=0,0,F$6/AGR!F$5*1000)</f>
        <v>2.9056763127227287</v>
      </c>
      <c r="G45" s="247">
        <f>IF(G$6=0,0,G$6/AGR!G$5*1000)</f>
        <v>3.4616934466376486</v>
      </c>
      <c r="H45" s="247">
        <f>IF(H$6=0,0,H$6/AGR!H$5*1000)</f>
        <v>3.245529950138371</v>
      </c>
      <c r="I45" s="247">
        <f>IF(I$6=0,0,I$6/AGR!I$5*1000)</f>
        <v>2.8997569123690092</v>
      </c>
      <c r="J45" s="247">
        <f>IF(J$6=0,0,J$6/AGR!J$5*1000)</f>
        <v>3.0176299541373499</v>
      </c>
      <c r="K45" s="247">
        <f>IF(K$6=0,0,K$6/AGR!K$5*1000)</f>
        <v>3.4234309762638997</v>
      </c>
      <c r="L45" s="247">
        <f>IF(L$6=0,0,L$6/AGR!L$5*1000)</f>
        <v>2.8831143604286464</v>
      </c>
      <c r="M45" s="247">
        <f>IF(M$6=0,0,M$6/AGR!M$5*1000)</f>
        <v>2.5468666888149718</v>
      </c>
      <c r="N45" s="247">
        <f>IF(N$6=0,0,N$6/AGR!N$5*1000)</f>
        <v>2.7963572829824108</v>
      </c>
      <c r="O45" s="247">
        <f>IF(O$6=0,0,O$6/AGR!O$5*1000)</f>
        <v>2.6954611765705718</v>
      </c>
      <c r="P45" s="247">
        <f>IF(P$6=0,0,P$6/AGR!P$5*1000)</f>
        <v>2.5664583915991512</v>
      </c>
      <c r="Q45" s="247">
        <f>IF(Q$6=0,0,Q$6/AGR!Q$5*1000)</f>
        <v>2.8339371194557175</v>
      </c>
      <c r="R45" s="247">
        <f>IF(R$6=0,0,R$6/AGR!R$5*1000)</f>
        <v>3.0086067465171866</v>
      </c>
      <c r="S45" s="247">
        <f>IF(S$6=0,0,S$6/AGR!S$5*1000)</f>
        <v>2.6622980075179634</v>
      </c>
      <c r="T45" s="247">
        <f>IF(T$6=0,0,T$6/AGR!T$5*1000)</f>
        <v>2.9337215253581155</v>
      </c>
      <c r="U45" s="247">
        <f>IF(U$6=0,0,U$6/AGR!U$5*1000)</f>
        <v>2.8122137685963007</v>
      </c>
      <c r="V45" s="247">
        <f>IF(V$6=0,0,V$6/AGR!V$5*1000)</f>
        <v>2.7881442656931648</v>
      </c>
      <c r="W45" s="247">
        <f>IF(W$6=0,0,W$6/AGR!W$5*1000)</f>
        <v>2.6568963647455632</v>
      </c>
      <c r="X45" s="247">
        <f>IF(X$6=0,0,X$6/AGR!X$5*1000)</f>
        <v>2.0758776269542811</v>
      </c>
      <c r="Y45" s="247">
        <f>IF(Y$6=0,0,Y$6/AGR!Y$5*1000)</f>
        <v>2.1775511874280387</v>
      </c>
      <c r="DA45" s="281"/>
    </row>
    <row r="46" spans="1:105" x14ac:dyDescent="0.25">
      <c r="A46" s="240" t="s">
        <v>124</v>
      </c>
      <c r="B46" s="248">
        <f>IF(B$7=0,0,B$7/AGR!B$5*1000)</f>
        <v>1.995891656155544</v>
      </c>
      <c r="C46" s="248">
        <f>IF(C$7=0,0,C$7/AGR!C$5*1000)</f>
        <v>2.030494288095344</v>
      </c>
      <c r="D46" s="248">
        <f>IF(D$7=0,0,D$7/AGR!D$5*1000)</f>
        <v>1.9963736374339116</v>
      </c>
      <c r="E46" s="248">
        <f>IF(E$7=0,0,E$7/AGR!E$5*1000)</f>
        <v>1.8678749576349873</v>
      </c>
      <c r="F46" s="248">
        <f>IF(F$7=0,0,F$7/AGR!F$5*1000)</f>
        <v>1.8886896032697724</v>
      </c>
      <c r="G46" s="248">
        <f>IF(G$7=0,0,G$7/AGR!G$5*1000)</f>
        <v>2.2501007403144704</v>
      </c>
      <c r="H46" s="248">
        <f>IF(H$7=0,0,H$7/AGR!H$5*1000)</f>
        <v>2.109594467589941</v>
      </c>
      <c r="I46" s="248">
        <f>IF(I$7=0,0,I$7/AGR!I$5*1000)</f>
        <v>1.884841993039855</v>
      </c>
      <c r="J46" s="248">
        <f>IF(J$7=0,0,J$7/AGR!J$5*1000)</f>
        <v>1.9614594701892765</v>
      </c>
      <c r="K46" s="248">
        <f>IF(K$7=0,0,K$7/AGR!K$5*1000)</f>
        <v>2.2252301345715337</v>
      </c>
      <c r="L46" s="248">
        <f>IF(L$7=0,0,L$7/AGR!L$5*1000)</f>
        <v>1.87402433427862</v>
      </c>
      <c r="M46" s="248">
        <f>IF(M$7=0,0,M$7/AGR!M$5*1000)</f>
        <v>1.6554633477297311</v>
      </c>
      <c r="N46" s="248">
        <f>IF(N$7=0,0,N$7/AGR!N$5*1000)</f>
        <v>1.8176322339385669</v>
      </c>
      <c r="O46" s="248">
        <f>IF(O$7=0,0,O$7/AGR!O$5*1000)</f>
        <v>1.7520497647708713</v>
      </c>
      <c r="P46" s="248">
        <f>IF(P$7=0,0,P$7/AGR!P$5*1000)</f>
        <v>1.6681979545394483</v>
      </c>
      <c r="Q46" s="248">
        <f>IF(Q$7=0,0,Q$7/AGR!Q$5*1000)</f>
        <v>1.8420591276462157</v>
      </c>
      <c r="R46" s="248">
        <f>IF(R$7=0,0,R$7/AGR!R$5*1000)</f>
        <v>1.9555943852361704</v>
      </c>
      <c r="S46" s="248">
        <f>IF(S$7=0,0,S$7/AGR!S$5*1000)</f>
        <v>1.7304937048866764</v>
      </c>
      <c r="T46" s="248">
        <f>IF(T$7=0,0,T$7/AGR!T$5*1000)</f>
        <v>1.9069189914827742</v>
      </c>
      <c r="U46" s="248">
        <f>IF(U$7=0,0,U$7/AGR!U$5*1000)</f>
        <v>1.8279389495875951</v>
      </c>
      <c r="V46" s="248">
        <f>IF(V$7=0,0,V$7/AGR!V$5*1000)</f>
        <v>1.8122937727005564</v>
      </c>
      <c r="W46" s="248">
        <f>IF(W$7=0,0,W$7/AGR!W$5*1000)</f>
        <v>1.7269826370846162</v>
      </c>
      <c r="X46" s="248">
        <f>IF(X$7=0,0,X$7/AGR!X$5*1000)</f>
        <v>1.3493204575202828</v>
      </c>
      <c r="Y46" s="248">
        <f>IF(Y$7=0,0,Y$7/AGR!Y$5*1000)</f>
        <v>1.4154082718282255</v>
      </c>
      <c r="DA46" s="282"/>
    </row>
    <row r="47" spans="1:105" x14ac:dyDescent="0.25">
      <c r="A47" s="240" t="s">
        <v>123</v>
      </c>
      <c r="B47" s="248">
        <f>IF(B$8=0,0,B$8/AGR!B$5*1000)</f>
        <v>2.7635422931384457</v>
      </c>
      <c r="C47" s="248">
        <f>IF(C$8=0,0,C$8/AGR!C$5*1000)</f>
        <v>2.8114536296704764</v>
      </c>
      <c r="D47" s="248">
        <f>IF(D$8=0,0,D$8/AGR!D$5*1000)</f>
        <v>2.7642096518315706</v>
      </c>
      <c r="E47" s="248">
        <f>IF(E$8=0,0,E$8/AGR!E$5*1000)</f>
        <v>2.5862884028792128</v>
      </c>
      <c r="F47" s="248">
        <f>IF(F$8=0,0,F$8/AGR!F$5*1000)</f>
        <v>2.6151086814504554</v>
      </c>
      <c r="G47" s="248">
        <f>IF(G$8=0,0,G$8/AGR!G$5*1000)</f>
        <v>3.1155241019738829</v>
      </c>
      <c r="H47" s="248">
        <f>IF(H$8=0,0,H$8/AGR!H$5*1000)</f>
        <v>2.9209769551245341</v>
      </c>
      <c r="I47" s="248">
        <f>IF(I$8=0,0,I$8/AGR!I$5*1000)</f>
        <v>2.6097812211321076</v>
      </c>
      <c r="J47" s="248">
        <f>IF(J$8=0,0,J$8/AGR!J$5*1000)</f>
        <v>2.7158669587236144</v>
      </c>
      <c r="K47" s="248">
        <f>IF(K$8=0,0,K$8/AGR!K$5*1000)</f>
        <v>3.0810878786375091</v>
      </c>
      <c r="L47" s="248">
        <f>IF(L$8=0,0,L$8/AGR!L$5*1000)</f>
        <v>2.5948029243857818</v>
      </c>
      <c r="M47" s="248">
        <f>IF(M$8=0,0,M$8/AGR!M$5*1000)</f>
        <v>2.2921800199334745</v>
      </c>
      <c r="N47" s="248">
        <f>IF(N$8=0,0,N$8/AGR!N$5*1000)</f>
        <v>2.5167215546841697</v>
      </c>
      <c r="O47" s="248">
        <f>IF(O$8=0,0,O$8/AGR!O$5*1000)</f>
        <v>2.4259150589135148</v>
      </c>
      <c r="P47" s="248">
        <f>IF(P$8=0,0,P$8/AGR!P$5*1000)</f>
        <v>2.309812552439237</v>
      </c>
      <c r="Q47" s="248">
        <f>IF(Q$8=0,0,Q$8/AGR!Q$5*1000)</f>
        <v>2.5505434075101459</v>
      </c>
      <c r="R47" s="248">
        <f>IF(R$8=0,0,R$8/AGR!R$5*1000)</f>
        <v>2.7077460718654667</v>
      </c>
      <c r="S47" s="248">
        <f>IF(S$8=0,0,S$8/AGR!S$5*1000)</f>
        <v>2.3960682067661661</v>
      </c>
      <c r="T47" s="248">
        <f>IF(T$8=0,0,T$8/AGR!T$5*1000)</f>
        <v>2.6403493728223038</v>
      </c>
      <c r="U47" s="248">
        <f>IF(U$8=0,0,U$8/AGR!U$5*1000)</f>
        <v>2.5309923917366697</v>
      </c>
      <c r="V47" s="248">
        <f>IF(V$8=0,0,V$8/AGR!V$5*1000)</f>
        <v>2.509329839123847</v>
      </c>
      <c r="W47" s="248">
        <f>IF(W$8=0,0,W$8/AGR!W$5*1000)</f>
        <v>2.391206728271007</v>
      </c>
      <c r="X47" s="248">
        <f>IF(X$8=0,0,X$8/AGR!X$5*1000)</f>
        <v>1.8682898642588532</v>
      </c>
      <c r="Y47" s="248">
        <f>IF(Y$8=0,0,Y$8/AGR!Y$5*1000)</f>
        <v>1.9597960686852351</v>
      </c>
      <c r="DA47" s="282"/>
    </row>
    <row r="48" spans="1:105" x14ac:dyDescent="0.25">
      <c r="A48" s="242" t="s">
        <v>122</v>
      </c>
      <c r="B48" s="249">
        <f>IF(B$9=0,0,B$9/AGR!B$5*1000)</f>
        <v>27.795971945049612</v>
      </c>
      <c r="C48" s="249">
        <f>IF(C$9=0,0,C$9/AGR!C$5*1000)</f>
        <v>27.228782795755851</v>
      </c>
      <c r="D48" s="249">
        <f>IF(D$9=0,0,D$9/AGR!D$5*1000)</f>
        <v>27.17130904033662</v>
      </c>
      <c r="E48" s="249">
        <f>IF(E$9=0,0,E$9/AGR!E$5*1000)</f>
        <v>28.223192612742402</v>
      </c>
      <c r="F48" s="249">
        <f>IF(F$9=0,0,F$9/AGR!F$5*1000)</f>
        <v>28.08596413017219</v>
      </c>
      <c r="G48" s="249">
        <f>IF(G$9=0,0,G$9/AGR!G$5*1000)</f>
        <v>31.889294469982303</v>
      </c>
      <c r="H48" s="249">
        <f>IF(H$9=0,0,H$9/AGR!H$5*1000)</f>
        <v>30.927467052494571</v>
      </c>
      <c r="I48" s="249">
        <f>IF(I$9=0,0,I$9/AGR!I$5*1000)</f>
        <v>27.566283603825973</v>
      </c>
      <c r="J48" s="249">
        <f>IF(J$9=0,0,J$9/AGR!J$5*1000)</f>
        <v>28.98242578375228</v>
      </c>
      <c r="K48" s="249">
        <f>IF(K$9=0,0,K$9/AGR!K$5*1000)</f>
        <v>31.851775467292384</v>
      </c>
      <c r="L48" s="249">
        <f>IF(L$9=0,0,L$9/AGR!L$5*1000)</f>
        <v>29.155383126836185</v>
      </c>
      <c r="M48" s="249">
        <f>IF(M$9=0,0,M$9/AGR!M$5*1000)</f>
        <v>25.612108698410104</v>
      </c>
      <c r="N48" s="249">
        <f>IF(N$9=0,0,N$9/AGR!N$5*1000)</f>
        <v>25.443198919613415</v>
      </c>
      <c r="O48" s="249">
        <f>IF(O$9=0,0,O$9/AGR!O$5*1000)</f>
        <v>24.915158348686582</v>
      </c>
      <c r="P48" s="249">
        <f>IF(P$9=0,0,P$9/AGR!P$5*1000)</f>
        <v>22.893866125819589</v>
      </c>
      <c r="Q48" s="249">
        <f>IF(Q$9=0,0,Q$9/AGR!Q$5*1000)</f>
        <v>23.702135040480183</v>
      </c>
      <c r="R48" s="249">
        <f>IF(R$9=0,0,R$9/AGR!R$5*1000)</f>
        <v>24.288104054433663</v>
      </c>
      <c r="S48" s="249">
        <f>IF(S$9=0,0,S$9/AGR!S$5*1000)</f>
        <v>21.993325804090119</v>
      </c>
      <c r="T48" s="249">
        <f>IF(T$9=0,0,T$9/AGR!T$5*1000)</f>
        <v>23.190917808124592</v>
      </c>
      <c r="U48" s="249">
        <f>IF(U$9=0,0,U$9/AGR!U$5*1000)</f>
        <v>22.463463535053712</v>
      </c>
      <c r="V48" s="249">
        <f>IF(V$9=0,0,V$9/AGR!V$5*1000)</f>
        <v>23.620204868757785</v>
      </c>
      <c r="W48" s="249">
        <f>IF(W$9=0,0,W$9/AGR!W$5*1000)</f>
        <v>22.67178609995495</v>
      </c>
      <c r="X48" s="249">
        <f>IF(X$9=0,0,X$9/AGR!X$5*1000)</f>
        <v>19.210072749161039</v>
      </c>
      <c r="Y48" s="249">
        <f>IF(Y$9=0,0,Y$9/AGR!Y$5*1000)</f>
        <v>19.346125855803781</v>
      </c>
      <c r="DA48" s="283"/>
    </row>
    <row r="49" spans="1:105" x14ac:dyDescent="0.25">
      <c r="A49" s="127" t="s">
        <v>168</v>
      </c>
      <c r="B49" s="262">
        <f>IF(B$16=0,0,B$16/AGR!B$5*1000)</f>
        <v>21.124407271629767</v>
      </c>
      <c r="C49" s="262">
        <f>IF(C$16=0,0,C$16/AGR!C$5*1000)</f>
        <v>19.691634693364591</v>
      </c>
      <c r="D49" s="262">
        <f>IF(D$16=0,0,D$16/AGR!D$5*1000)</f>
        <v>21.426175599885578</v>
      </c>
      <c r="E49" s="262">
        <f>IF(E$16=0,0,E$16/AGR!E$5*1000)</f>
        <v>22.748882743295059</v>
      </c>
      <c r="F49" s="262">
        <f>IF(F$16=0,0,F$16/AGR!F$5*1000)</f>
        <v>22.057465397714832</v>
      </c>
      <c r="G49" s="262">
        <f>IF(G$16=0,0,G$16/AGR!G$5*1000)</f>
        <v>26.084029491493769</v>
      </c>
      <c r="H49" s="262">
        <f>IF(H$16=0,0,H$16/AGR!H$5*1000)</f>
        <v>24.566642237103753</v>
      </c>
      <c r="I49" s="262">
        <f>IF(I$16=0,0,I$16/AGR!I$5*1000)</f>
        <v>22.307354988946138</v>
      </c>
      <c r="J49" s="262">
        <f>IF(J$16=0,0,J$16/AGR!J$5*1000)</f>
        <v>24.09981259216482</v>
      </c>
      <c r="K49" s="262">
        <f>IF(K$16=0,0,K$16/AGR!K$5*1000)</f>
        <v>27.032896804110145</v>
      </c>
      <c r="L49" s="262">
        <f>IF(L$16=0,0,L$16/AGR!L$5*1000)</f>
        <v>25.867640476115284</v>
      </c>
      <c r="M49" s="262">
        <f>IF(M$16=0,0,M$16/AGR!M$5*1000)</f>
        <v>23.543779393041081</v>
      </c>
      <c r="N49" s="262">
        <f>IF(N$16=0,0,N$16/AGR!N$5*1000)</f>
        <v>25.054886279016149</v>
      </c>
      <c r="O49" s="262">
        <f>IF(O$16=0,0,O$16/AGR!O$5*1000)</f>
        <v>24.565181062561482</v>
      </c>
      <c r="P49" s="262">
        <f>IF(P$16=0,0,P$16/AGR!P$5*1000)</f>
        <v>23.893407428776332</v>
      </c>
      <c r="Q49" s="262">
        <f>IF(Q$16=0,0,Q$16/AGR!Q$5*1000)</f>
        <v>23.774564853597532</v>
      </c>
      <c r="R49" s="262">
        <f>IF(R$16=0,0,R$16/AGR!R$5*1000)</f>
        <v>24.212170894488839</v>
      </c>
      <c r="S49" s="262">
        <f>IF(S$16=0,0,S$16/AGR!S$5*1000)</f>
        <v>22.10586498722779</v>
      </c>
      <c r="T49" s="262">
        <f>IF(T$16=0,0,T$16/AGR!T$5*1000)</f>
        <v>23.473905318993673</v>
      </c>
      <c r="U49" s="262">
        <f>IF(U$16=0,0,U$16/AGR!U$5*1000)</f>
        <v>23.516024315104868</v>
      </c>
      <c r="V49" s="262">
        <f>IF(V$16=0,0,V$16/AGR!V$5*1000)</f>
        <v>25.552600041975381</v>
      </c>
      <c r="W49" s="262">
        <f>IF(W$16=0,0,W$16/AGR!W$5*1000)</f>
        <v>24.237701608430122</v>
      </c>
      <c r="X49" s="262">
        <f>IF(X$16=0,0,X$16/AGR!X$5*1000)</f>
        <v>21.743899071822131</v>
      </c>
      <c r="Y49" s="262">
        <f>IF(Y$16=0,0,Y$16/AGR!Y$5*1000)</f>
        <v>21.186152374353821</v>
      </c>
      <c r="DA49" s="284"/>
    </row>
    <row r="50" spans="1:105" x14ac:dyDescent="0.25">
      <c r="A50" s="127" t="s">
        <v>121</v>
      </c>
      <c r="B50" s="262">
        <f>IF(B$17=0,0,B$17/AGR!B$5*1000)</f>
        <v>44.139089157700205</v>
      </c>
      <c r="C50" s="262">
        <f>IF(C$17=0,0,C$17/AGR!C$5*1000)</f>
        <v>43.49590830383611</v>
      </c>
      <c r="D50" s="262">
        <f>IF(D$17=0,0,D$17/AGR!D$5*1000)</f>
        <v>45.737643004023283</v>
      </c>
      <c r="E50" s="262">
        <f>IF(E$17=0,0,E$17/AGR!E$5*1000)</f>
        <v>49.82613953541879</v>
      </c>
      <c r="F50" s="262">
        <f>IF(F$17=0,0,F$17/AGR!F$5*1000)</f>
        <v>48.395823720796528</v>
      </c>
      <c r="G50" s="262">
        <f>IF(G$17=0,0,G$17/AGR!G$5*1000)</f>
        <v>53.99997928592461</v>
      </c>
      <c r="H50" s="262">
        <f>IF(H$17=0,0,H$17/AGR!H$5*1000)</f>
        <v>53.614783923750956</v>
      </c>
      <c r="I50" s="262">
        <f>IF(I$17=0,0,I$17/AGR!I$5*1000)</f>
        <v>49.155726741931815</v>
      </c>
      <c r="J50" s="262">
        <f>IF(J$17=0,0,J$17/AGR!J$5*1000)</f>
        <v>50.694823205584484</v>
      </c>
      <c r="K50" s="262">
        <f>IF(K$17=0,0,K$17/AGR!K$5*1000)</f>
        <v>56.637180429756071</v>
      </c>
      <c r="L50" s="262">
        <f>IF(L$17=0,0,L$17/AGR!L$5*1000)</f>
        <v>54.066894237547579</v>
      </c>
      <c r="M50" s="262">
        <f>IF(M$17=0,0,M$17/AGR!M$5*1000)</f>
        <v>49.606957260546828</v>
      </c>
      <c r="N50" s="262">
        <f>IF(N$17=0,0,N$17/AGR!N$5*1000)</f>
        <v>49.017791637020451</v>
      </c>
      <c r="O50" s="262">
        <f>IF(O$17=0,0,O$17/AGR!O$5*1000)</f>
        <v>50.216777584027533</v>
      </c>
      <c r="P50" s="262">
        <f>IF(P$17=0,0,P$17/AGR!P$5*1000)</f>
        <v>50.001770336606327</v>
      </c>
      <c r="Q50" s="262">
        <f>IF(Q$17=0,0,Q$17/AGR!Q$5*1000)</f>
        <v>50.462420931532357</v>
      </c>
      <c r="R50" s="262">
        <f>IF(R$17=0,0,R$17/AGR!R$5*1000)</f>
        <v>50.216619158738261</v>
      </c>
      <c r="S50" s="262">
        <f>IF(S$17=0,0,S$17/AGR!S$5*1000)</f>
        <v>47.601353316453988</v>
      </c>
      <c r="T50" s="262">
        <f>IF(T$17=0,0,T$17/AGR!T$5*1000)</f>
        <v>49.195386558961097</v>
      </c>
      <c r="U50" s="262">
        <f>IF(U$17=0,0,U$17/AGR!U$5*1000)</f>
        <v>49.751180328795307</v>
      </c>
      <c r="V50" s="262">
        <f>IF(V$17=0,0,V$17/AGR!V$5*1000)</f>
        <v>52.999111054334904</v>
      </c>
      <c r="W50" s="262">
        <f>IF(W$17=0,0,W$17/AGR!W$5*1000)</f>
        <v>50.761486414504823</v>
      </c>
      <c r="X50" s="262">
        <f>IF(X$17=0,0,X$17/AGR!X$5*1000)</f>
        <v>43.414881290193428</v>
      </c>
      <c r="Y50" s="262">
        <f>IF(Y$17=0,0,Y$17/AGR!Y$5*1000)</f>
        <v>45.88778521904301</v>
      </c>
      <c r="DA50" s="284"/>
    </row>
    <row r="51" spans="1:105" x14ac:dyDescent="0.25">
      <c r="A51" s="127" t="s">
        <v>167</v>
      </c>
      <c r="B51" s="262">
        <f>IF(B$25=0,0,B$25/AGR!B$5*1000)</f>
        <v>4.0592309022490474</v>
      </c>
      <c r="C51" s="262">
        <f>IF(C$25=0,0,C$25/AGR!C$5*1000)</f>
        <v>3.7839117110024416</v>
      </c>
      <c r="D51" s="262">
        <f>IF(D$25=0,0,D$25/AGR!D$5*1000)</f>
        <v>4.1172182013777272</v>
      </c>
      <c r="E51" s="262">
        <f>IF(E$25=0,0,E$25/AGR!E$5*1000)</f>
        <v>4.3713874020617212</v>
      </c>
      <c r="F51" s="262">
        <f>IF(F$25=0,0,F$25/AGR!F$5*1000)</f>
        <v>4.238525797026317</v>
      </c>
      <c r="G51" s="262">
        <f>IF(G$25=0,0,G$25/AGR!G$5*1000)</f>
        <v>5.0122636439246326</v>
      </c>
      <c r="H51" s="262">
        <f>IF(H$25=0,0,H$25/AGR!H$5*1000)</f>
        <v>4.7206850375051781</v>
      </c>
      <c r="I51" s="262">
        <f>IF(I$25=0,0,I$25/AGR!I$5*1000)</f>
        <v>4.2865441644926001</v>
      </c>
      <c r="J51" s="262">
        <f>IF(J$25=0,0,J$25/AGR!J$5*1000)</f>
        <v>4.6309798308001824</v>
      </c>
      <c r="K51" s="262">
        <f>IF(K$25=0,0,K$25/AGR!K$5*1000)</f>
        <v>5.1945964056433116</v>
      </c>
      <c r="L51" s="262">
        <f>IF(L$25=0,0,L$25/AGR!L$5*1000)</f>
        <v>4.9706826912930637</v>
      </c>
      <c r="M51" s="262">
        <f>IF(M$25=0,0,M$25/AGR!M$5*1000)</f>
        <v>4.5241334177606678</v>
      </c>
      <c r="N51" s="262">
        <f>IF(N$25=0,0,N$25/AGR!N$5*1000)</f>
        <v>4.8145051990503243</v>
      </c>
      <c r="O51" s="262">
        <f>IF(O$25=0,0,O$25/AGR!O$5*1000)</f>
        <v>4.7204042606398531</v>
      </c>
      <c r="P51" s="262">
        <f>IF(P$25=0,0,P$25/AGR!P$5*1000)</f>
        <v>4.5913173585311728</v>
      </c>
      <c r="Q51" s="262">
        <f>IF(Q$25=0,0,Q$25/AGR!Q$5*1000)</f>
        <v>4.5684807673092003</v>
      </c>
      <c r="R51" s="262">
        <f>IF(R$25=0,0,R$25/AGR!R$5*1000)</f>
        <v>4.6525704149549574</v>
      </c>
      <c r="S51" s="262">
        <f>IF(S$25=0,0,S$25/AGR!S$5*1000)</f>
        <v>4.2478261815001117</v>
      </c>
      <c r="T51" s="262">
        <f>IF(T$25=0,0,T$25/AGR!T$5*1000)</f>
        <v>4.5107065321211248</v>
      </c>
      <c r="U51" s="262">
        <f>IF(U$25=0,0,U$25/AGR!U$5*1000)</f>
        <v>4.5188000482320332</v>
      </c>
      <c r="V51" s="262">
        <f>IF(V$25=0,0,V$25/AGR!V$5*1000)</f>
        <v>4.9101450464126737</v>
      </c>
      <c r="W51" s="262">
        <f>IF(W$25=0,0,W$25/AGR!W$5*1000)</f>
        <v>4.6574763544047313</v>
      </c>
      <c r="X51" s="262">
        <f>IF(X$25=0,0,X$25/AGR!X$5*1000)</f>
        <v>4.1782714143304407</v>
      </c>
      <c r="Y51" s="262">
        <f>IF(Y$25=0,0,Y$25/AGR!Y$5*1000)</f>
        <v>4.0710957383041935</v>
      </c>
      <c r="DA51" s="284"/>
    </row>
    <row r="52" spans="1:105" x14ac:dyDescent="0.25">
      <c r="A52" s="127" t="s">
        <v>170</v>
      </c>
      <c r="B52" s="262">
        <f>IF(B$26=0,0,B$26/AGR!B$5*1000)</f>
        <v>3.0706025479316059</v>
      </c>
      <c r="C52" s="262">
        <f>IF(C$26=0,0,C$26/AGR!C$5*1000)</f>
        <v>3.1238373663005303</v>
      </c>
      <c r="D52" s="262">
        <f>IF(D$26=0,0,D$26/AGR!D$5*1000)</f>
        <v>3.0713440575906334</v>
      </c>
      <c r="E52" s="262">
        <f>IF(E$26=0,0,E$26/AGR!E$5*1000)</f>
        <v>2.8736537809769045</v>
      </c>
      <c r="F52" s="262">
        <f>IF(F$26=0,0,F$26/AGR!F$5*1000)</f>
        <v>2.9056763127227287</v>
      </c>
      <c r="G52" s="262">
        <f>IF(G$26=0,0,G$26/AGR!G$5*1000)</f>
        <v>3.4616934466376486</v>
      </c>
      <c r="H52" s="262">
        <f>IF(H$26=0,0,H$26/AGR!H$5*1000)</f>
        <v>3.245529950138371</v>
      </c>
      <c r="I52" s="262">
        <f>IF(I$26=0,0,I$26/AGR!I$5*1000)</f>
        <v>2.8997569123690092</v>
      </c>
      <c r="J52" s="262">
        <f>IF(J$26=0,0,J$26/AGR!J$5*1000)</f>
        <v>3.0176299541373499</v>
      </c>
      <c r="K52" s="262">
        <f>IF(K$26=0,0,K$26/AGR!K$5*1000)</f>
        <v>3.4234309762638997</v>
      </c>
      <c r="L52" s="262">
        <f>IF(L$26=0,0,L$26/AGR!L$5*1000)</f>
        <v>2.8831143604286464</v>
      </c>
      <c r="M52" s="262">
        <f>IF(M$26=0,0,M$26/AGR!M$5*1000)</f>
        <v>2.5468666888149718</v>
      </c>
      <c r="N52" s="262">
        <f>IF(N$26=0,0,N$26/AGR!N$5*1000)</f>
        <v>2.7963572829824108</v>
      </c>
      <c r="O52" s="262">
        <f>IF(O$26=0,0,O$26/AGR!O$5*1000)</f>
        <v>2.6954611765705718</v>
      </c>
      <c r="P52" s="262">
        <f>IF(P$26=0,0,P$26/AGR!P$5*1000)</f>
        <v>2.5664583915991512</v>
      </c>
      <c r="Q52" s="262">
        <f>IF(Q$26=0,0,Q$26/AGR!Q$5*1000)</f>
        <v>2.8339371194557175</v>
      </c>
      <c r="R52" s="262">
        <f>IF(R$26=0,0,R$26/AGR!R$5*1000)</f>
        <v>3.0086067465171866</v>
      </c>
      <c r="S52" s="262">
        <f>IF(S$26=0,0,S$26/AGR!S$5*1000)</f>
        <v>2.6622980075179634</v>
      </c>
      <c r="T52" s="262">
        <f>IF(T$26=0,0,T$26/AGR!T$5*1000)</f>
        <v>2.9337215253581155</v>
      </c>
      <c r="U52" s="262">
        <f>IF(U$26=0,0,U$26/AGR!U$5*1000)</f>
        <v>2.8122137685963007</v>
      </c>
      <c r="V52" s="262">
        <f>IF(V$26=0,0,V$26/AGR!V$5*1000)</f>
        <v>2.7881442656931648</v>
      </c>
      <c r="W52" s="262">
        <f>IF(W$26=0,0,W$26/AGR!W$5*1000)</f>
        <v>2.6568963647455632</v>
      </c>
      <c r="X52" s="262">
        <f>IF(X$26=0,0,X$26/AGR!X$5*1000)</f>
        <v>2.0758776269542811</v>
      </c>
      <c r="Y52" s="262">
        <f>IF(Y$26=0,0,Y$26/AGR!Y$5*1000)</f>
        <v>2.1775511874280387</v>
      </c>
      <c r="DA52" s="284"/>
    </row>
    <row r="53" spans="1:105" x14ac:dyDescent="0.25">
      <c r="A53" s="260" t="s">
        <v>33</v>
      </c>
      <c r="B53" s="263">
        <f>IF(B$27=0,0,B$27/AGR!B$5*1000)</f>
        <v>4.4523736945008308</v>
      </c>
      <c r="C53" s="263">
        <f>IF(C$27=0,0,C$27/AGR!C$5*1000)</f>
        <v>4.5295641811357665</v>
      </c>
      <c r="D53" s="263">
        <f>IF(D$27=0,0,D$27/AGR!D$5*1000)</f>
        <v>4.4534488835064199</v>
      </c>
      <c r="E53" s="263">
        <f>IF(E$27=0,0,E$27/AGR!E$5*1000)</f>
        <v>4.1667979824165116</v>
      </c>
      <c r="F53" s="263">
        <f>IF(F$27=0,0,F$27/AGR!F$5*1000)</f>
        <v>4.2132306534479564</v>
      </c>
      <c r="G53" s="263">
        <f>IF(G$27=0,0,G$27/AGR!G$5*1000)</f>
        <v>5.0194554976245893</v>
      </c>
      <c r="H53" s="263">
        <f>IF(H$27=0,0,H$27/AGR!H$5*1000)</f>
        <v>4.7060184277006387</v>
      </c>
      <c r="I53" s="263">
        <f>IF(I$27=0,0,I$27/AGR!I$5*1000)</f>
        <v>4.2046475229350637</v>
      </c>
      <c r="J53" s="263">
        <f>IF(J$27=0,0,J$27/AGR!J$5*1000)</f>
        <v>4.375563433499158</v>
      </c>
      <c r="K53" s="263">
        <f>IF(K$27=0,0,K$27/AGR!K$5*1000)</f>
        <v>4.9639749155826536</v>
      </c>
      <c r="L53" s="263">
        <f>IF(L$27=0,0,L$27/AGR!L$5*1000)</f>
        <v>4.1805158226215378</v>
      </c>
      <c r="M53" s="263">
        <f>IF(M$27=0,0,M$27/AGR!M$5*1000)</f>
        <v>3.6929566987817091</v>
      </c>
      <c r="N53" s="263">
        <f>IF(N$27=0,0,N$27/AGR!N$5*1000)</f>
        <v>4.054718060324495</v>
      </c>
      <c r="O53" s="263">
        <f>IF(O$27=0,0,O$27/AGR!O$5*1000)</f>
        <v>3.9084187060273288</v>
      </c>
      <c r="P53" s="263">
        <f>IF(P$27=0,0,P$27/AGR!P$5*1000)</f>
        <v>3.7213646678187704</v>
      </c>
      <c r="Q53" s="263">
        <f>IF(Q$27=0,0,Q$27/AGR!Q$5*1000)</f>
        <v>4.10920882321079</v>
      </c>
      <c r="R53" s="263">
        <f>IF(R$27=0,0,R$27/AGR!R$5*1000)</f>
        <v>4.3624797824499195</v>
      </c>
      <c r="S53" s="263">
        <f>IF(S$27=0,0,S$27/AGR!S$5*1000)</f>
        <v>3.860332110901048</v>
      </c>
      <c r="T53" s="263">
        <f>IF(T$27=0,0,T$27/AGR!T$5*1000)</f>
        <v>4.2538962117692689</v>
      </c>
      <c r="U53" s="263">
        <f>IF(U$27=0,0,U$27/AGR!U$5*1000)</f>
        <v>4.0777099644646366</v>
      </c>
      <c r="V53" s="263">
        <f>IF(V$27=0,0,V$27/AGR!V$5*1000)</f>
        <v>4.0428091852550905</v>
      </c>
      <c r="W53" s="263">
        <f>IF(W$27=0,0,W$27/AGR!W$5*1000)</f>
        <v>3.8524997288810665</v>
      </c>
      <c r="X53" s="263">
        <f>IF(X$27=0,0,X$27/AGR!X$5*1000)</f>
        <v>3.010022559083708</v>
      </c>
      <c r="Y53" s="263">
        <f>IF(Y$27=0,0,Y$27/AGR!Y$5*1000)</f>
        <v>3.1574492217706571</v>
      </c>
      <c r="DA53" s="285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1015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133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41.895071110615625</v>
      </c>
      <c r="C5" s="80">
        <f t="shared" ref="C5:W5" si="1">SUM(C6:C9,C16:C17,C25:C27)</f>
        <v>41.87003588340054</v>
      </c>
      <c r="D5" s="80">
        <f t="shared" si="1"/>
        <v>41.947094474973859</v>
      </c>
      <c r="E5" s="80">
        <f t="shared" si="1"/>
        <v>42.101872040971536</v>
      </c>
      <c r="F5" s="80">
        <f t="shared" si="1"/>
        <v>44.917218635844222</v>
      </c>
      <c r="G5" s="80">
        <f t="shared" si="1"/>
        <v>45.554510042999297</v>
      </c>
      <c r="H5" s="80">
        <f t="shared" si="1"/>
        <v>48.911977221366129</v>
      </c>
      <c r="I5" s="80">
        <f t="shared" si="1"/>
        <v>51.507775755458916</v>
      </c>
      <c r="J5" s="80">
        <f t="shared" si="1"/>
        <v>49.413004329973411</v>
      </c>
      <c r="K5" s="80">
        <f t="shared" si="1"/>
        <v>44.633582905238775</v>
      </c>
      <c r="L5" s="80">
        <f t="shared" si="1"/>
        <v>47.112168686991808</v>
      </c>
      <c r="M5" s="80">
        <f t="shared" si="1"/>
        <v>45.995264032591997</v>
      </c>
      <c r="N5" s="80">
        <f t="shared" si="1"/>
        <v>45.56113459281385</v>
      </c>
      <c r="O5" s="80">
        <f t="shared" si="1"/>
        <v>44.639337484814405</v>
      </c>
      <c r="P5" s="80">
        <f t="shared" si="1"/>
        <v>45.801655254125116</v>
      </c>
      <c r="Q5" s="80">
        <f t="shared" si="1"/>
        <v>44.318744584027257</v>
      </c>
      <c r="R5" s="80">
        <f t="shared" si="1"/>
        <v>45.273023361214108</v>
      </c>
      <c r="S5" s="80">
        <f t="shared" si="1"/>
        <v>46.746305239661318</v>
      </c>
      <c r="T5" s="80">
        <f t="shared" si="1"/>
        <v>45.720736094540769</v>
      </c>
      <c r="U5" s="80">
        <f t="shared" si="1"/>
        <v>47.604035004581959</v>
      </c>
      <c r="V5" s="80">
        <f t="shared" si="1"/>
        <v>47.964542695956482</v>
      </c>
      <c r="W5" s="80">
        <f t="shared" si="1"/>
        <v>51.164578003760226</v>
      </c>
      <c r="X5" s="80">
        <f t="shared" ref="X5:Y5" si="2">SUM(X6:X9,X16:X17,X25:X27)</f>
        <v>52.583552690264703</v>
      </c>
      <c r="Y5" s="80">
        <f t="shared" si="2"/>
        <v>49.458386177627773</v>
      </c>
      <c r="DA5" s="103"/>
    </row>
    <row r="6" spans="1:105" x14ac:dyDescent="0.25">
      <c r="A6" s="238" t="s">
        <v>125</v>
      </c>
      <c r="B6" s="239">
        <v>1.2869214152472881</v>
      </c>
      <c r="C6" s="239">
        <v>1.3321750315238849</v>
      </c>
      <c r="D6" s="239">
        <v>1.286381112481578</v>
      </c>
      <c r="E6" s="239">
        <v>1.1707758827195911</v>
      </c>
      <c r="F6" s="239">
        <v>1.272858794891176</v>
      </c>
      <c r="G6" s="239">
        <v>1.340198551449062</v>
      </c>
      <c r="H6" s="239">
        <v>1.3941956130019659</v>
      </c>
      <c r="I6" s="239">
        <v>1.4575825040013559</v>
      </c>
      <c r="J6" s="239">
        <v>1.389872754577119</v>
      </c>
      <c r="K6" s="239">
        <v>1.2823556052914951</v>
      </c>
      <c r="L6" s="239">
        <v>1.2397267825538569</v>
      </c>
      <c r="M6" s="239">
        <v>1.1963506905054551</v>
      </c>
      <c r="N6" s="239">
        <v>1.2750949094017749</v>
      </c>
      <c r="O6" s="239">
        <v>1.220068656841135</v>
      </c>
      <c r="P6" s="239">
        <v>1.2516267681784361</v>
      </c>
      <c r="Q6" s="239">
        <v>1.2941152693918321</v>
      </c>
      <c r="R6" s="239">
        <v>1.371262220351952</v>
      </c>
      <c r="S6" s="239">
        <v>1.371836304074713</v>
      </c>
      <c r="T6" s="239">
        <v>1.3971231244432569</v>
      </c>
      <c r="U6" s="239">
        <v>1.4172873554949481</v>
      </c>
      <c r="V6" s="239">
        <v>1.350634313000096</v>
      </c>
      <c r="W6" s="239">
        <v>1.4338518300097181</v>
      </c>
      <c r="X6" s="239">
        <v>1.3632928596841809</v>
      </c>
      <c r="Y6" s="239">
        <v>1.31512195065064</v>
      </c>
      <c r="DA6" s="267" t="s">
        <v>1016</v>
      </c>
    </row>
    <row r="7" spans="1:105" x14ac:dyDescent="0.25">
      <c r="A7" s="240" t="s">
        <v>124</v>
      </c>
      <c r="B7" s="241">
        <v>0.82949567882027286</v>
      </c>
      <c r="C7" s="241">
        <v>0.85866426573450583</v>
      </c>
      <c r="D7" s="241">
        <v>0.82914742227243676</v>
      </c>
      <c r="E7" s="241">
        <v>0.75463312994622889</v>
      </c>
      <c r="F7" s="241">
        <v>0.82043150234447504</v>
      </c>
      <c r="G7" s="241">
        <v>0.86383589084541723</v>
      </c>
      <c r="H7" s="241">
        <v>0.89864013661866782</v>
      </c>
      <c r="I7" s="241">
        <v>0.93949667343194521</v>
      </c>
      <c r="J7" s="241">
        <v>0.89585380301579343</v>
      </c>
      <c r="K7" s="241">
        <v>0.82655274882954244</v>
      </c>
      <c r="L7" s="241">
        <v>0.79907599396703066</v>
      </c>
      <c r="M7" s="241">
        <v>0.77111758058454249</v>
      </c>
      <c r="N7" s="241">
        <v>0.82187280816308461</v>
      </c>
      <c r="O7" s="241">
        <v>0.7864051889441187</v>
      </c>
      <c r="P7" s="241">
        <v>0.80674622661423168</v>
      </c>
      <c r="Q7" s="241">
        <v>0.83413253609552129</v>
      </c>
      <c r="R7" s="241">
        <v>0.88385823161771682</v>
      </c>
      <c r="S7" s="241">
        <v>0.88422826195653115</v>
      </c>
      <c r="T7" s="241">
        <v>0.90052708795965664</v>
      </c>
      <c r="U7" s="241">
        <v>0.91352410730049738</v>
      </c>
      <c r="V7" s="241">
        <v>0.87056234594144821</v>
      </c>
      <c r="W7" s="241">
        <v>0.92420087424923147</v>
      </c>
      <c r="X7" s="241">
        <v>0.87872151529723641</v>
      </c>
      <c r="Y7" s="241">
        <v>0.84767256357823173</v>
      </c>
      <c r="DA7" s="268" t="s">
        <v>1017</v>
      </c>
    </row>
    <row r="8" spans="1:105" x14ac:dyDescent="0.25">
      <c r="A8" s="240" t="s">
        <v>123</v>
      </c>
      <c r="B8" s="241">
        <v>1.6484005496170711</v>
      </c>
      <c r="C8" s="241">
        <v>1.7063653057076129</v>
      </c>
      <c r="D8" s="241">
        <v>1.647708482980055</v>
      </c>
      <c r="E8" s="241">
        <v>1.4996312794923421</v>
      </c>
      <c r="F8" s="241">
        <v>1.6303879259638889</v>
      </c>
      <c r="G8" s="241">
        <v>1.7166425258220861</v>
      </c>
      <c r="H8" s="241">
        <v>1.785806644848273</v>
      </c>
      <c r="I8" s="241">
        <v>1.8669980717092789</v>
      </c>
      <c r="J8" s="241">
        <v>1.7802695529023249</v>
      </c>
      <c r="K8" s="241">
        <v>1.642552264281693</v>
      </c>
      <c r="L8" s="241">
        <v>1.5879495713761991</v>
      </c>
      <c r="M8" s="241">
        <v>1.53238971113478</v>
      </c>
      <c r="N8" s="241">
        <v>1.6332521353434259</v>
      </c>
      <c r="O8" s="241">
        <v>1.56276973922377</v>
      </c>
      <c r="P8" s="241">
        <v>1.6031921049229909</v>
      </c>
      <c r="Q8" s="241">
        <v>1.6576150618516461</v>
      </c>
      <c r="R8" s="241">
        <v>1.756431566773593</v>
      </c>
      <c r="S8" s="241">
        <v>1.757166902989864</v>
      </c>
      <c r="T8" s="241">
        <v>1.7895564553741219</v>
      </c>
      <c r="U8" s="241">
        <v>1.81538455113382</v>
      </c>
      <c r="V8" s="241">
        <v>1.730009554198944</v>
      </c>
      <c r="W8" s="241">
        <v>1.83660176655254</v>
      </c>
      <c r="X8" s="241">
        <v>1.746223718532661</v>
      </c>
      <c r="Y8" s="241">
        <v>1.68452224089334</v>
      </c>
      <c r="DA8" s="268" t="s">
        <v>1018</v>
      </c>
    </row>
    <row r="9" spans="1:105" x14ac:dyDescent="0.25">
      <c r="A9" s="242" t="s">
        <v>122</v>
      </c>
      <c r="B9" s="243">
        <f t="shared" ref="B9" si="3">SUM(B10:B15)</f>
        <v>17.000731267785021</v>
      </c>
      <c r="C9" s="243">
        <f t="shared" ref="C9:W9" si="4">SUM(C10:C15)</f>
        <v>17.018048051820564</v>
      </c>
      <c r="D9" s="243">
        <f t="shared" si="4"/>
        <v>16.567595496682173</v>
      </c>
      <c r="E9" s="243">
        <f t="shared" si="4"/>
        <v>16.605384998153685</v>
      </c>
      <c r="F9" s="243">
        <f t="shared" si="4"/>
        <v>17.803096099777981</v>
      </c>
      <c r="G9" s="243">
        <f t="shared" si="4"/>
        <v>17.884250006505049</v>
      </c>
      <c r="H9" s="243">
        <f t="shared" si="4"/>
        <v>19.201128880866303</v>
      </c>
      <c r="I9" s="243">
        <f t="shared" si="4"/>
        <v>19.997118282433501</v>
      </c>
      <c r="J9" s="243">
        <f t="shared" si="4"/>
        <v>19.242936453698743</v>
      </c>
      <c r="K9" s="243">
        <f t="shared" si="4"/>
        <v>17.223033070299472</v>
      </c>
      <c r="L9" s="243">
        <f t="shared" si="4"/>
        <v>17.92734935082661</v>
      </c>
      <c r="M9" s="243">
        <f t="shared" si="4"/>
        <v>17.148070763989182</v>
      </c>
      <c r="N9" s="243">
        <f t="shared" si="4"/>
        <v>16.521686162252099</v>
      </c>
      <c r="O9" s="243">
        <f t="shared" si="4"/>
        <v>16.044557099613382</v>
      </c>
      <c r="P9" s="243">
        <f t="shared" si="4"/>
        <v>15.824525566580473</v>
      </c>
      <c r="Q9" s="243">
        <f t="shared" si="4"/>
        <v>15.508373851548539</v>
      </c>
      <c r="R9" s="243">
        <f t="shared" si="4"/>
        <v>15.928026321682204</v>
      </c>
      <c r="S9" s="243">
        <f t="shared" si="4"/>
        <v>16.254330846448134</v>
      </c>
      <c r="T9" s="243">
        <f t="shared" si="4"/>
        <v>15.899349737397365</v>
      </c>
      <c r="U9" s="243">
        <f t="shared" si="4"/>
        <v>16.207331546331215</v>
      </c>
      <c r="V9" s="243">
        <f t="shared" si="4"/>
        <v>16.202633407704575</v>
      </c>
      <c r="W9" s="243">
        <f t="shared" si="4"/>
        <v>17.338904204013158</v>
      </c>
      <c r="X9" s="243">
        <f t="shared" ref="X9:Y9" si="5">SUM(X10:X15)</f>
        <v>17.601731272640333</v>
      </c>
      <c r="Y9" s="243">
        <f t="shared" si="5"/>
        <v>16.448564638346522</v>
      </c>
      <c r="DA9" s="269"/>
    </row>
    <row r="10" spans="1:105" x14ac:dyDescent="0.25">
      <c r="A10" s="253" t="s">
        <v>166</v>
      </c>
      <c r="B10" s="254">
        <v>1.895213063045152</v>
      </c>
      <c r="C10" s="254">
        <v>1.53423328307089</v>
      </c>
      <c r="D10" s="254">
        <v>1.953120117053895</v>
      </c>
      <c r="E10" s="254">
        <v>2.1741936903936678</v>
      </c>
      <c r="F10" s="254">
        <v>2.098527808426232</v>
      </c>
      <c r="G10" s="254">
        <v>2.428930895659978</v>
      </c>
      <c r="H10" s="254">
        <v>2.2521646878402182</v>
      </c>
      <c r="I10" s="254">
        <v>2.468442572616798</v>
      </c>
      <c r="J10" s="254">
        <v>2.6946113499370661</v>
      </c>
      <c r="K10" s="254">
        <v>2.6289659248778179</v>
      </c>
      <c r="L10" s="254">
        <v>3.1308170103124371</v>
      </c>
      <c r="M10" s="254">
        <v>3.3313248177358412</v>
      </c>
      <c r="N10" s="254">
        <v>3.987911092119008</v>
      </c>
      <c r="O10" s="254">
        <v>3.922178947703213</v>
      </c>
      <c r="P10" s="254">
        <v>4.7531924957059566</v>
      </c>
      <c r="Q10" s="254">
        <v>4.0060225395380646</v>
      </c>
      <c r="R10" s="254">
        <v>3.9989592054733079</v>
      </c>
      <c r="S10" s="254">
        <v>4.2048156446953797</v>
      </c>
      <c r="T10" s="254">
        <v>4.1705619927331119</v>
      </c>
      <c r="U10" s="254">
        <v>4.7662997821173274</v>
      </c>
      <c r="V10" s="254">
        <v>5.4243079701576127</v>
      </c>
      <c r="W10" s="254">
        <v>5.5154120440075802</v>
      </c>
      <c r="X10" s="254">
        <v>7.1055619504734411</v>
      </c>
      <c r="Y10" s="254">
        <v>5.7992510198966718</v>
      </c>
      <c r="DA10" s="270" t="s">
        <v>1019</v>
      </c>
    </row>
    <row r="11" spans="1:105" x14ac:dyDescent="0.25">
      <c r="A11" s="253" t="s">
        <v>169</v>
      </c>
      <c r="B11" s="255">
        <v>4.7983680738539078</v>
      </c>
      <c r="C11" s="255">
        <v>5.5891407157134338</v>
      </c>
      <c r="D11" s="255">
        <v>5.9877183413710648</v>
      </c>
      <c r="E11" s="255">
        <v>6.1856582882961924</v>
      </c>
      <c r="F11" s="255">
        <v>6.901240501794085</v>
      </c>
      <c r="G11" s="255">
        <v>6.2506838799368358</v>
      </c>
      <c r="H11" s="255">
        <v>8.4402088382414924</v>
      </c>
      <c r="I11" s="255">
        <v>9.2791697019666461</v>
      </c>
      <c r="J11" s="255">
        <v>7.8090971574935288</v>
      </c>
      <c r="K11" s="255">
        <v>6.3689064521639009</v>
      </c>
      <c r="L11" s="255">
        <v>7.7307553371681541</v>
      </c>
      <c r="M11" s="255">
        <v>7.8734273513447013</v>
      </c>
      <c r="N11" s="255">
        <v>6.9659195222141612</v>
      </c>
      <c r="O11" s="255">
        <v>6.8589627912401143</v>
      </c>
      <c r="P11" s="255">
        <v>6.0946572522261651</v>
      </c>
      <c r="Q11" s="255">
        <v>5.9102801003610361</v>
      </c>
      <c r="R11" s="255">
        <v>5.8617509104605183</v>
      </c>
      <c r="S11" s="255">
        <v>6.2793064779288921</v>
      </c>
      <c r="T11" s="255">
        <v>5.8686857890022326</v>
      </c>
      <c r="U11" s="255">
        <v>6.0851076088657354</v>
      </c>
      <c r="V11" s="255">
        <v>6.0678565107745603</v>
      </c>
      <c r="W11" s="255">
        <v>7.0629320435156862</v>
      </c>
      <c r="X11" s="255">
        <v>6.163605998601998</v>
      </c>
      <c r="Y11" s="255">
        <v>6.4419479805893474</v>
      </c>
      <c r="DA11" s="271" t="s">
        <v>1020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1021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1022</v>
      </c>
    </row>
    <row r="14" spans="1:105" x14ac:dyDescent="0.25">
      <c r="A14" s="253" t="s">
        <v>162</v>
      </c>
      <c r="B14" s="254">
        <v>8.1451034332769492</v>
      </c>
      <c r="C14" s="254">
        <v>7.4842475779930906</v>
      </c>
      <c r="D14" s="254">
        <v>6.4599239761871861</v>
      </c>
      <c r="E14" s="254">
        <v>6.6416875882564934</v>
      </c>
      <c r="F14" s="254">
        <v>7.0216901136346053</v>
      </c>
      <c r="G14" s="254">
        <v>7.1538493891727448</v>
      </c>
      <c r="H14" s="254">
        <v>6.5756079504872336</v>
      </c>
      <c r="I14" s="254">
        <v>6.228615505181188</v>
      </c>
      <c r="J14" s="254">
        <v>6.8399265015550057</v>
      </c>
      <c r="K14" s="254">
        <v>6.3112299218012966</v>
      </c>
      <c r="L14" s="254">
        <v>5.5677596498831097</v>
      </c>
      <c r="M14" s="254">
        <v>4.4938911891388544</v>
      </c>
      <c r="N14" s="254">
        <v>3.733886138386818</v>
      </c>
      <c r="O14" s="254">
        <v>3.5191124462382608</v>
      </c>
      <c r="P14" s="254">
        <v>3.0069506453304471</v>
      </c>
      <c r="Q14" s="254">
        <v>3.2051895586380099</v>
      </c>
      <c r="R14" s="254">
        <v>3.3538836130182879</v>
      </c>
      <c r="S14" s="254">
        <v>3.1556446997187089</v>
      </c>
      <c r="T14" s="254">
        <v>2.9573463087929199</v>
      </c>
      <c r="U14" s="254">
        <v>2.494729366801026</v>
      </c>
      <c r="V14" s="254">
        <v>2.362570091262481</v>
      </c>
      <c r="W14" s="254">
        <v>2.31302523234194</v>
      </c>
      <c r="X14" s="254">
        <v>2.4286497290263478</v>
      </c>
      <c r="Y14" s="254">
        <v>2.114786319039593</v>
      </c>
      <c r="DA14" s="270" t="s">
        <v>1023</v>
      </c>
    </row>
    <row r="15" spans="1:105" x14ac:dyDescent="0.25">
      <c r="A15" s="253" t="s">
        <v>24</v>
      </c>
      <c r="B15" s="255">
        <v>2.162046697609012</v>
      </c>
      <c r="C15" s="255">
        <v>2.4104264750431472</v>
      </c>
      <c r="D15" s="255">
        <v>2.166833062070026</v>
      </c>
      <c r="E15" s="255">
        <v>1.6038454312073309</v>
      </c>
      <c r="F15" s="255">
        <v>1.7816376759230561</v>
      </c>
      <c r="G15" s="255">
        <v>2.0507858417354901</v>
      </c>
      <c r="H15" s="255">
        <v>1.933147404297362</v>
      </c>
      <c r="I15" s="255">
        <v>2.020890502668871</v>
      </c>
      <c r="J15" s="255">
        <v>1.8993014447131431</v>
      </c>
      <c r="K15" s="255">
        <v>1.9139307714564571</v>
      </c>
      <c r="L15" s="255">
        <v>1.498017353462908</v>
      </c>
      <c r="M15" s="255">
        <v>1.449427405769786</v>
      </c>
      <c r="N15" s="255">
        <v>1.8339694095321111</v>
      </c>
      <c r="O15" s="255">
        <v>1.7443029144317941</v>
      </c>
      <c r="P15" s="255">
        <v>1.969725173317904</v>
      </c>
      <c r="Q15" s="255">
        <v>2.3868816530114292</v>
      </c>
      <c r="R15" s="255">
        <v>2.7134325927300891</v>
      </c>
      <c r="S15" s="255">
        <v>2.614564024105154</v>
      </c>
      <c r="T15" s="255">
        <v>2.9027556468691018</v>
      </c>
      <c r="U15" s="255">
        <v>2.8611947885471252</v>
      </c>
      <c r="V15" s="255">
        <v>2.3478988355099211</v>
      </c>
      <c r="W15" s="255">
        <v>2.4475348841479532</v>
      </c>
      <c r="X15" s="255">
        <v>1.903913594538547</v>
      </c>
      <c r="Y15" s="255">
        <v>2.0925793188209072</v>
      </c>
      <c r="DA15" s="271" t="s">
        <v>1024</v>
      </c>
    </row>
    <row r="16" spans="1:105" x14ac:dyDescent="0.25">
      <c r="A16" s="256" t="s">
        <v>168</v>
      </c>
      <c r="B16" s="257">
        <v>6.3353552378839266</v>
      </c>
      <c r="C16" s="257">
        <v>6.0091447064693684</v>
      </c>
      <c r="D16" s="257">
        <v>6.4216090643982469</v>
      </c>
      <c r="E16" s="257">
        <v>6.6321969531248568</v>
      </c>
      <c r="F16" s="257">
        <v>6.9142745308819231</v>
      </c>
      <c r="G16" s="257">
        <v>7.2262542656936466</v>
      </c>
      <c r="H16" s="257">
        <v>7.5516509825233156</v>
      </c>
      <c r="I16" s="257">
        <v>8.0237548399354477</v>
      </c>
      <c r="J16" s="257">
        <v>7.9429301398618568</v>
      </c>
      <c r="K16" s="257">
        <v>7.2459862057161812</v>
      </c>
      <c r="L16" s="257">
        <v>7.9593746671441554</v>
      </c>
      <c r="M16" s="257">
        <v>7.9138258499260594</v>
      </c>
      <c r="N16" s="257">
        <v>8.1752361477161664</v>
      </c>
      <c r="O16" s="257">
        <v>7.9566302554248942</v>
      </c>
      <c r="P16" s="257">
        <v>8.3382847411765635</v>
      </c>
      <c r="Q16" s="257">
        <v>7.7687893630029574</v>
      </c>
      <c r="R16" s="257">
        <v>7.8967217310508593</v>
      </c>
      <c r="S16" s="257">
        <v>8.1510049290308402</v>
      </c>
      <c r="T16" s="257">
        <v>7.999432165790191</v>
      </c>
      <c r="U16" s="257">
        <v>8.4806960988678259</v>
      </c>
      <c r="V16" s="257">
        <v>8.8575916049954078</v>
      </c>
      <c r="W16" s="257">
        <v>9.3600703480310425</v>
      </c>
      <c r="X16" s="257">
        <v>10.21839891970526</v>
      </c>
      <c r="Y16" s="257">
        <v>9.1560417282955573</v>
      </c>
      <c r="DA16" s="272" t="s">
        <v>1025</v>
      </c>
    </row>
    <row r="17" spans="1:105" x14ac:dyDescent="0.25">
      <c r="A17" s="256" t="s">
        <v>121</v>
      </c>
      <c r="B17" s="257">
        <f t="shared" ref="B17" si="6">SUM(B18:B24)</f>
        <v>10.72091489010522</v>
      </c>
      <c r="C17" s="257">
        <f t="shared" ref="C17:W17" si="7">SUM(C18:C24)</f>
        <v>10.802998529199286</v>
      </c>
      <c r="D17" s="257">
        <f t="shared" si="7"/>
        <v>11.11115109255141</v>
      </c>
      <c r="E17" s="257">
        <f t="shared" si="7"/>
        <v>11.61677379304234</v>
      </c>
      <c r="F17" s="257">
        <f t="shared" si="7"/>
        <v>12.360244591546415</v>
      </c>
      <c r="G17" s="257">
        <f t="shared" si="7"/>
        <v>12.196892055050689</v>
      </c>
      <c r="H17" s="257">
        <f t="shared" si="7"/>
        <v>13.575197801692045</v>
      </c>
      <c r="I17" s="257">
        <f t="shared" si="7"/>
        <v>14.495311993616538</v>
      </c>
      <c r="J17" s="257">
        <f t="shared" si="7"/>
        <v>13.613973003743936</v>
      </c>
      <c r="K17" s="257">
        <f t="shared" si="7"/>
        <v>12.228789125759333</v>
      </c>
      <c r="L17" s="257">
        <f t="shared" si="7"/>
        <v>13.425117049204292</v>
      </c>
      <c r="M17" s="257">
        <f t="shared" si="7"/>
        <v>13.374628428743573</v>
      </c>
      <c r="N17" s="257">
        <f t="shared" si="7"/>
        <v>12.842857396334951</v>
      </c>
      <c r="O17" s="257">
        <f t="shared" si="7"/>
        <v>12.944903398715823</v>
      </c>
      <c r="P17" s="257">
        <f t="shared" si="7"/>
        <v>13.722952197369208</v>
      </c>
      <c r="Q17" s="257">
        <f t="shared" si="7"/>
        <v>12.971648276515388</v>
      </c>
      <c r="R17" s="257">
        <f t="shared" si="7"/>
        <v>12.942351120544812</v>
      </c>
      <c r="S17" s="257">
        <f t="shared" si="7"/>
        <v>13.797725087906182</v>
      </c>
      <c r="T17" s="257">
        <f t="shared" si="7"/>
        <v>13.161831576353215</v>
      </c>
      <c r="U17" s="257">
        <f t="shared" si="7"/>
        <v>14.081690464861701</v>
      </c>
      <c r="V17" s="257">
        <f t="shared" si="7"/>
        <v>14.381122164476926</v>
      </c>
      <c r="W17" s="257">
        <f t="shared" si="7"/>
        <v>15.423082966106303</v>
      </c>
      <c r="X17" s="257">
        <f t="shared" ref="X17:Y17" si="8">SUM(X18:X24)</f>
        <v>15.988468277487325</v>
      </c>
      <c r="Y17" s="257">
        <f t="shared" si="8"/>
        <v>15.48321404114151</v>
      </c>
      <c r="DA17" s="272"/>
    </row>
    <row r="18" spans="1:105" x14ac:dyDescent="0.25">
      <c r="A18" s="61" t="s">
        <v>29</v>
      </c>
      <c r="B18" s="55">
        <v>0.13433473278604841</v>
      </c>
      <c r="C18" s="55">
        <v>0.13433473278522751</v>
      </c>
      <c r="D18" s="55">
        <v>0.1343347327832522</v>
      </c>
      <c r="E18" s="55">
        <v>0.26866946556631699</v>
      </c>
      <c r="F18" s="55">
        <v>0.13433473278352681</v>
      </c>
      <c r="G18" s="55">
        <v>0.26866946556669469</v>
      </c>
      <c r="H18" s="55">
        <v>0.26866946556719951</v>
      </c>
      <c r="I18" s="55">
        <v>0.21301437491162109</v>
      </c>
      <c r="J18" s="55">
        <v>0.21301437491136699</v>
      </c>
      <c r="K18" s="55">
        <v>0.13433473278255559</v>
      </c>
      <c r="L18" s="55">
        <v>0.21301437491136921</v>
      </c>
      <c r="M18" s="55">
        <v>0.22730621028423181</v>
      </c>
      <c r="N18" s="55">
        <v>0.2273062102840267</v>
      </c>
      <c r="O18" s="55">
        <v>0.45463371987464152</v>
      </c>
      <c r="P18" s="55">
        <v>0.52453804728781595</v>
      </c>
      <c r="Q18" s="55">
        <v>0.52453804728690234</v>
      </c>
      <c r="R18" s="55">
        <v>0.67316461544573158</v>
      </c>
      <c r="S18" s="55">
        <v>0.65307936841366254</v>
      </c>
      <c r="T18" s="55">
        <v>0.69241918948072134</v>
      </c>
      <c r="U18" s="55">
        <v>0.54117280649280475</v>
      </c>
      <c r="V18" s="55">
        <v>0.32172604069945232</v>
      </c>
      <c r="W18" s="55">
        <v>0.2788931331954998</v>
      </c>
      <c r="X18" s="55">
        <v>0.51844644532720308</v>
      </c>
      <c r="Y18" s="55">
        <v>0.13640076561694711</v>
      </c>
      <c r="DA18" s="101" t="s">
        <v>1026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0.31905014704353291</v>
      </c>
      <c r="G19" s="55">
        <v>0.31905014704310658</v>
      </c>
      <c r="H19" s="55">
        <v>0.31905014704370621</v>
      </c>
      <c r="I19" s="55">
        <v>0.31875349418703819</v>
      </c>
      <c r="J19" s="55">
        <v>0.3187534941866581</v>
      </c>
      <c r="K19" s="55">
        <v>0.31875349418484228</v>
      </c>
      <c r="L19" s="55">
        <v>0.31875349418666132</v>
      </c>
      <c r="M19" s="55">
        <v>0.31875349418644688</v>
      </c>
      <c r="N19" s="55">
        <v>0.31875349418615923</v>
      </c>
      <c r="O19" s="55">
        <v>0.3187534941854776</v>
      </c>
      <c r="P19" s="55">
        <v>0.63753170944264093</v>
      </c>
      <c r="Q19" s="55">
        <v>0.314155374911124</v>
      </c>
      <c r="R19" s="55">
        <v>0.62833547089662556</v>
      </c>
      <c r="S19" s="55">
        <v>0.97475184393728886</v>
      </c>
      <c r="T19" s="55">
        <v>0.69115171323674007</v>
      </c>
      <c r="U19" s="55">
        <v>1.0367522909234359</v>
      </c>
      <c r="V19" s="55">
        <v>1.0376422494948601</v>
      </c>
      <c r="W19" s="55">
        <v>1.383539480040525</v>
      </c>
      <c r="X19" s="55">
        <v>1.3535528204747409</v>
      </c>
      <c r="Y19" s="55">
        <v>1.31891859949435</v>
      </c>
      <c r="DA19" s="101" t="s">
        <v>1027</v>
      </c>
    </row>
    <row r="20" spans="1:105" x14ac:dyDescent="0.25">
      <c r="A20" s="61" t="s">
        <v>166</v>
      </c>
      <c r="B20" s="55">
        <v>2.0023645507425201</v>
      </c>
      <c r="C20" s="55">
        <v>1.638779537854351</v>
      </c>
      <c r="D20" s="55">
        <v>1.892744190662093</v>
      </c>
      <c r="E20" s="55">
        <v>1.869831238991762</v>
      </c>
      <c r="F20" s="55">
        <v>1.912164221325946</v>
      </c>
      <c r="G20" s="55">
        <v>2.3033547279367599</v>
      </c>
      <c r="H20" s="55">
        <v>2.0687714574696781</v>
      </c>
      <c r="I20" s="55">
        <v>2.1502544070196148</v>
      </c>
      <c r="J20" s="55">
        <v>2.40871554023669</v>
      </c>
      <c r="K20" s="55">
        <v>2.264141145425469</v>
      </c>
      <c r="L20" s="55">
        <v>2.4780181666462808</v>
      </c>
      <c r="M20" s="55">
        <v>2.4312655357266451</v>
      </c>
      <c r="N20" s="55">
        <v>3.0120700105128648</v>
      </c>
      <c r="O20" s="55">
        <v>2.687754562262842</v>
      </c>
      <c r="P20" s="55">
        <v>2.7906091101380119</v>
      </c>
      <c r="Q20" s="55">
        <v>2.490790096587828</v>
      </c>
      <c r="R20" s="55">
        <v>2.6516452061361688</v>
      </c>
      <c r="S20" s="55">
        <v>2.5376275127589549</v>
      </c>
      <c r="T20" s="55">
        <v>2.643451533686874</v>
      </c>
      <c r="U20" s="55">
        <v>2.7805168358289341</v>
      </c>
      <c r="V20" s="55">
        <v>3.06298881676843</v>
      </c>
      <c r="W20" s="55">
        <v>3.1274037484184092</v>
      </c>
      <c r="X20" s="55">
        <v>3.9153054549011488</v>
      </c>
      <c r="Y20" s="55">
        <v>2.914465959643008</v>
      </c>
      <c r="DA20" s="101" t="s">
        <v>1028</v>
      </c>
    </row>
    <row r="21" spans="1:105" x14ac:dyDescent="0.25">
      <c r="A21" s="61" t="s">
        <v>129</v>
      </c>
      <c r="B21" s="55">
        <v>2.078622162322564</v>
      </c>
      <c r="C21" s="55">
        <v>1.0271621592448441</v>
      </c>
      <c r="D21" s="55">
        <v>1.0271621592297411</v>
      </c>
      <c r="E21" s="55">
        <v>1.291508601511522</v>
      </c>
      <c r="F21" s="55">
        <v>2.0648541184146278</v>
      </c>
      <c r="G21" s="55">
        <v>2.0602500845421101</v>
      </c>
      <c r="H21" s="55">
        <v>1.8399173249027969</v>
      </c>
      <c r="I21" s="55">
        <v>1.839719065069459</v>
      </c>
      <c r="J21" s="55">
        <v>1.5756369692267309</v>
      </c>
      <c r="K21" s="55">
        <v>1.575636969217755</v>
      </c>
      <c r="L21" s="55">
        <v>1.837934726581874</v>
      </c>
      <c r="M21" s="55">
        <v>1.817205559731641</v>
      </c>
      <c r="N21" s="55">
        <v>1.3095282173266449</v>
      </c>
      <c r="O21" s="55">
        <v>2.102038851284795</v>
      </c>
      <c r="P21" s="55">
        <v>3.4207751363498451</v>
      </c>
      <c r="Q21" s="55">
        <v>3.4445663161492219</v>
      </c>
      <c r="R21" s="55">
        <v>2.384250707299326</v>
      </c>
      <c r="S21" s="55">
        <v>2.4008164176726998</v>
      </c>
      <c r="T21" s="55">
        <v>1.8798997242950839</v>
      </c>
      <c r="U21" s="55">
        <v>2.6456232521002261</v>
      </c>
      <c r="V21" s="55">
        <v>2.486376549500851</v>
      </c>
      <c r="W21" s="55">
        <v>2.4358863790244998</v>
      </c>
      <c r="X21" s="55">
        <v>2.6207746865321111</v>
      </c>
      <c r="Y21" s="55">
        <v>3.7853749668868391</v>
      </c>
      <c r="DA21" s="101" t="s">
        <v>1029</v>
      </c>
    </row>
    <row r="22" spans="1:105" x14ac:dyDescent="0.25">
      <c r="A22" s="61" t="s">
        <v>169</v>
      </c>
      <c r="B22" s="55">
        <v>4.9482645307163562</v>
      </c>
      <c r="C22" s="55">
        <v>5.8270456368713237</v>
      </c>
      <c r="D22" s="55">
        <v>5.6636782681745981</v>
      </c>
      <c r="E22" s="55">
        <v>5.1923546466414932</v>
      </c>
      <c r="F22" s="55">
        <v>6.1377877289049954</v>
      </c>
      <c r="G22" s="55">
        <v>5.7855872322384734</v>
      </c>
      <c r="H22" s="55">
        <v>7.5672800465733889</v>
      </c>
      <c r="I22" s="55">
        <v>7.8895126851766424</v>
      </c>
      <c r="J22" s="55">
        <v>6.813408828917165</v>
      </c>
      <c r="K22" s="55">
        <v>5.3537446430995894</v>
      </c>
      <c r="L22" s="55">
        <v>5.9723186749197454</v>
      </c>
      <c r="M22" s="55">
        <v>5.6085872593762209</v>
      </c>
      <c r="N22" s="55">
        <v>5.1353765109214748</v>
      </c>
      <c r="O22" s="55">
        <v>4.5876987597992036</v>
      </c>
      <c r="P22" s="55">
        <v>3.4925057907771762</v>
      </c>
      <c r="Q22" s="55">
        <v>3.5867908090150129</v>
      </c>
      <c r="R22" s="55">
        <v>3.793761659173521</v>
      </c>
      <c r="S22" s="55">
        <v>3.6988510098201761</v>
      </c>
      <c r="T22" s="55">
        <v>3.6307125967560072</v>
      </c>
      <c r="U22" s="55">
        <v>3.4648678902838821</v>
      </c>
      <c r="V22" s="55">
        <v>3.3443414946843801</v>
      </c>
      <c r="W22" s="55">
        <v>3.9089963042525722</v>
      </c>
      <c r="X22" s="55">
        <v>3.314945031555069</v>
      </c>
      <c r="Y22" s="55">
        <v>3.1599378149927859</v>
      </c>
      <c r="DA22" s="101" t="s">
        <v>1030</v>
      </c>
    </row>
    <row r="23" spans="1:105" x14ac:dyDescent="0.25">
      <c r="A23" s="61" t="s">
        <v>164</v>
      </c>
      <c r="B23" s="55">
        <v>1.5573289135377311</v>
      </c>
      <c r="C23" s="55">
        <v>2.175676462443541</v>
      </c>
      <c r="D23" s="55">
        <v>2.3932317417017268</v>
      </c>
      <c r="E23" s="55">
        <v>2.994409840331246</v>
      </c>
      <c r="F23" s="55">
        <v>1.792053643073785</v>
      </c>
      <c r="G23" s="55">
        <v>1.459980397723545</v>
      </c>
      <c r="H23" s="55">
        <v>1.5115093601352749</v>
      </c>
      <c r="I23" s="55">
        <v>2.084057967252162</v>
      </c>
      <c r="J23" s="55">
        <v>2.2844437962653248</v>
      </c>
      <c r="K23" s="55">
        <v>2.5821781410491211</v>
      </c>
      <c r="L23" s="55">
        <v>2.6050776119583618</v>
      </c>
      <c r="M23" s="55">
        <v>2.9715103694383869</v>
      </c>
      <c r="N23" s="55">
        <v>2.8398229531037811</v>
      </c>
      <c r="O23" s="55">
        <v>2.7940240113088639</v>
      </c>
      <c r="P23" s="55">
        <v>2.8569924033737188</v>
      </c>
      <c r="Q23" s="55">
        <v>2.6108076325653</v>
      </c>
      <c r="R23" s="55">
        <v>2.811193461593438</v>
      </c>
      <c r="S23" s="55">
        <v>3.5325989353033989</v>
      </c>
      <c r="T23" s="55">
        <v>3.6241968188977891</v>
      </c>
      <c r="U23" s="55">
        <v>3.612757389232419</v>
      </c>
      <c r="V23" s="55">
        <v>4.1280470133289526</v>
      </c>
      <c r="W23" s="55">
        <v>4.2883639211747973</v>
      </c>
      <c r="X23" s="55">
        <v>4.2654438386970526</v>
      </c>
      <c r="Y23" s="55">
        <v>4.1681159345075791</v>
      </c>
      <c r="DA23" s="101" t="s">
        <v>1031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1032</v>
      </c>
    </row>
    <row r="25" spans="1:105" x14ac:dyDescent="0.25">
      <c r="A25" s="256" t="s">
        <v>167</v>
      </c>
      <c r="B25" s="257">
        <v>0.85217391424833144</v>
      </c>
      <c r="C25" s="257">
        <v>0.80829506373616622</v>
      </c>
      <c r="D25" s="257">
        <v>0.86377598835462199</v>
      </c>
      <c r="E25" s="257">
        <v>0.89210234081491213</v>
      </c>
      <c r="F25" s="257">
        <v>0.9300448309410404</v>
      </c>
      <c r="G25" s="257">
        <v>0.97200948513925811</v>
      </c>
      <c r="H25" s="257">
        <v>1.0157788687732081</v>
      </c>
      <c r="I25" s="257">
        <v>1.079281952183099</v>
      </c>
      <c r="J25" s="257">
        <v>1.0684101544001121</v>
      </c>
      <c r="K25" s="257">
        <v>0.97466364484038559</v>
      </c>
      <c r="L25" s="257">
        <v>1.070622121473138</v>
      </c>
      <c r="M25" s="257">
        <v>1.0644953120992899</v>
      </c>
      <c r="N25" s="257">
        <v>1.0996578291686601</v>
      </c>
      <c r="O25" s="257">
        <v>1.070252968365017</v>
      </c>
      <c r="P25" s="257">
        <v>1.121589631393572</v>
      </c>
      <c r="Q25" s="257">
        <v>1.0449863333397389</v>
      </c>
      <c r="R25" s="257">
        <v>1.062194622811262</v>
      </c>
      <c r="S25" s="257">
        <v>1.0963984677439671</v>
      </c>
      <c r="T25" s="257">
        <v>1.076010289008253</v>
      </c>
      <c r="U25" s="257">
        <v>1.14074550183182</v>
      </c>
      <c r="V25" s="257">
        <v>1.191442030544017</v>
      </c>
      <c r="W25" s="257">
        <v>1.2590308651398621</v>
      </c>
      <c r="X25" s="257">
        <v>1.374485356825021</v>
      </c>
      <c r="Y25" s="257">
        <v>1.231586805419425</v>
      </c>
      <c r="DA25" s="272" t="s">
        <v>1033</v>
      </c>
    </row>
    <row r="26" spans="1:105" x14ac:dyDescent="0.25">
      <c r="A26" s="256" t="s">
        <v>170</v>
      </c>
      <c r="B26" s="257">
        <v>1.2761471981850361</v>
      </c>
      <c r="C26" s="257">
        <v>1.321021947283856</v>
      </c>
      <c r="D26" s="257">
        <v>1.275611418880672</v>
      </c>
      <c r="E26" s="257">
        <v>1.160974046071122</v>
      </c>
      <c r="F26" s="257">
        <v>1.2622023112991929</v>
      </c>
      <c r="G26" s="257">
        <v>1.328978293608335</v>
      </c>
      <c r="H26" s="257">
        <v>1.382523287105643</v>
      </c>
      <c r="I26" s="257">
        <v>1.445379497587608</v>
      </c>
      <c r="J26" s="257">
        <v>1.3782366200242979</v>
      </c>
      <c r="K26" s="257">
        <v>1.271619613583912</v>
      </c>
      <c r="L26" s="257">
        <v>1.229347683026202</v>
      </c>
      <c r="M26" s="257">
        <v>1.186334739360835</v>
      </c>
      <c r="N26" s="257">
        <v>1.264419704866284</v>
      </c>
      <c r="O26" s="257">
        <v>1.2098541368371061</v>
      </c>
      <c r="P26" s="257">
        <v>1.241148040944972</v>
      </c>
      <c r="Q26" s="257">
        <v>1.2832808247623411</v>
      </c>
      <c r="R26" s="257">
        <v>1.3597818947964879</v>
      </c>
      <c r="S26" s="257">
        <v>1.360351172240817</v>
      </c>
      <c r="T26" s="257">
        <v>1.385426289168703</v>
      </c>
      <c r="U26" s="257">
        <v>1.4054217035392269</v>
      </c>
      <c r="V26" s="257">
        <v>1.3393266860637669</v>
      </c>
      <c r="W26" s="257">
        <v>1.4218474988449721</v>
      </c>
      <c r="X26" s="257">
        <v>1.3518792543034399</v>
      </c>
      <c r="Y26" s="257">
        <v>1.304111636274202</v>
      </c>
      <c r="DA26" s="272" t="s">
        <v>1034</v>
      </c>
    </row>
    <row r="27" spans="1:105" x14ac:dyDescent="0.25">
      <c r="A27" s="128" t="s">
        <v>33</v>
      </c>
      <c r="B27" s="258">
        <v>1.9449309587234529</v>
      </c>
      <c r="C27" s="258">
        <v>2.013322981925298</v>
      </c>
      <c r="D27" s="258">
        <v>1.944114396372665</v>
      </c>
      <c r="E27" s="258">
        <v>1.7693996176064559</v>
      </c>
      <c r="F27" s="258">
        <v>1.9236780481981259</v>
      </c>
      <c r="G27" s="258">
        <v>2.0254489688857471</v>
      </c>
      <c r="H27" s="258">
        <v>2.107055005936703</v>
      </c>
      <c r="I27" s="258">
        <v>2.202851940560139</v>
      </c>
      <c r="J27" s="258">
        <v>2.100521847749226</v>
      </c>
      <c r="K27" s="258">
        <v>1.9380306266367699</v>
      </c>
      <c r="L27" s="258">
        <v>1.8736054674203191</v>
      </c>
      <c r="M27" s="258">
        <v>1.8080509562482709</v>
      </c>
      <c r="N27" s="258">
        <v>1.927057499567407</v>
      </c>
      <c r="O27" s="258">
        <v>1.8438960408491529</v>
      </c>
      <c r="P27" s="258">
        <v>1.891589976944672</v>
      </c>
      <c r="Q27" s="258">
        <v>1.955803067519291</v>
      </c>
      <c r="R27" s="258">
        <v>2.0723956515852171</v>
      </c>
      <c r="S27" s="258">
        <v>2.073263267270268</v>
      </c>
      <c r="T27" s="258">
        <v>2.111479369046001</v>
      </c>
      <c r="U27" s="258">
        <v>2.1419536752209041</v>
      </c>
      <c r="V27" s="258">
        <v>2.0412205890313042</v>
      </c>
      <c r="W27" s="258">
        <v>2.1669876508133998</v>
      </c>
      <c r="X27" s="258">
        <v>2.0603515157892449</v>
      </c>
      <c r="Y27" s="258">
        <v>1.9875505730283529</v>
      </c>
      <c r="DA27" s="273" t="s">
        <v>1035</v>
      </c>
    </row>
    <row r="29" spans="1:105" ht="12.75" x14ac:dyDescent="0.25">
      <c r="A29" s="178" t="s">
        <v>132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0.99999999999999978</v>
      </c>
      <c r="C31" s="235">
        <f t="shared" si="9"/>
        <v>1</v>
      </c>
      <c r="D31" s="235">
        <f t="shared" si="9"/>
        <v>1</v>
      </c>
      <c r="E31" s="235">
        <f t="shared" si="9"/>
        <v>0.99999999999999989</v>
      </c>
      <c r="F31" s="235">
        <f t="shared" si="9"/>
        <v>0.99999999999999989</v>
      </c>
      <c r="G31" s="235">
        <f t="shared" si="9"/>
        <v>0.99999999999999989</v>
      </c>
      <c r="H31" s="235">
        <f t="shared" si="9"/>
        <v>1</v>
      </c>
      <c r="I31" s="235">
        <f t="shared" si="9"/>
        <v>0.99999999999999989</v>
      </c>
      <c r="J31" s="235">
        <f t="shared" si="9"/>
        <v>1</v>
      </c>
      <c r="K31" s="235">
        <f t="shared" si="9"/>
        <v>1.0000000000000002</v>
      </c>
      <c r="L31" s="235">
        <f t="shared" si="9"/>
        <v>0.99999999999999989</v>
      </c>
      <c r="M31" s="235">
        <f t="shared" si="9"/>
        <v>0.99999999999999978</v>
      </c>
      <c r="N31" s="235">
        <f t="shared" si="9"/>
        <v>1.0000000000000002</v>
      </c>
      <c r="O31" s="235">
        <f t="shared" si="9"/>
        <v>0.99999999999999989</v>
      </c>
      <c r="P31" s="235">
        <f t="shared" si="9"/>
        <v>1</v>
      </c>
      <c r="Q31" s="235">
        <f t="shared" si="9"/>
        <v>0.99999999999999989</v>
      </c>
      <c r="R31" s="235">
        <f t="shared" ref="R31:W31" si="10">SUM(R32:R40)</f>
        <v>1</v>
      </c>
      <c r="S31" s="235">
        <f t="shared" si="10"/>
        <v>1</v>
      </c>
      <c r="T31" s="235">
        <f t="shared" si="10"/>
        <v>1</v>
      </c>
      <c r="U31" s="235">
        <f t="shared" si="10"/>
        <v>1</v>
      </c>
      <c r="V31" s="235">
        <f t="shared" si="10"/>
        <v>1</v>
      </c>
      <c r="W31" s="235">
        <f t="shared" si="10"/>
        <v>1</v>
      </c>
      <c r="X31" s="235">
        <f t="shared" ref="X31:Y31" si="11">SUM(X32:X40)</f>
        <v>0.99999999999999989</v>
      </c>
      <c r="Y31" s="235">
        <f t="shared" si="11"/>
        <v>1.0000000000000002</v>
      </c>
      <c r="DA31" s="274"/>
    </row>
    <row r="32" spans="1:105" x14ac:dyDescent="0.25">
      <c r="A32" s="238" t="s">
        <v>125</v>
      </c>
      <c r="B32" s="244">
        <f t="shared" ref="B32:Y32" si="12">IF(B$6=0,0,B$6/B$5)</f>
        <v>3.0717728389800972E-2</v>
      </c>
      <c r="C32" s="244">
        <f t="shared" si="12"/>
        <v>3.1816906850371925E-2</v>
      </c>
      <c r="D32" s="244">
        <f t="shared" si="12"/>
        <v>3.0666751263285909E-2</v>
      </c>
      <c r="E32" s="244">
        <f t="shared" si="12"/>
        <v>2.7808166857289571E-2</v>
      </c>
      <c r="F32" s="244">
        <f t="shared" si="12"/>
        <v>2.8337880962990589E-2</v>
      </c>
      <c r="G32" s="244">
        <f t="shared" si="12"/>
        <v>2.9419667782268691E-2</v>
      </c>
      <c r="H32" s="244">
        <f t="shared" si="12"/>
        <v>2.8504176118092851E-2</v>
      </c>
      <c r="I32" s="244">
        <f t="shared" si="12"/>
        <v>2.82983002590027E-2</v>
      </c>
      <c r="J32" s="244">
        <f t="shared" si="12"/>
        <v>2.8127671519338013E-2</v>
      </c>
      <c r="K32" s="244">
        <f t="shared" si="12"/>
        <v>2.8730734165214891E-2</v>
      </c>
      <c r="L32" s="244">
        <f t="shared" si="12"/>
        <v>2.6314364570870608E-2</v>
      </c>
      <c r="M32" s="244">
        <f t="shared" si="12"/>
        <v>2.601030161839548E-2</v>
      </c>
      <c r="N32" s="244">
        <f t="shared" si="12"/>
        <v>2.7986460846453325E-2</v>
      </c>
      <c r="O32" s="244">
        <f t="shared" si="12"/>
        <v>2.733169275319516E-2</v>
      </c>
      <c r="P32" s="244">
        <f t="shared" si="12"/>
        <v>2.7327107748266556E-2</v>
      </c>
      <c r="Q32" s="244">
        <f t="shared" si="12"/>
        <v>2.9200178875514425E-2</v>
      </c>
      <c r="R32" s="244">
        <f t="shared" si="12"/>
        <v>3.0288726454410535E-2</v>
      </c>
      <c r="S32" s="244">
        <f t="shared" si="12"/>
        <v>2.9346411380354306E-2</v>
      </c>
      <c r="T32" s="244">
        <f t="shared" si="12"/>
        <v>3.0557756584546302E-2</v>
      </c>
      <c r="U32" s="244">
        <f t="shared" si="12"/>
        <v>2.9772420664730039E-2</v>
      </c>
      <c r="V32" s="244">
        <f t="shared" si="12"/>
        <v>2.8159015745478116E-2</v>
      </c>
      <c r="W32" s="244">
        <f t="shared" si="12"/>
        <v>2.8024306775369871E-2</v>
      </c>
      <c r="X32" s="244">
        <f t="shared" si="12"/>
        <v>2.5926221982650106E-2</v>
      </c>
      <c r="Y32" s="244">
        <f t="shared" si="12"/>
        <v>2.6590474382391555E-2</v>
      </c>
      <c r="DA32" s="275"/>
    </row>
    <row r="33" spans="1:105" x14ac:dyDescent="0.25">
      <c r="A33" s="240" t="s">
        <v>124</v>
      </c>
      <c r="B33" s="245">
        <f t="shared" ref="B33:Y33" si="13">IF(B$7=0,0,B$7/B$5)</f>
        <v>1.9799361997265837E-2</v>
      </c>
      <c r="C33" s="245">
        <f t="shared" si="13"/>
        <v>2.05078464256804E-2</v>
      </c>
      <c r="D33" s="245">
        <f t="shared" si="13"/>
        <v>1.9766504275215441E-2</v>
      </c>
      <c r="E33" s="245">
        <f t="shared" si="13"/>
        <v>1.7923980416164297E-2</v>
      </c>
      <c r="F33" s="245">
        <f t="shared" si="13"/>
        <v>1.8265411956958653E-2</v>
      </c>
      <c r="G33" s="245">
        <f t="shared" si="13"/>
        <v>1.896268646134126E-2</v>
      </c>
      <c r="H33" s="245">
        <f t="shared" si="13"/>
        <v>1.8372598853479114E-2</v>
      </c>
      <c r="I33" s="245">
        <f t="shared" si="13"/>
        <v>1.823989989186002E-2</v>
      </c>
      <c r="J33" s="245">
        <f t="shared" si="13"/>
        <v>1.8129919748117358E-2</v>
      </c>
      <c r="K33" s="245">
        <f t="shared" si="13"/>
        <v>1.8518628687828859E-2</v>
      </c>
      <c r="L33" s="245">
        <f t="shared" si="13"/>
        <v>1.6961137987003015E-2</v>
      </c>
      <c r="M33" s="245">
        <f t="shared" si="13"/>
        <v>1.6765151734711919E-2</v>
      </c>
      <c r="N33" s="245">
        <f t="shared" si="13"/>
        <v>1.8038901258896983E-2</v>
      </c>
      <c r="O33" s="245">
        <f t="shared" si="13"/>
        <v>1.7616865151989347E-2</v>
      </c>
      <c r="P33" s="245">
        <f t="shared" si="13"/>
        <v>1.7613909849722567E-2</v>
      </c>
      <c r="Q33" s="245">
        <f t="shared" si="13"/>
        <v>1.8821213098986284E-2</v>
      </c>
      <c r="R33" s="245">
        <f t="shared" si="13"/>
        <v>1.9522845306039972E-2</v>
      </c>
      <c r="S33" s="245">
        <f t="shared" si="13"/>
        <v>1.8915468450890933E-2</v>
      </c>
      <c r="T33" s="245">
        <f t="shared" si="13"/>
        <v>1.9696250867386692E-2</v>
      </c>
      <c r="U33" s="245">
        <f t="shared" si="13"/>
        <v>1.9190056204533276E-2</v>
      </c>
      <c r="V33" s="245">
        <f t="shared" si="13"/>
        <v>1.8150122924341747E-2</v>
      </c>
      <c r="W33" s="245">
        <f t="shared" si="13"/>
        <v>1.8063295160595468E-2</v>
      </c>
      <c r="X33" s="245">
        <f t="shared" si="13"/>
        <v>1.6710957520751971E-2</v>
      </c>
      <c r="Y33" s="245">
        <f t="shared" si="13"/>
        <v>1.7139106814643128E-2</v>
      </c>
      <c r="DA33" s="276"/>
    </row>
    <row r="34" spans="1:105" x14ac:dyDescent="0.25">
      <c r="A34" s="240" t="s">
        <v>123</v>
      </c>
      <c r="B34" s="245">
        <f t="shared" ref="B34:Y34" si="14">IF(B$8=0,0,B$8/B$5)</f>
        <v>3.9345930342612294E-2</v>
      </c>
      <c r="C34" s="245">
        <f t="shared" si="14"/>
        <v>4.0753853434935913E-2</v>
      </c>
      <c r="D34" s="245">
        <f t="shared" si="14"/>
        <v>3.9280634418269365E-2</v>
      </c>
      <c r="E34" s="245">
        <f t="shared" si="14"/>
        <v>3.5619111616532688E-2</v>
      </c>
      <c r="F34" s="245">
        <f t="shared" si="14"/>
        <v>3.6297615379569145E-2</v>
      </c>
      <c r="G34" s="245">
        <f t="shared" si="14"/>
        <v>3.7683261749533299E-2</v>
      </c>
      <c r="H34" s="245">
        <f t="shared" si="14"/>
        <v>3.6510620635229245E-2</v>
      </c>
      <c r="I34" s="245">
        <f t="shared" si="14"/>
        <v>3.6246916981489151E-2</v>
      </c>
      <c r="J34" s="245">
        <f t="shared" si="14"/>
        <v>3.6028360894915915E-2</v>
      </c>
      <c r="K34" s="245">
        <f t="shared" si="14"/>
        <v>3.6800815828946183E-2</v>
      </c>
      <c r="L34" s="245">
        <f t="shared" si="14"/>
        <v>3.3705720106547536E-2</v>
      </c>
      <c r="M34" s="245">
        <f t="shared" si="14"/>
        <v>3.3316249908880546E-2</v>
      </c>
      <c r="N34" s="245">
        <f t="shared" si="14"/>
        <v>3.5847486019389675E-2</v>
      </c>
      <c r="O34" s="245">
        <f t="shared" si="14"/>
        <v>3.5008802264491483E-2</v>
      </c>
      <c r="P34" s="245">
        <f t="shared" si="14"/>
        <v>3.5002929392570367E-2</v>
      </c>
      <c r="Q34" s="245">
        <f t="shared" si="14"/>
        <v>3.7402121323830563E-2</v>
      </c>
      <c r="R34" s="245">
        <f t="shared" si="14"/>
        <v>3.8796427461002023E-2</v>
      </c>
      <c r="S34" s="245">
        <f t="shared" si="14"/>
        <v>3.7589428597214945E-2</v>
      </c>
      <c r="T34" s="245">
        <f t="shared" si="14"/>
        <v>3.9141024581793679E-2</v>
      </c>
      <c r="U34" s="245">
        <f t="shared" si="14"/>
        <v>3.8135098231884892E-2</v>
      </c>
      <c r="V34" s="245">
        <f t="shared" si="14"/>
        <v>3.6068509297906587E-2</v>
      </c>
      <c r="W34" s="245">
        <f t="shared" si="14"/>
        <v>3.5895962367119748E-2</v>
      </c>
      <c r="X34" s="245">
        <f t="shared" si="14"/>
        <v>3.3208553420087876E-2</v>
      </c>
      <c r="Y34" s="245">
        <f t="shared" si="14"/>
        <v>3.4059385497202582E-2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0.40579311162637632</v>
      </c>
      <c r="C35" s="246">
        <f t="shared" si="15"/>
        <v>0.40644933047615095</v>
      </c>
      <c r="D35" s="246">
        <f t="shared" si="15"/>
        <v>0.39496407806186912</v>
      </c>
      <c r="E35" s="246">
        <f t="shared" si="15"/>
        <v>0.39440965907630227</v>
      </c>
      <c r="F35" s="246">
        <f t="shared" si="15"/>
        <v>0.39635348404166326</v>
      </c>
      <c r="G35" s="246">
        <f t="shared" si="15"/>
        <v>0.39259010775495007</v>
      </c>
      <c r="H35" s="246">
        <f t="shared" si="15"/>
        <v>0.39256497021099179</v>
      </c>
      <c r="I35" s="246">
        <f t="shared" si="15"/>
        <v>0.38823494101886469</v>
      </c>
      <c r="J35" s="246">
        <f t="shared" si="15"/>
        <v>0.38943061071933605</v>
      </c>
      <c r="K35" s="246">
        <f t="shared" si="15"/>
        <v>0.38587610380429382</v>
      </c>
      <c r="L35" s="246">
        <f t="shared" si="15"/>
        <v>0.38052481663355375</v>
      </c>
      <c r="M35" s="246">
        <f t="shared" si="15"/>
        <v>0.37282253129013787</v>
      </c>
      <c r="N35" s="246">
        <f t="shared" si="15"/>
        <v>0.36262674996811839</v>
      </c>
      <c r="O35" s="246">
        <f t="shared" si="15"/>
        <v>0.35942641633226491</v>
      </c>
      <c r="P35" s="246">
        <f t="shared" si="15"/>
        <v>0.34550117192882979</v>
      </c>
      <c r="Q35" s="246">
        <f t="shared" si="15"/>
        <v>0.34992809469467351</v>
      </c>
      <c r="R35" s="246">
        <f t="shared" si="15"/>
        <v>0.35182157362452443</v>
      </c>
      <c r="S35" s="246">
        <f t="shared" si="15"/>
        <v>0.34771370193033674</v>
      </c>
      <c r="T35" s="246">
        <f t="shared" si="15"/>
        <v>0.34774920737323406</v>
      </c>
      <c r="U35" s="246">
        <f t="shared" si="15"/>
        <v>0.34046129797130087</v>
      </c>
      <c r="V35" s="246">
        <f t="shared" si="15"/>
        <v>0.3378043966855227</v>
      </c>
      <c r="W35" s="246">
        <f t="shared" si="15"/>
        <v>0.33888492547986759</v>
      </c>
      <c r="X35" s="246">
        <f t="shared" si="15"/>
        <v>0.33473834254449508</v>
      </c>
      <c r="Y35" s="246">
        <f t="shared" si="15"/>
        <v>0.33257382437170863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0.15121958430758306</v>
      </c>
      <c r="C36" s="259">
        <f t="shared" si="16"/>
        <v>0.14351897674995082</v>
      </c>
      <c r="D36" s="259">
        <f t="shared" si="16"/>
        <v>0.15308829240197927</v>
      </c>
      <c r="E36" s="259">
        <f t="shared" si="16"/>
        <v>0.15752736473738552</v>
      </c>
      <c r="F36" s="259">
        <f t="shared" si="16"/>
        <v>0.15393371942590159</v>
      </c>
      <c r="G36" s="259">
        <f t="shared" si="16"/>
        <v>0.15862873421034981</v>
      </c>
      <c r="H36" s="259">
        <f t="shared" si="16"/>
        <v>0.15439267458655387</v>
      </c>
      <c r="I36" s="259">
        <f t="shared" si="16"/>
        <v>0.15577754469595925</v>
      </c>
      <c r="J36" s="259">
        <f t="shared" si="16"/>
        <v>0.16074574391024751</v>
      </c>
      <c r="K36" s="259">
        <f t="shared" si="16"/>
        <v>0.16234381678701618</v>
      </c>
      <c r="L36" s="259">
        <f t="shared" si="16"/>
        <v>0.16894519800235447</v>
      </c>
      <c r="M36" s="259">
        <f t="shared" si="16"/>
        <v>0.17205740669992381</v>
      </c>
      <c r="N36" s="259">
        <f t="shared" si="16"/>
        <v>0.17943442850533423</v>
      </c>
      <c r="O36" s="259">
        <f t="shared" si="16"/>
        <v>0.17824257042640057</v>
      </c>
      <c r="P36" s="259">
        <f t="shared" si="16"/>
        <v>0.18205203927483773</v>
      </c>
      <c r="Q36" s="259">
        <f t="shared" si="16"/>
        <v>0.17529353405472761</v>
      </c>
      <c r="R36" s="259">
        <f t="shared" si="16"/>
        <v>0.1744244396502149</v>
      </c>
      <c r="S36" s="259">
        <f t="shared" si="16"/>
        <v>0.17436682722285443</v>
      </c>
      <c r="T36" s="259">
        <f t="shared" si="16"/>
        <v>0.17496289100090306</v>
      </c>
      <c r="U36" s="259">
        <f t="shared" si="16"/>
        <v>0.17815078276561108</v>
      </c>
      <c r="V36" s="259">
        <f t="shared" si="16"/>
        <v>0.18466957271213852</v>
      </c>
      <c r="W36" s="259">
        <f t="shared" si="16"/>
        <v>0.18294043874148919</v>
      </c>
      <c r="X36" s="259">
        <f t="shared" si="16"/>
        <v>0.19432690255630236</v>
      </c>
      <c r="Y36" s="259">
        <f t="shared" si="16"/>
        <v>0.18512617244347618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0.25589919305301501</v>
      </c>
      <c r="C37" s="259">
        <f t="shared" si="17"/>
        <v>0.25801264081271436</v>
      </c>
      <c r="D37" s="259">
        <f t="shared" si="17"/>
        <v>0.26488488014778844</v>
      </c>
      <c r="E37" s="259">
        <f t="shared" si="17"/>
        <v>0.27592059996138529</v>
      </c>
      <c r="F37" s="259">
        <f t="shared" si="17"/>
        <v>0.2751783161765689</v>
      </c>
      <c r="G37" s="259">
        <f t="shared" si="17"/>
        <v>0.26774279963801473</v>
      </c>
      <c r="H37" s="259">
        <f t="shared" si="17"/>
        <v>0.27754342745649663</v>
      </c>
      <c r="I37" s="259">
        <f t="shared" si="17"/>
        <v>0.28141987847495609</v>
      </c>
      <c r="J37" s="259">
        <f t="shared" si="17"/>
        <v>0.2755139702259683</v>
      </c>
      <c r="K37" s="259">
        <f t="shared" si="17"/>
        <v>0.27398179419568852</v>
      </c>
      <c r="L37" s="259">
        <f t="shared" si="17"/>
        <v>0.28496071022328284</v>
      </c>
      <c r="M37" s="259">
        <f t="shared" si="17"/>
        <v>0.29078272970161412</v>
      </c>
      <c r="N37" s="259">
        <f t="shared" si="17"/>
        <v>0.28188186073751981</v>
      </c>
      <c r="O37" s="259">
        <f t="shared" si="17"/>
        <v>0.28998869893890056</v>
      </c>
      <c r="P37" s="259">
        <f t="shared" si="17"/>
        <v>0.29961694880302941</v>
      </c>
      <c r="Q37" s="259">
        <f t="shared" si="17"/>
        <v>0.2926898854709537</v>
      </c>
      <c r="R37" s="259">
        <f t="shared" si="17"/>
        <v>0.28587335591182683</v>
      </c>
      <c r="S37" s="259">
        <f t="shared" si="17"/>
        <v>0.29516183187456868</v>
      </c>
      <c r="T37" s="259">
        <f t="shared" si="17"/>
        <v>0.2878744460530413</v>
      </c>
      <c r="U37" s="259">
        <f t="shared" si="17"/>
        <v>0.29580875788168626</v>
      </c>
      <c r="V37" s="259">
        <f t="shared" si="17"/>
        <v>0.29982819299743446</v>
      </c>
      <c r="W37" s="259">
        <f t="shared" si="17"/>
        <v>0.30144063662506548</v>
      </c>
      <c r="X37" s="259">
        <f t="shared" si="17"/>
        <v>0.30405835017776239</v>
      </c>
      <c r="Y37" s="259">
        <f t="shared" si="17"/>
        <v>0.31305538327785665</v>
      </c>
      <c r="DA37" s="278"/>
    </row>
    <row r="38" spans="1:105" x14ac:dyDescent="0.25">
      <c r="A38" s="127" t="s">
        <v>167</v>
      </c>
      <c r="B38" s="259">
        <f t="shared" ref="B38:Y38" si="18">IF(B$25=0,0,B$25/B$5)</f>
        <v>2.0340672343014652E-2</v>
      </c>
      <c r="C38" s="259">
        <f t="shared" si="18"/>
        <v>1.9304857201152208E-2</v>
      </c>
      <c r="D38" s="259">
        <f t="shared" si="18"/>
        <v>2.0592033826561246E-2</v>
      </c>
      <c r="E38" s="259">
        <f t="shared" si="18"/>
        <v>2.1189137146841373E-2</v>
      </c>
      <c r="F38" s="259">
        <f t="shared" si="18"/>
        <v>2.0705752920303459E-2</v>
      </c>
      <c r="G38" s="259">
        <f t="shared" si="18"/>
        <v>2.133728327275982E-2</v>
      </c>
      <c r="H38" s="259">
        <f t="shared" si="18"/>
        <v>2.0767487361551339E-2</v>
      </c>
      <c r="I38" s="259">
        <f t="shared" si="18"/>
        <v>2.095376739440577E-2</v>
      </c>
      <c r="J38" s="259">
        <f t="shared" si="18"/>
        <v>2.1622044012248525E-2</v>
      </c>
      <c r="K38" s="259">
        <f t="shared" si="18"/>
        <v>2.1837002127068461E-2</v>
      </c>
      <c r="L38" s="259">
        <f t="shared" si="18"/>
        <v>2.272495941730546E-2</v>
      </c>
      <c r="M38" s="259">
        <f t="shared" si="18"/>
        <v>2.3143585203576487E-2</v>
      </c>
      <c r="N38" s="259">
        <f t="shared" si="18"/>
        <v>2.4135874556164019E-2</v>
      </c>
      <c r="O38" s="259">
        <f t="shared" si="18"/>
        <v>2.3975556732424626E-2</v>
      </c>
      <c r="P38" s="259">
        <f t="shared" si="18"/>
        <v>2.4487971562830283E-2</v>
      </c>
      <c r="Q38" s="259">
        <f t="shared" si="18"/>
        <v>2.3578879391731648E-2</v>
      </c>
      <c r="R38" s="259">
        <f t="shared" si="18"/>
        <v>2.3461976778896894E-2</v>
      </c>
      <c r="S38" s="259">
        <f t="shared" si="18"/>
        <v>2.3454227283266477E-2</v>
      </c>
      <c r="T38" s="259">
        <f t="shared" si="18"/>
        <v>2.353440431893512E-2</v>
      </c>
      <c r="U38" s="259">
        <f t="shared" si="18"/>
        <v>2.3963210297656943E-2</v>
      </c>
      <c r="V38" s="259">
        <f t="shared" si="18"/>
        <v>2.4840058167477499E-2</v>
      </c>
      <c r="W38" s="259">
        <f t="shared" si="18"/>
        <v>2.4607470915666153E-2</v>
      </c>
      <c r="X38" s="259">
        <f t="shared" si="18"/>
        <v>2.6139073655239972E-2</v>
      </c>
      <c r="Y38" s="259">
        <f t="shared" si="18"/>
        <v>2.4901475777964758E-2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3.0460556918870542E-2</v>
      </c>
      <c r="C39" s="259">
        <f t="shared" si="19"/>
        <v>3.1550532962585254E-2</v>
      </c>
      <c r="D39" s="259">
        <f t="shared" si="19"/>
        <v>3.0410006577254525E-2</v>
      </c>
      <c r="E39" s="259">
        <f t="shared" si="19"/>
        <v>2.7575354486406623E-2</v>
      </c>
      <c r="F39" s="259">
        <f t="shared" si="19"/>
        <v>2.81006337799364E-2</v>
      </c>
      <c r="G39" s="259">
        <f t="shared" si="19"/>
        <v>2.9173363786678879E-2</v>
      </c>
      <c r="H39" s="259">
        <f t="shared" si="19"/>
        <v>2.8265536697660177E-2</v>
      </c>
      <c r="I39" s="259">
        <f t="shared" si="19"/>
        <v>2.8061384449015413E-2</v>
      </c>
      <c r="J39" s="259">
        <f t="shared" si="19"/>
        <v>2.7892184227872863E-2</v>
      </c>
      <c r="K39" s="259">
        <f t="shared" si="19"/>
        <v>2.8490197981275178E-2</v>
      </c>
      <c r="L39" s="259">
        <f t="shared" si="19"/>
        <v>2.6094058441543118E-2</v>
      </c>
      <c r="M39" s="259">
        <f t="shared" si="19"/>
        <v>2.579254113032604E-2</v>
      </c>
      <c r="N39" s="259">
        <f t="shared" si="19"/>
        <v>2.7752155782918432E-2</v>
      </c>
      <c r="O39" s="259">
        <f t="shared" si="19"/>
        <v>2.7102869464599003E-2</v>
      </c>
      <c r="P39" s="259">
        <f t="shared" si="19"/>
        <v>2.7098322845727028E-2</v>
      </c>
      <c r="Q39" s="259">
        <f t="shared" si="19"/>
        <v>2.8955712459978914E-2</v>
      </c>
      <c r="R39" s="259">
        <f t="shared" si="19"/>
        <v>3.0035146624676892E-2</v>
      </c>
      <c r="S39" s="259">
        <f t="shared" si="19"/>
        <v>2.9100720693678354E-2</v>
      </c>
      <c r="T39" s="259">
        <f t="shared" si="19"/>
        <v>3.0301924411364152E-2</v>
      </c>
      <c r="U39" s="259">
        <f t="shared" si="19"/>
        <v>2.9523163391589662E-2</v>
      </c>
      <c r="V39" s="259">
        <f t="shared" si="19"/>
        <v>2.7923266037448852E-2</v>
      </c>
      <c r="W39" s="259">
        <f t="shared" si="19"/>
        <v>2.7789684862454579E-2</v>
      </c>
      <c r="X39" s="259">
        <f t="shared" si="19"/>
        <v>2.5709165416541477E-2</v>
      </c>
      <c r="Y39" s="259">
        <f t="shared" si="19"/>
        <v>2.6367856637912496E-2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4.6423861021461177E-2</v>
      </c>
      <c r="C40" s="261">
        <f t="shared" si="20"/>
        <v>4.8085055086458238E-2</v>
      </c>
      <c r="D40" s="261">
        <f t="shared" si="20"/>
        <v>4.6346819027776695E-2</v>
      </c>
      <c r="E40" s="261">
        <f t="shared" si="20"/>
        <v>4.2026625701692327E-2</v>
      </c>
      <c r="F40" s="261">
        <f t="shared" si="20"/>
        <v>4.2827185356107932E-2</v>
      </c>
      <c r="G40" s="261">
        <f t="shared" si="20"/>
        <v>4.4462095344103322E-2</v>
      </c>
      <c r="H40" s="261">
        <f t="shared" si="20"/>
        <v>4.3078508079944927E-2</v>
      </c>
      <c r="I40" s="261">
        <f t="shared" si="20"/>
        <v>4.2767366834446846E-2</v>
      </c>
      <c r="J40" s="261">
        <f t="shared" si="20"/>
        <v>4.2509494741955436E-2</v>
      </c>
      <c r="K40" s="261">
        <f t="shared" si="20"/>
        <v>4.3420906422668069E-2</v>
      </c>
      <c r="L40" s="261">
        <f t="shared" si="20"/>
        <v>3.9769034617539105E-2</v>
      </c>
      <c r="M40" s="261">
        <f t="shared" si="20"/>
        <v>3.9309502712433518E-2</v>
      </c>
      <c r="N40" s="261">
        <f t="shared" si="20"/>
        <v>4.2296082325205153E-2</v>
      </c>
      <c r="O40" s="261">
        <f t="shared" si="20"/>
        <v>4.1306527935734194E-2</v>
      </c>
      <c r="P40" s="261">
        <f t="shared" si="20"/>
        <v>4.1299598594186318E-2</v>
      </c>
      <c r="Q40" s="261">
        <f t="shared" si="20"/>
        <v>4.4130380629603262E-2</v>
      </c>
      <c r="R40" s="261">
        <f t="shared" si="20"/>
        <v>4.5775508188407428E-2</v>
      </c>
      <c r="S40" s="261">
        <f t="shared" si="20"/>
        <v>4.4351382566835115E-2</v>
      </c>
      <c r="T40" s="261">
        <f t="shared" si="20"/>
        <v>4.6182094808795517E-2</v>
      </c>
      <c r="U40" s="261">
        <f t="shared" si="20"/>
        <v>4.4995212591007E-2</v>
      </c>
      <c r="V40" s="261">
        <f t="shared" si="20"/>
        <v>4.2556865432251553E-2</v>
      </c>
      <c r="W40" s="261">
        <f t="shared" si="20"/>
        <v>4.2353279072371942E-2</v>
      </c>
      <c r="X40" s="261">
        <f t="shared" si="20"/>
        <v>3.9182432726168719E-2</v>
      </c>
      <c r="Y40" s="261">
        <f t="shared" si="20"/>
        <v>4.0186320796844165E-2</v>
      </c>
      <c r="DA40" s="279"/>
    </row>
    <row r="42" spans="1:105" ht="12.75" x14ac:dyDescent="0.25">
      <c r="A42" s="178" t="s">
        <v>131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0.42087486558622689</v>
      </c>
      <c r="C44" s="237">
        <f>IF(C$5=0,0,C$5/AGR_fec!C$5)</f>
        <v>0.42336317822339792</v>
      </c>
      <c r="D44" s="237">
        <f>IF(D$5=0,0,D$5/AGR_fec!D$5)</f>
        <v>0.41672122960272984</v>
      </c>
      <c r="E44" s="237">
        <f>IF(E$5=0,0,E$5/AGR_fec!E$5)</f>
        <v>0.40937220439357602</v>
      </c>
      <c r="F44" s="237">
        <f>IF(F$5=0,0,F$5/AGR_fec!F$5)</f>
        <v>0.41392420876652353</v>
      </c>
      <c r="G44" s="237">
        <f>IF(G$5=0,0,G$5/AGR_fec!G$5)</f>
        <v>0.41491191664160487</v>
      </c>
      <c r="H44" s="237">
        <f>IF(H$5=0,0,H$5/AGR_fec!H$5)</f>
        <v>0.41457625278091725</v>
      </c>
      <c r="I44" s="237">
        <f>IF(I$5=0,0,I$5/AGR_fec!I$5)</f>
        <v>0.41187323307963758</v>
      </c>
      <c r="J44" s="237">
        <f>IF(J$5=0,0,J$5/AGR_fec!J$5)</f>
        <v>0.41137739484948332</v>
      </c>
      <c r="K44" s="237">
        <f>IF(K$5=0,0,K$5/AGR_fec!K$5)</f>
        <v>0.40937519750594015</v>
      </c>
      <c r="L44" s="237">
        <f>IF(L$5=0,0,L$5/AGR_fec!L$5)</f>
        <v>0.40383892702842045</v>
      </c>
      <c r="M44" s="237">
        <f>IF(M$5=0,0,M$5/AGR_fec!M$5)</f>
        <v>0.39965462058042867</v>
      </c>
      <c r="N44" s="237">
        <f>IF(N$5=0,0,N$5/AGR_fec!N$5)</f>
        <v>0.39992361581926555</v>
      </c>
      <c r="O44" s="237">
        <f>IF(O$5=0,0,O$5/AGR_fec!O$5)</f>
        <v>0.39612621802726544</v>
      </c>
      <c r="P44" s="237">
        <f>IF(P$5=0,0,P$5/AGR_fec!P$5)</f>
        <v>0.38939298619217511</v>
      </c>
      <c r="Q44" s="237">
        <f>IF(Q$5=0,0,Q$5/AGR_fec!Q$5)</f>
        <v>0.39389472198957387</v>
      </c>
      <c r="R44" s="237">
        <f>IF(R$5=0,0,R$5/AGR_fec!R$5)</f>
        <v>0.39723605001910256</v>
      </c>
      <c r="S44" s="237">
        <f>IF(S$5=0,0,S$5/AGR_fec!S$5)</f>
        <v>0.39319031476172578</v>
      </c>
      <c r="T44" s="237">
        <f>IF(T$5=0,0,T$5/AGR_fec!T$5)</f>
        <v>0.39519562804917269</v>
      </c>
      <c r="U44" s="237">
        <f>IF(U$5=0,0,U$5/AGR_fec!U$5)</f>
        <v>0.39129987122642312</v>
      </c>
      <c r="V44" s="237">
        <f>IF(V$5=0,0,V$5/AGR_fec!V$5)</f>
        <v>0.38742926644476883</v>
      </c>
      <c r="W44" s="237">
        <f>IF(W$5=0,0,W$5/AGR_fec!W$5)</f>
        <v>0.38832478136892412</v>
      </c>
      <c r="X44" s="237">
        <f>IF(X$5=0,0,X$5/AGR_fec!X$5)</f>
        <v>0.38327597760045495</v>
      </c>
      <c r="Y44" s="237">
        <f>IF(Y$5=0,0,Y$5/AGR_fec!Y$5)</f>
        <v>0.38252201475806874</v>
      </c>
      <c r="DA44" s="286"/>
    </row>
    <row r="45" spans="1:105" x14ac:dyDescent="0.25">
      <c r="A45" s="238" t="s">
        <v>125</v>
      </c>
      <c r="B45" s="250">
        <f>IF(B$6=0,0,B$6/AGR_fec!B$6)</f>
        <v>0.47354557924995866</v>
      </c>
      <c r="C45" s="250">
        <f>IF(C$6=0,0,C$6/AGR_fec!C$6)</f>
        <v>0.47354557924995833</v>
      </c>
      <c r="D45" s="250">
        <f>IF(D$6=0,0,D$6/AGR_fec!D$6)</f>
        <v>0.47354557924995838</v>
      </c>
      <c r="E45" s="250">
        <f>IF(E$6=0,0,E$6/AGR_fec!E$6)</f>
        <v>0.47354557924995844</v>
      </c>
      <c r="F45" s="250">
        <f>IF(F$6=0,0,F$6/AGR_fec!F$6)</f>
        <v>0.47354557924995855</v>
      </c>
      <c r="G45" s="250">
        <f>IF(G$6=0,0,G$6/AGR_fec!G$6)</f>
        <v>0.47354557924995844</v>
      </c>
      <c r="H45" s="250">
        <f>IF(H$6=0,0,H$6/AGR_fec!H$6)</f>
        <v>0.47354557924995866</v>
      </c>
      <c r="I45" s="250">
        <f>IF(I$6=0,0,I$6/AGR_fec!I$6)</f>
        <v>0.47354557924995849</v>
      </c>
      <c r="J45" s="250">
        <f>IF(J$6=0,0,J$6/AGR_fec!J$6)</f>
        <v>0.47354557924995833</v>
      </c>
      <c r="K45" s="250">
        <f>IF(K$6=0,0,K$6/AGR_fec!K$6)</f>
        <v>0.47354557924995833</v>
      </c>
      <c r="L45" s="250">
        <f>IF(L$6=0,0,L$6/AGR_fec!L$6)</f>
        <v>0.47354557924995844</v>
      </c>
      <c r="M45" s="250">
        <f>IF(M$6=0,0,M$6/AGR_fec!M$6)</f>
        <v>0.47354557924995883</v>
      </c>
      <c r="N45" s="250">
        <f>IF(N$6=0,0,N$6/AGR_fec!N$6)</f>
        <v>0.47354557924995855</v>
      </c>
      <c r="O45" s="250">
        <f>IF(O$6=0,0,O$6/AGR_fec!O$6)</f>
        <v>0.47354557924995855</v>
      </c>
      <c r="P45" s="250">
        <f>IF(P$6=0,0,P$6/AGR_fec!P$6)</f>
        <v>0.47354557924995855</v>
      </c>
      <c r="Q45" s="250">
        <f>IF(Q$6=0,0,Q$6/AGR_fec!Q$6)</f>
        <v>0.47354557924995871</v>
      </c>
      <c r="R45" s="250">
        <f>IF(R$6=0,0,R$6/AGR_fec!R$6)</f>
        <v>0.47354557924995827</v>
      </c>
      <c r="S45" s="250">
        <f>IF(S$6=0,0,S$6/AGR_fec!S$6)</f>
        <v>0.47354557924995849</v>
      </c>
      <c r="T45" s="250">
        <f>IF(T$6=0,0,T$6/AGR_fec!T$6)</f>
        <v>0.47354557924995838</v>
      </c>
      <c r="U45" s="250">
        <f>IF(U$6=0,0,U$6/AGR_fec!U$6)</f>
        <v>0.47354557924995849</v>
      </c>
      <c r="V45" s="250">
        <f>IF(V$6=0,0,V$6/AGR_fec!V$6)</f>
        <v>0.47354557924995844</v>
      </c>
      <c r="W45" s="250">
        <f>IF(W$6=0,0,W$6/AGR_fec!W$6)</f>
        <v>0.47354557924995849</v>
      </c>
      <c r="X45" s="250">
        <f>IF(X$6=0,0,X$6/AGR_fec!X$6)</f>
        <v>0.47354557924995855</v>
      </c>
      <c r="Y45" s="250">
        <f>IF(Y$6=0,0,Y$6/AGR_fec!Y$6)</f>
        <v>0.47354557924995844</v>
      </c>
      <c r="DA45" s="287"/>
    </row>
    <row r="46" spans="1:105" x14ac:dyDescent="0.25">
      <c r="A46" s="240" t="s">
        <v>124</v>
      </c>
      <c r="B46" s="251">
        <f>IF(B$7=0,0,B$7/AGR_fec!B$7)</f>
        <v>0.46958101482569736</v>
      </c>
      <c r="C46" s="251">
        <f>IF(C$7=0,0,C$7/AGR_fec!C$7)</f>
        <v>0.46958101482569736</v>
      </c>
      <c r="D46" s="251">
        <f>IF(D$7=0,0,D$7/AGR_fec!D$7)</f>
        <v>0.46958101482569742</v>
      </c>
      <c r="E46" s="251">
        <f>IF(E$7=0,0,E$7/AGR_fec!E$7)</f>
        <v>0.46958101482569742</v>
      </c>
      <c r="F46" s="251">
        <f>IF(F$7=0,0,F$7/AGR_fec!F$7)</f>
        <v>0.46958101482569758</v>
      </c>
      <c r="G46" s="251">
        <f>IF(G$7=0,0,G$7/AGR_fec!G$7)</f>
        <v>0.46958101482569747</v>
      </c>
      <c r="H46" s="251">
        <f>IF(H$7=0,0,H$7/AGR_fec!H$7)</f>
        <v>0.46958101482569747</v>
      </c>
      <c r="I46" s="251">
        <f>IF(I$7=0,0,I$7/AGR_fec!I$7)</f>
        <v>0.46958101482569758</v>
      </c>
      <c r="J46" s="251">
        <f>IF(J$7=0,0,J$7/AGR_fec!J$7)</f>
        <v>0.46958101482569747</v>
      </c>
      <c r="K46" s="251">
        <f>IF(K$7=0,0,K$7/AGR_fec!K$7)</f>
        <v>0.46958101482569753</v>
      </c>
      <c r="L46" s="251">
        <f>IF(L$7=0,0,L$7/AGR_fec!L$7)</f>
        <v>0.46958101482569736</v>
      </c>
      <c r="M46" s="251">
        <f>IF(M$7=0,0,M$7/AGR_fec!M$7)</f>
        <v>0.46958101482569747</v>
      </c>
      <c r="N46" s="251">
        <f>IF(N$7=0,0,N$7/AGR_fec!N$7)</f>
        <v>0.46958101482569742</v>
      </c>
      <c r="O46" s="251">
        <f>IF(O$7=0,0,O$7/AGR_fec!O$7)</f>
        <v>0.46958101482569758</v>
      </c>
      <c r="P46" s="251">
        <f>IF(P$7=0,0,P$7/AGR_fec!P$7)</f>
        <v>0.46958101482569747</v>
      </c>
      <c r="Q46" s="251">
        <f>IF(Q$7=0,0,Q$7/AGR_fec!Q$7)</f>
        <v>0.46958101482569753</v>
      </c>
      <c r="R46" s="251">
        <f>IF(R$7=0,0,R$7/AGR_fec!R$7)</f>
        <v>0.46958101482569742</v>
      </c>
      <c r="S46" s="251">
        <f>IF(S$7=0,0,S$7/AGR_fec!S$7)</f>
        <v>0.46958101482569742</v>
      </c>
      <c r="T46" s="251">
        <f>IF(T$7=0,0,T$7/AGR_fec!T$7)</f>
        <v>0.46958101482569753</v>
      </c>
      <c r="U46" s="251">
        <f>IF(U$7=0,0,U$7/AGR_fec!U$7)</f>
        <v>0.46958101482569747</v>
      </c>
      <c r="V46" s="251">
        <f>IF(V$7=0,0,V$7/AGR_fec!V$7)</f>
        <v>0.46958101482569747</v>
      </c>
      <c r="W46" s="251">
        <f>IF(W$7=0,0,W$7/AGR_fec!W$7)</f>
        <v>0.46958101482569747</v>
      </c>
      <c r="X46" s="251">
        <f>IF(X$7=0,0,X$7/AGR_fec!X$7)</f>
        <v>0.46958101482569742</v>
      </c>
      <c r="Y46" s="251">
        <f>IF(Y$7=0,0,Y$7/AGR_fec!Y$7)</f>
        <v>0.46958101482569742</v>
      </c>
      <c r="DA46" s="288"/>
    </row>
    <row r="47" spans="1:105" x14ac:dyDescent="0.25">
      <c r="A47" s="240" t="s">
        <v>123</v>
      </c>
      <c r="B47" s="251">
        <f>IF(B$8=0,0,B$8/AGR_fec!B$8)</f>
        <v>0.67395360384523328</v>
      </c>
      <c r="C47" s="251">
        <f>IF(C$8=0,0,C$8/AGR_fec!C$8)</f>
        <v>0.67395360384523362</v>
      </c>
      <c r="D47" s="251">
        <f>IF(D$8=0,0,D$8/AGR_fec!D$8)</f>
        <v>0.67395360384523351</v>
      </c>
      <c r="E47" s="251">
        <f>IF(E$8=0,0,E$8/AGR_fec!E$8)</f>
        <v>0.67395360384523384</v>
      </c>
      <c r="F47" s="251">
        <f>IF(F$8=0,0,F$8/AGR_fec!F$8)</f>
        <v>0.67395360384523373</v>
      </c>
      <c r="G47" s="251">
        <f>IF(G$8=0,0,G$8/AGR_fec!G$8)</f>
        <v>0.67395360384523384</v>
      </c>
      <c r="H47" s="251">
        <f>IF(H$8=0,0,H$8/AGR_fec!H$8)</f>
        <v>0.67395360384523351</v>
      </c>
      <c r="I47" s="251">
        <f>IF(I$8=0,0,I$8/AGR_fec!I$8)</f>
        <v>0.67395360384523362</v>
      </c>
      <c r="J47" s="251">
        <f>IF(J$8=0,0,J$8/AGR_fec!J$8)</f>
        <v>0.67395360384523351</v>
      </c>
      <c r="K47" s="251">
        <f>IF(K$8=0,0,K$8/AGR_fec!K$8)</f>
        <v>0.67395360384523351</v>
      </c>
      <c r="L47" s="251">
        <f>IF(L$8=0,0,L$8/AGR_fec!L$8)</f>
        <v>0.67395360384523373</v>
      </c>
      <c r="M47" s="251">
        <f>IF(M$8=0,0,M$8/AGR_fec!M$8)</f>
        <v>0.67395360384523328</v>
      </c>
      <c r="N47" s="251">
        <f>IF(N$8=0,0,N$8/AGR_fec!N$8)</f>
        <v>0.67395360384523395</v>
      </c>
      <c r="O47" s="251">
        <f>IF(O$8=0,0,O$8/AGR_fec!O$8)</f>
        <v>0.67395360384523351</v>
      </c>
      <c r="P47" s="251">
        <f>IF(P$8=0,0,P$8/AGR_fec!P$8)</f>
        <v>0.67395360384523373</v>
      </c>
      <c r="Q47" s="251">
        <f>IF(Q$8=0,0,Q$8/AGR_fec!Q$8)</f>
        <v>0.67395360384523373</v>
      </c>
      <c r="R47" s="251">
        <f>IF(R$8=0,0,R$8/AGR_fec!R$8)</f>
        <v>0.67395360384523351</v>
      </c>
      <c r="S47" s="251">
        <f>IF(S$8=0,0,S$8/AGR_fec!S$8)</f>
        <v>0.67395360384523384</v>
      </c>
      <c r="T47" s="251">
        <f>IF(T$8=0,0,T$8/AGR_fec!T$8)</f>
        <v>0.6739536038452334</v>
      </c>
      <c r="U47" s="251">
        <f>IF(U$8=0,0,U$8/AGR_fec!U$8)</f>
        <v>0.67395360384523373</v>
      </c>
      <c r="V47" s="251">
        <f>IF(V$8=0,0,V$8/AGR_fec!V$8)</f>
        <v>0.67395360384523384</v>
      </c>
      <c r="W47" s="251">
        <f>IF(W$8=0,0,W$8/AGR_fec!W$8)</f>
        <v>0.67395360384523373</v>
      </c>
      <c r="X47" s="251">
        <f>IF(X$8=0,0,X$8/AGR_fec!X$8)</f>
        <v>0.67395360384523384</v>
      </c>
      <c r="Y47" s="251">
        <f>IF(Y$8=0,0,Y$8/AGR_fec!Y$8)</f>
        <v>0.67395360384523328</v>
      </c>
      <c r="DA47" s="288"/>
    </row>
    <row r="48" spans="1:105" x14ac:dyDescent="0.25">
      <c r="A48" s="242" t="s">
        <v>122</v>
      </c>
      <c r="B48" s="252">
        <f>IF(B$9=0,0,B$9/AGR_fec!B$9)</f>
        <v>0.69106532536194831</v>
      </c>
      <c r="C48" s="252">
        <f>IF(C$9=0,0,C$9/AGR_fec!C$9)</f>
        <v>0.69401751442612569</v>
      </c>
      <c r="D48" s="252">
        <f>IF(D$9=0,0,D$9/AGR_fec!D$9)</f>
        <v>0.68939721073487403</v>
      </c>
      <c r="E48" s="252">
        <f>IF(E$9=0,0,E$9/AGR_fec!E$9)</f>
        <v>0.68385696028349152</v>
      </c>
      <c r="F48" s="252">
        <f>IF(F$9=0,0,F$9/AGR_fec!F$9)</f>
        <v>0.68522782692974271</v>
      </c>
      <c r="G48" s="252">
        <f>IF(G$9=0,0,G$9/AGR_fec!G$9)</f>
        <v>0.68597307525694728</v>
      </c>
      <c r="H48" s="252">
        <f>IF(H$9=0,0,H$9/AGR_fec!H$9)</f>
        <v>0.68439386178691852</v>
      </c>
      <c r="I48" s="252">
        <f>IF(I$9=0,0,I$9/AGR_fec!I$9)</f>
        <v>0.68340700796578158</v>
      </c>
      <c r="J48" s="252">
        <f>IF(J$9=0,0,J$9/AGR_fec!J$9)</f>
        <v>0.68263623972588683</v>
      </c>
      <c r="K48" s="252">
        <f>IF(K$9=0,0,K$9/AGR_fec!K$9)</f>
        <v>0.68358240865237574</v>
      </c>
      <c r="L48" s="252">
        <f>IF(L$9=0,0,L$9/AGR_fec!L$9)</f>
        <v>0.67716577669747713</v>
      </c>
      <c r="M48" s="252">
        <f>IF(M$9=0,0,M$9/AGR_fec!M$9)</f>
        <v>0.6749621600446184</v>
      </c>
      <c r="N48" s="252">
        <f>IF(N$9=0,0,N$9/AGR_fec!N$9)</f>
        <v>0.67436432747026864</v>
      </c>
      <c r="O48" s="252">
        <f>IF(O$9=0,0,O$9/AGR_fec!O$9)</f>
        <v>0.67371261386151027</v>
      </c>
      <c r="P48" s="252">
        <f>IF(P$9=0,0,P$9/AGR_fec!P$9)</f>
        <v>0.67117030128311284</v>
      </c>
      <c r="Q48" s="252">
        <f>IF(Q$9=0,0,Q$9/AGR_fec!Q$9)</f>
        <v>0.67851246175908864</v>
      </c>
      <c r="R48" s="252">
        <f>IF(R$9=0,0,R$9/AGR_fec!R$9)</f>
        <v>0.68135751552866675</v>
      </c>
      <c r="S48" s="252">
        <f>IF(S$9=0,0,S$9/AGR_fec!S$9)</f>
        <v>0.6791947956815938</v>
      </c>
      <c r="T48" s="252">
        <f>IF(T$9=0,0,T$9/AGR_fec!T$9)</f>
        <v>0.68172217198517882</v>
      </c>
      <c r="U48" s="252">
        <f>IF(U$9=0,0,U$9/AGR_fec!U$9)</f>
        <v>0.67793335446291203</v>
      </c>
      <c r="V48" s="252">
        <f>IF(V$9=0,0,V$9/AGR_fec!V$9)</f>
        <v>0.67056548393941118</v>
      </c>
      <c r="W48" s="252">
        <f>IF(W$9=0,0,W$9/AGR_fec!W$9)</f>
        <v>0.67107033021670748</v>
      </c>
      <c r="X48" s="252">
        <f>IF(X$9=0,0,X$9/AGR_fec!X$9)</f>
        <v>0.66069459136223485</v>
      </c>
      <c r="Y48" s="252">
        <f>IF(Y$9=0,0,Y$9/AGR_fec!Y$9)</f>
        <v>0.66665037817403971</v>
      </c>
      <c r="DA48" s="289"/>
    </row>
    <row r="49" spans="1:105" x14ac:dyDescent="0.25">
      <c r="A49" s="127" t="s">
        <v>168</v>
      </c>
      <c r="B49" s="264">
        <f>IF(B$16=0,0,B$16/AGR_fec!B$16)</f>
        <v>0.33885960834009721</v>
      </c>
      <c r="C49" s="264">
        <f>IF(C$16=0,0,C$16/AGR_fec!C$16)</f>
        <v>0.33885960834009715</v>
      </c>
      <c r="D49" s="264">
        <f>IF(D$16=0,0,D$16/AGR_fec!D$16)</f>
        <v>0.33885960834009721</v>
      </c>
      <c r="E49" s="264">
        <f>IF(E$16=0,0,E$16/AGR_fec!E$16)</f>
        <v>0.33885960834009721</v>
      </c>
      <c r="F49" s="264">
        <f>IF(F$16=0,0,F$16/AGR_fec!F$16)</f>
        <v>0.33885960834009721</v>
      </c>
      <c r="G49" s="264">
        <f>IF(G$16=0,0,G$16/AGR_fec!G$16)</f>
        <v>0.33885960834009715</v>
      </c>
      <c r="H49" s="264">
        <f>IF(H$16=0,0,H$16/AGR_fec!H$16)</f>
        <v>0.33885960834009715</v>
      </c>
      <c r="I49" s="264">
        <f>IF(I$16=0,0,I$16/AGR_fec!I$16)</f>
        <v>0.33885960834009704</v>
      </c>
      <c r="J49" s="264">
        <f>IF(J$16=0,0,J$16/AGR_fec!J$16)</f>
        <v>0.33885960834009715</v>
      </c>
      <c r="K49" s="264">
        <f>IF(K$16=0,0,K$16/AGR_fec!K$16)</f>
        <v>0.3388596083400971</v>
      </c>
      <c r="L49" s="264">
        <f>IF(L$16=0,0,L$16/AGR_fec!L$16)</f>
        <v>0.33885960834009721</v>
      </c>
      <c r="M49" s="264">
        <f>IF(M$16=0,0,M$16/AGR_fec!M$16)</f>
        <v>0.33885960834009715</v>
      </c>
      <c r="N49" s="264">
        <f>IF(N$16=0,0,N$16/AGR_fec!N$16)</f>
        <v>0.33885960834009715</v>
      </c>
      <c r="O49" s="264">
        <f>IF(O$16=0,0,O$16/AGR_fec!O$16)</f>
        <v>0.33885960834009715</v>
      </c>
      <c r="P49" s="264">
        <f>IF(P$16=0,0,P$16/AGR_fec!P$16)</f>
        <v>0.33885960834009715</v>
      </c>
      <c r="Q49" s="264">
        <f>IF(Q$16=0,0,Q$16/AGR_fec!Q$16)</f>
        <v>0.33885960834009721</v>
      </c>
      <c r="R49" s="264">
        <f>IF(R$16=0,0,R$16/AGR_fec!R$16)</f>
        <v>0.3388596083400971</v>
      </c>
      <c r="S49" s="264">
        <f>IF(S$16=0,0,S$16/AGR_fec!S$16)</f>
        <v>0.3388596083400971</v>
      </c>
      <c r="T49" s="264">
        <f>IF(T$16=0,0,T$16/AGR_fec!T$16)</f>
        <v>0.33885960834009715</v>
      </c>
      <c r="U49" s="264">
        <f>IF(U$16=0,0,U$16/AGR_fec!U$16)</f>
        <v>0.33885960834009715</v>
      </c>
      <c r="V49" s="264">
        <f>IF(V$16=0,0,V$16/AGR_fec!V$16)</f>
        <v>0.33885960834009721</v>
      </c>
      <c r="W49" s="264">
        <f>IF(W$16=0,0,W$16/AGR_fec!W$16)</f>
        <v>0.33885960834009715</v>
      </c>
      <c r="X49" s="264">
        <f>IF(X$16=0,0,X$16/AGR_fec!X$16)</f>
        <v>0.33885960834009698</v>
      </c>
      <c r="Y49" s="264">
        <f>IF(Y$16=0,0,Y$16/AGR_fec!Y$16)</f>
        <v>0.3388596083400971</v>
      </c>
      <c r="DA49" s="290"/>
    </row>
    <row r="50" spans="1:105" x14ac:dyDescent="0.25">
      <c r="A50" s="127" t="s">
        <v>121</v>
      </c>
      <c r="B50" s="264">
        <f>IF(B$17=0,0,B$17/AGR_fec!B$17)</f>
        <v>0.27443648364228129</v>
      </c>
      <c r="C50" s="264">
        <f>IF(C$17=0,0,C$17/AGR_fec!C$17)</f>
        <v>0.27579400722721209</v>
      </c>
      <c r="D50" s="264">
        <f>IF(D$17=0,0,D$17/AGR_fec!D$17)</f>
        <v>0.27466661441135903</v>
      </c>
      <c r="E50" s="264">
        <f>IF(E$17=0,0,E$17/AGR_fec!E$17)</f>
        <v>0.27098843367890457</v>
      </c>
      <c r="F50" s="264">
        <f>IF(F$17=0,0,F$17/AGR_fec!F$17)</f>
        <v>0.27608827971590127</v>
      </c>
      <c r="G50" s="264">
        <f>IF(G$17=0,0,G$17/AGR_fec!G$17)</f>
        <v>0.27627197690857691</v>
      </c>
      <c r="H50" s="264">
        <f>IF(H$17=0,0,H$17/AGR_fec!H$17)</f>
        <v>0.27911636611211366</v>
      </c>
      <c r="I50" s="264">
        <f>IF(I$17=0,0,I$17/AGR_fec!I$17)</f>
        <v>0.27780731593794439</v>
      </c>
      <c r="J50" s="264">
        <f>IF(J$17=0,0,J$17/AGR_fec!J$17)</f>
        <v>0.27610482704776457</v>
      </c>
      <c r="K50" s="264">
        <f>IF(K$17=0,0,K$17/AGR_fec!K$17)</f>
        <v>0.2729585606949983</v>
      </c>
      <c r="L50" s="264">
        <f>IF(L$17=0,0,L$17/AGR_fec!L$17)</f>
        <v>0.27345403119164158</v>
      </c>
      <c r="M50" s="264">
        <f>IF(M$17=0,0,M$17/AGR_fec!M$17)</f>
        <v>0.27179948597660625</v>
      </c>
      <c r="N50" s="264">
        <f>IF(N$17=0,0,N$17/AGR_fec!N$17)</f>
        <v>0.27209455616411737</v>
      </c>
      <c r="O50" s="264">
        <f>IF(O$17=0,0,O$17/AGR_fec!O$17)</f>
        <v>0.2696873466981341</v>
      </c>
      <c r="P50" s="264">
        <f>IF(P$17=0,0,P$17/AGR_fec!P$17)</f>
        <v>0.26649148760726393</v>
      </c>
      <c r="Q50" s="264">
        <f>IF(Q$17=0,0,Q$17/AGR_fec!Q$17)</f>
        <v>0.26656683605383169</v>
      </c>
      <c r="R50" s="264">
        <f>IF(R$17=0,0,R$17/AGR_fec!R$17)</f>
        <v>0.26777646758796886</v>
      </c>
      <c r="S50" s="264">
        <f>IF(S$17=0,0,S$17/AGR_fec!S$17)</f>
        <v>0.26638167758306253</v>
      </c>
      <c r="T50" s="264">
        <f>IF(T$17=0,0,T$17/AGR_fec!T$17)</f>
        <v>0.26603449026571535</v>
      </c>
      <c r="U50" s="264">
        <f>IF(U$17=0,0,U$17/AGR_fec!U$17)</f>
        <v>0.26595221353841775</v>
      </c>
      <c r="V50" s="264">
        <f>IF(V$17=0,0,V$17/AGR_fec!V$17)</f>
        <v>0.26525491482806918</v>
      </c>
      <c r="W50" s="264">
        <f>IF(W$17=0,0,W$17/AGR_fec!W$17)</f>
        <v>0.26660542988753716</v>
      </c>
      <c r="X50" s="264">
        <f>IF(X$17=0,0,X$17/AGR_fec!X$17)</f>
        <v>0.26554774423813854</v>
      </c>
      <c r="Y50" s="264">
        <f>IF(Y$17=0,0,Y$17/AGR_fec!Y$17)</f>
        <v>0.26456241931554902</v>
      </c>
      <c r="DA50" s="290"/>
    </row>
    <row r="51" spans="1:105" x14ac:dyDescent="0.25">
      <c r="A51" s="127" t="s">
        <v>167</v>
      </c>
      <c r="B51" s="264">
        <f>IF(B$25=0,0,B$25/AGR_fec!B$25)</f>
        <v>0.23720172583806795</v>
      </c>
      <c r="C51" s="264">
        <f>IF(C$25=0,0,C$25/AGR_fec!C$25)</f>
        <v>0.23720172583806795</v>
      </c>
      <c r="D51" s="264">
        <f>IF(D$25=0,0,D$25/AGR_fec!D$25)</f>
        <v>0.23720172583806792</v>
      </c>
      <c r="E51" s="264">
        <f>IF(E$25=0,0,E$25/AGR_fec!E$25)</f>
        <v>0.23720172583806798</v>
      </c>
      <c r="F51" s="264">
        <f>IF(F$25=0,0,F$25/AGR_fec!F$25)</f>
        <v>0.23720172583806795</v>
      </c>
      <c r="G51" s="264">
        <f>IF(G$25=0,0,G$25/AGR_fec!G$25)</f>
        <v>0.23720172583806795</v>
      </c>
      <c r="H51" s="264">
        <f>IF(H$25=0,0,H$25/AGR_fec!H$25)</f>
        <v>0.23720172583806798</v>
      </c>
      <c r="I51" s="264">
        <f>IF(I$25=0,0,I$25/AGR_fec!I$25)</f>
        <v>0.2372017258380679</v>
      </c>
      <c r="J51" s="264">
        <f>IF(J$25=0,0,J$25/AGR_fec!J$25)</f>
        <v>0.2372017258380679</v>
      </c>
      <c r="K51" s="264">
        <f>IF(K$25=0,0,K$25/AGR_fec!K$25)</f>
        <v>0.23720172583806798</v>
      </c>
      <c r="L51" s="264">
        <f>IF(L$25=0,0,L$25/AGR_fec!L$25)</f>
        <v>0.23720172583806801</v>
      </c>
      <c r="M51" s="264">
        <f>IF(M$25=0,0,M$25/AGR_fec!M$25)</f>
        <v>0.23720172583806803</v>
      </c>
      <c r="N51" s="264">
        <f>IF(N$25=0,0,N$25/AGR_fec!N$25)</f>
        <v>0.23720172583806806</v>
      </c>
      <c r="O51" s="264">
        <f>IF(O$25=0,0,O$25/AGR_fec!O$25)</f>
        <v>0.2372017258380679</v>
      </c>
      <c r="P51" s="264">
        <f>IF(P$25=0,0,P$25/AGR_fec!P$25)</f>
        <v>0.2372017258380679</v>
      </c>
      <c r="Q51" s="264">
        <f>IF(Q$25=0,0,Q$25/AGR_fec!Q$25)</f>
        <v>0.23720172583806801</v>
      </c>
      <c r="R51" s="264">
        <f>IF(R$25=0,0,R$25/AGR_fec!R$25)</f>
        <v>0.23720172583806798</v>
      </c>
      <c r="S51" s="264">
        <f>IF(S$25=0,0,S$25/AGR_fec!S$25)</f>
        <v>0.23720172583806792</v>
      </c>
      <c r="T51" s="264">
        <f>IF(T$25=0,0,T$25/AGR_fec!T$25)</f>
        <v>0.23720172583806792</v>
      </c>
      <c r="U51" s="264">
        <f>IF(U$25=0,0,U$25/AGR_fec!U$25)</f>
        <v>0.2372017258380679</v>
      </c>
      <c r="V51" s="264">
        <f>IF(V$25=0,0,V$25/AGR_fec!V$25)</f>
        <v>0.23720172583806803</v>
      </c>
      <c r="W51" s="264">
        <f>IF(W$25=0,0,W$25/AGR_fec!W$25)</f>
        <v>0.23720172583806795</v>
      </c>
      <c r="X51" s="264">
        <f>IF(X$25=0,0,X$25/AGR_fec!X$25)</f>
        <v>0.23720172583806792</v>
      </c>
      <c r="Y51" s="264">
        <f>IF(Y$25=0,0,Y$25/AGR_fec!Y$25)</f>
        <v>0.23720172583806803</v>
      </c>
      <c r="DA51" s="290"/>
    </row>
    <row r="52" spans="1:105" x14ac:dyDescent="0.25">
      <c r="A52" s="127" t="s">
        <v>170</v>
      </c>
      <c r="B52" s="264">
        <f>IF(B$26=0,0,B$26/AGR_fec!B$26)</f>
        <v>0.4695810148256977</v>
      </c>
      <c r="C52" s="264">
        <f>IF(C$26=0,0,C$26/AGR_fec!C$26)</f>
        <v>0.46958101482569753</v>
      </c>
      <c r="D52" s="264">
        <f>IF(D$26=0,0,D$26/AGR_fec!D$26)</f>
        <v>0.46958101482569747</v>
      </c>
      <c r="E52" s="264">
        <f>IF(E$26=0,0,E$26/AGR_fec!E$26)</f>
        <v>0.46958101482569753</v>
      </c>
      <c r="F52" s="264">
        <f>IF(F$26=0,0,F$26/AGR_fec!F$26)</f>
        <v>0.46958101482569753</v>
      </c>
      <c r="G52" s="264">
        <f>IF(G$26=0,0,G$26/AGR_fec!G$26)</f>
        <v>0.46958101482569753</v>
      </c>
      <c r="H52" s="264">
        <f>IF(H$26=0,0,H$26/AGR_fec!H$26)</f>
        <v>0.46958101482569753</v>
      </c>
      <c r="I52" s="264">
        <f>IF(I$26=0,0,I$26/AGR_fec!I$26)</f>
        <v>0.46958101482569736</v>
      </c>
      <c r="J52" s="264">
        <f>IF(J$26=0,0,J$26/AGR_fec!J$26)</f>
        <v>0.46958101482569731</v>
      </c>
      <c r="K52" s="264">
        <f>IF(K$26=0,0,K$26/AGR_fec!K$26)</f>
        <v>0.46958101482569747</v>
      </c>
      <c r="L52" s="264">
        <f>IF(L$26=0,0,L$26/AGR_fec!L$26)</f>
        <v>0.46958101482569764</v>
      </c>
      <c r="M52" s="264">
        <f>IF(M$26=0,0,M$26/AGR_fec!M$26)</f>
        <v>0.46958101482569747</v>
      </c>
      <c r="N52" s="264">
        <f>IF(N$26=0,0,N$26/AGR_fec!N$26)</f>
        <v>0.46958101482569736</v>
      </c>
      <c r="O52" s="264">
        <f>IF(O$26=0,0,O$26/AGR_fec!O$26)</f>
        <v>0.46958101482569764</v>
      </c>
      <c r="P52" s="264">
        <f>IF(P$26=0,0,P$26/AGR_fec!P$26)</f>
        <v>0.46958101482569747</v>
      </c>
      <c r="Q52" s="264">
        <f>IF(Q$26=0,0,Q$26/AGR_fec!Q$26)</f>
        <v>0.46958101482569758</v>
      </c>
      <c r="R52" s="264">
        <f>IF(R$26=0,0,R$26/AGR_fec!R$26)</f>
        <v>0.46958101482569736</v>
      </c>
      <c r="S52" s="264">
        <f>IF(S$26=0,0,S$26/AGR_fec!S$26)</f>
        <v>0.46958101482569742</v>
      </c>
      <c r="T52" s="264">
        <f>IF(T$26=0,0,T$26/AGR_fec!T$26)</f>
        <v>0.46958101482569747</v>
      </c>
      <c r="U52" s="264">
        <f>IF(U$26=0,0,U$26/AGR_fec!U$26)</f>
        <v>0.46958101482569736</v>
      </c>
      <c r="V52" s="264">
        <f>IF(V$26=0,0,V$26/AGR_fec!V$26)</f>
        <v>0.46958101482569742</v>
      </c>
      <c r="W52" s="264">
        <f>IF(W$26=0,0,W$26/AGR_fec!W$26)</f>
        <v>0.46958101482569758</v>
      </c>
      <c r="X52" s="264">
        <f>IF(X$26=0,0,X$26/AGR_fec!X$26)</f>
        <v>0.4695810148256972</v>
      </c>
      <c r="Y52" s="264">
        <f>IF(Y$26=0,0,Y$26/AGR_fec!Y$26)</f>
        <v>0.46958101482569731</v>
      </c>
      <c r="DA52" s="290"/>
    </row>
    <row r="53" spans="1:105" x14ac:dyDescent="0.25">
      <c r="A53" s="260" t="s">
        <v>33</v>
      </c>
      <c r="B53" s="265">
        <f>IF(B$27=0,0,B$27/AGR_fec!B$27)</f>
        <v>0.49356680778442374</v>
      </c>
      <c r="C53" s="265">
        <f>IF(C$27=0,0,C$27/AGR_fec!C$27)</f>
        <v>0.4935668077844238</v>
      </c>
      <c r="D53" s="265">
        <f>IF(D$27=0,0,D$27/AGR_fec!D$27)</f>
        <v>0.49356680778442358</v>
      </c>
      <c r="E53" s="265">
        <f>IF(E$27=0,0,E$27/AGR_fec!E$27)</f>
        <v>0.49356680778442369</v>
      </c>
      <c r="F53" s="265">
        <f>IF(F$27=0,0,F$27/AGR_fec!F$27)</f>
        <v>0.49356680778442374</v>
      </c>
      <c r="G53" s="265">
        <f>IF(G$27=0,0,G$27/AGR_fec!G$27)</f>
        <v>0.4935668077844238</v>
      </c>
      <c r="H53" s="265">
        <f>IF(H$27=0,0,H$27/AGR_fec!H$27)</f>
        <v>0.4935668077844238</v>
      </c>
      <c r="I53" s="265">
        <f>IF(I$27=0,0,I$27/AGR_fec!I$27)</f>
        <v>0.49356680778442391</v>
      </c>
      <c r="J53" s="265">
        <f>IF(J$27=0,0,J$27/AGR_fec!J$27)</f>
        <v>0.49356680778442363</v>
      </c>
      <c r="K53" s="265">
        <f>IF(K$27=0,0,K$27/AGR_fec!K$27)</f>
        <v>0.49356680778442363</v>
      </c>
      <c r="L53" s="265">
        <f>IF(L$27=0,0,L$27/AGR_fec!L$27)</f>
        <v>0.49356680778442363</v>
      </c>
      <c r="M53" s="265">
        <f>IF(M$27=0,0,M$27/AGR_fec!M$27)</f>
        <v>0.49356680778442369</v>
      </c>
      <c r="N53" s="265">
        <f>IF(N$27=0,0,N$27/AGR_fec!N$27)</f>
        <v>0.49356680778442386</v>
      </c>
      <c r="O53" s="265">
        <f>IF(O$27=0,0,O$27/AGR_fec!O$27)</f>
        <v>0.49356680778442369</v>
      </c>
      <c r="P53" s="265">
        <f>IF(P$27=0,0,P$27/AGR_fec!P$27)</f>
        <v>0.4935668077844238</v>
      </c>
      <c r="Q53" s="265">
        <f>IF(Q$27=0,0,Q$27/AGR_fec!Q$27)</f>
        <v>0.49356680778442363</v>
      </c>
      <c r="R53" s="265">
        <f>IF(R$27=0,0,R$27/AGR_fec!R$27)</f>
        <v>0.49356680778442386</v>
      </c>
      <c r="S53" s="265">
        <f>IF(S$27=0,0,S$27/AGR_fec!S$27)</f>
        <v>0.49356680778442374</v>
      </c>
      <c r="T53" s="265">
        <f>IF(T$27=0,0,T$27/AGR_fec!T$27)</f>
        <v>0.49356680778442369</v>
      </c>
      <c r="U53" s="265">
        <f>IF(U$27=0,0,U$27/AGR_fec!U$27)</f>
        <v>0.49356680778442374</v>
      </c>
      <c r="V53" s="265">
        <f>IF(V$27=0,0,V$27/AGR_fec!V$27)</f>
        <v>0.49356680778442358</v>
      </c>
      <c r="W53" s="265">
        <f>IF(W$27=0,0,W$27/AGR_fec!W$27)</f>
        <v>0.49356680778442363</v>
      </c>
      <c r="X53" s="265">
        <f>IF(X$27=0,0,X$27/AGR_fec!X$27)</f>
        <v>0.49356680778442363</v>
      </c>
      <c r="Y53" s="265">
        <f>IF(Y$27=0,0,Y$27/AGR_fec!Y$27)</f>
        <v>0.49356680778442363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232" t="s">
        <v>136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>SUM(B6:B9,B16:B17,B25:B27)</f>
        <v>183.92338116213705</v>
      </c>
      <c r="C5" s="80">
        <f t="shared" ref="C5:W5" si="0">SUM(C6:C9,C16:C17,C25:C27)</f>
        <v>171.87568632110759</v>
      </c>
      <c r="D5" s="80">
        <f t="shared" si="0"/>
        <v>181.4866603187204</v>
      </c>
      <c r="E5" s="80">
        <f t="shared" si="0"/>
        <v>186.40804859854711</v>
      </c>
      <c r="F5" s="80">
        <f t="shared" si="0"/>
        <v>208.97737127884719</v>
      </c>
      <c r="G5" s="80">
        <f t="shared" si="0"/>
        <v>216.18314315857637</v>
      </c>
      <c r="H5" s="80">
        <f t="shared" si="0"/>
        <v>234.85185143879775</v>
      </c>
      <c r="I5" s="80">
        <f t="shared" si="0"/>
        <v>246.64686825453958</v>
      </c>
      <c r="J5" s="80">
        <f t="shared" si="0"/>
        <v>233.00213097440584</v>
      </c>
      <c r="K5" s="80">
        <f t="shared" si="0"/>
        <v>205.32783599761342</v>
      </c>
      <c r="L5" s="80">
        <f t="shared" si="0"/>
        <v>232.30643169444573</v>
      </c>
      <c r="M5" s="80">
        <f t="shared" si="0"/>
        <v>230.6177285743434</v>
      </c>
      <c r="N5" s="80">
        <f t="shared" si="0"/>
        <v>230.63567313422212</v>
      </c>
      <c r="O5" s="80">
        <f t="shared" si="0"/>
        <v>232.64119029382167</v>
      </c>
      <c r="P5" s="80">
        <f t="shared" si="0"/>
        <v>250.32449397393137</v>
      </c>
      <c r="Q5" s="80">
        <f t="shared" si="0"/>
        <v>234.11381385377669</v>
      </c>
      <c r="R5" s="80">
        <f t="shared" si="0"/>
        <v>231.57128721464886</v>
      </c>
      <c r="S5" s="80">
        <f t="shared" si="0"/>
        <v>238.09181068593958</v>
      </c>
      <c r="T5" s="80">
        <f t="shared" si="0"/>
        <v>227.38843101482675</v>
      </c>
      <c r="U5" s="80">
        <f t="shared" si="0"/>
        <v>246.36978280624416</v>
      </c>
      <c r="V5" s="80">
        <f t="shared" si="0"/>
        <v>250.53489316658309</v>
      </c>
      <c r="W5" s="80">
        <f t="shared" si="0"/>
        <v>267.05220047842869</v>
      </c>
      <c r="X5" s="80">
        <f t="shared" ref="X5:Y5" si="1">SUM(X6:X9,X16:X17,X25:X27)</f>
        <v>291.40357687032576</v>
      </c>
      <c r="Y5" s="80">
        <f t="shared" si="1"/>
        <v>268.48168508255549</v>
      </c>
      <c r="DA5" s="103"/>
    </row>
    <row r="6" spans="1:105" x14ac:dyDescent="0.25">
      <c r="A6" s="238" t="s">
        <v>125</v>
      </c>
      <c r="B6" s="239">
        <v>0</v>
      </c>
      <c r="C6" s="239">
        <v>0</v>
      </c>
      <c r="D6" s="239">
        <v>0</v>
      </c>
      <c r="E6" s="239">
        <v>0</v>
      </c>
      <c r="F6" s="239">
        <v>0</v>
      </c>
      <c r="G6" s="239">
        <v>0</v>
      </c>
      <c r="H6" s="239">
        <v>0</v>
      </c>
      <c r="I6" s="239">
        <v>0</v>
      </c>
      <c r="J6" s="239">
        <v>0</v>
      </c>
      <c r="K6" s="239">
        <v>0</v>
      </c>
      <c r="L6" s="239">
        <v>0</v>
      </c>
      <c r="M6" s="239">
        <v>0</v>
      </c>
      <c r="N6" s="239">
        <v>0</v>
      </c>
      <c r="O6" s="239">
        <v>0</v>
      </c>
      <c r="P6" s="239">
        <v>0</v>
      </c>
      <c r="Q6" s="239">
        <v>0</v>
      </c>
      <c r="R6" s="239">
        <v>0</v>
      </c>
      <c r="S6" s="239">
        <v>0</v>
      </c>
      <c r="T6" s="239">
        <v>0</v>
      </c>
      <c r="U6" s="239">
        <v>0</v>
      </c>
      <c r="V6" s="239">
        <v>0</v>
      </c>
      <c r="W6" s="239">
        <v>0</v>
      </c>
      <c r="X6" s="239">
        <v>0</v>
      </c>
      <c r="Y6" s="239">
        <v>0</v>
      </c>
      <c r="DA6" s="267" t="s">
        <v>1037</v>
      </c>
    </row>
    <row r="7" spans="1:105" x14ac:dyDescent="0.25">
      <c r="A7" s="240" t="s">
        <v>124</v>
      </c>
      <c r="B7" s="241">
        <v>0</v>
      </c>
      <c r="C7" s="241">
        <v>0</v>
      </c>
      <c r="D7" s="241">
        <v>0</v>
      </c>
      <c r="E7" s="241">
        <v>0</v>
      </c>
      <c r="F7" s="241">
        <v>0</v>
      </c>
      <c r="G7" s="241">
        <v>0</v>
      </c>
      <c r="H7" s="241">
        <v>0</v>
      </c>
      <c r="I7" s="241">
        <v>0</v>
      </c>
      <c r="J7" s="241">
        <v>0</v>
      </c>
      <c r="K7" s="241">
        <v>0</v>
      </c>
      <c r="L7" s="241">
        <v>0</v>
      </c>
      <c r="M7" s="241">
        <v>0</v>
      </c>
      <c r="N7" s="241">
        <v>0</v>
      </c>
      <c r="O7" s="241">
        <v>0</v>
      </c>
      <c r="P7" s="241">
        <v>0</v>
      </c>
      <c r="Q7" s="241">
        <v>0</v>
      </c>
      <c r="R7" s="241">
        <v>0</v>
      </c>
      <c r="S7" s="241">
        <v>0</v>
      </c>
      <c r="T7" s="241">
        <v>0</v>
      </c>
      <c r="U7" s="241">
        <v>0</v>
      </c>
      <c r="V7" s="241">
        <v>0</v>
      </c>
      <c r="W7" s="241">
        <v>0</v>
      </c>
      <c r="X7" s="241">
        <v>0</v>
      </c>
      <c r="Y7" s="241">
        <v>0</v>
      </c>
      <c r="DA7" s="268" t="s">
        <v>1038</v>
      </c>
    </row>
    <row r="8" spans="1:105" x14ac:dyDescent="0.25">
      <c r="A8" s="240" t="s">
        <v>123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268" t="s">
        <v>1039</v>
      </c>
    </row>
    <row r="9" spans="1:105" x14ac:dyDescent="0.25">
      <c r="A9" s="242" t="s">
        <v>122</v>
      </c>
      <c r="B9" s="243">
        <f>SUM(B10:B15)</f>
        <v>26.425473325847786</v>
      </c>
      <c r="C9" s="243">
        <f t="shared" ref="C9:W9" si="2">SUM(C10:C15)</f>
        <v>27.338695339350576</v>
      </c>
      <c r="D9" s="243">
        <f t="shared" si="2"/>
        <v>30.870217407379002</v>
      </c>
      <c r="E9" s="243">
        <f t="shared" si="2"/>
        <v>32.516572789899811</v>
      </c>
      <c r="F9" s="243">
        <f t="shared" si="2"/>
        <v>34.427567413067777</v>
      </c>
      <c r="G9" s="243">
        <f t="shared" si="2"/>
        <v>34.020198201551892</v>
      </c>
      <c r="H9" s="243">
        <f t="shared" si="2"/>
        <v>40.786992395192769</v>
      </c>
      <c r="I9" s="243">
        <f t="shared" si="2"/>
        <v>44.755503221805263</v>
      </c>
      <c r="J9" s="243">
        <f t="shared" si="2"/>
        <v>40.749757472539081</v>
      </c>
      <c r="K9" s="243">
        <f t="shared" si="2"/>
        <v>35.325925779627468</v>
      </c>
      <c r="L9" s="243">
        <f t="shared" si="2"/>
        <v>42.664027757491219</v>
      </c>
      <c r="M9" s="243">
        <f t="shared" si="2"/>
        <v>44.36396996854856</v>
      </c>
      <c r="N9" s="243">
        <f t="shared" si="2"/>
        <v>44.683477762010931</v>
      </c>
      <c r="O9" s="243">
        <f t="shared" si="2"/>
        <v>43.974389437978552</v>
      </c>
      <c r="P9" s="243">
        <f t="shared" si="2"/>
        <v>45.556119666952618</v>
      </c>
      <c r="Q9" s="243">
        <f t="shared" si="2"/>
        <v>41.093726756268211</v>
      </c>
      <c r="R9" s="243">
        <f t="shared" si="2"/>
        <v>40.888340023638165</v>
      </c>
      <c r="S9" s="243">
        <f t="shared" si="2"/>
        <v>43.397133891670578</v>
      </c>
      <c r="T9" s="243">
        <f t="shared" si="2"/>
        <v>41.789696806484002</v>
      </c>
      <c r="U9" s="243">
        <f t="shared" si="2"/>
        <v>45.589807478304905</v>
      </c>
      <c r="V9" s="243">
        <f t="shared" si="2"/>
        <v>48.89311149209118</v>
      </c>
      <c r="W9" s="243">
        <f t="shared" si="2"/>
        <v>52.829867734024589</v>
      </c>
      <c r="X9" s="243">
        <f t="shared" ref="X9:Y9" si="3">SUM(X10:X15)</f>
        <v>57.821020941467822</v>
      </c>
      <c r="Y9" s="243">
        <f t="shared" si="3"/>
        <v>52.007327401275361</v>
      </c>
      <c r="DA9" s="269"/>
    </row>
    <row r="10" spans="1:105" x14ac:dyDescent="0.25">
      <c r="A10" s="253" t="s">
        <v>166</v>
      </c>
      <c r="B10" s="254">
        <v>9.687586726396276</v>
      </c>
      <c r="C10" s="254">
        <v>7.8423995054105653</v>
      </c>
      <c r="D10" s="254">
        <v>9.9835849013341704</v>
      </c>
      <c r="E10" s="254">
        <v>11.113626402421239</v>
      </c>
      <c r="F10" s="254">
        <v>10.726852055999739</v>
      </c>
      <c r="G10" s="254">
        <v>12.41574320215037</v>
      </c>
      <c r="H10" s="254">
        <v>11.51218359614035</v>
      </c>
      <c r="I10" s="254">
        <v>12.617711416008881</v>
      </c>
      <c r="J10" s="254">
        <v>13.77379760379225</v>
      </c>
      <c r="K10" s="254">
        <v>13.43824390755991</v>
      </c>
      <c r="L10" s="254">
        <v>16.00351005556352</v>
      </c>
      <c r="M10" s="254">
        <v>17.0284274179485</v>
      </c>
      <c r="N10" s="254">
        <v>20.384639234169409</v>
      </c>
      <c r="O10" s="254">
        <v>20.048642262558811</v>
      </c>
      <c r="P10" s="254">
        <v>24.296457969438549</v>
      </c>
      <c r="Q10" s="254">
        <v>20.477217858195331</v>
      </c>
      <c r="R10" s="254">
        <v>20.441112861525511</v>
      </c>
      <c r="S10" s="254">
        <v>21.493370334332649</v>
      </c>
      <c r="T10" s="254">
        <v>21.31827908440896</v>
      </c>
      <c r="U10" s="254">
        <v>24.363457282778992</v>
      </c>
      <c r="V10" s="254">
        <v>27.726937364578781</v>
      </c>
      <c r="W10" s="254">
        <v>28.192625699974421</v>
      </c>
      <c r="X10" s="254">
        <v>36.320849078778757</v>
      </c>
      <c r="Y10" s="254">
        <v>29.643499350475199</v>
      </c>
      <c r="DA10" s="270" t="s">
        <v>1040</v>
      </c>
    </row>
    <row r="11" spans="1:105" x14ac:dyDescent="0.25">
      <c r="A11" s="253" t="s">
        <v>169</v>
      </c>
      <c r="B11" s="255">
        <v>16.73788659945151</v>
      </c>
      <c r="C11" s="255">
        <v>19.49629583394001</v>
      </c>
      <c r="D11" s="255">
        <v>20.88663250604483</v>
      </c>
      <c r="E11" s="255">
        <v>21.402946387478568</v>
      </c>
      <c r="F11" s="255">
        <v>23.700715357068042</v>
      </c>
      <c r="G11" s="255">
        <v>21.604454999401518</v>
      </c>
      <c r="H11" s="255">
        <v>29.274808799052419</v>
      </c>
      <c r="I11" s="255">
        <v>32.137791805796383</v>
      </c>
      <c r="J11" s="255">
        <v>26.97595986874683</v>
      </c>
      <c r="K11" s="255">
        <v>21.88768187206756</v>
      </c>
      <c r="L11" s="255">
        <v>26.660517701927699</v>
      </c>
      <c r="M11" s="255">
        <v>27.33554255060006</v>
      </c>
      <c r="N11" s="255">
        <v>24.298838527841522</v>
      </c>
      <c r="O11" s="255">
        <v>23.92574717541974</v>
      </c>
      <c r="P11" s="255">
        <v>21.259661697514069</v>
      </c>
      <c r="Q11" s="255">
        <v>20.61650889807288</v>
      </c>
      <c r="R11" s="255">
        <v>20.44722716211265</v>
      </c>
      <c r="S11" s="255">
        <v>21.903763557337928</v>
      </c>
      <c r="T11" s="255">
        <v>20.471417722075039</v>
      </c>
      <c r="U11" s="255">
        <v>21.22635019552591</v>
      </c>
      <c r="V11" s="255">
        <v>21.166174127512399</v>
      </c>
      <c r="W11" s="255">
        <v>24.637242034050171</v>
      </c>
      <c r="X11" s="255">
        <v>21.500171862689061</v>
      </c>
      <c r="Y11" s="255">
        <v>22.363828050800159</v>
      </c>
      <c r="DA11" s="271" t="s">
        <v>1041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1042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1043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1044</v>
      </c>
    </row>
    <row r="15" spans="1:105" x14ac:dyDescent="0.25">
      <c r="A15" s="253" t="s">
        <v>24</v>
      </c>
      <c r="B15" s="255">
        <v>0</v>
      </c>
      <c r="C15" s="255">
        <v>0</v>
      </c>
      <c r="D15" s="255">
        <v>0</v>
      </c>
      <c r="E15" s="255">
        <v>0</v>
      </c>
      <c r="F15" s="255">
        <v>0</v>
      </c>
      <c r="G15" s="255">
        <v>0</v>
      </c>
      <c r="H15" s="255">
        <v>0</v>
      </c>
      <c r="I15" s="255">
        <v>0</v>
      </c>
      <c r="J15" s="255">
        <v>0</v>
      </c>
      <c r="K15" s="255">
        <v>0</v>
      </c>
      <c r="L15" s="255">
        <v>0</v>
      </c>
      <c r="M15" s="255">
        <v>0</v>
      </c>
      <c r="N15" s="255">
        <v>0</v>
      </c>
      <c r="O15" s="255">
        <v>0</v>
      </c>
      <c r="P15" s="255">
        <v>0</v>
      </c>
      <c r="Q15" s="255">
        <v>0</v>
      </c>
      <c r="R15" s="255">
        <v>0</v>
      </c>
      <c r="S15" s="255">
        <v>0</v>
      </c>
      <c r="T15" s="255">
        <v>0</v>
      </c>
      <c r="U15" s="255">
        <v>0</v>
      </c>
      <c r="V15" s="255">
        <v>0</v>
      </c>
      <c r="W15" s="255">
        <v>0</v>
      </c>
      <c r="X15" s="255">
        <v>0</v>
      </c>
      <c r="Y15" s="255">
        <v>0</v>
      </c>
      <c r="DA15" s="271" t="s">
        <v>1045</v>
      </c>
    </row>
    <row r="16" spans="1:105" x14ac:dyDescent="0.25">
      <c r="A16" s="256" t="s">
        <v>168</v>
      </c>
      <c r="B16" s="257">
        <v>58.003151484973863</v>
      </c>
      <c r="C16" s="257">
        <v>55.01654092263508</v>
      </c>
      <c r="D16" s="257">
        <v>58.792845760608479</v>
      </c>
      <c r="E16" s="257">
        <v>60.72087674735868</v>
      </c>
      <c r="F16" s="257">
        <v>63.303429399705678</v>
      </c>
      <c r="G16" s="257">
        <v>66.159750338161942</v>
      </c>
      <c r="H16" s="257">
        <v>69.138910045911587</v>
      </c>
      <c r="I16" s="257">
        <v>73.461242500825804</v>
      </c>
      <c r="J16" s="257">
        <v>72.721254426587677</v>
      </c>
      <c r="K16" s="257">
        <v>66.340405512693522</v>
      </c>
      <c r="L16" s="257">
        <v>72.871811794128831</v>
      </c>
      <c r="M16" s="257">
        <v>72.454790988529126</v>
      </c>
      <c r="N16" s="257">
        <v>74.848124990035927</v>
      </c>
      <c r="O16" s="257">
        <v>72.846685416410111</v>
      </c>
      <c r="P16" s="257">
        <v>76.34091141017899</v>
      </c>
      <c r="Q16" s="257">
        <v>71.126913859943855</v>
      </c>
      <c r="R16" s="257">
        <v>72.298194750294115</v>
      </c>
      <c r="S16" s="257">
        <v>74.62627680705387</v>
      </c>
      <c r="T16" s="257">
        <v>73.238557000172122</v>
      </c>
      <c r="U16" s="257">
        <v>77.644754248217865</v>
      </c>
      <c r="V16" s="257">
        <v>81.095409549312862</v>
      </c>
      <c r="W16" s="257">
        <v>85.695838342317685</v>
      </c>
      <c r="X16" s="257">
        <v>93.554239378615392</v>
      </c>
      <c r="Y16" s="257">
        <v>83.827860542585</v>
      </c>
      <c r="DA16" s="272" t="s">
        <v>1046</v>
      </c>
    </row>
    <row r="17" spans="1:105" x14ac:dyDescent="0.25">
      <c r="A17" s="256" t="s">
        <v>121</v>
      </c>
      <c r="B17" s="257">
        <f>SUM(B18:B24)</f>
        <v>88.348967411151989</v>
      </c>
      <c r="C17" s="257">
        <f t="shared" ref="C17:W17" si="4">SUM(C18:C24)</f>
        <v>78.948563228103637</v>
      </c>
      <c r="D17" s="257">
        <f t="shared" si="4"/>
        <v>80.526061874411241</v>
      </c>
      <c r="E17" s="257">
        <f t="shared" si="4"/>
        <v>81.50257656318243</v>
      </c>
      <c r="F17" s="257">
        <f t="shared" si="4"/>
        <v>99.082092953534953</v>
      </c>
      <c r="G17" s="257">
        <f t="shared" si="4"/>
        <v>103.29004723420556</v>
      </c>
      <c r="H17" s="257">
        <f t="shared" si="4"/>
        <v>111.64033124769395</v>
      </c>
      <c r="I17" s="257">
        <f t="shared" si="4"/>
        <v>114.3139325795664</v>
      </c>
      <c r="J17" s="257">
        <f t="shared" si="4"/>
        <v>105.55712399825907</v>
      </c>
      <c r="K17" s="257">
        <f t="shared" si="4"/>
        <v>90.913642923318605</v>
      </c>
      <c r="L17" s="257">
        <f t="shared" si="4"/>
        <v>102.7676662129289</v>
      </c>
      <c r="M17" s="257">
        <f t="shared" si="4"/>
        <v>99.876175710501727</v>
      </c>
      <c r="N17" s="257">
        <f t="shared" si="4"/>
        <v>96.72137940163384</v>
      </c>
      <c r="O17" s="257">
        <f t="shared" si="4"/>
        <v>101.82201775241123</v>
      </c>
      <c r="P17" s="257">
        <f t="shared" si="4"/>
        <v>113.75792056515604</v>
      </c>
      <c r="Q17" s="257">
        <f t="shared" si="4"/>
        <v>108.2255439872214</v>
      </c>
      <c r="R17" s="257">
        <f t="shared" si="4"/>
        <v>104.49205180615948</v>
      </c>
      <c r="S17" s="257">
        <f t="shared" si="4"/>
        <v>105.72833898385552</v>
      </c>
      <c r="T17" s="257">
        <f t="shared" si="4"/>
        <v>98.286778130578881</v>
      </c>
      <c r="U17" s="257">
        <f t="shared" si="4"/>
        <v>108.21513448088055</v>
      </c>
      <c r="V17" s="257">
        <f t="shared" si="4"/>
        <v>104.96321335341975</v>
      </c>
      <c r="W17" s="257">
        <f t="shared" si="4"/>
        <v>112.05932489904183</v>
      </c>
      <c r="X17" s="257">
        <f t="shared" ref="X17:Y17" si="5">SUM(X18:X24)</f>
        <v>122.05108979831857</v>
      </c>
      <c r="Y17" s="257">
        <f t="shared" si="5"/>
        <v>116.53827513708286</v>
      </c>
      <c r="DA17" s="272"/>
    </row>
    <row r="18" spans="1:105" x14ac:dyDescent="0.25">
      <c r="A18" s="61" t="s">
        <v>29</v>
      </c>
      <c r="B18" s="55">
        <v>2.1796992000279598</v>
      </c>
      <c r="C18" s="55">
        <v>2.1796992000146389</v>
      </c>
      <c r="D18" s="55">
        <v>2.179699199982589</v>
      </c>
      <c r="E18" s="55">
        <v>4.3593983999621386</v>
      </c>
      <c r="F18" s="55">
        <v>2.179699199987045</v>
      </c>
      <c r="G18" s="55">
        <v>4.3593983999682653</v>
      </c>
      <c r="H18" s="55">
        <v>4.359398399976457</v>
      </c>
      <c r="I18" s="55">
        <v>3.5672542559775842</v>
      </c>
      <c r="J18" s="55">
        <v>3.5672542559733289</v>
      </c>
      <c r="K18" s="55">
        <v>2.1796991999712869</v>
      </c>
      <c r="L18" s="55">
        <v>3.5672542559733662</v>
      </c>
      <c r="M18" s="55">
        <v>3.7715189759693031</v>
      </c>
      <c r="N18" s="55">
        <v>3.7715189759659</v>
      </c>
      <c r="O18" s="55">
        <v>7.5434135759156664</v>
      </c>
      <c r="P18" s="55">
        <v>8.5391051759088281</v>
      </c>
      <c r="Q18" s="55">
        <v>8.5541769358937678</v>
      </c>
      <c r="R18" s="55">
        <v>10.94316501591657</v>
      </c>
      <c r="S18" s="55">
        <v>10.681791407875499</v>
      </c>
      <c r="T18" s="55">
        <v>11.375568935919979</v>
      </c>
      <c r="U18" s="55">
        <v>8.8707242879115924</v>
      </c>
      <c r="V18" s="55">
        <v>5.2327864079592876</v>
      </c>
      <c r="W18" s="55">
        <v>4.5934646399636039</v>
      </c>
      <c r="X18" s="55">
        <v>8.4931517519361268</v>
      </c>
      <c r="Y18" s="55">
        <v>2.2662197279875311</v>
      </c>
      <c r="DA18" s="101" t="s">
        <v>1047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2.9317269599825742</v>
      </c>
      <c r="G19" s="55">
        <v>2.9317269599786582</v>
      </c>
      <c r="H19" s="55">
        <v>2.9317269599841662</v>
      </c>
      <c r="I19" s="55">
        <v>2.9290010399815949</v>
      </c>
      <c r="J19" s="55">
        <v>2.9290010399781021</v>
      </c>
      <c r="K19" s="55">
        <v>2.9290010399614168</v>
      </c>
      <c r="L19" s="55">
        <v>2.929001039978131</v>
      </c>
      <c r="M19" s="55">
        <v>2.929001039976161</v>
      </c>
      <c r="N19" s="55">
        <v>2.9290010399735178</v>
      </c>
      <c r="O19" s="55">
        <v>2.9290010399672539</v>
      </c>
      <c r="P19" s="55">
        <v>5.85822923993745</v>
      </c>
      <c r="Q19" s="55">
        <v>2.8867492799641519</v>
      </c>
      <c r="R19" s="55">
        <v>5.7737257199559799</v>
      </c>
      <c r="S19" s="55">
        <v>8.9569187998956039</v>
      </c>
      <c r="T19" s="55">
        <v>6.3509392799553259</v>
      </c>
      <c r="U19" s="55">
        <v>9.5266360799050602</v>
      </c>
      <c r="V19" s="55">
        <v>9.5348138399258193</v>
      </c>
      <c r="W19" s="55">
        <v>12.71323655989927</v>
      </c>
      <c r="X19" s="55">
        <v>12.43769147990646</v>
      </c>
      <c r="Y19" s="55">
        <v>12.119440319933309</v>
      </c>
      <c r="DA19" s="101" t="s">
        <v>1048</v>
      </c>
    </row>
    <row r="20" spans="1:105" x14ac:dyDescent="0.25">
      <c r="A20" s="61" t="s">
        <v>166</v>
      </c>
      <c r="B20" s="55">
        <v>22.603497769808651</v>
      </c>
      <c r="C20" s="55">
        <v>18.499203661672318</v>
      </c>
      <c r="D20" s="55">
        <v>21.366058980910431</v>
      </c>
      <c r="E20" s="55">
        <v>21.107408351189669</v>
      </c>
      <c r="F20" s="55">
        <v>21.585280111067391</v>
      </c>
      <c r="G20" s="55">
        <v>26.00119615416202</v>
      </c>
      <c r="H20" s="55">
        <v>23.35312568723786</v>
      </c>
      <c r="I20" s="55">
        <v>24.272938049949971</v>
      </c>
      <c r="J20" s="55">
        <v>27.190551451609519</v>
      </c>
      <c r="K20" s="55">
        <v>25.558537436241991</v>
      </c>
      <c r="L20" s="55">
        <v>27.972867419453721</v>
      </c>
      <c r="M20" s="55">
        <v>27.44510488573686</v>
      </c>
      <c r="N20" s="55">
        <v>34.001459794066122</v>
      </c>
      <c r="O20" s="55">
        <v>30.340456352652051</v>
      </c>
      <c r="P20" s="55">
        <v>31.501519927538549</v>
      </c>
      <c r="Q20" s="55">
        <v>28.11704211024259</v>
      </c>
      <c r="R20" s="55">
        <v>29.932839392805359</v>
      </c>
      <c r="S20" s="55">
        <v>28.64576173403692</v>
      </c>
      <c r="T20" s="55">
        <v>29.840345917096592</v>
      </c>
      <c r="U20" s="55">
        <v>31.387594269119859</v>
      </c>
      <c r="V20" s="55">
        <v>34.576251793461118</v>
      </c>
      <c r="W20" s="55">
        <v>35.303393493683878</v>
      </c>
      <c r="X20" s="55">
        <v>44.197545389604599</v>
      </c>
      <c r="Y20" s="55">
        <v>32.899665944717853</v>
      </c>
      <c r="DA20" s="101" t="s">
        <v>1049</v>
      </c>
    </row>
    <row r="21" spans="1:105" x14ac:dyDescent="0.25">
      <c r="A21" s="61" t="s">
        <v>129</v>
      </c>
      <c r="B21" s="55">
        <v>24.512207040314429</v>
      </c>
      <c r="C21" s="55">
        <v>12.280426200082481</v>
      </c>
      <c r="D21" s="55">
        <v>12.28042619990191</v>
      </c>
      <c r="E21" s="55">
        <v>15.386506199866369</v>
      </c>
      <c r="F21" s="55">
        <v>24.693242039853239</v>
      </c>
      <c r="G21" s="55">
        <v>24.753420719819811</v>
      </c>
      <c r="H21" s="55">
        <v>21.6104489998833</v>
      </c>
      <c r="I21" s="55">
        <v>21.720641039863519</v>
      </c>
      <c r="J21" s="55">
        <v>18.617667119860808</v>
      </c>
      <c r="K21" s="55">
        <v>18.61766711975476</v>
      </c>
      <c r="L21" s="55">
        <v>21.69807119983799</v>
      </c>
      <c r="M21" s="55">
        <v>21.673233359823602</v>
      </c>
      <c r="N21" s="55">
        <v>15.489078119859951</v>
      </c>
      <c r="O21" s="55">
        <v>24.80130395972272</v>
      </c>
      <c r="P21" s="55">
        <v>40.294897919569777</v>
      </c>
      <c r="Q21" s="55">
        <v>40.359274559498793</v>
      </c>
      <c r="R21" s="55">
        <v>27.900528839787281</v>
      </c>
      <c r="S21" s="55">
        <v>28.251144719670719</v>
      </c>
      <c r="T21" s="55">
        <v>22.064975639844789</v>
      </c>
      <c r="U21" s="55">
        <v>31.08414023969021</v>
      </c>
      <c r="V21" s="55">
        <v>29.22456131977264</v>
      </c>
      <c r="W21" s="55">
        <v>28.597962239773409</v>
      </c>
      <c r="X21" s="55">
        <v>30.759909119768661</v>
      </c>
      <c r="Y21" s="55">
        <v>44.43258419975551</v>
      </c>
      <c r="DA21" s="101" t="s">
        <v>1050</v>
      </c>
    </row>
    <row r="22" spans="1:105" x14ac:dyDescent="0.25">
      <c r="A22" s="61" t="s">
        <v>169</v>
      </c>
      <c r="B22" s="55">
        <v>39.05356340100095</v>
      </c>
      <c r="C22" s="55">
        <v>45.989234166334192</v>
      </c>
      <c r="D22" s="55">
        <v>44.699877493616313</v>
      </c>
      <c r="E22" s="55">
        <v>40.649263612164248</v>
      </c>
      <c r="F22" s="55">
        <v>47.692144642644713</v>
      </c>
      <c r="G22" s="55">
        <v>45.24430500027681</v>
      </c>
      <c r="H22" s="55">
        <v>59.38563120061216</v>
      </c>
      <c r="I22" s="55">
        <v>61.824098193793738</v>
      </c>
      <c r="J22" s="55">
        <v>53.252650130837317</v>
      </c>
      <c r="K22" s="55">
        <v>41.628738127389163</v>
      </c>
      <c r="L22" s="55">
        <v>46.600472297685698</v>
      </c>
      <c r="M22" s="55">
        <v>44.057317448995803</v>
      </c>
      <c r="N22" s="55">
        <v>40.530321471768353</v>
      </c>
      <c r="O22" s="55">
        <v>36.207842824153538</v>
      </c>
      <c r="P22" s="55">
        <v>27.564168302201431</v>
      </c>
      <c r="Q22" s="55">
        <v>28.308301101622089</v>
      </c>
      <c r="R22" s="55">
        <v>29.94179283769429</v>
      </c>
      <c r="S22" s="55">
        <v>29.192722322376781</v>
      </c>
      <c r="T22" s="55">
        <v>28.654948357762191</v>
      </c>
      <c r="U22" s="55">
        <v>27.346039604253829</v>
      </c>
      <c r="V22" s="55">
        <v>26.394799992300872</v>
      </c>
      <c r="W22" s="55">
        <v>30.851267965721661</v>
      </c>
      <c r="X22" s="55">
        <v>26.16279205710272</v>
      </c>
      <c r="Y22" s="55">
        <v>24.820364944688659</v>
      </c>
      <c r="DA22" s="101" t="s">
        <v>1051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1" t="s">
        <v>1052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1053</v>
      </c>
    </row>
    <row r="25" spans="1:105" x14ac:dyDescent="0.25">
      <c r="A25" s="256" t="s">
        <v>167</v>
      </c>
      <c r="B25" s="257">
        <v>11.14578894016341</v>
      </c>
      <c r="C25" s="257">
        <v>10.57188683101829</v>
      </c>
      <c r="D25" s="257">
        <v>11.2975352763217</v>
      </c>
      <c r="E25" s="257">
        <v>11.668022498106181</v>
      </c>
      <c r="F25" s="257">
        <v>12.164281512538791</v>
      </c>
      <c r="G25" s="257">
        <v>12.713147384656979</v>
      </c>
      <c r="H25" s="257">
        <v>13.28561774999943</v>
      </c>
      <c r="I25" s="257">
        <v>14.116189952342131</v>
      </c>
      <c r="J25" s="257">
        <v>13.97399507702001</v>
      </c>
      <c r="K25" s="257">
        <v>12.74786178197381</v>
      </c>
      <c r="L25" s="257">
        <v>14.002925929896771</v>
      </c>
      <c r="M25" s="257">
        <v>13.92279190676399</v>
      </c>
      <c r="N25" s="257">
        <v>14.382690980541421</v>
      </c>
      <c r="O25" s="257">
        <v>13.99809768702179</v>
      </c>
      <c r="P25" s="257">
        <v>14.669542331643729</v>
      </c>
      <c r="Q25" s="257">
        <v>13.66762925034323</v>
      </c>
      <c r="R25" s="257">
        <v>13.89270063455711</v>
      </c>
      <c r="S25" s="257">
        <v>14.340061003359621</v>
      </c>
      <c r="T25" s="257">
        <v>14.07339907759175</v>
      </c>
      <c r="U25" s="257">
        <v>14.920086598840831</v>
      </c>
      <c r="V25" s="257">
        <v>15.583158771759299</v>
      </c>
      <c r="W25" s="257">
        <v>16.46716950304458</v>
      </c>
      <c r="X25" s="257">
        <v>17.97722675192399</v>
      </c>
      <c r="Y25" s="257">
        <v>16.108222001612258</v>
      </c>
      <c r="DA25" s="272" t="s">
        <v>1054</v>
      </c>
    </row>
    <row r="26" spans="1:105" x14ac:dyDescent="0.25">
      <c r="A26" s="256" t="s">
        <v>170</v>
      </c>
      <c r="B26" s="257">
        <v>0</v>
      </c>
      <c r="C26" s="257">
        <v>0</v>
      </c>
      <c r="D26" s="257">
        <v>0</v>
      </c>
      <c r="E26" s="257">
        <v>0</v>
      </c>
      <c r="F26" s="257">
        <v>0</v>
      </c>
      <c r="G26" s="257">
        <v>0</v>
      </c>
      <c r="H26" s="257">
        <v>0</v>
      </c>
      <c r="I26" s="257">
        <v>0</v>
      </c>
      <c r="J26" s="257">
        <v>0</v>
      </c>
      <c r="K26" s="257">
        <v>0</v>
      </c>
      <c r="L26" s="257">
        <v>0</v>
      </c>
      <c r="M26" s="257">
        <v>0</v>
      </c>
      <c r="N26" s="257">
        <v>0</v>
      </c>
      <c r="O26" s="257">
        <v>0</v>
      </c>
      <c r="P26" s="257">
        <v>0</v>
      </c>
      <c r="Q26" s="257">
        <v>0</v>
      </c>
      <c r="R26" s="257">
        <v>0</v>
      </c>
      <c r="S26" s="257">
        <v>0</v>
      </c>
      <c r="T26" s="257">
        <v>0</v>
      </c>
      <c r="U26" s="257">
        <v>0</v>
      </c>
      <c r="V26" s="257">
        <v>0</v>
      </c>
      <c r="W26" s="257">
        <v>0</v>
      </c>
      <c r="X26" s="257">
        <v>0</v>
      </c>
      <c r="Y26" s="257">
        <v>0</v>
      </c>
      <c r="DA26" s="272" t="s">
        <v>1055</v>
      </c>
    </row>
    <row r="27" spans="1:105" x14ac:dyDescent="0.25">
      <c r="A27" s="128" t="s">
        <v>33</v>
      </c>
      <c r="B27" s="258">
        <v>0</v>
      </c>
      <c r="C27" s="258">
        <v>0</v>
      </c>
      <c r="D27" s="258">
        <v>0</v>
      </c>
      <c r="E27" s="258">
        <v>0</v>
      </c>
      <c r="F27" s="258">
        <v>0</v>
      </c>
      <c r="G27" s="258">
        <v>0</v>
      </c>
      <c r="H27" s="258">
        <v>0</v>
      </c>
      <c r="I27" s="258">
        <v>0</v>
      </c>
      <c r="J27" s="258">
        <v>0</v>
      </c>
      <c r="K27" s="258">
        <v>0</v>
      </c>
      <c r="L27" s="258">
        <v>0</v>
      </c>
      <c r="M27" s="258">
        <v>0</v>
      </c>
      <c r="N27" s="258">
        <v>0</v>
      </c>
      <c r="O27" s="258">
        <v>0</v>
      </c>
      <c r="P27" s="258">
        <v>0</v>
      </c>
      <c r="Q27" s="258">
        <v>0</v>
      </c>
      <c r="R27" s="258">
        <v>0</v>
      </c>
      <c r="S27" s="258">
        <v>0</v>
      </c>
      <c r="T27" s="258">
        <v>0</v>
      </c>
      <c r="U27" s="258">
        <v>0</v>
      </c>
      <c r="V27" s="258">
        <v>0</v>
      </c>
      <c r="W27" s="258">
        <v>0</v>
      </c>
      <c r="X27" s="258">
        <v>0</v>
      </c>
      <c r="Y27" s="258">
        <v>0</v>
      </c>
      <c r="DA27" s="273" t="s">
        <v>1056</v>
      </c>
    </row>
    <row r="29" spans="1:105" ht="12.75" x14ac:dyDescent="0.25">
      <c r="A29" s="232" t="s">
        <v>135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6">SUM(B32:B40)</f>
        <v>1</v>
      </c>
      <c r="C31" s="235">
        <f t="shared" si="6"/>
        <v>1</v>
      </c>
      <c r="D31" s="235">
        <f t="shared" si="6"/>
        <v>1.0000000000000002</v>
      </c>
      <c r="E31" s="235">
        <f t="shared" si="6"/>
        <v>1</v>
      </c>
      <c r="F31" s="235">
        <f t="shared" si="6"/>
        <v>1</v>
      </c>
      <c r="G31" s="235">
        <f t="shared" si="6"/>
        <v>1</v>
      </c>
      <c r="H31" s="235">
        <f t="shared" si="6"/>
        <v>0.99999999999999989</v>
      </c>
      <c r="I31" s="235">
        <f t="shared" si="6"/>
        <v>1</v>
      </c>
      <c r="J31" s="235">
        <f t="shared" si="6"/>
        <v>1</v>
      </c>
      <c r="K31" s="235">
        <f t="shared" si="6"/>
        <v>0.99999999999999989</v>
      </c>
      <c r="L31" s="235">
        <f t="shared" si="6"/>
        <v>0.99999999999999989</v>
      </c>
      <c r="M31" s="235">
        <f t="shared" si="6"/>
        <v>1</v>
      </c>
      <c r="N31" s="235">
        <f t="shared" si="6"/>
        <v>1</v>
      </c>
      <c r="O31" s="235">
        <f t="shared" si="6"/>
        <v>1.0000000000000002</v>
      </c>
      <c r="P31" s="235">
        <f t="shared" si="6"/>
        <v>1</v>
      </c>
      <c r="Q31" s="235">
        <f t="shared" si="6"/>
        <v>0.99999999999999989</v>
      </c>
      <c r="R31" s="235">
        <f t="shared" ref="R31:W31" si="7">SUM(R32:R40)</f>
        <v>1</v>
      </c>
      <c r="S31" s="235">
        <f t="shared" si="7"/>
        <v>1</v>
      </c>
      <c r="T31" s="235">
        <f t="shared" si="7"/>
        <v>0.99999999999999989</v>
      </c>
      <c r="U31" s="235">
        <f t="shared" si="7"/>
        <v>0.99999999999999989</v>
      </c>
      <c r="V31" s="235">
        <f t="shared" si="7"/>
        <v>1</v>
      </c>
      <c r="W31" s="235">
        <f t="shared" si="7"/>
        <v>1</v>
      </c>
      <c r="X31" s="235">
        <f t="shared" ref="X31:Y31" si="8">SUM(X32:X40)</f>
        <v>1</v>
      </c>
      <c r="Y31" s="235">
        <f t="shared" si="8"/>
        <v>0.99999999999999989</v>
      </c>
      <c r="DA31" s="274"/>
    </row>
    <row r="32" spans="1:105" x14ac:dyDescent="0.25">
      <c r="A32" s="238" t="s">
        <v>125</v>
      </c>
      <c r="B32" s="244">
        <f t="shared" ref="B32:Y32" si="9">IF(B$6=0,0,B$6/B$5)</f>
        <v>0</v>
      </c>
      <c r="C32" s="244">
        <f t="shared" si="9"/>
        <v>0</v>
      </c>
      <c r="D32" s="244">
        <f t="shared" si="9"/>
        <v>0</v>
      </c>
      <c r="E32" s="244">
        <f t="shared" si="9"/>
        <v>0</v>
      </c>
      <c r="F32" s="244">
        <f t="shared" si="9"/>
        <v>0</v>
      </c>
      <c r="G32" s="244">
        <f t="shared" si="9"/>
        <v>0</v>
      </c>
      <c r="H32" s="244">
        <f t="shared" si="9"/>
        <v>0</v>
      </c>
      <c r="I32" s="244">
        <f t="shared" si="9"/>
        <v>0</v>
      </c>
      <c r="J32" s="244">
        <f t="shared" si="9"/>
        <v>0</v>
      </c>
      <c r="K32" s="244">
        <f t="shared" si="9"/>
        <v>0</v>
      </c>
      <c r="L32" s="244">
        <f t="shared" si="9"/>
        <v>0</v>
      </c>
      <c r="M32" s="244">
        <f t="shared" si="9"/>
        <v>0</v>
      </c>
      <c r="N32" s="244">
        <f t="shared" si="9"/>
        <v>0</v>
      </c>
      <c r="O32" s="244">
        <f t="shared" si="9"/>
        <v>0</v>
      </c>
      <c r="P32" s="244">
        <f t="shared" si="9"/>
        <v>0</v>
      </c>
      <c r="Q32" s="244">
        <f t="shared" si="9"/>
        <v>0</v>
      </c>
      <c r="R32" s="244">
        <f t="shared" si="9"/>
        <v>0</v>
      </c>
      <c r="S32" s="244">
        <f t="shared" si="9"/>
        <v>0</v>
      </c>
      <c r="T32" s="244">
        <f t="shared" si="9"/>
        <v>0</v>
      </c>
      <c r="U32" s="244">
        <f t="shared" si="9"/>
        <v>0</v>
      </c>
      <c r="V32" s="244">
        <f t="shared" si="9"/>
        <v>0</v>
      </c>
      <c r="W32" s="244">
        <f t="shared" si="9"/>
        <v>0</v>
      </c>
      <c r="X32" s="244">
        <f t="shared" si="9"/>
        <v>0</v>
      </c>
      <c r="Y32" s="244">
        <f t="shared" si="9"/>
        <v>0</v>
      </c>
      <c r="DA32" s="275"/>
    </row>
    <row r="33" spans="1:105" x14ac:dyDescent="0.25">
      <c r="A33" s="240" t="s">
        <v>124</v>
      </c>
      <c r="B33" s="245">
        <f t="shared" ref="B33:Y33" si="10">IF(B$7=0,0,B$7/B$5)</f>
        <v>0</v>
      </c>
      <c r="C33" s="245">
        <f t="shared" si="10"/>
        <v>0</v>
      </c>
      <c r="D33" s="245">
        <f t="shared" si="10"/>
        <v>0</v>
      </c>
      <c r="E33" s="245">
        <f t="shared" si="10"/>
        <v>0</v>
      </c>
      <c r="F33" s="245">
        <f t="shared" si="10"/>
        <v>0</v>
      </c>
      <c r="G33" s="245">
        <f t="shared" si="10"/>
        <v>0</v>
      </c>
      <c r="H33" s="245">
        <f t="shared" si="10"/>
        <v>0</v>
      </c>
      <c r="I33" s="245">
        <f t="shared" si="10"/>
        <v>0</v>
      </c>
      <c r="J33" s="245">
        <f t="shared" si="10"/>
        <v>0</v>
      </c>
      <c r="K33" s="245">
        <f t="shared" si="10"/>
        <v>0</v>
      </c>
      <c r="L33" s="245">
        <f t="shared" si="10"/>
        <v>0</v>
      </c>
      <c r="M33" s="245">
        <f t="shared" si="10"/>
        <v>0</v>
      </c>
      <c r="N33" s="245">
        <f t="shared" si="10"/>
        <v>0</v>
      </c>
      <c r="O33" s="245">
        <f t="shared" si="10"/>
        <v>0</v>
      </c>
      <c r="P33" s="245">
        <f t="shared" si="10"/>
        <v>0</v>
      </c>
      <c r="Q33" s="245">
        <f t="shared" si="10"/>
        <v>0</v>
      </c>
      <c r="R33" s="245">
        <f t="shared" si="10"/>
        <v>0</v>
      </c>
      <c r="S33" s="245">
        <f t="shared" si="10"/>
        <v>0</v>
      </c>
      <c r="T33" s="245">
        <f t="shared" si="10"/>
        <v>0</v>
      </c>
      <c r="U33" s="245">
        <f t="shared" si="10"/>
        <v>0</v>
      </c>
      <c r="V33" s="245">
        <f t="shared" si="10"/>
        <v>0</v>
      </c>
      <c r="W33" s="245">
        <f t="shared" si="10"/>
        <v>0</v>
      </c>
      <c r="X33" s="245">
        <f t="shared" si="10"/>
        <v>0</v>
      </c>
      <c r="Y33" s="245">
        <f t="shared" si="10"/>
        <v>0</v>
      </c>
      <c r="DA33" s="276"/>
    </row>
    <row r="34" spans="1:105" x14ac:dyDescent="0.25">
      <c r="A34" s="240" t="s">
        <v>123</v>
      </c>
      <c r="B34" s="245">
        <f t="shared" ref="B34:Y34" si="11">IF(B$8=0,0,B$8/B$5)</f>
        <v>0</v>
      </c>
      <c r="C34" s="245">
        <f t="shared" si="11"/>
        <v>0</v>
      </c>
      <c r="D34" s="245">
        <f t="shared" si="11"/>
        <v>0</v>
      </c>
      <c r="E34" s="245">
        <f t="shared" si="11"/>
        <v>0</v>
      </c>
      <c r="F34" s="245">
        <f t="shared" si="11"/>
        <v>0</v>
      </c>
      <c r="G34" s="245">
        <f t="shared" si="11"/>
        <v>0</v>
      </c>
      <c r="H34" s="245">
        <f t="shared" si="11"/>
        <v>0</v>
      </c>
      <c r="I34" s="245">
        <f t="shared" si="11"/>
        <v>0</v>
      </c>
      <c r="J34" s="245">
        <f t="shared" si="11"/>
        <v>0</v>
      </c>
      <c r="K34" s="245">
        <f t="shared" si="11"/>
        <v>0</v>
      </c>
      <c r="L34" s="245">
        <f t="shared" si="11"/>
        <v>0</v>
      </c>
      <c r="M34" s="245">
        <f t="shared" si="11"/>
        <v>0</v>
      </c>
      <c r="N34" s="245">
        <f t="shared" si="11"/>
        <v>0</v>
      </c>
      <c r="O34" s="245">
        <f t="shared" si="11"/>
        <v>0</v>
      </c>
      <c r="P34" s="245">
        <f t="shared" si="11"/>
        <v>0</v>
      </c>
      <c r="Q34" s="245">
        <f t="shared" si="11"/>
        <v>0</v>
      </c>
      <c r="R34" s="245">
        <f t="shared" si="11"/>
        <v>0</v>
      </c>
      <c r="S34" s="245">
        <f t="shared" si="11"/>
        <v>0</v>
      </c>
      <c r="T34" s="245">
        <f t="shared" si="11"/>
        <v>0</v>
      </c>
      <c r="U34" s="245">
        <f t="shared" si="11"/>
        <v>0</v>
      </c>
      <c r="V34" s="245">
        <f t="shared" si="11"/>
        <v>0</v>
      </c>
      <c r="W34" s="245">
        <f t="shared" si="11"/>
        <v>0</v>
      </c>
      <c r="X34" s="245">
        <f t="shared" si="11"/>
        <v>0</v>
      </c>
      <c r="Y34" s="245">
        <f t="shared" si="11"/>
        <v>0</v>
      </c>
      <c r="DA34" s="276"/>
    </row>
    <row r="35" spans="1:105" x14ac:dyDescent="0.25">
      <c r="A35" s="242" t="s">
        <v>122</v>
      </c>
      <c r="B35" s="246">
        <f t="shared" ref="B35:Y35" si="12">IF(B$9=0,0,B$9/B$5)</f>
        <v>0.14367653073185133</v>
      </c>
      <c r="C35" s="246">
        <f t="shared" si="12"/>
        <v>0.15906086500376163</v>
      </c>
      <c r="D35" s="246">
        <f t="shared" si="12"/>
        <v>0.1700963440131954</v>
      </c>
      <c r="E35" s="246">
        <f t="shared" si="12"/>
        <v>0.17443760092102187</v>
      </c>
      <c r="F35" s="246">
        <f t="shared" si="12"/>
        <v>0.16474303989176725</v>
      </c>
      <c r="G35" s="246">
        <f t="shared" si="12"/>
        <v>0.15736748806819376</v>
      </c>
      <c r="H35" s="246">
        <f t="shared" si="12"/>
        <v>0.17367115543401127</v>
      </c>
      <c r="I35" s="246">
        <f t="shared" si="12"/>
        <v>0.18145579361509501</v>
      </c>
      <c r="J35" s="246">
        <f t="shared" si="12"/>
        <v>0.17489006346047214</v>
      </c>
      <c r="K35" s="246">
        <f t="shared" si="12"/>
        <v>0.17204645248410483</v>
      </c>
      <c r="L35" s="246">
        <f t="shared" si="12"/>
        <v>0.18365409621377815</v>
      </c>
      <c r="M35" s="246">
        <f t="shared" si="12"/>
        <v>0.19237016270519336</v>
      </c>
      <c r="N35" s="246">
        <f t="shared" si="12"/>
        <v>0.19374053091954541</v>
      </c>
      <c r="O35" s="246">
        <f t="shared" si="12"/>
        <v>0.1890223712423397</v>
      </c>
      <c r="P35" s="246">
        <f t="shared" si="12"/>
        <v>0.18198826229005302</v>
      </c>
      <c r="Q35" s="246">
        <f t="shared" si="12"/>
        <v>0.17552884248827205</v>
      </c>
      <c r="R35" s="246">
        <f t="shared" si="12"/>
        <v>0.1765691270081243</v>
      </c>
      <c r="S35" s="246">
        <f t="shared" si="12"/>
        <v>0.18227058615180408</v>
      </c>
      <c r="T35" s="246">
        <f t="shared" si="12"/>
        <v>0.18378110363828987</v>
      </c>
      <c r="U35" s="246">
        <f t="shared" si="12"/>
        <v>0.18504626240693933</v>
      </c>
      <c r="V35" s="246">
        <f t="shared" si="12"/>
        <v>0.19515489788315304</v>
      </c>
      <c r="W35" s="246">
        <f t="shared" si="12"/>
        <v>0.19782599671292339</v>
      </c>
      <c r="X35" s="246">
        <f t="shared" si="12"/>
        <v>0.19842248184619266</v>
      </c>
      <c r="Y35" s="246">
        <f t="shared" si="12"/>
        <v>0.19370903227638644</v>
      </c>
      <c r="DA35" s="277"/>
    </row>
    <row r="36" spans="1:105" x14ac:dyDescent="0.25">
      <c r="A36" s="127" t="s">
        <v>168</v>
      </c>
      <c r="B36" s="259">
        <f t="shared" ref="B36:Y36" si="13">IF(B$16=0,0,B$16/B$5)</f>
        <v>0.31536583939722906</v>
      </c>
      <c r="C36" s="259">
        <f t="shared" si="13"/>
        <v>0.32009495991102638</v>
      </c>
      <c r="D36" s="259">
        <f t="shared" si="13"/>
        <v>0.32395133425982153</v>
      </c>
      <c r="E36" s="259">
        <f t="shared" si="13"/>
        <v>0.32574171128269591</v>
      </c>
      <c r="F36" s="259">
        <f t="shared" si="13"/>
        <v>0.30292001958067166</v>
      </c>
      <c r="G36" s="259">
        <f t="shared" si="13"/>
        <v>0.30603565741308481</v>
      </c>
      <c r="H36" s="259">
        <f t="shared" si="13"/>
        <v>0.29439371936963055</v>
      </c>
      <c r="I36" s="259">
        <f t="shared" si="13"/>
        <v>0.29783975373655991</v>
      </c>
      <c r="J36" s="259">
        <f t="shared" si="13"/>
        <v>0.31210553363812693</v>
      </c>
      <c r="K36" s="259">
        <f t="shared" si="13"/>
        <v>0.32309504062305811</v>
      </c>
      <c r="L36" s="259">
        <f t="shared" si="13"/>
        <v>0.31368830928442665</v>
      </c>
      <c r="M36" s="259">
        <f t="shared" si="13"/>
        <v>0.31417702115287349</v>
      </c>
      <c r="N36" s="259">
        <f t="shared" si="13"/>
        <v>0.32452969643805651</v>
      </c>
      <c r="O36" s="259">
        <f t="shared" si="13"/>
        <v>0.31312892323326774</v>
      </c>
      <c r="P36" s="259">
        <f t="shared" si="13"/>
        <v>0.30496780478113772</v>
      </c>
      <c r="Q36" s="259">
        <f t="shared" si="13"/>
        <v>0.30381340036760263</v>
      </c>
      <c r="R36" s="259">
        <f t="shared" si="13"/>
        <v>0.31220707722403951</v>
      </c>
      <c r="S36" s="259">
        <f t="shared" si="13"/>
        <v>0.31343487452196062</v>
      </c>
      <c r="T36" s="259">
        <f t="shared" si="13"/>
        <v>0.32208567812052247</v>
      </c>
      <c r="U36" s="259">
        <f t="shared" si="13"/>
        <v>0.31515534642201254</v>
      </c>
      <c r="V36" s="259">
        <f t="shared" si="13"/>
        <v>0.32368908188525952</v>
      </c>
      <c r="W36" s="259">
        <f t="shared" si="13"/>
        <v>0.32089545859870128</v>
      </c>
      <c r="X36" s="259">
        <f t="shared" si="13"/>
        <v>0.32104698364854634</v>
      </c>
      <c r="Y36" s="259">
        <f t="shared" si="13"/>
        <v>0.31222934449628753</v>
      </c>
      <c r="DA36" s="278"/>
    </row>
    <row r="37" spans="1:105" x14ac:dyDescent="0.25">
      <c r="A37" s="127" t="s">
        <v>121</v>
      </c>
      <c r="B37" s="259">
        <f t="shared" ref="B37:Y37" si="14">IF(B$17=0,0,B$17/B$5)</f>
        <v>0.48035745565849647</v>
      </c>
      <c r="C37" s="259">
        <f t="shared" si="14"/>
        <v>0.45933526095487176</v>
      </c>
      <c r="D37" s="259">
        <f t="shared" si="14"/>
        <v>0.44370237312755795</v>
      </c>
      <c r="E37" s="259">
        <f t="shared" si="14"/>
        <v>0.43722670333140151</v>
      </c>
      <c r="F37" s="259">
        <f t="shared" si="14"/>
        <v>0.47412833431293189</v>
      </c>
      <c r="G37" s="259">
        <f t="shared" si="14"/>
        <v>0.47778955252972444</v>
      </c>
      <c r="H37" s="259">
        <f t="shared" si="14"/>
        <v>0.47536491862312336</v>
      </c>
      <c r="I37" s="259">
        <f t="shared" si="14"/>
        <v>0.46347206185320144</v>
      </c>
      <c r="J37" s="259">
        <f t="shared" si="14"/>
        <v>0.45303072361108154</v>
      </c>
      <c r="K37" s="259">
        <f t="shared" si="14"/>
        <v>0.44277310225183164</v>
      </c>
      <c r="L37" s="259">
        <f t="shared" si="14"/>
        <v>0.44237977168062192</v>
      </c>
      <c r="M37" s="259">
        <f t="shared" si="14"/>
        <v>0.43308108326244749</v>
      </c>
      <c r="N37" s="259">
        <f t="shared" si="14"/>
        <v>0.41936868693051349</v>
      </c>
      <c r="O37" s="259">
        <f t="shared" si="14"/>
        <v>0.43767837339471932</v>
      </c>
      <c r="P37" s="259">
        <f t="shared" si="14"/>
        <v>0.4544418277222313</v>
      </c>
      <c r="Q37" s="259">
        <f t="shared" si="14"/>
        <v>0.46227748036609723</v>
      </c>
      <c r="R37" s="259">
        <f t="shared" si="14"/>
        <v>0.45123060403124737</v>
      </c>
      <c r="S37" s="259">
        <f t="shared" si="14"/>
        <v>0.44406541610672573</v>
      </c>
      <c r="T37" s="259">
        <f t="shared" si="14"/>
        <v>0.43224177101679434</v>
      </c>
      <c r="U37" s="259">
        <f t="shared" si="14"/>
        <v>0.4392386649380034</v>
      </c>
      <c r="V37" s="259">
        <f t="shared" si="14"/>
        <v>0.41895646561147348</v>
      </c>
      <c r="W37" s="259">
        <f t="shared" si="14"/>
        <v>0.41961580806406235</v>
      </c>
      <c r="X37" s="259">
        <f t="shared" si="14"/>
        <v>0.41883868107985223</v>
      </c>
      <c r="Y37" s="259">
        <f t="shared" si="14"/>
        <v>0.43406415264880538</v>
      </c>
      <c r="DA37" s="278"/>
    </row>
    <row r="38" spans="1:105" x14ac:dyDescent="0.25">
      <c r="A38" s="127" t="s">
        <v>167</v>
      </c>
      <c r="B38" s="259">
        <f t="shared" ref="B38:Y38" si="15">IF(B$25=0,0,B$25/B$5)</f>
        <v>6.0600174212423141E-2</v>
      </c>
      <c r="C38" s="259">
        <f t="shared" si="15"/>
        <v>6.1508914130340174E-2</v>
      </c>
      <c r="D38" s="259">
        <f t="shared" si="15"/>
        <v>6.224994859942528E-2</v>
      </c>
      <c r="E38" s="259">
        <f t="shared" si="15"/>
        <v>6.2593984464880681E-2</v>
      </c>
      <c r="F38" s="259">
        <f t="shared" si="15"/>
        <v>5.8208606214629262E-2</v>
      </c>
      <c r="G38" s="259">
        <f t="shared" si="15"/>
        <v>5.8807301988997036E-2</v>
      </c>
      <c r="H38" s="259">
        <f t="shared" si="15"/>
        <v>5.6570206573234763E-2</v>
      </c>
      <c r="I38" s="259">
        <f t="shared" si="15"/>
        <v>5.7232390795143695E-2</v>
      </c>
      <c r="J38" s="259">
        <f t="shared" si="15"/>
        <v>5.9973679290319389E-2</v>
      </c>
      <c r="K38" s="259">
        <f t="shared" si="15"/>
        <v>6.2085404641005336E-2</v>
      </c>
      <c r="L38" s="259">
        <f t="shared" si="15"/>
        <v>6.0277822821173187E-2</v>
      </c>
      <c r="M38" s="259">
        <f t="shared" si="15"/>
        <v>6.0371732879485676E-2</v>
      </c>
      <c r="N38" s="259">
        <f t="shared" si="15"/>
        <v>6.2361085711884576E-2</v>
      </c>
      <c r="O38" s="259">
        <f t="shared" si="15"/>
        <v>6.0170332129673355E-2</v>
      </c>
      <c r="P38" s="259">
        <f t="shared" si="15"/>
        <v>5.8602105206578013E-2</v>
      </c>
      <c r="Q38" s="259">
        <f t="shared" si="15"/>
        <v>5.8380276778028088E-2</v>
      </c>
      <c r="R38" s="259">
        <f t="shared" si="15"/>
        <v>5.9993191736588826E-2</v>
      </c>
      <c r="S38" s="259">
        <f t="shared" si="15"/>
        <v>6.0229123219509656E-2</v>
      </c>
      <c r="T38" s="259">
        <f t="shared" si="15"/>
        <v>6.1891447224393319E-2</v>
      </c>
      <c r="U38" s="259">
        <f t="shared" si="15"/>
        <v>6.0559726233044703E-2</v>
      </c>
      <c r="V38" s="259">
        <f t="shared" si="15"/>
        <v>6.2199554620113957E-2</v>
      </c>
      <c r="W38" s="259">
        <f t="shared" si="15"/>
        <v>6.1662736624312993E-2</v>
      </c>
      <c r="X38" s="259">
        <f t="shared" si="15"/>
        <v>6.1691853425408824E-2</v>
      </c>
      <c r="Y38" s="259">
        <f t="shared" si="15"/>
        <v>5.9997470578520611E-2</v>
      </c>
      <c r="DA38" s="278"/>
    </row>
    <row r="39" spans="1:105" x14ac:dyDescent="0.25">
      <c r="A39" s="127" t="s">
        <v>170</v>
      </c>
      <c r="B39" s="259">
        <f t="shared" ref="B39:Y39" si="16">IF(B$26=0,0,B$26/B$5)</f>
        <v>0</v>
      </c>
      <c r="C39" s="259">
        <f t="shared" si="16"/>
        <v>0</v>
      </c>
      <c r="D39" s="259">
        <f t="shared" si="16"/>
        <v>0</v>
      </c>
      <c r="E39" s="259">
        <f t="shared" si="16"/>
        <v>0</v>
      </c>
      <c r="F39" s="259">
        <f t="shared" si="16"/>
        <v>0</v>
      </c>
      <c r="G39" s="259">
        <f t="shared" si="16"/>
        <v>0</v>
      </c>
      <c r="H39" s="259">
        <f t="shared" si="16"/>
        <v>0</v>
      </c>
      <c r="I39" s="259">
        <f t="shared" si="16"/>
        <v>0</v>
      </c>
      <c r="J39" s="259">
        <f t="shared" si="16"/>
        <v>0</v>
      </c>
      <c r="K39" s="259">
        <f t="shared" si="16"/>
        <v>0</v>
      </c>
      <c r="L39" s="259">
        <f t="shared" si="16"/>
        <v>0</v>
      </c>
      <c r="M39" s="259">
        <f t="shared" si="16"/>
        <v>0</v>
      </c>
      <c r="N39" s="259">
        <f t="shared" si="16"/>
        <v>0</v>
      </c>
      <c r="O39" s="259">
        <f t="shared" si="16"/>
        <v>0</v>
      </c>
      <c r="P39" s="259">
        <f t="shared" si="16"/>
        <v>0</v>
      </c>
      <c r="Q39" s="259">
        <f t="shared" si="16"/>
        <v>0</v>
      </c>
      <c r="R39" s="259">
        <f t="shared" si="16"/>
        <v>0</v>
      </c>
      <c r="S39" s="259">
        <f t="shared" si="16"/>
        <v>0</v>
      </c>
      <c r="T39" s="259">
        <f t="shared" si="16"/>
        <v>0</v>
      </c>
      <c r="U39" s="259">
        <f t="shared" si="16"/>
        <v>0</v>
      </c>
      <c r="V39" s="259">
        <f t="shared" si="16"/>
        <v>0</v>
      </c>
      <c r="W39" s="259">
        <f t="shared" si="16"/>
        <v>0</v>
      </c>
      <c r="X39" s="259">
        <f t="shared" si="16"/>
        <v>0</v>
      </c>
      <c r="Y39" s="259">
        <f t="shared" si="16"/>
        <v>0</v>
      </c>
      <c r="DA39" s="278"/>
    </row>
    <row r="40" spans="1:105" x14ac:dyDescent="0.25">
      <c r="A40" s="260" t="s">
        <v>33</v>
      </c>
      <c r="B40" s="261">
        <f t="shared" ref="B40:Y40" si="17">IF(B$27=0,0,B$27/B$5)</f>
        <v>0</v>
      </c>
      <c r="C40" s="261">
        <f t="shared" si="17"/>
        <v>0</v>
      </c>
      <c r="D40" s="261">
        <f t="shared" si="17"/>
        <v>0</v>
      </c>
      <c r="E40" s="261">
        <f t="shared" si="17"/>
        <v>0</v>
      </c>
      <c r="F40" s="261">
        <f t="shared" si="17"/>
        <v>0</v>
      </c>
      <c r="G40" s="261">
        <f t="shared" si="17"/>
        <v>0</v>
      </c>
      <c r="H40" s="261">
        <f t="shared" si="17"/>
        <v>0</v>
      </c>
      <c r="I40" s="261">
        <f t="shared" si="17"/>
        <v>0</v>
      </c>
      <c r="J40" s="261">
        <f t="shared" si="17"/>
        <v>0</v>
      </c>
      <c r="K40" s="261">
        <f t="shared" si="17"/>
        <v>0</v>
      </c>
      <c r="L40" s="261">
        <f t="shared" si="17"/>
        <v>0</v>
      </c>
      <c r="M40" s="261">
        <f t="shared" si="17"/>
        <v>0</v>
      </c>
      <c r="N40" s="261">
        <f t="shared" si="17"/>
        <v>0</v>
      </c>
      <c r="O40" s="261">
        <f t="shared" si="17"/>
        <v>0</v>
      </c>
      <c r="P40" s="261">
        <f t="shared" si="17"/>
        <v>0</v>
      </c>
      <c r="Q40" s="261">
        <f t="shared" si="17"/>
        <v>0</v>
      </c>
      <c r="R40" s="261">
        <f t="shared" si="17"/>
        <v>0</v>
      </c>
      <c r="S40" s="261">
        <f t="shared" si="17"/>
        <v>0</v>
      </c>
      <c r="T40" s="261">
        <f t="shared" si="17"/>
        <v>0</v>
      </c>
      <c r="U40" s="261">
        <f t="shared" si="17"/>
        <v>0</v>
      </c>
      <c r="V40" s="261">
        <f t="shared" si="17"/>
        <v>0</v>
      </c>
      <c r="W40" s="261">
        <f t="shared" si="17"/>
        <v>0</v>
      </c>
      <c r="X40" s="261">
        <f t="shared" si="17"/>
        <v>0</v>
      </c>
      <c r="Y40" s="261">
        <f t="shared" si="17"/>
        <v>0</v>
      </c>
      <c r="DA40" s="279"/>
    </row>
    <row r="42" spans="1:105" ht="12.75" x14ac:dyDescent="0.25">
      <c r="A42" s="232" t="s">
        <v>134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1.8476810343726691</v>
      </c>
      <c r="C44" s="237">
        <f>IF(C$5=0,0,C$5/AGR_fec!C$5)</f>
        <v>1.7378976464904363</v>
      </c>
      <c r="D44" s="237">
        <f>IF(D$5=0,0,D$5/AGR_fec!D$5)</f>
        <v>1.8029697930480382</v>
      </c>
      <c r="E44" s="237">
        <f>IF(E$5=0,0,E$5/AGR_fec!E$5)</f>
        <v>1.8125149802657363</v>
      </c>
      <c r="F44" s="237">
        <f>IF(F$5=0,0,F$5/AGR_fec!F$5)</f>
        <v>1.9257824879583409</v>
      </c>
      <c r="G44" s="237">
        <f>IF(G$5=0,0,G$5/AGR_fec!G$5)</f>
        <v>1.9690028976025784</v>
      </c>
      <c r="H44" s="237">
        <f>IF(H$5=0,0,H$5/AGR_fec!H$5)</f>
        <v>1.9905962927547756</v>
      </c>
      <c r="I44" s="237">
        <f>IF(I$5=0,0,I$5/AGR_fec!I$5)</f>
        <v>1.9722700420857948</v>
      </c>
      <c r="J44" s="237">
        <f>IF(J$5=0,0,J$5/AGR_fec!J$5)</f>
        <v>1.9398093869084274</v>
      </c>
      <c r="K44" s="237">
        <f>IF(K$5=0,0,K$5/AGR_fec!K$5)</f>
        <v>1.8832483960216506</v>
      </c>
      <c r="L44" s="237">
        <f>IF(L$5=0,0,L$5/AGR_fec!L$5)</f>
        <v>1.9912982724395194</v>
      </c>
      <c r="M44" s="237">
        <f>IF(M$5=0,0,M$5/AGR_fec!M$5)</f>
        <v>2.0038463252910157</v>
      </c>
      <c r="N44" s="237">
        <f>IF(N$5=0,0,N$5/AGR_fec!N$5)</f>
        <v>2.0244590737495907</v>
      </c>
      <c r="O44" s="237">
        <f>IF(O$5=0,0,O$5/AGR_fec!O$5)</f>
        <v>2.0644409182775778</v>
      </c>
      <c r="P44" s="237">
        <f>IF(P$5=0,0,P$5/AGR_fec!P$5)</f>
        <v>2.128189509412441</v>
      </c>
      <c r="Q44" s="237">
        <f>IF(Q$5=0,0,Q$5/AGR_fec!Q$5)</f>
        <v>2.080749274091295</v>
      </c>
      <c r="R44" s="237">
        <f>IF(R$5=0,0,R$5/AGR_fec!R$5)</f>
        <v>2.0318604016579496</v>
      </c>
      <c r="S44" s="237">
        <f>IF(S$5=0,0,S$5/AGR_fec!S$5)</f>
        <v>2.0026265927508429</v>
      </c>
      <c r="T44" s="237">
        <f>IF(T$5=0,0,T$5/AGR_fec!T$5)</f>
        <v>1.9654739070736529</v>
      </c>
      <c r="U44" s="237">
        <f>IF(U$5=0,0,U$5/AGR_fec!U$5)</f>
        <v>2.0251322031186243</v>
      </c>
      <c r="V44" s="237">
        <f>IF(V$5=0,0,V$5/AGR_fec!V$5)</f>
        <v>2.0236729972311518</v>
      </c>
      <c r="W44" s="237">
        <f>IF(W$5=0,0,W$5/AGR_fec!W$5)</f>
        <v>2.0268512203355704</v>
      </c>
      <c r="X44" s="237">
        <f>IF(X$5=0,0,X$5/AGR_fec!X$5)</f>
        <v>2.1240099819638338</v>
      </c>
      <c r="Y44" s="237">
        <f>IF(Y$5=0,0,Y$5/AGR_fec!Y$5)</f>
        <v>2.0764962838572423</v>
      </c>
      <c r="DA44" s="286"/>
    </row>
    <row r="45" spans="1:105" x14ac:dyDescent="0.25">
      <c r="A45" s="238" t="s">
        <v>125</v>
      </c>
      <c r="B45" s="250">
        <f>IF(B$6=0,0,B$6/AGR_fec!B$6)</f>
        <v>0</v>
      </c>
      <c r="C45" s="250">
        <f>IF(C$6=0,0,C$6/AGR_fec!C$6)</f>
        <v>0</v>
      </c>
      <c r="D45" s="250">
        <f>IF(D$6=0,0,D$6/AGR_fec!D$6)</f>
        <v>0</v>
      </c>
      <c r="E45" s="250">
        <f>IF(E$6=0,0,E$6/AGR_fec!E$6)</f>
        <v>0</v>
      </c>
      <c r="F45" s="250">
        <f>IF(F$6=0,0,F$6/AGR_fec!F$6)</f>
        <v>0</v>
      </c>
      <c r="G45" s="250">
        <f>IF(G$6=0,0,G$6/AGR_fec!G$6)</f>
        <v>0</v>
      </c>
      <c r="H45" s="250">
        <f>IF(H$6=0,0,H$6/AGR_fec!H$6)</f>
        <v>0</v>
      </c>
      <c r="I45" s="250">
        <f>IF(I$6=0,0,I$6/AGR_fec!I$6)</f>
        <v>0</v>
      </c>
      <c r="J45" s="250">
        <f>IF(J$6=0,0,J$6/AGR_fec!J$6)</f>
        <v>0</v>
      </c>
      <c r="K45" s="250">
        <f>IF(K$6=0,0,K$6/AGR_fec!K$6)</f>
        <v>0</v>
      </c>
      <c r="L45" s="250">
        <f>IF(L$6=0,0,L$6/AGR_fec!L$6)</f>
        <v>0</v>
      </c>
      <c r="M45" s="250">
        <f>IF(M$6=0,0,M$6/AGR_fec!M$6)</f>
        <v>0</v>
      </c>
      <c r="N45" s="250">
        <f>IF(N$6=0,0,N$6/AGR_fec!N$6)</f>
        <v>0</v>
      </c>
      <c r="O45" s="250">
        <f>IF(O$6=0,0,O$6/AGR_fec!O$6)</f>
        <v>0</v>
      </c>
      <c r="P45" s="250">
        <f>IF(P$6=0,0,P$6/AGR_fec!P$6)</f>
        <v>0</v>
      </c>
      <c r="Q45" s="250">
        <f>IF(Q$6=0,0,Q$6/AGR_fec!Q$6)</f>
        <v>0</v>
      </c>
      <c r="R45" s="250">
        <f>IF(R$6=0,0,R$6/AGR_fec!R$6)</f>
        <v>0</v>
      </c>
      <c r="S45" s="250">
        <f>IF(S$6=0,0,S$6/AGR_fec!S$6)</f>
        <v>0</v>
      </c>
      <c r="T45" s="250">
        <f>IF(T$6=0,0,T$6/AGR_fec!T$6)</f>
        <v>0</v>
      </c>
      <c r="U45" s="250">
        <f>IF(U$6=0,0,U$6/AGR_fec!U$6)</f>
        <v>0</v>
      </c>
      <c r="V45" s="250">
        <f>IF(V$6=0,0,V$6/AGR_fec!V$6)</f>
        <v>0</v>
      </c>
      <c r="W45" s="250">
        <f>IF(W$6=0,0,W$6/AGR_fec!W$6)</f>
        <v>0</v>
      </c>
      <c r="X45" s="250">
        <f>IF(X$6=0,0,X$6/AGR_fec!X$6)</f>
        <v>0</v>
      </c>
      <c r="Y45" s="250">
        <f>IF(Y$6=0,0,Y$6/AGR_fec!Y$6)</f>
        <v>0</v>
      </c>
      <c r="DA45" s="287"/>
    </row>
    <row r="46" spans="1:105" x14ac:dyDescent="0.25">
      <c r="A46" s="240" t="s">
        <v>124</v>
      </c>
      <c r="B46" s="251">
        <f>IF(B$7=0,0,B$7/AGR_fec!B$7)</f>
        <v>0</v>
      </c>
      <c r="C46" s="251">
        <f>IF(C$7=0,0,C$7/AGR_fec!C$7)</f>
        <v>0</v>
      </c>
      <c r="D46" s="251">
        <f>IF(D$7=0,0,D$7/AGR_fec!D$7)</f>
        <v>0</v>
      </c>
      <c r="E46" s="251">
        <f>IF(E$7=0,0,E$7/AGR_fec!E$7)</f>
        <v>0</v>
      </c>
      <c r="F46" s="251">
        <f>IF(F$7=0,0,F$7/AGR_fec!F$7)</f>
        <v>0</v>
      </c>
      <c r="G46" s="251">
        <f>IF(G$7=0,0,G$7/AGR_fec!G$7)</f>
        <v>0</v>
      </c>
      <c r="H46" s="251">
        <f>IF(H$7=0,0,H$7/AGR_fec!H$7)</f>
        <v>0</v>
      </c>
      <c r="I46" s="251">
        <f>IF(I$7=0,0,I$7/AGR_fec!I$7)</f>
        <v>0</v>
      </c>
      <c r="J46" s="251">
        <f>IF(J$7=0,0,J$7/AGR_fec!J$7)</f>
        <v>0</v>
      </c>
      <c r="K46" s="251">
        <f>IF(K$7=0,0,K$7/AGR_fec!K$7)</f>
        <v>0</v>
      </c>
      <c r="L46" s="251">
        <f>IF(L$7=0,0,L$7/AGR_fec!L$7)</f>
        <v>0</v>
      </c>
      <c r="M46" s="251">
        <f>IF(M$7=0,0,M$7/AGR_fec!M$7)</f>
        <v>0</v>
      </c>
      <c r="N46" s="251">
        <f>IF(N$7=0,0,N$7/AGR_fec!N$7)</f>
        <v>0</v>
      </c>
      <c r="O46" s="251">
        <f>IF(O$7=0,0,O$7/AGR_fec!O$7)</f>
        <v>0</v>
      </c>
      <c r="P46" s="251">
        <f>IF(P$7=0,0,P$7/AGR_fec!P$7)</f>
        <v>0</v>
      </c>
      <c r="Q46" s="251">
        <f>IF(Q$7=0,0,Q$7/AGR_fec!Q$7)</f>
        <v>0</v>
      </c>
      <c r="R46" s="251">
        <f>IF(R$7=0,0,R$7/AGR_fec!R$7)</f>
        <v>0</v>
      </c>
      <c r="S46" s="251">
        <f>IF(S$7=0,0,S$7/AGR_fec!S$7)</f>
        <v>0</v>
      </c>
      <c r="T46" s="251">
        <f>IF(T$7=0,0,T$7/AGR_fec!T$7)</f>
        <v>0</v>
      </c>
      <c r="U46" s="251">
        <f>IF(U$7=0,0,U$7/AGR_fec!U$7)</f>
        <v>0</v>
      </c>
      <c r="V46" s="251">
        <f>IF(V$7=0,0,V$7/AGR_fec!V$7)</f>
        <v>0</v>
      </c>
      <c r="W46" s="251">
        <f>IF(W$7=0,0,W$7/AGR_fec!W$7)</f>
        <v>0</v>
      </c>
      <c r="X46" s="251">
        <f>IF(X$7=0,0,X$7/AGR_fec!X$7)</f>
        <v>0</v>
      </c>
      <c r="Y46" s="251">
        <f>IF(Y$7=0,0,Y$7/AGR_fec!Y$7)</f>
        <v>0</v>
      </c>
      <c r="DA46" s="288"/>
    </row>
    <row r="47" spans="1:105" x14ac:dyDescent="0.25">
      <c r="A47" s="240" t="s">
        <v>123</v>
      </c>
      <c r="B47" s="251">
        <f>IF(B$8=0,0,B$8/AGR_fec!B$8)</f>
        <v>0</v>
      </c>
      <c r="C47" s="251">
        <f>IF(C$8=0,0,C$8/AGR_fec!C$8)</f>
        <v>0</v>
      </c>
      <c r="D47" s="251">
        <f>IF(D$8=0,0,D$8/AGR_fec!D$8)</f>
        <v>0</v>
      </c>
      <c r="E47" s="251">
        <f>IF(E$8=0,0,E$8/AGR_fec!E$8)</f>
        <v>0</v>
      </c>
      <c r="F47" s="251">
        <f>IF(F$8=0,0,F$8/AGR_fec!F$8)</f>
        <v>0</v>
      </c>
      <c r="G47" s="251">
        <f>IF(G$8=0,0,G$8/AGR_fec!G$8)</f>
        <v>0</v>
      </c>
      <c r="H47" s="251">
        <f>IF(H$8=0,0,H$8/AGR_fec!H$8)</f>
        <v>0</v>
      </c>
      <c r="I47" s="251">
        <f>IF(I$8=0,0,I$8/AGR_fec!I$8)</f>
        <v>0</v>
      </c>
      <c r="J47" s="251">
        <f>IF(J$8=0,0,J$8/AGR_fec!J$8)</f>
        <v>0</v>
      </c>
      <c r="K47" s="251">
        <f>IF(K$8=0,0,K$8/AGR_fec!K$8)</f>
        <v>0</v>
      </c>
      <c r="L47" s="251">
        <f>IF(L$8=0,0,L$8/AGR_fec!L$8)</f>
        <v>0</v>
      </c>
      <c r="M47" s="251">
        <f>IF(M$8=0,0,M$8/AGR_fec!M$8)</f>
        <v>0</v>
      </c>
      <c r="N47" s="251">
        <f>IF(N$8=0,0,N$8/AGR_fec!N$8)</f>
        <v>0</v>
      </c>
      <c r="O47" s="251">
        <f>IF(O$8=0,0,O$8/AGR_fec!O$8)</f>
        <v>0</v>
      </c>
      <c r="P47" s="251">
        <f>IF(P$8=0,0,P$8/AGR_fec!P$8)</f>
        <v>0</v>
      </c>
      <c r="Q47" s="251">
        <f>IF(Q$8=0,0,Q$8/AGR_fec!Q$8)</f>
        <v>0</v>
      </c>
      <c r="R47" s="251">
        <f>IF(R$8=0,0,R$8/AGR_fec!R$8)</f>
        <v>0</v>
      </c>
      <c r="S47" s="251">
        <f>IF(S$8=0,0,S$8/AGR_fec!S$8)</f>
        <v>0</v>
      </c>
      <c r="T47" s="251">
        <f>IF(T$8=0,0,T$8/AGR_fec!T$8)</f>
        <v>0</v>
      </c>
      <c r="U47" s="251">
        <f>IF(U$8=0,0,U$8/AGR_fec!U$8)</f>
        <v>0</v>
      </c>
      <c r="V47" s="251">
        <f>IF(V$8=0,0,V$8/AGR_fec!V$8)</f>
        <v>0</v>
      </c>
      <c r="W47" s="251">
        <f>IF(W$8=0,0,W$8/AGR_fec!W$8)</f>
        <v>0</v>
      </c>
      <c r="X47" s="251">
        <f>IF(X$8=0,0,X$8/AGR_fec!X$8)</f>
        <v>0</v>
      </c>
      <c r="Y47" s="251">
        <f>IF(Y$8=0,0,Y$8/AGR_fec!Y$8)</f>
        <v>0</v>
      </c>
      <c r="DA47" s="288"/>
    </row>
    <row r="48" spans="1:105" x14ac:dyDescent="0.25">
      <c r="A48" s="242" t="s">
        <v>122</v>
      </c>
      <c r="B48" s="252">
        <f>IF(B$9=0,0,B$9/AGR_fec!B$9)</f>
        <v>1.0741731066812961</v>
      </c>
      <c r="C48" s="252">
        <f>IF(C$9=0,0,C$9/AGR_fec!C$9)</f>
        <v>1.1149065585720588</v>
      </c>
      <c r="D48" s="252">
        <f>IF(D$9=0,0,D$9/AGR_fec!D$9)</f>
        <v>1.2845461961989679</v>
      </c>
      <c r="E48" s="252">
        <f>IF(E$9=0,0,E$9/AGR_fec!E$9)</f>
        <v>1.3391249061319701</v>
      </c>
      <c r="F48" s="252">
        <f>IF(F$9=0,0,F$9/AGR_fec!F$9)</f>
        <v>1.325091269109526</v>
      </c>
      <c r="G48" s="252">
        <f>IF(G$9=0,0,G$9/AGR_fec!G$9)</f>
        <v>1.3048878187612598</v>
      </c>
      <c r="H48" s="252">
        <f>IF(H$9=0,0,H$9/AGR_fec!H$9)</f>
        <v>1.4537878168109162</v>
      </c>
      <c r="I48" s="252">
        <f>IF(I$9=0,0,I$9/AGR_fec!I$9)</f>
        <v>1.5295316112464739</v>
      </c>
      <c r="J48" s="252">
        <f>IF(J$9=0,0,J$9/AGR_fec!J$9)</f>
        <v>1.4455829689885558</v>
      </c>
      <c r="K48" s="252">
        <f>IF(K$9=0,0,K$9/AGR_fec!K$9)</f>
        <v>1.4020864579279886</v>
      </c>
      <c r="L48" s="252">
        <f>IF(L$9=0,0,L$9/AGR_fec!L$9)</f>
        <v>1.6115388241771587</v>
      </c>
      <c r="M48" s="252">
        <f>IF(M$9=0,0,M$9/AGR_fec!M$9)</f>
        <v>1.746202322713077</v>
      </c>
      <c r="N48" s="252">
        <f>IF(N$9=0,0,N$9/AGR_fec!N$9)</f>
        <v>1.8238418968916992</v>
      </c>
      <c r="O48" s="252">
        <f>IF(O$9=0,0,O$9/AGR_fec!O$9)</f>
        <v>1.8464891655961264</v>
      </c>
      <c r="P48" s="252">
        <f>IF(P$9=0,0,P$9/AGR_fec!P$9)</f>
        <v>1.9321852294093953</v>
      </c>
      <c r="Q48" s="252">
        <f>IF(Q$9=0,0,Q$9/AGR_fec!Q$9)</f>
        <v>1.7979064711202293</v>
      </c>
      <c r="R48" s="252">
        <f>IF(R$9=0,0,R$9/AGR_fec!R$9)</f>
        <v>1.7490916457535788</v>
      </c>
      <c r="S48" s="252">
        <f>IF(S$9=0,0,S$9/AGR_fec!S$9)</f>
        <v>1.8133694807350875</v>
      </c>
      <c r="T48" s="252">
        <f>IF(T$9=0,0,T$9/AGR_fec!T$9)</f>
        <v>1.791831951875904</v>
      </c>
      <c r="U48" s="252">
        <f>IF(U$9=0,0,U$9/AGR_fec!U$9)</f>
        <v>1.9069672897560888</v>
      </c>
      <c r="V48" s="252">
        <f>IF(V$9=0,0,V$9/AGR_fec!V$9)</f>
        <v>2.0235002634452925</v>
      </c>
      <c r="W48" s="252">
        <f>IF(W$9=0,0,W$9/AGR_fec!W$9)</f>
        <v>2.0446826609360484</v>
      </c>
      <c r="X48" s="252">
        <f>IF(X$9=0,0,X$9/AGR_fec!X$9)</f>
        <v>2.1703567229463698</v>
      </c>
      <c r="Y48" s="252">
        <f>IF(Y$9=0,0,Y$9/AGR_fec!Y$9)</f>
        <v>2.107825530201799</v>
      </c>
      <c r="DA48" s="289"/>
    </row>
    <row r="49" spans="1:105" x14ac:dyDescent="0.25">
      <c r="A49" s="127" t="s">
        <v>168</v>
      </c>
      <c r="B49" s="264">
        <f>IF(B$16=0,0,B$16/AGR_fec!B$16)</f>
        <v>3.1024188000000006</v>
      </c>
      <c r="C49" s="264">
        <f>IF(C$16=0,0,C$16/AGR_fec!C$16)</f>
        <v>3.1024188000000001</v>
      </c>
      <c r="D49" s="264">
        <f>IF(D$16=0,0,D$16/AGR_fec!D$16)</f>
        <v>3.1024188000000006</v>
      </c>
      <c r="E49" s="264">
        <f>IF(E$16=0,0,E$16/AGR_fec!E$16)</f>
        <v>3.1024188000000006</v>
      </c>
      <c r="F49" s="264">
        <f>IF(F$16=0,0,F$16/AGR_fec!F$16)</f>
        <v>3.1024188000000006</v>
      </c>
      <c r="G49" s="264">
        <f>IF(G$16=0,0,G$16/AGR_fec!G$16)</f>
        <v>3.1024188000000001</v>
      </c>
      <c r="H49" s="264">
        <f>IF(H$16=0,0,H$16/AGR_fec!H$16)</f>
        <v>3.1024188000000006</v>
      </c>
      <c r="I49" s="264">
        <f>IF(I$16=0,0,I$16/AGR_fec!I$16)</f>
        <v>3.1024188000000001</v>
      </c>
      <c r="J49" s="264">
        <f>IF(J$16=0,0,J$16/AGR_fec!J$16)</f>
        <v>3.1024188000000006</v>
      </c>
      <c r="K49" s="264">
        <f>IF(K$16=0,0,K$16/AGR_fec!K$16)</f>
        <v>3.1024187999999993</v>
      </c>
      <c r="L49" s="264">
        <f>IF(L$16=0,0,L$16/AGR_fec!L$16)</f>
        <v>3.1024188000000001</v>
      </c>
      <c r="M49" s="264">
        <f>IF(M$16=0,0,M$16/AGR_fec!M$16)</f>
        <v>3.1024187999999993</v>
      </c>
      <c r="N49" s="264">
        <f>IF(N$16=0,0,N$16/AGR_fec!N$16)</f>
        <v>3.1024188000000001</v>
      </c>
      <c r="O49" s="264">
        <f>IF(O$16=0,0,O$16/AGR_fec!O$16)</f>
        <v>3.1024188000000006</v>
      </c>
      <c r="P49" s="264">
        <f>IF(P$16=0,0,P$16/AGR_fec!P$16)</f>
        <v>3.1024188000000001</v>
      </c>
      <c r="Q49" s="264">
        <f>IF(Q$16=0,0,Q$16/AGR_fec!Q$16)</f>
        <v>3.102418800000001</v>
      </c>
      <c r="R49" s="264">
        <f>IF(R$16=0,0,R$16/AGR_fec!R$16)</f>
        <v>3.1024187999999997</v>
      </c>
      <c r="S49" s="264">
        <f>IF(S$16=0,0,S$16/AGR_fec!S$16)</f>
        <v>3.1024188000000001</v>
      </c>
      <c r="T49" s="264">
        <f>IF(T$16=0,0,T$16/AGR_fec!T$16)</f>
        <v>3.1024188000000001</v>
      </c>
      <c r="U49" s="264">
        <f>IF(U$16=0,0,U$16/AGR_fec!U$16)</f>
        <v>3.1024188000000001</v>
      </c>
      <c r="V49" s="264">
        <f>IF(V$16=0,0,V$16/AGR_fec!V$16)</f>
        <v>3.1024188000000006</v>
      </c>
      <c r="W49" s="264">
        <f>IF(W$16=0,0,W$16/AGR_fec!W$16)</f>
        <v>3.1024188000000006</v>
      </c>
      <c r="X49" s="264">
        <f>IF(X$16=0,0,X$16/AGR_fec!X$16)</f>
        <v>3.1024188000000001</v>
      </c>
      <c r="Y49" s="264">
        <f>IF(Y$16=0,0,Y$16/AGR_fec!Y$16)</f>
        <v>3.1024188000000006</v>
      </c>
      <c r="DA49" s="290"/>
    </row>
    <row r="50" spans="1:105" x14ac:dyDescent="0.25">
      <c r="A50" s="127" t="s">
        <v>121</v>
      </c>
      <c r="B50" s="264">
        <f>IF(B$17=0,0,B$17/AGR_fec!B$17)</f>
        <v>2.2615775051176712</v>
      </c>
      <c r="C50" s="264">
        <f>IF(C$17=0,0,C$17/AGR_fec!C$17)</f>
        <v>2.0155089865705529</v>
      </c>
      <c r="D50" s="264">
        <f>IF(D$17=0,0,D$17/AGR_fec!D$17)</f>
        <v>1.9905967080000642</v>
      </c>
      <c r="E50" s="264">
        <f>IF(E$17=0,0,E$17/AGR_fec!E$17)</f>
        <v>1.9012383263311865</v>
      </c>
      <c r="F50" s="264">
        <f>IF(F$17=0,0,F$17/AGR_fec!F$17)</f>
        <v>2.2131766399591934</v>
      </c>
      <c r="G50" s="264">
        <f>IF(G$17=0,0,G$17/AGR_fec!G$17)</f>
        <v>2.3396243416418154</v>
      </c>
      <c r="H50" s="264">
        <f>IF(H$17=0,0,H$17/AGR_fec!H$17)</f>
        <v>2.2954099103826722</v>
      </c>
      <c r="I50" s="264">
        <f>IF(I$17=0,0,I$17/AGR_fec!I$17)</f>
        <v>2.1908632803644217</v>
      </c>
      <c r="J50" s="264">
        <f>IF(J$17=0,0,J$17/AGR_fec!J$17)</f>
        <v>2.14080279556774</v>
      </c>
      <c r="K50" s="264">
        <f>IF(K$17=0,0,K$17/AGR_fec!K$17)</f>
        <v>2.0292816291692466</v>
      </c>
      <c r="L50" s="264">
        <f>IF(L$17=0,0,L$17/AGR_fec!L$17)</f>
        <v>2.0932579208870359</v>
      </c>
      <c r="M50" s="264">
        <f>IF(M$17=0,0,M$17/AGR_fec!M$17)</f>
        <v>2.0296857863417839</v>
      </c>
      <c r="N50" s="264">
        <f>IF(N$17=0,0,N$17/AGR_fec!N$17)</f>
        <v>2.0491826692227475</v>
      </c>
      <c r="O50" s="264">
        <f>IF(O$17=0,0,O$17/AGR_fec!O$17)</f>
        <v>2.1213066607992013</v>
      </c>
      <c r="P50" s="264">
        <f>IF(P$17=0,0,P$17/AGR_fec!P$17)</f>
        <v>2.2091104772870302</v>
      </c>
      <c r="Q50" s="264">
        <f>IF(Q$17=0,0,Q$17/AGR_fec!Q$17)</f>
        <v>2.2240304567237525</v>
      </c>
      <c r="R50" s="264">
        <f>IF(R$17=0,0,R$17/AGR_fec!R$17)</f>
        <v>2.1619342778651625</v>
      </c>
      <c r="S50" s="264">
        <f>IF(S$17=0,0,S$17/AGR_fec!S$17)</f>
        <v>2.0412127453732354</v>
      </c>
      <c r="T50" s="264">
        <f>IF(T$17=0,0,T$17/AGR_fec!T$17)</f>
        <v>1.9866287429787048</v>
      </c>
      <c r="U50" s="264">
        <f>IF(U$17=0,0,U$17/AGR_fec!U$17)</f>
        <v>2.0437925848010314</v>
      </c>
      <c r="V50" s="264">
        <f>IF(V$17=0,0,V$17/AGR_fec!V$17)</f>
        <v>1.9360108272298016</v>
      </c>
      <c r="W50" s="264">
        <f>IF(W$17=0,0,W$17/AGR_fec!W$17)</f>
        <v>1.9370721504429937</v>
      </c>
      <c r="X50" s="264">
        <f>IF(X$17=0,0,X$17/AGR_fec!X$17)</f>
        <v>2.0271104783305387</v>
      </c>
      <c r="Y50" s="264">
        <f>IF(Y$17=0,0,Y$17/AGR_fec!Y$17)</f>
        <v>1.9912950845478754</v>
      </c>
      <c r="DA50" s="290"/>
    </row>
    <row r="51" spans="1:105" x14ac:dyDescent="0.25">
      <c r="A51" s="127" t="s">
        <v>167</v>
      </c>
      <c r="B51" s="264">
        <f>IF(B$25=0,0,B$25/AGR_fec!B$25)</f>
        <v>3.1024187999999997</v>
      </c>
      <c r="C51" s="264">
        <f>IF(C$25=0,0,C$25/AGR_fec!C$25)</f>
        <v>3.102418800000001</v>
      </c>
      <c r="D51" s="264">
        <f>IF(D$25=0,0,D$25/AGR_fec!D$25)</f>
        <v>3.1024188000000006</v>
      </c>
      <c r="E51" s="264">
        <f>IF(E$25=0,0,E$25/AGR_fec!E$25)</f>
        <v>3.1024188000000006</v>
      </c>
      <c r="F51" s="264">
        <f>IF(F$25=0,0,F$25/AGR_fec!F$25)</f>
        <v>3.1024187999999993</v>
      </c>
      <c r="G51" s="264">
        <f>IF(G$25=0,0,G$25/AGR_fec!G$25)</f>
        <v>3.1024188000000006</v>
      </c>
      <c r="H51" s="264">
        <f>IF(H$25=0,0,H$25/AGR_fec!H$25)</f>
        <v>3.1024188000000006</v>
      </c>
      <c r="I51" s="264">
        <f>IF(I$25=0,0,I$25/AGR_fec!I$25)</f>
        <v>3.1024187999999997</v>
      </c>
      <c r="J51" s="264">
        <f>IF(J$25=0,0,J$25/AGR_fec!J$25)</f>
        <v>3.1024188000000001</v>
      </c>
      <c r="K51" s="264">
        <f>IF(K$25=0,0,K$25/AGR_fec!K$25)</f>
        <v>3.102418800000001</v>
      </c>
      <c r="L51" s="264">
        <f>IF(L$25=0,0,L$25/AGR_fec!L$25)</f>
        <v>3.1024188000000006</v>
      </c>
      <c r="M51" s="264">
        <f>IF(M$25=0,0,M$25/AGR_fec!M$25)</f>
        <v>3.1024188000000001</v>
      </c>
      <c r="N51" s="264">
        <f>IF(N$25=0,0,N$25/AGR_fec!N$25)</f>
        <v>3.102418800000001</v>
      </c>
      <c r="O51" s="264">
        <f>IF(O$25=0,0,O$25/AGR_fec!O$25)</f>
        <v>3.102418800000001</v>
      </c>
      <c r="P51" s="264">
        <f>IF(P$25=0,0,P$25/AGR_fec!P$25)</f>
        <v>3.1024187999999993</v>
      </c>
      <c r="Q51" s="264">
        <f>IF(Q$25=0,0,Q$25/AGR_fec!Q$25)</f>
        <v>3.102418800000001</v>
      </c>
      <c r="R51" s="264">
        <f>IF(R$25=0,0,R$25/AGR_fec!R$25)</f>
        <v>3.1024188000000006</v>
      </c>
      <c r="S51" s="264">
        <f>IF(S$25=0,0,S$25/AGR_fec!S$25)</f>
        <v>3.1024188000000006</v>
      </c>
      <c r="T51" s="264">
        <f>IF(T$25=0,0,T$25/AGR_fec!T$25)</f>
        <v>3.1024187999999988</v>
      </c>
      <c r="U51" s="264">
        <f>IF(U$25=0,0,U$25/AGR_fec!U$25)</f>
        <v>3.1024188000000006</v>
      </c>
      <c r="V51" s="264">
        <f>IF(V$25=0,0,V$25/AGR_fec!V$25)</f>
        <v>3.1024188000000015</v>
      </c>
      <c r="W51" s="264">
        <f>IF(W$25=0,0,W$25/AGR_fec!W$25)</f>
        <v>3.102418800000001</v>
      </c>
      <c r="X51" s="264">
        <f>IF(X$25=0,0,X$25/AGR_fec!X$25)</f>
        <v>3.1024188000000006</v>
      </c>
      <c r="Y51" s="264">
        <f>IF(Y$25=0,0,Y$25/AGR_fec!Y$25)</f>
        <v>3.1024188000000006</v>
      </c>
      <c r="DA51" s="290"/>
    </row>
    <row r="52" spans="1:105" x14ac:dyDescent="0.25">
      <c r="A52" s="127" t="s">
        <v>170</v>
      </c>
      <c r="B52" s="264">
        <f>IF(B$26=0,0,B$26/AGR_fec!B$26)</f>
        <v>0</v>
      </c>
      <c r="C52" s="264">
        <f>IF(C$26=0,0,C$26/AGR_fec!C$26)</f>
        <v>0</v>
      </c>
      <c r="D52" s="264">
        <f>IF(D$26=0,0,D$26/AGR_fec!D$26)</f>
        <v>0</v>
      </c>
      <c r="E52" s="264">
        <f>IF(E$26=0,0,E$26/AGR_fec!E$26)</f>
        <v>0</v>
      </c>
      <c r="F52" s="264">
        <f>IF(F$26=0,0,F$26/AGR_fec!F$26)</f>
        <v>0</v>
      </c>
      <c r="G52" s="264">
        <f>IF(G$26=0,0,G$26/AGR_fec!G$26)</f>
        <v>0</v>
      </c>
      <c r="H52" s="264">
        <f>IF(H$26=0,0,H$26/AGR_fec!H$26)</f>
        <v>0</v>
      </c>
      <c r="I52" s="264">
        <f>IF(I$26=0,0,I$26/AGR_fec!I$26)</f>
        <v>0</v>
      </c>
      <c r="J52" s="264">
        <f>IF(J$26=0,0,J$26/AGR_fec!J$26)</f>
        <v>0</v>
      </c>
      <c r="K52" s="264">
        <f>IF(K$26=0,0,K$26/AGR_fec!K$26)</f>
        <v>0</v>
      </c>
      <c r="L52" s="264">
        <f>IF(L$26=0,0,L$26/AGR_fec!L$26)</f>
        <v>0</v>
      </c>
      <c r="M52" s="264">
        <f>IF(M$26=0,0,M$26/AGR_fec!M$26)</f>
        <v>0</v>
      </c>
      <c r="N52" s="264">
        <f>IF(N$26=0,0,N$26/AGR_fec!N$26)</f>
        <v>0</v>
      </c>
      <c r="O52" s="264">
        <f>IF(O$26=0,0,O$26/AGR_fec!O$26)</f>
        <v>0</v>
      </c>
      <c r="P52" s="264">
        <f>IF(P$26=0,0,P$26/AGR_fec!P$26)</f>
        <v>0</v>
      </c>
      <c r="Q52" s="264">
        <f>IF(Q$26=0,0,Q$26/AGR_fec!Q$26)</f>
        <v>0</v>
      </c>
      <c r="R52" s="264">
        <f>IF(R$26=0,0,R$26/AGR_fec!R$26)</f>
        <v>0</v>
      </c>
      <c r="S52" s="264">
        <f>IF(S$26=0,0,S$26/AGR_fec!S$26)</f>
        <v>0</v>
      </c>
      <c r="T52" s="264">
        <f>IF(T$26=0,0,T$26/AGR_fec!T$26)</f>
        <v>0</v>
      </c>
      <c r="U52" s="264">
        <f>IF(U$26=0,0,U$26/AGR_fec!U$26)</f>
        <v>0</v>
      </c>
      <c r="V52" s="264">
        <f>IF(V$26=0,0,V$26/AGR_fec!V$26)</f>
        <v>0</v>
      </c>
      <c r="W52" s="264">
        <f>IF(W$26=0,0,W$26/AGR_fec!W$26)</f>
        <v>0</v>
      </c>
      <c r="X52" s="264">
        <f>IF(X$26=0,0,X$26/AGR_fec!X$26)</f>
        <v>0</v>
      </c>
      <c r="Y52" s="264">
        <f>IF(Y$26=0,0,Y$26/AGR_fec!Y$26)</f>
        <v>0</v>
      </c>
      <c r="DA52" s="290"/>
    </row>
    <row r="53" spans="1:105" x14ac:dyDescent="0.25">
      <c r="A53" s="260" t="s">
        <v>33</v>
      </c>
      <c r="B53" s="265">
        <f>IF(B$27=0,0,B$27/AGR_fec!B$27)</f>
        <v>0</v>
      </c>
      <c r="C53" s="265">
        <f>IF(C$27=0,0,C$27/AGR_fec!C$27)</f>
        <v>0</v>
      </c>
      <c r="D53" s="265">
        <f>IF(D$27=0,0,D$27/AGR_fec!D$27)</f>
        <v>0</v>
      </c>
      <c r="E53" s="265">
        <f>IF(E$27=0,0,E$27/AGR_fec!E$27)</f>
        <v>0</v>
      </c>
      <c r="F53" s="265">
        <f>IF(F$27=0,0,F$27/AGR_fec!F$27)</f>
        <v>0</v>
      </c>
      <c r="G53" s="265">
        <f>IF(G$27=0,0,G$27/AGR_fec!G$27)</f>
        <v>0</v>
      </c>
      <c r="H53" s="265">
        <f>IF(H$27=0,0,H$27/AGR_fec!H$27)</f>
        <v>0</v>
      </c>
      <c r="I53" s="265">
        <f>IF(I$27=0,0,I$27/AGR_fec!I$27)</f>
        <v>0</v>
      </c>
      <c r="J53" s="265">
        <f>IF(J$27=0,0,J$27/AGR_fec!J$27)</f>
        <v>0</v>
      </c>
      <c r="K53" s="265">
        <f>IF(K$27=0,0,K$27/AGR_fec!K$27)</f>
        <v>0</v>
      </c>
      <c r="L53" s="265">
        <f>IF(L$27=0,0,L$27/AGR_fec!L$27)</f>
        <v>0</v>
      </c>
      <c r="M53" s="265">
        <f>IF(M$27=0,0,M$27/AGR_fec!M$27)</f>
        <v>0</v>
      </c>
      <c r="N53" s="265">
        <f>IF(N$27=0,0,N$27/AGR_fec!N$27)</f>
        <v>0</v>
      </c>
      <c r="O53" s="265">
        <f>IF(O$27=0,0,O$27/AGR_fec!O$27)</f>
        <v>0</v>
      </c>
      <c r="P53" s="265">
        <f>IF(P$27=0,0,P$27/AGR_fec!P$27)</f>
        <v>0</v>
      </c>
      <c r="Q53" s="265">
        <f>IF(Q$27=0,0,Q$27/AGR_fec!Q$27)</f>
        <v>0</v>
      </c>
      <c r="R53" s="265">
        <f>IF(R$27=0,0,R$27/AGR_fec!R$27)</f>
        <v>0</v>
      </c>
      <c r="S53" s="265">
        <f>IF(S$27=0,0,S$27/AGR_fec!S$27)</f>
        <v>0</v>
      </c>
      <c r="T53" s="265">
        <f>IF(T$27=0,0,T$27/AGR_fec!T$27)</f>
        <v>0</v>
      </c>
      <c r="U53" s="265">
        <f>IF(U$27=0,0,U$27/AGR_fec!U$27)</f>
        <v>0</v>
      </c>
      <c r="V53" s="265">
        <f>IF(V$27=0,0,V$27/AGR_fec!V$27)</f>
        <v>0</v>
      </c>
      <c r="W53" s="265">
        <f>IF(W$27=0,0,W$27/AGR_fec!W$27)</f>
        <v>0</v>
      </c>
      <c r="X53" s="265">
        <f>IF(X$27=0,0,X$27/AGR_fec!X$27)</f>
        <v>0</v>
      </c>
      <c r="Y53" s="265">
        <f>IF(Y$27=0,0,Y$27/AGR_fec!Y$27)</f>
        <v>0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2025-11-06T10:26:57Z</dcterms:created>
  <dcterms:modified xsi:type="dcterms:W3CDTF">2025-11-06T10:26:57Z</dcterms:modified>
</cp:coreProperties>
</file>