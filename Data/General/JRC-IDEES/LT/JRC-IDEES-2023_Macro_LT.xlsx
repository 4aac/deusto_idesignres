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3\Calibration_output\Results\xCountries\LT\"/>
    </mc:Choice>
  </mc:AlternateContent>
  <bookViews>
    <workbookView xWindow="480" yWindow="120" windowWidth="27795" windowHeight="12075"/>
  </bookViews>
  <sheets>
    <sheet name="cover" sheetId="60" r:id="rId1"/>
    <sheet name="index" sheetId="4" r:id="rId2"/>
    <sheet name="Macro_CurrPrices" sheetId="57" r:id="rId3"/>
    <sheet name="Macro_euro2023" sheetId="55" r:id="rId4"/>
    <sheet name="Macro_JRC-IDEES" sheetId="59" r:id="rId5"/>
    <sheet name="definitions" sheetId="58" r:id="rId6"/>
  </sheets>
  <definedNames>
    <definedName name="_xlnm.Print_Area" localSheetId="5">definitions!$A$1:$D$112</definedName>
  </definedNames>
  <calcPr calcId="162913"/>
</workbook>
</file>

<file path=xl/calcChain.xml><?xml version="1.0" encoding="utf-8"?>
<calcChain xmlns="http://schemas.openxmlformats.org/spreadsheetml/2006/main">
  <c r="AA78" i="59" l="1"/>
  <c r="AA121" i="59"/>
  <c r="AA117" i="59"/>
  <c r="AA114" i="59"/>
  <c r="AA113" i="59"/>
  <c r="AA110" i="59"/>
  <c r="AA109" i="59"/>
  <c r="AA106" i="59"/>
  <c r="AA105" i="59"/>
  <c r="AA102" i="59"/>
  <c r="AA101" i="59"/>
  <c r="AA66" i="59"/>
  <c r="AA98" i="59"/>
  <c r="AA97" i="59"/>
  <c r="AA94" i="59"/>
  <c r="AA93" i="59"/>
  <c r="AA5" i="59"/>
  <c r="Z5" i="59"/>
  <c r="Z111" i="59"/>
  <c r="Y75" i="57"/>
  <c r="J75" i="57"/>
  <c r="O75" i="57"/>
  <c r="K75" i="57"/>
  <c r="F75" i="57"/>
  <c r="E75" i="57"/>
  <c r="S54" i="57"/>
  <c r="K54" i="57"/>
  <c r="J54" i="57"/>
  <c r="I54" i="57"/>
  <c r="U39" i="57"/>
  <c r="E39" i="57"/>
  <c r="Q39" i="57"/>
  <c r="O39" i="57"/>
  <c r="I39" i="57"/>
  <c r="H39" i="57"/>
  <c r="G16" i="57"/>
  <c r="M16" i="57"/>
  <c r="E16" i="57"/>
  <c r="T75" i="57"/>
  <c r="Q75" i="57"/>
  <c r="D75" i="57"/>
  <c r="U75" i="57"/>
  <c r="P54" i="57"/>
  <c r="L54" i="57"/>
  <c r="R54" i="57"/>
  <c r="Q54" i="57"/>
  <c r="S16" i="57"/>
  <c r="Y16" i="57"/>
  <c r="O16" i="57"/>
  <c r="N16" i="57" l="1"/>
  <c r="H16" i="57"/>
  <c r="J16" i="57"/>
  <c r="R39" i="57"/>
  <c r="T39" i="57"/>
  <c r="V39" i="57"/>
  <c r="W16" i="57"/>
  <c r="I16" i="57"/>
  <c r="Q16" i="57"/>
  <c r="K16" i="57"/>
  <c r="U16" i="57"/>
  <c r="K39" i="57"/>
  <c r="S39" i="57"/>
  <c r="G39" i="57"/>
  <c r="W39" i="57"/>
  <c r="Y39" i="57"/>
  <c r="E54" i="57"/>
  <c r="M54" i="57"/>
  <c r="G54" i="57"/>
  <c r="O54" i="57"/>
  <c r="W54" i="57"/>
  <c r="Y54" i="57"/>
  <c r="G75" i="57"/>
  <c r="W75" i="57"/>
  <c r="I75" i="57"/>
  <c r="S75" i="57"/>
  <c r="M75" i="57"/>
  <c r="AA54" i="57"/>
  <c r="AA89" i="59"/>
  <c r="AA80" i="59"/>
  <c r="F16" i="57"/>
  <c r="V16" i="57"/>
  <c r="P16" i="57"/>
  <c r="J39" i="57"/>
  <c r="D39" i="57"/>
  <c r="F39" i="57"/>
  <c r="Z54" i="55"/>
  <c r="Z99" i="59"/>
  <c r="Z103" i="59"/>
  <c r="Z107" i="59"/>
  <c r="Z115" i="59"/>
  <c r="AA70" i="59"/>
  <c r="AA74" i="59"/>
  <c r="AA79" i="59"/>
  <c r="AA81" i="59"/>
  <c r="AA82" i="59"/>
  <c r="AA84" i="59"/>
  <c r="AA88" i="59"/>
  <c r="X16" i="57"/>
  <c r="L39" i="57"/>
  <c r="N39" i="57"/>
  <c r="D54" i="57"/>
  <c r="T54" i="57"/>
  <c r="F54" i="57"/>
  <c r="N54" i="57"/>
  <c r="V54" i="57"/>
  <c r="H54" i="57"/>
  <c r="X54" i="57"/>
  <c r="V75" i="57"/>
  <c r="M39" i="57"/>
  <c r="U54" i="57"/>
  <c r="AA39" i="55"/>
  <c r="AA16" i="57"/>
  <c r="AA75" i="57"/>
  <c r="AA21" i="59"/>
  <c r="AA68" i="59"/>
  <c r="AA72" i="59"/>
  <c r="AA76" i="59"/>
  <c r="AA86" i="59"/>
  <c r="AA90" i="59"/>
  <c r="Z80" i="59"/>
  <c r="Z87" i="59"/>
  <c r="AA54" i="55"/>
  <c r="AA69" i="59"/>
  <c r="AA73" i="59"/>
  <c r="AA87" i="59"/>
  <c r="L16" i="57"/>
  <c r="R16" i="57"/>
  <c r="P39" i="57"/>
  <c r="X39" i="57"/>
  <c r="Z75" i="55"/>
  <c r="Z39" i="57"/>
  <c r="Z79" i="59"/>
  <c r="Z84" i="59"/>
  <c r="Z88" i="59"/>
  <c r="D16" i="57"/>
  <c r="T16" i="57"/>
  <c r="AA16" i="55"/>
  <c r="AA75" i="55"/>
  <c r="AA39" i="57"/>
  <c r="N75" i="57"/>
  <c r="H75" i="57"/>
  <c r="P75" i="57"/>
  <c r="X75" i="57"/>
  <c r="R75" i="57"/>
  <c r="L75" i="57"/>
  <c r="Z16" i="55"/>
  <c r="Z54" i="57"/>
  <c r="Z67" i="59"/>
  <c r="Z71" i="59"/>
  <c r="Z75" i="59"/>
  <c r="Z83" i="59"/>
  <c r="AA20" i="59"/>
  <c r="AA67" i="59"/>
  <c r="AA71" i="59"/>
  <c r="AA75" i="59"/>
  <c r="AA77" i="59"/>
  <c r="AA83" i="59"/>
  <c r="Z39" i="55"/>
  <c r="Z16" i="57"/>
  <c r="Z75" i="57"/>
  <c r="Z68" i="59"/>
  <c r="Z72" i="59"/>
  <c r="Z76" i="59"/>
  <c r="AA118" i="59"/>
  <c r="AA122" i="59"/>
  <c r="Z65" i="59"/>
  <c r="Z69" i="59"/>
  <c r="Z73" i="59"/>
  <c r="Z77" i="59"/>
  <c r="Z81" i="59"/>
  <c r="Z85" i="59"/>
  <c r="Z89" i="59"/>
  <c r="Z119" i="59"/>
  <c r="AA65" i="59"/>
  <c r="AA85" i="59"/>
  <c r="AA99" i="59"/>
  <c r="AA103" i="59"/>
  <c r="AA107" i="59"/>
  <c r="AA111" i="59"/>
  <c r="AA115" i="59"/>
  <c r="AA119" i="59"/>
  <c r="Z66" i="59"/>
  <c r="Z70" i="59"/>
  <c r="Z74" i="59"/>
  <c r="Z78" i="59"/>
  <c r="Z82" i="59"/>
  <c r="Z86" i="59"/>
  <c r="Z90" i="59"/>
  <c r="Z100" i="59"/>
  <c r="Z104" i="59"/>
  <c r="Z108" i="59"/>
  <c r="Z112" i="59"/>
  <c r="Z116" i="59"/>
  <c r="Z120" i="59"/>
  <c r="AA100" i="59"/>
  <c r="AA104" i="59"/>
  <c r="AA108" i="59"/>
  <c r="AA112" i="59"/>
  <c r="AA116" i="59"/>
  <c r="AA120" i="59"/>
  <c r="Z20" i="59"/>
  <c r="AA95" i="59" s="1"/>
  <c r="Z93" i="59"/>
  <c r="Z97" i="59"/>
  <c r="Z101" i="59"/>
  <c r="Z105" i="59"/>
  <c r="Z109" i="59"/>
  <c r="Z113" i="59"/>
  <c r="Z117" i="59"/>
  <c r="Z121" i="59"/>
  <c r="Z21" i="59"/>
  <c r="Z94" i="59"/>
  <c r="Z98" i="59"/>
  <c r="Z102" i="59"/>
  <c r="Z106" i="59"/>
  <c r="Z110" i="59"/>
  <c r="Z114" i="59"/>
  <c r="Z118" i="59"/>
  <c r="Z122" i="59"/>
  <c r="AA9" i="59" l="1"/>
  <c r="AA10" i="59" s="1"/>
  <c r="Z9" i="59"/>
  <c r="Z10" i="59" s="1"/>
  <c r="AA12" i="59"/>
  <c r="AA13" i="59" s="1"/>
  <c r="Z12" i="59"/>
  <c r="Z13" i="59" s="1"/>
  <c r="AA96" i="59"/>
  <c r="X12" i="59"/>
  <c r="X13" i="59" s="1"/>
  <c r="P12" i="59"/>
  <c r="H12" i="59"/>
  <c r="O12" i="59"/>
  <c r="M12" i="59"/>
  <c r="J12" i="59"/>
  <c r="W12" i="59"/>
  <c r="W13" i="59" s="1"/>
  <c r="G12" i="59"/>
  <c r="Y12" i="59"/>
  <c r="Y13" i="59" s="1"/>
  <c r="V12" i="59"/>
  <c r="V13" i="59" s="1"/>
  <c r="N12" i="59"/>
  <c r="F12" i="59"/>
  <c r="U12" i="59"/>
  <c r="U13" i="59" s="1"/>
  <c r="E12" i="59"/>
  <c r="Q12" i="59"/>
  <c r="T12" i="59"/>
  <c r="T13" i="59" s="1"/>
  <c r="L12" i="59"/>
  <c r="D12" i="59"/>
  <c r="S12" i="59"/>
  <c r="K12" i="59"/>
  <c r="R12" i="59"/>
  <c r="I12" i="59"/>
  <c r="U9" i="59"/>
  <c r="U10" i="59" s="1"/>
  <c r="M9" i="59"/>
  <c r="E9" i="59"/>
  <c r="T9" i="59"/>
  <c r="T10" i="59" s="1"/>
  <c r="D9" i="59"/>
  <c r="V9" i="59"/>
  <c r="V10" i="59" s="1"/>
  <c r="N9" i="59"/>
  <c r="L9" i="59"/>
  <c r="R9" i="59"/>
  <c r="J9" i="59"/>
  <c r="O9" i="59"/>
  <c r="G9" i="59"/>
  <c r="F9" i="59"/>
  <c r="S9" i="59"/>
  <c r="K9" i="59"/>
  <c r="X9" i="59"/>
  <c r="X10" i="59" s="1"/>
  <c r="W9" i="59"/>
  <c r="W10" i="59" s="1"/>
  <c r="Q9" i="59"/>
  <c r="I9" i="59"/>
  <c r="Y9" i="59"/>
  <c r="Y10" i="59" s="1"/>
  <c r="P9" i="59"/>
  <c r="H9" i="59"/>
  <c r="Y21" i="59"/>
  <c r="Z96" i="59" s="1"/>
  <c r="W21" i="59"/>
  <c r="Y20" i="59"/>
  <c r="Z95" i="59" s="1"/>
  <c r="W20" i="59"/>
  <c r="V20" i="59"/>
  <c r="U93" i="59"/>
  <c r="Y89" i="59"/>
  <c r="T118" i="59"/>
  <c r="W117" i="59"/>
  <c r="U117" i="59"/>
  <c r="Y84" i="59"/>
  <c r="U116" i="59"/>
  <c r="Y115" i="59"/>
  <c r="Y114" i="59"/>
  <c r="W81" i="59"/>
  <c r="W112" i="59"/>
  <c r="T112" i="59"/>
  <c r="V111" i="59"/>
  <c r="W78" i="59"/>
  <c r="U110" i="59"/>
  <c r="Y77" i="59"/>
  <c r="U109" i="59"/>
  <c r="Y107" i="59"/>
  <c r="U107" i="59"/>
  <c r="Y74" i="59"/>
  <c r="T106" i="59"/>
  <c r="R106" i="59"/>
  <c r="L106" i="59"/>
  <c r="J106" i="59"/>
  <c r="Y105" i="59"/>
  <c r="W73" i="59"/>
  <c r="W105" i="59"/>
  <c r="Y71" i="59"/>
  <c r="Y103" i="59"/>
  <c r="U103" i="59"/>
  <c r="Y102" i="59"/>
  <c r="X102" i="59"/>
  <c r="W69" i="59"/>
  <c r="W101" i="59"/>
  <c r="U101" i="59"/>
  <c r="Y68" i="59"/>
  <c r="X100" i="59"/>
  <c r="T67" i="59"/>
  <c r="Y66" i="59"/>
  <c r="W98" i="59"/>
  <c r="T98" i="59"/>
  <c r="Y97" i="59"/>
  <c r="W67" i="59"/>
  <c r="V74" i="59"/>
  <c r="E106" i="59"/>
  <c r="X122" i="59"/>
  <c r="U115" i="59"/>
  <c r="V113" i="59"/>
  <c r="X110" i="59"/>
  <c r="W104" i="59"/>
  <c r="Y93" i="59"/>
  <c r="W90" i="59"/>
  <c r="T80" i="59"/>
  <c r="Y122" i="59"/>
  <c r="W122" i="59"/>
  <c r="T90" i="59"/>
  <c r="U121" i="59"/>
  <c r="Y120" i="59"/>
  <c r="W87" i="59"/>
  <c r="W84" i="59"/>
  <c r="V115" i="59"/>
  <c r="T83" i="59"/>
  <c r="Y82" i="59"/>
  <c r="W113" i="59"/>
  <c r="U113" i="59"/>
  <c r="Y80" i="59"/>
  <c r="W80" i="59"/>
  <c r="Y111" i="59"/>
  <c r="W110" i="59"/>
  <c r="U108" i="59"/>
  <c r="Y75" i="59"/>
  <c r="W75" i="59"/>
  <c r="W74" i="59"/>
  <c r="Y73" i="59"/>
  <c r="Y72" i="59"/>
  <c r="W72" i="59"/>
  <c r="V103" i="59"/>
  <c r="T71" i="59"/>
  <c r="Y70" i="59"/>
  <c r="V101" i="59"/>
  <c r="U100" i="59"/>
  <c r="Y67" i="59"/>
  <c r="Y99" i="59"/>
  <c r="Y65" i="59"/>
  <c r="W65" i="59"/>
  <c r="U94" i="59"/>
  <c r="X20" i="59"/>
  <c r="U20" i="59"/>
  <c r="W5" i="59"/>
  <c r="T5" i="59"/>
  <c r="Y5" i="59"/>
  <c r="X21" i="59"/>
  <c r="U5" i="59"/>
  <c r="U71" i="59" l="1"/>
  <c r="Y69" i="59"/>
  <c r="V94" i="59"/>
  <c r="U104" i="59"/>
  <c r="W111" i="59"/>
  <c r="X112" i="59"/>
  <c r="Y118" i="59"/>
  <c r="T119" i="59"/>
  <c r="W85" i="59"/>
  <c r="M106" i="59"/>
  <c r="G106" i="59"/>
  <c r="O106" i="59"/>
  <c r="W88" i="59"/>
  <c r="X78" i="59"/>
  <c r="W114" i="59"/>
  <c r="T110" i="59"/>
  <c r="X72" i="59"/>
  <c r="W76" i="59"/>
  <c r="X77" i="59"/>
  <c r="W86" i="59"/>
  <c r="W102" i="59"/>
  <c r="Y112" i="59"/>
  <c r="U75" i="59"/>
  <c r="X80" i="59"/>
  <c r="U87" i="59"/>
  <c r="U67" i="59"/>
  <c r="W79" i="59"/>
  <c r="V87" i="59"/>
  <c r="N106" i="59"/>
  <c r="V21" i="59"/>
  <c r="W96" i="59" s="1"/>
  <c r="T78" i="59"/>
  <c r="X69" i="59"/>
  <c r="X73" i="59"/>
  <c r="X76" i="59"/>
  <c r="V80" i="59"/>
  <c r="X114" i="59"/>
  <c r="H106" i="59"/>
  <c r="P106" i="59"/>
  <c r="X106" i="59"/>
  <c r="T75" i="59"/>
  <c r="Y98" i="59"/>
  <c r="V105" i="59"/>
  <c r="I106" i="59"/>
  <c r="Q106" i="59"/>
  <c r="Y106" i="59"/>
  <c r="W118" i="59"/>
  <c r="U120" i="59"/>
  <c r="W94" i="59"/>
  <c r="W68" i="59"/>
  <c r="V75" i="59"/>
  <c r="U99" i="59"/>
  <c r="K106" i="59"/>
  <c r="S106" i="59"/>
  <c r="T20" i="59"/>
  <c r="U95" i="59" s="1"/>
  <c r="U106" i="59"/>
  <c r="W97" i="59"/>
  <c r="V67" i="59"/>
  <c r="V72" i="59"/>
  <c r="F106" i="59"/>
  <c r="V106" i="59"/>
  <c r="W106" i="59"/>
  <c r="Y85" i="59"/>
  <c r="Y90" i="59"/>
  <c r="Y76" i="59"/>
  <c r="Y81" i="59"/>
  <c r="Y83" i="59"/>
  <c r="U90" i="59"/>
  <c r="V68" i="59"/>
  <c r="Y101" i="59"/>
  <c r="T70" i="59"/>
  <c r="W71" i="59"/>
  <c r="V76" i="59"/>
  <c r="W77" i="59"/>
  <c r="Y78" i="59"/>
  <c r="U111" i="59"/>
  <c r="U80" i="59"/>
  <c r="Y113" i="59"/>
  <c r="T82" i="59"/>
  <c r="W83" i="59"/>
  <c r="X84" i="59"/>
  <c r="Y119" i="59"/>
  <c r="W89" i="59"/>
  <c r="Y88" i="59"/>
  <c r="Y86" i="59"/>
  <c r="Y79" i="59"/>
  <c r="Y95" i="59"/>
  <c r="W95" i="59"/>
  <c r="Y94" i="59"/>
  <c r="W93" i="59"/>
  <c r="V95" i="59"/>
  <c r="Y96" i="59"/>
  <c r="U78" i="59"/>
  <c r="Y87" i="59"/>
  <c r="U66" i="59"/>
  <c r="U70" i="59"/>
  <c r="U74" i="59"/>
  <c r="U112" i="59"/>
  <c r="U84" i="59"/>
  <c r="W121" i="59"/>
  <c r="U97" i="59"/>
  <c r="U105" i="59"/>
  <c r="Y110" i="59"/>
  <c r="X81" i="59"/>
  <c r="U86" i="59"/>
  <c r="V97" i="59"/>
  <c r="X98" i="59"/>
  <c r="W109" i="59"/>
  <c r="U83" i="59"/>
  <c r="W108" i="59"/>
  <c r="X74" i="59"/>
  <c r="T79" i="59"/>
  <c r="U88" i="59"/>
  <c r="U68" i="59"/>
  <c r="U72" i="59"/>
  <c r="U76" i="59"/>
  <c r="U79" i="59"/>
  <c r="U82" i="59"/>
  <c r="W100" i="59"/>
  <c r="X96" i="59"/>
  <c r="X95" i="59"/>
  <c r="W70" i="59"/>
  <c r="T66" i="59"/>
  <c r="X68" i="59"/>
  <c r="V71" i="59"/>
  <c r="T74" i="59"/>
  <c r="V83" i="59"/>
  <c r="T86" i="59"/>
  <c r="X88" i="59"/>
  <c r="V93" i="59"/>
  <c r="X94" i="59"/>
  <c r="T100" i="59"/>
  <c r="T104" i="59"/>
  <c r="T116" i="59"/>
  <c r="V117" i="59"/>
  <c r="X118" i="59"/>
  <c r="V121" i="59"/>
  <c r="V5" i="59"/>
  <c r="T65" i="59"/>
  <c r="V66" i="59"/>
  <c r="X67" i="59"/>
  <c r="T69" i="59"/>
  <c r="V70" i="59"/>
  <c r="X71" i="59"/>
  <c r="T73" i="59"/>
  <c r="X75" i="59"/>
  <c r="T77" i="59"/>
  <c r="V78" i="59"/>
  <c r="X79" i="59"/>
  <c r="T81" i="59"/>
  <c r="V82" i="59"/>
  <c r="X83" i="59"/>
  <c r="T85" i="59"/>
  <c r="V86" i="59"/>
  <c r="X87" i="59"/>
  <c r="T89" i="59"/>
  <c r="V90" i="59"/>
  <c r="X93" i="59"/>
  <c r="X97" i="59"/>
  <c r="T99" i="59"/>
  <c r="V100" i="59"/>
  <c r="X101" i="59"/>
  <c r="T103" i="59"/>
  <c r="V104" i="59"/>
  <c r="X105" i="59"/>
  <c r="T107" i="59"/>
  <c r="V108" i="59"/>
  <c r="X109" i="59"/>
  <c r="T111" i="59"/>
  <c r="V112" i="59"/>
  <c r="X113" i="59"/>
  <c r="T115" i="59"/>
  <c r="V116" i="59"/>
  <c r="X117" i="59"/>
  <c r="V120" i="59"/>
  <c r="X121" i="59"/>
  <c r="W66" i="59"/>
  <c r="U89" i="59"/>
  <c r="Y117" i="59"/>
  <c r="Y121" i="59"/>
  <c r="T21" i="59"/>
  <c r="V65" i="59"/>
  <c r="V69" i="59"/>
  <c r="T84" i="59"/>
  <c r="T94" i="59"/>
  <c r="T102" i="59"/>
  <c r="V107" i="59"/>
  <c r="T122" i="59"/>
  <c r="U21" i="59"/>
  <c r="U98" i="59"/>
  <c r="W99" i="59"/>
  <c r="Y100" i="59"/>
  <c r="U102" i="59"/>
  <c r="W103" i="59"/>
  <c r="Y104" i="59"/>
  <c r="W107" i="59"/>
  <c r="Y108" i="59"/>
  <c r="U114" i="59"/>
  <c r="W115" i="59"/>
  <c r="Y116" i="59"/>
  <c r="U118" i="59"/>
  <c r="W119" i="59"/>
  <c r="U122" i="59"/>
  <c r="U81" i="59"/>
  <c r="Y109" i="59"/>
  <c r="W116" i="59"/>
  <c r="U119" i="59"/>
  <c r="X5" i="59"/>
  <c r="X66" i="59"/>
  <c r="X70" i="59"/>
  <c r="V73" i="59"/>
  <c r="T76" i="59"/>
  <c r="V77" i="59"/>
  <c r="V81" i="59"/>
  <c r="V85" i="59"/>
  <c r="T88" i="59"/>
  <c r="X90" i="59"/>
  <c r="V99" i="59"/>
  <c r="X104" i="59"/>
  <c r="X108" i="59"/>
  <c r="X120" i="59"/>
  <c r="X65" i="59"/>
  <c r="V84" i="59"/>
  <c r="X85" i="59"/>
  <c r="T87" i="59"/>
  <c r="V88" i="59"/>
  <c r="X89" i="59"/>
  <c r="T93" i="59"/>
  <c r="T97" i="59"/>
  <c r="V98" i="59"/>
  <c r="X99" i="59"/>
  <c r="T101" i="59"/>
  <c r="V102" i="59"/>
  <c r="X103" i="59"/>
  <c r="T105" i="59"/>
  <c r="X107" i="59"/>
  <c r="T109" i="59"/>
  <c r="V110" i="59"/>
  <c r="X111" i="59"/>
  <c r="T113" i="59"/>
  <c r="V114" i="59"/>
  <c r="X115" i="59"/>
  <c r="T117" i="59"/>
  <c r="V118" i="59"/>
  <c r="X119" i="59"/>
  <c r="T121" i="59"/>
  <c r="V122" i="59"/>
  <c r="U69" i="59"/>
  <c r="U73" i="59"/>
  <c r="W82" i="59"/>
  <c r="U85" i="59"/>
  <c r="W120" i="59"/>
  <c r="T68" i="59"/>
  <c r="T72" i="59"/>
  <c r="X82" i="59"/>
  <c r="X86" i="59"/>
  <c r="V89" i="59"/>
  <c r="T114" i="59"/>
  <c r="X116" i="59"/>
  <c r="V119" i="59"/>
  <c r="U65" i="59"/>
  <c r="U77" i="59"/>
  <c r="V79" i="59"/>
  <c r="T108" i="59"/>
  <c r="V109" i="59"/>
  <c r="T120" i="59"/>
  <c r="V96" i="59" l="1"/>
  <c r="U96" i="59"/>
  <c r="D13" i="59" l="1"/>
  <c r="D10" i="59"/>
  <c r="O13" i="59"/>
  <c r="E13" i="59"/>
  <c r="S13" i="59"/>
  <c r="R13" i="59"/>
  <c r="Q13" i="59"/>
  <c r="P13" i="59"/>
  <c r="N13" i="59"/>
  <c r="M13" i="59"/>
  <c r="L13" i="59"/>
  <c r="K13" i="59"/>
  <c r="J13" i="59"/>
  <c r="I13" i="59"/>
  <c r="H13" i="59"/>
  <c r="G13" i="59"/>
  <c r="F13" i="59"/>
  <c r="S10" i="59"/>
  <c r="R10" i="59"/>
  <c r="Q10" i="59"/>
  <c r="P10" i="59"/>
  <c r="O10" i="59"/>
  <c r="N10" i="59"/>
  <c r="M10" i="59"/>
  <c r="L10" i="59"/>
  <c r="K10" i="59"/>
  <c r="J10" i="59"/>
  <c r="I10" i="59"/>
  <c r="H10" i="59"/>
  <c r="G10" i="59"/>
  <c r="F10" i="59"/>
  <c r="E10" i="59"/>
  <c r="B7" i="4"/>
  <c r="B4" i="4"/>
  <c r="B6" i="4"/>
  <c r="B5" i="4"/>
  <c r="G5" i="59" l="1"/>
  <c r="S5" i="59"/>
  <c r="O5" i="59"/>
  <c r="R5" i="59"/>
  <c r="N5" i="59"/>
  <c r="J5" i="59"/>
  <c r="F5" i="59"/>
  <c r="K5" i="59"/>
  <c r="Q5" i="59"/>
  <c r="M5" i="59"/>
  <c r="I5" i="59"/>
  <c r="E5" i="59"/>
  <c r="P5" i="59"/>
  <c r="L5" i="59"/>
  <c r="H5" i="59"/>
  <c r="D5" i="59"/>
  <c r="S21" i="59" l="1"/>
  <c r="T96" i="59" s="1"/>
  <c r="N21" i="59" l="1"/>
  <c r="F21" i="59"/>
  <c r="I21" i="59"/>
  <c r="P21" i="59"/>
  <c r="K21" i="59"/>
  <c r="I94" i="59"/>
  <c r="H21" i="59"/>
  <c r="Q94" i="59"/>
  <c r="I96" i="59" l="1"/>
  <c r="F94" i="59"/>
  <c r="E21" i="59"/>
  <c r="F96" i="59" s="1"/>
  <c r="P94" i="59"/>
  <c r="O21" i="59"/>
  <c r="P96" i="59" s="1"/>
  <c r="N94" i="59"/>
  <c r="M21" i="59"/>
  <c r="N96" i="59" s="1"/>
  <c r="Q21" i="59"/>
  <c r="O94" i="59"/>
  <c r="O96" i="59" l="1"/>
  <c r="S94" i="59"/>
  <c r="R21" i="59"/>
  <c r="S96" i="59" s="1"/>
  <c r="E94" i="59"/>
  <c r="D21" i="59"/>
  <c r="E96" i="59" s="1"/>
  <c r="G21" i="59"/>
  <c r="H94" i="59"/>
  <c r="G94" i="59"/>
  <c r="M94" i="59"/>
  <c r="L21" i="59"/>
  <c r="L94" i="59"/>
  <c r="J21" i="59"/>
  <c r="K94" i="59"/>
  <c r="J94" i="59"/>
  <c r="R94" i="59"/>
  <c r="Q96" i="59"/>
  <c r="R96" i="59" l="1"/>
  <c r="H96" i="59"/>
  <c r="G96" i="59"/>
  <c r="K96" i="59"/>
  <c r="J96" i="59"/>
  <c r="M96" i="59"/>
  <c r="L96" i="59"/>
  <c r="S20" i="59" l="1"/>
  <c r="T95" i="59" s="1"/>
  <c r="S71" i="59"/>
  <c r="S70" i="59"/>
  <c r="S66" i="59"/>
  <c r="S72" i="59" l="1"/>
  <c r="G108" i="59"/>
  <c r="S69" i="59"/>
  <c r="S73" i="59"/>
  <c r="F108" i="59"/>
  <c r="I108" i="59"/>
  <c r="S108" i="59"/>
  <c r="M108" i="59"/>
  <c r="R108" i="59"/>
  <c r="L108" i="59"/>
  <c r="P108" i="59"/>
  <c r="S84" i="59"/>
  <c r="O103" i="59"/>
  <c r="N71" i="59"/>
  <c r="I81" i="59"/>
  <c r="J113" i="59"/>
  <c r="H77" i="59"/>
  <c r="I109" i="59"/>
  <c r="N100" i="59"/>
  <c r="M68" i="59"/>
  <c r="E81" i="59"/>
  <c r="F113" i="59"/>
  <c r="K107" i="59"/>
  <c r="J75" i="59"/>
  <c r="P102" i="59"/>
  <c r="O70" i="59"/>
  <c r="O73" i="59"/>
  <c r="P105" i="59"/>
  <c r="K70" i="59"/>
  <c r="L102" i="59"/>
  <c r="N105" i="59"/>
  <c r="M73" i="59"/>
  <c r="M100" i="59"/>
  <c r="L68" i="59"/>
  <c r="O99" i="59"/>
  <c r="N67" i="59"/>
  <c r="R70" i="59"/>
  <c r="S102" i="59"/>
  <c r="R73" i="59"/>
  <c r="S105" i="59"/>
  <c r="O107" i="59"/>
  <c r="N75" i="59"/>
  <c r="E103" i="59"/>
  <c r="D71" i="59"/>
  <c r="H70" i="59"/>
  <c r="I102" i="59"/>
  <c r="R65" i="59"/>
  <c r="R76" i="59"/>
  <c r="S97" i="59"/>
  <c r="Q101" i="59"/>
  <c r="P69" i="59"/>
  <c r="Q69" i="59"/>
  <c r="R101" i="59"/>
  <c r="K115" i="59"/>
  <c r="J83" i="59"/>
  <c r="K75" i="59"/>
  <c r="L107" i="59"/>
  <c r="O100" i="59"/>
  <c r="N68" i="59"/>
  <c r="K20" i="59"/>
  <c r="L93" i="59"/>
  <c r="Q70" i="59"/>
  <c r="R102" i="59"/>
  <c r="F115" i="59"/>
  <c r="E83" i="59"/>
  <c r="Q109" i="59"/>
  <c r="P77" i="59"/>
  <c r="O93" i="59"/>
  <c r="N20" i="59"/>
  <c r="G97" i="59"/>
  <c r="F65" i="59"/>
  <c r="F76" i="59"/>
  <c r="K104" i="59"/>
  <c r="J72" i="59"/>
  <c r="G105" i="59"/>
  <c r="F73" i="59"/>
  <c r="Q81" i="59"/>
  <c r="R113" i="59"/>
  <c r="E104" i="59"/>
  <c r="D72" i="59"/>
  <c r="I83" i="59"/>
  <c r="J115" i="59"/>
  <c r="F74" i="59"/>
  <c r="L99" i="59"/>
  <c r="K67" i="59"/>
  <c r="H68" i="59"/>
  <c r="I100" i="59"/>
  <c r="H82" i="59"/>
  <c r="I114" i="59"/>
  <c r="O77" i="59"/>
  <c r="P109" i="59"/>
  <c r="M77" i="59"/>
  <c r="N109" i="59"/>
  <c r="H73" i="59"/>
  <c r="I105" i="59"/>
  <c r="K74" i="59"/>
  <c r="F100" i="59"/>
  <c r="E68" i="59"/>
  <c r="N74" i="59"/>
  <c r="S82" i="59"/>
  <c r="H113" i="59"/>
  <c r="G81" i="59"/>
  <c r="I93" i="59"/>
  <c r="H20" i="59"/>
  <c r="M107" i="59"/>
  <c r="L75" i="59"/>
  <c r="S65" i="59"/>
  <c r="S76" i="59"/>
  <c r="E71" i="59"/>
  <c r="F103" i="59"/>
  <c r="H71" i="59"/>
  <c r="I103" i="59"/>
  <c r="H83" i="59"/>
  <c r="I115" i="59"/>
  <c r="J103" i="59"/>
  <c r="I71" i="59"/>
  <c r="K103" i="59"/>
  <c r="J71" i="59"/>
  <c r="K71" i="59"/>
  <c r="L103" i="59"/>
  <c r="Q102" i="59"/>
  <c r="P70" i="59"/>
  <c r="J100" i="59"/>
  <c r="I68" i="59"/>
  <c r="M104" i="59"/>
  <c r="L72" i="59"/>
  <c r="H115" i="59"/>
  <c r="G83" i="59"/>
  <c r="L105" i="59"/>
  <c r="K73" i="59"/>
  <c r="R67" i="59"/>
  <c r="S99" i="59"/>
  <c r="K102" i="59"/>
  <c r="J70" i="59"/>
  <c r="L114" i="59"/>
  <c r="K82" i="59"/>
  <c r="H85" i="59"/>
  <c r="S85" i="59"/>
  <c r="K98" i="59"/>
  <c r="J66" i="59"/>
  <c r="R116" i="59"/>
  <c r="Q84" i="59"/>
  <c r="S80" i="59"/>
  <c r="L66" i="59"/>
  <c r="H98" i="59"/>
  <c r="G66" i="59"/>
  <c r="Q98" i="59"/>
  <c r="P66" i="59"/>
  <c r="F84" i="59"/>
  <c r="S86" i="59"/>
  <c r="H80" i="59"/>
  <c r="P116" i="59"/>
  <c r="O84" i="59"/>
  <c r="M119" i="59"/>
  <c r="L87" i="59"/>
  <c r="G93" i="59"/>
  <c r="F20" i="59"/>
  <c r="M102" i="59"/>
  <c r="L70" i="59"/>
  <c r="J74" i="59"/>
  <c r="N102" i="59"/>
  <c r="M70" i="59"/>
  <c r="M82" i="59"/>
  <c r="N114" i="59"/>
  <c r="P101" i="59"/>
  <c r="O69" i="59"/>
  <c r="O74" i="59"/>
  <c r="M20" i="59"/>
  <c r="N93" i="59"/>
  <c r="D69" i="59"/>
  <c r="E101" i="59"/>
  <c r="N99" i="59"/>
  <c r="M67" i="59"/>
  <c r="Q74" i="59"/>
  <c r="Q103" i="59"/>
  <c r="P71" i="59"/>
  <c r="L113" i="59"/>
  <c r="K81" i="59"/>
  <c r="K113" i="59"/>
  <c r="J81" i="59"/>
  <c r="P104" i="59"/>
  <c r="O72" i="59"/>
  <c r="H74" i="59"/>
  <c r="R68" i="59"/>
  <c r="S100" i="59"/>
  <c r="F107" i="59"/>
  <c r="E75" i="59"/>
  <c r="M114" i="59"/>
  <c r="L82" i="59"/>
  <c r="Q71" i="59"/>
  <c r="R103" i="59"/>
  <c r="R75" i="59"/>
  <c r="S107" i="59"/>
  <c r="P74" i="59"/>
  <c r="P76" i="59"/>
  <c r="Q97" i="59"/>
  <c r="P65" i="59"/>
  <c r="Q72" i="59"/>
  <c r="R104" i="59"/>
  <c r="H103" i="59"/>
  <c r="G71" i="59"/>
  <c r="M113" i="59"/>
  <c r="L81" i="59"/>
  <c r="G113" i="59"/>
  <c r="F81" i="59"/>
  <c r="P103" i="59"/>
  <c r="O71" i="59"/>
  <c r="L74" i="59"/>
  <c r="G115" i="59"/>
  <c r="F83" i="59"/>
  <c r="R74" i="59"/>
  <c r="H100" i="59"/>
  <c r="G68" i="59"/>
  <c r="O109" i="59"/>
  <c r="N77" i="59"/>
  <c r="M103" i="59"/>
  <c r="L71" i="59"/>
  <c r="S81" i="59"/>
  <c r="P115" i="59"/>
  <c r="O83" i="59"/>
  <c r="F102" i="59"/>
  <c r="E70" i="59"/>
  <c r="G100" i="59"/>
  <c r="F68" i="59"/>
  <c r="P114" i="59"/>
  <c r="O82" i="59"/>
  <c r="L65" i="59"/>
  <c r="M97" i="59"/>
  <c r="L76" i="59"/>
  <c r="M76" i="59"/>
  <c r="N97" i="59"/>
  <c r="M65" i="59"/>
  <c r="E73" i="59"/>
  <c r="F105" i="59"/>
  <c r="G109" i="59"/>
  <c r="F77" i="59"/>
  <c r="H75" i="59"/>
  <c r="I107" i="59"/>
  <c r="G77" i="59"/>
  <c r="H109" i="59"/>
  <c r="J105" i="59"/>
  <c r="I73" i="59"/>
  <c r="F114" i="59"/>
  <c r="E82" i="59"/>
  <c r="K105" i="59"/>
  <c r="J73" i="59"/>
  <c r="G72" i="59"/>
  <c r="H104" i="59"/>
  <c r="H81" i="59"/>
  <c r="I113" i="59"/>
  <c r="J102" i="59"/>
  <c r="I70" i="59"/>
  <c r="J20" i="59"/>
  <c r="K93" i="59"/>
  <c r="O102" i="59"/>
  <c r="N70" i="59"/>
  <c r="H67" i="59"/>
  <c r="I99" i="59"/>
  <c r="G74" i="59"/>
  <c r="Q100" i="59"/>
  <c r="P68" i="59"/>
  <c r="P20" i="59"/>
  <c r="Q93" i="59"/>
  <c r="H72" i="59"/>
  <c r="I104" i="59"/>
  <c r="H66" i="59"/>
  <c r="F98" i="59"/>
  <c r="E66" i="59"/>
  <c r="R98" i="59"/>
  <c r="Q66" i="59"/>
  <c r="K84" i="59"/>
  <c r="K66" i="59"/>
  <c r="L98" i="59"/>
  <c r="R84" i="59"/>
  <c r="S116" i="59"/>
  <c r="K101" i="59"/>
  <c r="J69" i="59"/>
  <c r="Q105" i="59"/>
  <c r="P73" i="59"/>
  <c r="D81" i="59"/>
  <c r="E113" i="59"/>
  <c r="N104" i="59"/>
  <c r="M72" i="59"/>
  <c r="R115" i="59"/>
  <c r="Q83" i="59"/>
  <c r="P93" i="59"/>
  <c r="O20" i="59"/>
  <c r="O81" i="59"/>
  <c r="P113" i="59"/>
  <c r="N101" i="59"/>
  <c r="M69" i="59"/>
  <c r="Q82" i="59"/>
  <c r="R114" i="59"/>
  <c r="Q76" i="59"/>
  <c r="R97" i="59"/>
  <c r="Q65" i="59"/>
  <c r="R69" i="59"/>
  <c r="S101" i="59"/>
  <c r="S77" i="59"/>
  <c r="O115" i="59"/>
  <c r="N83" i="59"/>
  <c r="E77" i="59"/>
  <c r="F109" i="59"/>
  <c r="O65" i="59"/>
  <c r="P97" i="59"/>
  <c r="O76" i="59"/>
  <c r="Q73" i="59"/>
  <c r="R105" i="59"/>
  <c r="R77" i="59"/>
  <c r="S109" i="59"/>
  <c r="E107" i="59"/>
  <c r="D75" i="59"/>
  <c r="F97" i="59"/>
  <c r="E65" i="59"/>
  <c r="E76" i="59"/>
  <c r="Q99" i="59"/>
  <c r="P67" i="59"/>
  <c r="M81" i="59"/>
  <c r="N113" i="59"/>
  <c r="G114" i="59"/>
  <c r="F82" i="59"/>
  <c r="P107" i="59"/>
  <c r="O75" i="59"/>
  <c r="G107" i="59"/>
  <c r="F75" i="59"/>
  <c r="G102" i="59"/>
  <c r="F70" i="59"/>
  <c r="G65" i="59"/>
  <c r="H97" i="59"/>
  <c r="G76" i="59"/>
  <c r="S75" i="59"/>
  <c r="D77" i="59"/>
  <c r="E109" i="59"/>
  <c r="M99" i="59"/>
  <c r="L67" i="59"/>
  <c r="K99" i="59"/>
  <c r="J67" i="59"/>
  <c r="O101" i="59"/>
  <c r="N69" i="59"/>
  <c r="K114" i="59"/>
  <c r="J82" i="59"/>
  <c r="M93" i="59"/>
  <c r="L20" i="59"/>
  <c r="F104" i="59"/>
  <c r="E72" i="59"/>
  <c r="O105" i="59"/>
  <c r="N73" i="59"/>
  <c r="O114" i="59"/>
  <c r="N82" i="59"/>
  <c r="K69" i="59"/>
  <c r="L101" i="59"/>
  <c r="G101" i="59"/>
  <c r="F69" i="59"/>
  <c r="M101" i="59"/>
  <c r="L69" i="59"/>
  <c r="G20" i="59"/>
  <c r="H93" i="59"/>
  <c r="E67" i="59"/>
  <c r="F99" i="59"/>
  <c r="J114" i="59"/>
  <c r="I82" i="59"/>
  <c r="S68" i="59"/>
  <c r="I67" i="59"/>
  <c r="J99" i="59"/>
  <c r="M74" i="59"/>
  <c r="O113" i="59"/>
  <c r="N81" i="59"/>
  <c r="L109" i="59"/>
  <c r="K77" i="59"/>
  <c r="J104" i="59"/>
  <c r="I72" i="59"/>
  <c r="O104" i="59"/>
  <c r="N72" i="59"/>
  <c r="S67" i="59"/>
  <c r="M109" i="59"/>
  <c r="L77" i="59"/>
  <c r="E105" i="59"/>
  <c r="D73" i="59"/>
  <c r="E99" i="59"/>
  <c r="D67" i="59"/>
  <c r="H84" i="59"/>
  <c r="I116" i="59"/>
  <c r="I84" i="59"/>
  <c r="J116" i="59"/>
  <c r="S88" i="59"/>
  <c r="G98" i="59"/>
  <c r="F66" i="59"/>
  <c r="K116" i="59"/>
  <c r="J84" i="59"/>
  <c r="R93" i="59"/>
  <c r="Q20" i="59"/>
  <c r="Q107" i="59"/>
  <c r="P75" i="59"/>
  <c r="E114" i="59"/>
  <c r="D82" i="59"/>
  <c r="I75" i="59"/>
  <c r="J107" i="59"/>
  <c r="K72" i="59"/>
  <c r="L104" i="59"/>
  <c r="N76" i="59"/>
  <c r="O97" i="59"/>
  <c r="N65" i="59"/>
  <c r="Q113" i="59"/>
  <c r="P81" i="59"/>
  <c r="M105" i="59"/>
  <c r="L73" i="59"/>
  <c r="N103" i="59"/>
  <c r="M71" i="59"/>
  <c r="R72" i="59"/>
  <c r="S104" i="59"/>
  <c r="Q115" i="59"/>
  <c r="P83" i="59"/>
  <c r="R71" i="59"/>
  <c r="S103" i="59"/>
  <c r="G103" i="59"/>
  <c r="F71" i="59"/>
  <c r="K83" i="59"/>
  <c r="L115" i="59"/>
  <c r="K76" i="59"/>
  <c r="L97" i="59"/>
  <c r="K65" i="59"/>
  <c r="E97" i="59"/>
  <c r="D76" i="59"/>
  <c r="D65" i="59"/>
  <c r="S74" i="59"/>
  <c r="G99" i="59"/>
  <c r="F67" i="59"/>
  <c r="Q67" i="59"/>
  <c r="R99" i="59"/>
  <c r="I77" i="59"/>
  <c r="J109" i="59"/>
  <c r="R82" i="59"/>
  <c r="S114" i="59"/>
  <c r="S93" i="59"/>
  <c r="R20" i="59"/>
  <c r="S95" i="59" s="1"/>
  <c r="R100" i="59"/>
  <c r="Q68" i="59"/>
  <c r="D74" i="59"/>
  <c r="H107" i="59"/>
  <c r="G75" i="59"/>
  <c r="G82" i="59"/>
  <c r="H114" i="59"/>
  <c r="J76" i="59"/>
  <c r="K97" i="59"/>
  <c r="J65" i="59"/>
  <c r="N107" i="59"/>
  <c r="M75" i="59"/>
  <c r="Q75" i="59"/>
  <c r="R107" i="59"/>
  <c r="G104" i="59"/>
  <c r="F72" i="59"/>
  <c r="E93" i="59"/>
  <c r="D20" i="59"/>
  <c r="S83" i="59"/>
  <c r="H99" i="59"/>
  <c r="G67" i="59"/>
  <c r="Q114" i="59"/>
  <c r="P82" i="59"/>
  <c r="I20" i="59"/>
  <c r="J93" i="59"/>
  <c r="E102" i="59"/>
  <c r="D70" i="59"/>
  <c r="O67" i="59"/>
  <c r="P99" i="59"/>
  <c r="I76" i="59"/>
  <c r="I65" i="59"/>
  <c r="J97" i="59"/>
  <c r="E74" i="59"/>
  <c r="L100" i="59"/>
  <c r="K68" i="59"/>
  <c r="R83" i="59"/>
  <c r="S115" i="59"/>
  <c r="G70" i="59"/>
  <c r="H102" i="59"/>
  <c r="R81" i="59"/>
  <c r="S113" i="59"/>
  <c r="Q104" i="59"/>
  <c r="P72" i="59"/>
  <c r="F101" i="59"/>
  <c r="E69" i="59"/>
  <c r="M83" i="59"/>
  <c r="N115" i="59"/>
  <c r="E100" i="59"/>
  <c r="D68" i="59"/>
  <c r="J101" i="59"/>
  <c r="I69" i="59"/>
  <c r="Q77" i="59"/>
  <c r="R109" i="59"/>
  <c r="H76" i="59"/>
  <c r="H65" i="59"/>
  <c r="I97" i="59"/>
  <c r="K100" i="59"/>
  <c r="J68" i="59"/>
  <c r="H105" i="59"/>
  <c r="G73" i="59"/>
  <c r="I74" i="59"/>
  <c r="H69" i="59"/>
  <c r="I101" i="59"/>
  <c r="F93" i="59"/>
  <c r="E20" i="59"/>
  <c r="K109" i="59"/>
  <c r="J77" i="59"/>
  <c r="O68" i="59"/>
  <c r="P100" i="59"/>
  <c r="H101" i="59"/>
  <c r="G69" i="59"/>
  <c r="E115" i="59"/>
  <c r="D83" i="59"/>
  <c r="M115" i="59"/>
  <c r="L83" i="59"/>
  <c r="O98" i="59"/>
  <c r="N66" i="59"/>
  <c r="S90" i="59"/>
  <c r="Q116" i="59"/>
  <c r="P84" i="59"/>
  <c r="M84" i="59"/>
  <c r="N116" i="59"/>
  <c r="S87" i="59"/>
  <c r="S89" i="59"/>
  <c r="N95" i="59" l="1"/>
  <c r="F95" i="59"/>
  <c r="P95" i="59"/>
  <c r="H95" i="59"/>
  <c r="J95" i="59"/>
  <c r="M95" i="59"/>
  <c r="K95" i="59"/>
  <c r="E108" i="59"/>
  <c r="K108" i="59"/>
  <c r="H108" i="59"/>
  <c r="J108" i="59"/>
  <c r="Q108" i="59"/>
  <c r="O108" i="59"/>
  <c r="N108" i="59"/>
  <c r="R118" i="59"/>
  <c r="Q86" i="59"/>
  <c r="H87" i="59"/>
  <c r="I119" i="59"/>
  <c r="F117" i="59"/>
  <c r="E85" i="59"/>
  <c r="O80" i="59"/>
  <c r="P112" i="59"/>
  <c r="R89" i="59"/>
  <c r="S121" i="59"/>
  <c r="O118" i="59"/>
  <c r="N86" i="59"/>
  <c r="E119" i="59"/>
  <c r="D87" i="59"/>
  <c r="E116" i="59"/>
  <c r="D84" i="59"/>
  <c r="K110" i="59"/>
  <c r="J78" i="59"/>
  <c r="O110" i="59"/>
  <c r="N78" i="59"/>
  <c r="N121" i="59"/>
  <c r="M89" i="59"/>
  <c r="E122" i="59"/>
  <c r="D90" i="59"/>
  <c r="J98" i="59"/>
  <c r="I66" i="59"/>
  <c r="E120" i="59"/>
  <c r="D88" i="59"/>
  <c r="S78" i="59"/>
  <c r="E121" i="59"/>
  <c r="D89" i="59"/>
  <c r="P117" i="59"/>
  <c r="O85" i="59"/>
  <c r="M118" i="59"/>
  <c r="L86" i="59"/>
  <c r="L122" i="59"/>
  <c r="K90" i="59"/>
  <c r="F116" i="59"/>
  <c r="E84" i="59"/>
  <c r="M87" i="59"/>
  <c r="N119" i="59"/>
  <c r="K112" i="59"/>
  <c r="J80" i="59"/>
  <c r="R122" i="59"/>
  <c r="Q90" i="59"/>
  <c r="F120" i="59"/>
  <c r="E88" i="59"/>
  <c r="P121" i="59"/>
  <c r="O89" i="59"/>
  <c r="R88" i="59"/>
  <c r="S120" i="59"/>
  <c r="H120" i="59"/>
  <c r="G88" i="59"/>
  <c r="M88" i="59"/>
  <c r="N120" i="59"/>
  <c r="Q79" i="59"/>
  <c r="R111" i="59"/>
  <c r="H112" i="59"/>
  <c r="G80" i="59"/>
  <c r="H117" i="59"/>
  <c r="G85" i="59"/>
  <c r="H121" i="59"/>
  <c r="G89" i="59"/>
  <c r="R86" i="59"/>
  <c r="S118" i="59"/>
  <c r="I88" i="59"/>
  <c r="J120" i="59"/>
  <c r="O121" i="59"/>
  <c r="N89" i="59"/>
  <c r="M122" i="59"/>
  <c r="L90" i="59"/>
  <c r="M111" i="59"/>
  <c r="L79" i="59"/>
  <c r="M78" i="59"/>
  <c r="N110" i="59"/>
  <c r="G121" i="59"/>
  <c r="F89" i="59"/>
  <c r="R79" i="59"/>
  <c r="S111" i="59"/>
  <c r="G110" i="59"/>
  <c r="F78" i="59"/>
  <c r="H86" i="59"/>
  <c r="I118" i="59"/>
  <c r="Q89" i="59"/>
  <c r="R121" i="59"/>
  <c r="I86" i="59"/>
  <c r="J118" i="59"/>
  <c r="L120" i="59"/>
  <c r="K88" i="59"/>
  <c r="Q111" i="59"/>
  <c r="P79" i="59"/>
  <c r="I90" i="59"/>
  <c r="J122" i="59"/>
  <c r="G90" i="59"/>
  <c r="H122" i="59"/>
  <c r="Q95" i="59"/>
  <c r="G95" i="59"/>
  <c r="M85" i="59"/>
  <c r="N117" i="59"/>
  <c r="Q80" i="59"/>
  <c r="R112" i="59"/>
  <c r="L111" i="59"/>
  <c r="K79" i="59"/>
  <c r="J117" i="59"/>
  <c r="I85" i="59"/>
  <c r="J121" i="59"/>
  <c r="I89" i="59"/>
  <c r="H110" i="59"/>
  <c r="G78" i="59"/>
  <c r="I95" i="59"/>
  <c r="J111" i="59"/>
  <c r="I79" i="59"/>
  <c r="K89" i="59"/>
  <c r="L121" i="59"/>
  <c r="E118" i="59"/>
  <c r="D86" i="59"/>
  <c r="G117" i="59"/>
  <c r="F85" i="59"/>
  <c r="O112" i="59"/>
  <c r="N80" i="59"/>
  <c r="F112" i="59"/>
  <c r="E80" i="59"/>
  <c r="H111" i="59"/>
  <c r="G79" i="59"/>
  <c r="J112" i="59"/>
  <c r="I80" i="59"/>
  <c r="E95" i="59"/>
  <c r="I98" i="59"/>
  <c r="R87" i="59"/>
  <c r="S119" i="59"/>
  <c r="F118" i="59"/>
  <c r="E86" i="59"/>
  <c r="K122" i="59"/>
  <c r="J90" i="59"/>
  <c r="O119" i="59"/>
  <c r="N87" i="59"/>
  <c r="O117" i="59"/>
  <c r="N85" i="59"/>
  <c r="Q112" i="59"/>
  <c r="P80" i="59"/>
  <c r="H118" i="59"/>
  <c r="G86" i="59"/>
  <c r="E110" i="59"/>
  <c r="D78" i="59"/>
  <c r="I117" i="59"/>
  <c r="R95" i="59"/>
  <c r="M117" i="59"/>
  <c r="L85" i="59"/>
  <c r="P120" i="59"/>
  <c r="O88" i="59"/>
  <c r="K120" i="59"/>
  <c r="J88" i="59"/>
  <c r="M90" i="59"/>
  <c r="N122" i="59"/>
  <c r="G112" i="59"/>
  <c r="F80" i="59"/>
  <c r="F119" i="59"/>
  <c r="E87" i="59"/>
  <c r="M121" i="59"/>
  <c r="L89" i="59"/>
  <c r="M116" i="59"/>
  <c r="L84" i="59"/>
  <c r="P98" i="59"/>
  <c r="O66" i="59"/>
  <c r="H90" i="59"/>
  <c r="I122" i="59"/>
  <c r="F111" i="59"/>
  <c r="E79" i="59"/>
  <c r="H79" i="59"/>
  <c r="I111" i="59"/>
  <c r="N98" i="59"/>
  <c r="M66" i="59"/>
  <c r="M86" i="59"/>
  <c r="N118" i="59"/>
  <c r="G118" i="59"/>
  <c r="F86" i="59"/>
  <c r="G119" i="59"/>
  <c r="F87" i="59"/>
  <c r="P111" i="59"/>
  <c r="O79" i="59"/>
  <c r="L117" i="59"/>
  <c r="K85" i="59"/>
  <c r="E98" i="59"/>
  <c r="D66" i="59"/>
  <c r="M120" i="59"/>
  <c r="L88" i="59"/>
  <c r="K80" i="59"/>
  <c r="L112" i="59"/>
  <c r="O95" i="59"/>
  <c r="E112" i="59"/>
  <c r="D80" i="59"/>
  <c r="K121" i="59"/>
  <c r="J89" i="59"/>
  <c r="P110" i="59"/>
  <c r="O78" i="59"/>
  <c r="Q78" i="59"/>
  <c r="R110" i="59"/>
  <c r="R120" i="59"/>
  <c r="Q88" i="59"/>
  <c r="P88" i="59"/>
  <c r="Q120" i="59"/>
  <c r="K111" i="59"/>
  <c r="J79" i="59"/>
  <c r="R78" i="59"/>
  <c r="S110" i="59"/>
  <c r="O90" i="59"/>
  <c r="P122" i="59"/>
  <c r="E111" i="59"/>
  <c r="D79" i="59"/>
  <c r="L116" i="59"/>
  <c r="M80" i="59"/>
  <c r="N112" i="59"/>
  <c r="H89" i="59"/>
  <c r="I121" i="59"/>
  <c r="G87" i="59"/>
  <c r="H119" i="59"/>
  <c r="L110" i="59"/>
  <c r="K78" i="59"/>
  <c r="R90" i="59"/>
  <c r="S122" i="59"/>
  <c r="O116" i="59"/>
  <c r="N84" i="59"/>
  <c r="M112" i="59"/>
  <c r="L80" i="59"/>
  <c r="R119" i="59"/>
  <c r="Q87" i="59"/>
  <c r="I87" i="59"/>
  <c r="J119" i="59"/>
  <c r="F122" i="59"/>
  <c r="E90" i="59"/>
  <c r="Q119" i="59"/>
  <c r="P87" i="59"/>
  <c r="O120" i="59"/>
  <c r="N88" i="59"/>
  <c r="P118" i="59"/>
  <c r="O86" i="59"/>
  <c r="H78" i="59"/>
  <c r="I110" i="59"/>
  <c r="G120" i="59"/>
  <c r="F88" i="59"/>
  <c r="K87" i="59"/>
  <c r="L119" i="59"/>
  <c r="R85" i="59"/>
  <c r="S117" i="59"/>
  <c r="L118" i="59"/>
  <c r="K86" i="59"/>
  <c r="E89" i="59"/>
  <c r="F121" i="59"/>
  <c r="S79" i="59"/>
  <c r="Q118" i="59"/>
  <c r="P86" i="59"/>
  <c r="P89" i="59"/>
  <c r="Q121" i="59"/>
  <c r="R80" i="59"/>
  <c r="S112" i="59"/>
  <c r="K117" i="59"/>
  <c r="J85" i="59"/>
  <c r="G111" i="59"/>
  <c r="F79" i="59"/>
  <c r="K118" i="59"/>
  <c r="J86" i="59"/>
  <c r="I112" i="59"/>
  <c r="M98" i="59"/>
  <c r="J110" i="59"/>
  <c r="I78" i="59"/>
  <c r="P90" i="59"/>
  <c r="Q122" i="59"/>
  <c r="P119" i="59"/>
  <c r="O87" i="59"/>
  <c r="R66" i="59"/>
  <c r="S98" i="59"/>
  <c r="Q110" i="59"/>
  <c r="P78" i="59"/>
  <c r="D85" i="59"/>
  <c r="E117" i="59"/>
  <c r="M79" i="59"/>
  <c r="N111" i="59"/>
  <c r="O111" i="59"/>
  <c r="N79" i="59"/>
  <c r="F110" i="59"/>
  <c r="E78" i="59"/>
  <c r="H116" i="59"/>
  <c r="G84" i="59"/>
  <c r="Q85" i="59"/>
  <c r="R117" i="59"/>
  <c r="O122" i="59"/>
  <c r="N90" i="59"/>
  <c r="K119" i="59"/>
  <c r="J87" i="59"/>
  <c r="G116" i="59"/>
  <c r="H88" i="59"/>
  <c r="I120" i="59"/>
  <c r="M110" i="59"/>
  <c r="L78" i="59"/>
  <c r="Q117" i="59"/>
  <c r="P85" i="59"/>
  <c r="G122" i="59"/>
  <c r="F90" i="59"/>
  <c r="L95" i="59"/>
  <c r="S16" i="55" l="1"/>
  <c r="V54" i="55"/>
  <c r="J16" i="55"/>
  <c r="P16" i="55"/>
  <c r="Y16" i="55"/>
  <c r="O16" i="55"/>
  <c r="R54" i="55"/>
  <c r="M16" i="55"/>
  <c r="X54" i="55"/>
  <c r="H54" i="55"/>
  <c r="L16" i="55"/>
  <c r="G54" i="55"/>
  <c r="F54" i="55"/>
  <c r="N16" i="55"/>
  <c r="W54" i="55"/>
  <c r="I54" i="55"/>
  <c r="E16" i="55"/>
  <c r="R16" i="55"/>
  <c r="T54" i="55"/>
  <c r="D54" i="55"/>
  <c r="X16" i="55"/>
  <c r="H16" i="55"/>
  <c r="Q54" i="55"/>
  <c r="W16" i="55"/>
  <c r="G16" i="55"/>
  <c r="Y54" i="55"/>
  <c r="N54" i="55"/>
  <c r="K54" i="55"/>
  <c r="M54" i="55"/>
  <c r="P54" i="55"/>
  <c r="Q16" i="55"/>
  <c r="O54" i="55"/>
  <c r="K16" i="55"/>
  <c r="U54" i="55"/>
  <c r="J54" i="55"/>
  <c r="V16" i="55"/>
  <c r="U16" i="55"/>
  <c r="T16" i="55"/>
  <c r="D16" i="55"/>
  <c r="L54" i="55"/>
  <c r="S54" i="55"/>
  <c r="F16" i="55"/>
  <c r="I16" i="55"/>
  <c r="E54" i="55"/>
  <c r="Y39" i="55" l="1"/>
  <c r="T39" i="55"/>
  <c r="G75" i="55"/>
  <c r="S39" i="55"/>
  <c r="R75" i="55"/>
  <c r="P75" i="55"/>
  <c r="Y75" i="55"/>
  <c r="I39" i="55"/>
  <c r="L75" i="55"/>
  <c r="H75" i="55"/>
  <c r="M75" i="55"/>
  <c r="O39" i="55"/>
  <c r="X39" i="55"/>
  <c r="J39" i="55"/>
  <c r="H39" i="55"/>
  <c r="K75" i="55"/>
  <c r="K39" i="55"/>
  <c r="Q39" i="55"/>
  <c r="N75" i="55"/>
  <c r="E75" i="55"/>
  <c r="G39" i="55"/>
  <c r="W75" i="55"/>
  <c r="D75" i="55"/>
  <c r="U75" i="55"/>
  <c r="X75" i="55"/>
  <c r="R39" i="55"/>
  <c r="I75" i="55"/>
  <c r="M39" i="55"/>
  <c r="U39" i="55"/>
  <c r="E39" i="55"/>
  <c r="F39" i="55"/>
  <c r="V39" i="55"/>
  <c r="F75" i="55"/>
  <c r="L39" i="55"/>
  <c r="S75" i="55"/>
  <c r="D39" i="55"/>
  <c r="V75" i="55"/>
  <c r="Q75" i="55"/>
  <c r="J75" i="55"/>
  <c r="W39" i="55"/>
  <c r="P39" i="55"/>
  <c r="N39" i="55"/>
  <c r="T75" i="55"/>
  <c r="O75" i="55"/>
</calcChain>
</file>

<file path=xl/sharedStrings.xml><?xml version="1.0" encoding="utf-8"?>
<sst xmlns="http://schemas.openxmlformats.org/spreadsheetml/2006/main" count="722" uniqueCount="281">
  <si>
    <t>Wood and wood products</t>
  </si>
  <si>
    <t>Textiles and leather</t>
  </si>
  <si>
    <t>Food, beverages and tobacco</t>
  </si>
  <si>
    <t>Pulp, paper and printing</t>
  </si>
  <si>
    <t>Non-metallic mineral products</t>
  </si>
  <si>
    <t>Iron and steel</t>
  </si>
  <si>
    <t>Click on the link to jump to the sheet</t>
  </si>
  <si>
    <t>Printing and reproduction of recorded media</t>
  </si>
  <si>
    <t>Pulp production</t>
  </si>
  <si>
    <t>Ceramics &amp; other NMM</t>
  </si>
  <si>
    <t>Cement</t>
  </si>
  <si>
    <t>Pharmaceutical products etc.</t>
  </si>
  <si>
    <t>Other chemicals</t>
  </si>
  <si>
    <t>Other non-ferrous metals</t>
  </si>
  <si>
    <t>Alumina production</t>
  </si>
  <si>
    <t>Electric arc</t>
  </si>
  <si>
    <t>Printing and media reproduction</t>
  </si>
  <si>
    <t xml:space="preserve">Paper production </t>
  </si>
  <si>
    <t xml:space="preserve">Glass production </t>
  </si>
  <si>
    <t>Aluminium production</t>
  </si>
  <si>
    <t xml:space="preserve">Basic chemicals </t>
  </si>
  <si>
    <t>Paper and paper products</t>
  </si>
  <si>
    <t>Legal Notice</t>
  </si>
  <si>
    <t>Neither the European Commission nor any person acting on behalf of the Commission is responsible for the use which might be made of this information.</t>
  </si>
  <si>
    <t>B1GM</t>
  </si>
  <si>
    <t>Gross domestic product at market prices</t>
  </si>
  <si>
    <t>P31_S14_S15</t>
  </si>
  <si>
    <t>Household and NPISH final consumption expenditure</t>
  </si>
  <si>
    <t>B1G</t>
  </si>
  <si>
    <t>Value added, gross</t>
  </si>
  <si>
    <t/>
  </si>
  <si>
    <t>nace 10</t>
  </si>
  <si>
    <t>A</t>
  </si>
  <si>
    <t>Agriculture, forestry and fishing</t>
  </si>
  <si>
    <t>B_E</t>
  </si>
  <si>
    <t>Industry (except construction)</t>
  </si>
  <si>
    <t>F</t>
  </si>
  <si>
    <t>Construction</t>
  </si>
  <si>
    <t>G_I</t>
  </si>
  <si>
    <t>Wholesale and retail trade, transport, accomodation and food service activities</t>
  </si>
  <si>
    <t>J</t>
  </si>
  <si>
    <t>Information and communication</t>
  </si>
  <si>
    <t>K</t>
  </si>
  <si>
    <t>Financial and insurance activities</t>
  </si>
  <si>
    <t>L</t>
  </si>
  <si>
    <t>Real estate activities</t>
  </si>
  <si>
    <t>M_N</t>
  </si>
  <si>
    <t>Professional, scientific and technical activities; administrative and support service activities</t>
  </si>
  <si>
    <t>O_Q</t>
  </si>
  <si>
    <t>Public administration, defence, education, human health and social work activities</t>
  </si>
  <si>
    <t>R_U</t>
  </si>
  <si>
    <t>Arts, entertainment and recreation; other service activities; activities of household and extra-territorial organizations and bodies</t>
  </si>
  <si>
    <t>TOTAL</t>
  </si>
  <si>
    <t>Total - All NACE activities</t>
  </si>
  <si>
    <t>nace 21</t>
  </si>
  <si>
    <t>B</t>
  </si>
  <si>
    <t>Mining and quarrying</t>
  </si>
  <si>
    <t>C</t>
  </si>
  <si>
    <t>Manufacturing</t>
  </si>
  <si>
    <t>D</t>
  </si>
  <si>
    <t>Electricity, gas, steam and air conditioning supply</t>
  </si>
  <si>
    <t>E</t>
  </si>
  <si>
    <t>Water supply; sewerage, waste management and remediation activities</t>
  </si>
  <si>
    <t>G</t>
  </si>
  <si>
    <t>Wholesale and retail trade; repair of motor vehicles and motorcycles</t>
  </si>
  <si>
    <t>H</t>
  </si>
  <si>
    <t>Transportation and storage</t>
  </si>
  <si>
    <t>I</t>
  </si>
  <si>
    <t>Accommodation and food service activities</t>
  </si>
  <si>
    <t>M</t>
  </si>
  <si>
    <t>Professional, scientific and technical activities</t>
  </si>
  <si>
    <t>N</t>
  </si>
  <si>
    <t>Administrative and support service activities</t>
  </si>
  <si>
    <t>O</t>
  </si>
  <si>
    <t>Public administration and defence; compulsory social security</t>
  </si>
  <si>
    <t>P</t>
  </si>
  <si>
    <t>Education</t>
  </si>
  <si>
    <t>Q</t>
  </si>
  <si>
    <t>Human health and social work activities</t>
  </si>
  <si>
    <t>R</t>
  </si>
  <si>
    <t>Arts, entertainment and recreation</t>
  </si>
  <si>
    <t>S</t>
  </si>
  <si>
    <t>Other service activities</t>
  </si>
  <si>
    <t>T</t>
  </si>
  <si>
    <t>Activities of households as employers; undifferentiated goods- and services-producing activities of households for own use</t>
  </si>
  <si>
    <t>U</t>
  </si>
  <si>
    <t>Activities of extraterritorial organisations and bodies</t>
  </si>
  <si>
    <t>nace 38 - industry</t>
  </si>
  <si>
    <t>C10_C12</t>
  </si>
  <si>
    <t>Manufacture of food products; beverages and tobacco products</t>
  </si>
  <si>
    <t>C13_C15</t>
  </si>
  <si>
    <t>Manufacture of textiles, wearing apparel, leather and related products</t>
  </si>
  <si>
    <t>C16_C18</t>
  </si>
  <si>
    <t>Manufacture of wood, paper, printing and reproduction</t>
  </si>
  <si>
    <t>C19</t>
  </si>
  <si>
    <t>Manufacture of coke and refined petroleum products</t>
  </si>
  <si>
    <t>C20</t>
  </si>
  <si>
    <t>Manufacture of chemicals and chemical products</t>
  </si>
  <si>
    <t>C21</t>
  </si>
  <si>
    <t>Manufacture of basic pharmaceutical products and pharmaceutical preparations</t>
  </si>
  <si>
    <t>C22_C23</t>
  </si>
  <si>
    <t>Manufacture of rubber and plastic products and other non-metallic mineral products</t>
  </si>
  <si>
    <t>C24_C25</t>
  </si>
  <si>
    <t>Manufacture of basic metals and fabricated metal products, except machinery and equipment</t>
  </si>
  <si>
    <t>C26</t>
  </si>
  <si>
    <t>Manufacture of computer, electronic and optical products</t>
  </si>
  <si>
    <t>C27</t>
  </si>
  <si>
    <t>Manufacture of electrical equipment</t>
  </si>
  <si>
    <t>C28</t>
  </si>
  <si>
    <t>Manufacture of machinery and equipment n.e.c.</t>
  </si>
  <si>
    <t>C29_C30</t>
  </si>
  <si>
    <t>Manufacture of motor vehicles, trailers, semi-trailers and of other transport equipment</t>
  </si>
  <si>
    <t>C31_C33</t>
  </si>
  <si>
    <t>Manufacture of furniture; jewellery, musical instruments, toys; repair and installation of machinery and equipment</t>
  </si>
  <si>
    <t>nace 64 - industry</t>
  </si>
  <si>
    <t>C16</t>
  </si>
  <si>
    <t>Manufacture of wood and of products of wood and cork, except furniture; manufacture of articles of straw and plaiting materials</t>
  </si>
  <si>
    <t>C17</t>
  </si>
  <si>
    <t>Manufacture of paper and paper products</t>
  </si>
  <si>
    <t>C18</t>
  </si>
  <si>
    <t>C22</t>
  </si>
  <si>
    <t>Manufacture of rubber and plastic products</t>
  </si>
  <si>
    <t>C23</t>
  </si>
  <si>
    <t>Manufacture of other non-metallic mineral products</t>
  </si>
  <si>
    <t>C24</t>
  </si>
  <si>
    <t>Manufacture of basic metals</t>
  </si>
  <si>
    <t>C25</t>
  </si>
  <si>
    <t>Manufacture of fabricated metal products, except machinery and equipment</t>
  </si>
  <si>
    <t>C29</t>
  </si>
  <si>
    <t>Manufacture of motor vehicles, trailers and semi-trailers</t>
  </si>
  <si>
    <t>C30</t>
  </si>
  <si>
    <t>Manufacture of other transport equipment</t>
  </si>
  <si>
    <t>C31_C32</t>
  </si>
  <si>
    <t>Manufacture of furniture; other manufacturing</t>
  </si>
  <si>
    <t>C33</t>
  </si>
  <si>
    <t>Repair and installation of machinery and equipment</t>
  </si>
  <si>
    <t>NACE code</t>
  </si>
  <si>
    <t>NACE Description</t>
  </si>
  <si>
    <t>Source</t>
  </si>
  <si>
    <t>Gross domestic product</t>
  </si>
  <si>
    <t>EUROSTAT Statistics: nama_gdp</t>
  </si>
  <si>
    <t>Household consumption expenditure</t>
  </si>
  <si>
    <t>Gross value added</t>
  </si>
  <si>
    <t>Gross value added (at basic prices)</t>
  </si>
  <si>
    <t>EUROSTAT Statistics: nama_nace10</t>
  </si>
  <si>
    <t>EUROSTAT Statistics: nama_nace21</t>
  </si>
  <si>
    <t>Services</t>
  </si>
  <si>
    <t>C33, E, G to U</t>
  </si>
  <si>
    <t>Heat-use intensive services</t>
  </si>
  <si>
    <t>H,I,O,P,Q,R</t>
  </si>
  <si>
    <t>Offices</t>
  </si>
  <si>
    <t>J,K,L,M,N,S,T,U</t>
  </si>
  <si>
    <t>Trade</t>
  </si>
  <si>
    <t>C33,E,G</t>
  </si>
  <si>
    <t>Energy sector</t>
  </si>
  <si>
    <t>C19, D</t>
  </si>
  <si>
    <t>EUROSTAT Statistics: nama_nace64</t>
  </si>
  <si>
    <t>C excluding C33</t>
  </si>
  <si>
    <t>Basic metals</t>
  </si>
  <si>
    <t>C241</t>
  </si>
  <si>
    <t>Manufacture of basic iron and steel and of ferro-alloys</t>
  </si>
  <si>
    <t>EUROSTAT Structural business statistics: sbs_ind_co</t>
  </si>
  <si>
    <t>C242</t>
  </si>
  <si>
    <t>Manufacture of tubes, pipes, hollow profiles and related fittings, of steel</t>
  </si>
  <si>
    <t>C243</t>
  </si>
  <si>
    <t>Manufacture of other products of first processing of steel</t>
  </si>
  <si>
    <t>C2451</t>
  </si>
  <si>
    <t>Casting of iron</t>
  </si>
  <si>
    <t>C2452</t>
  </si>
  <si>
    <t>Casting of steel</t>
  </si>
  <si>
    <t>Non ferrous metals</t>
  </si>
  <si>
    <t>C2442</t>
  </si>
  <si>
    <t>C2453</t>
  </si>
  <si>
    <t>Casting of light metals</t>
  </si>
  <si>
    <t>C2441</t>
  </si>
  <si>
    <t>Precious metals production</t>
  </si>
  <si>
    <t>C2443</t>
  </si>
  <si>
    <t>Lead, zinc and tin production</t>
  </si>
  <si>
    <t>C2444</t>
  </si>
  <si>
    <t>Copper production</t>
  </si>
  <si>
    <t>C2445</t>
  </si>
  <si>
    <t>Other non-ferrous metal production</t>
  </si>
  <si>
    <t>C2446</t>
  </si>
  <si>
    <t>Processing of nuclear fuel</t>
  </si>
  <si>
    <t>C2454</t>
  </si>
  <si>
    <t>Casting of other non-ferrous metals</t>
  </si>
  <si>
    <t>C20, C21</t>
  </si>
  <si>
    <t>C2013</t>
  </si>
  <si>
    <t>Manufacture of other inorganic basic chemicals</t>
  </si>
  <si>
    <t>C2014</t>
  </si>
  <si>
    <t>Manufacture of other organic basic chemicals</t>
  </si>
  <si>
    <t>C2015</t>
  </si>
  <si>
    <t>Manufacture of fertilisers and nitrogen compounds</t>
  </si>
  <si>
    <t>C2016</t>
  </si>
  <si>
    <t>Manufacture of plastics in primary forms</t>
  </si>
  <si>
    <t>C2011</t>
  </si>
  <si>
    <t>Manufacture of industrial gases</t>
  </si>
  <si>
    <t>C2012</t>
  </si>
  <si>
    <t>Manufacture of dyes and pigments</t>
  </si>
  <si>
    <t>C202</t>
  </si>
  <si>
    <t>Manufacture of pesticides and other agrochemical products</t>
  </si>
  <si>
    <t>C203</t>
  </si>
  <si>
    <t>Manufacture of paints, varnishes and similar coatings, printing ink and mastics</t>
  </si>
  <si>
    <t>C204</t>
  </si>
  <si>
    <t>Manufacture of soap and detergents, cleaning and polishing preparations, perfumes and toilet preparations</t>
  </si>
  <si>
    <t>C205</t>
  </si>
  <si>
    <t>Manufacture of other chemical products</t>
  </si>
  <si>
    <t>C206</t>
  </si>
  <si>
    <t>Manufacture of man-made fibres</t>
  </si>
  <si>
    <t>Cement (incl. lime)</t>
  </si>
  <si>
    <t>C235</t>
  </si>
  <si>
    <t>Manufacture of cement, lime and plaster</t>
  </si>
  <si>
    <t>C236</t>
  </si>
  <si>
    <t>Manufacture of articles of concrete, cement and plaster</t>
  </si>
  <si>
    <t>C231</t>
  </si>
  <si>
    <t>Manufacture of glass and glass products</t>
  </si>
  <si>
    <t>C232</t>
  </si>
  <si>
    <t>Manufacture of refractory products</t>
  </si>
  <si>
    <t>C233</t>
  </si>
  <si>
    <t>Manufacture of clay building materials</t>
  </si>
  <si>
    <t>C234</t>
  </si>
  <si>
    <t>Manufacture of other porcelain and ceramic products</t>
  </si>
  <si>
    <t>C237</t>
  </si>
  <si>
    <t>Cutting, shaping and finishing of stone</t>
  </si>
  <si>
    <t>C239</t>
  </si>
  <si>
    <t>Manufacture of abrasive products and non-metallic mineral products n.e.c.</t>
  </si>
  <si>
    <t>C17, C18</t>
  </si>
  <si>
    <t>C1711</t>
  </si>
  <si>
    <t>Manufacture of pulp</t>
  </si>
  <si>
    <t>C1712</t>
  </si>
  <si>
    <t>Manufacture of paper and paperboard</t>
  </si>
  <si>
    <t>C172</t>
  </si>
  <si>
    <t>Manufacture of articles of paper and paperboard</t>
  </si>
  <si>
    <t>EUROSTAT Statistics: nama_nace38</t>
  </si>
  <si>
    <t>C25, C26, C27, C28</t>
  </si>
  <si>
    <t>C22, C31_C32</t>
  </si>
  <si>
    <t>Annual growth rates (%)</t>
  </si>
  <si>
    <t>Demographics</t>
  </si>
  <si>
    <t>Population</t>
  </si>
  <si>
    <t>Number of households</t>
  </si>
  <si>
    <t>Inhabitants per household</t>
  </si>
  <si>
    <t>Market shares (%)</t>
  </si>
  <si>
    <t>Gross domestic product per capita</t>
  </si>
  <si>
    <t>Household consumption expenditure per capita</t>
  </si>
  <si>
    <t>JRC-IDEES Description</t>
  </si>
  <si>
    <t>JRC-IDEES structure</t>
  </si>
  <si>
    <t>Macro-economic data at current prices  - NACE structure</t>
  </si>
  <si>
    <t>JRC-IDEES and NACE structure correspondence</t>
  </si>
  <si>
    <t>Climate</t>
  </si>
  <si>
    <t>Actual heating degree-days</t>
  </si>
  <si>
    <t>Relative heating degree-days</t>
  </si>
  <si>
    <t>Actual cooling degree-days</t>
  </si>
  <si>
    <t>Relative cooling degree-days</t>
  </si>
  <si>
    <t>Prepared by JRC C.6</t>
  </si>
  <si>
    <t>The information made available is property of the Joint Research Centre of the European Commission.</t>
  </si>
  <si>
    <t>Use conditions</t>
  </si>
  <si>
    <t>This work is licensed under</t>
  </si>
  <si>
    <t>CC BY 4.0</t>
  </si>
  <si>
    <t>Macro-economic and demographic data</t>
  </si>
  <si>
    <t>Mean heating degree-days over period 2000-2020</t>
  </si>
  <si>
    <t>Mean cooling degree-days over period 2000-2020</t>
  </si>
  <si>
    <t>Demographic and macro-economic data at 2015 prices - JRC-IDEES structure</t>
  </si>
  <si>
    <t>ESA2010 [million euro, current prices]</t>
  </si>
  <si>
    <t>Non-ferrous metals</t>
  </si>
  <si>
    <t>Integrated steelworks</t>
  </si>
  <si>
    <t>Chemical industry</t>
  </si>
  <si>
    <t>Basic and other chemicals</t>
  </si>
  <si>
    <t>Primary production</t>
  </si>
  <si>
    <t>Secondary production</t>
  </si>
  <si>
    <t>Transport equipment</t>
  </si>
  <si>
    <t>Machinery equipment</t>
  </si>
  <si>
    <t>Non-specifed industries</t>
  </si>
  <si>
    <t>Non-specified industries</t>
  </si>
  <si>
    <t>Macro-economic data at 2023 prices - NACE structure</t>
  </si>
  <si>
    <t>ESA2010 [million euro, 2023 prices]</t>
  </si>
  <si>
    <t>ESA2010 [euro, 2023 prices per capita]</t>
  </si>
  <si>
    <t>Gross value added [million euro, 2023 prices]</t>
  </si>
  <si>
    <t>JRC-IDEES-2023 - Integrated Database of the European Energy System</t>
  </si>
  <si>
    <t>v2023-1.00</t>
  </si>
  <si>
    <t>LT</t>
  </si>
  <si>
    <t>Lithuania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</si>
</sst>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_(* #,##0.00_);_(* \(#,##0.00\);_(* &quot;-&quot;??_);_(@_)"/>
    <numFmt numFmtId="165" formatCode="#,##0.000;\-#,##0.000;&quot;-&quot;"/>
    <numFmt numFmtId="166" formatCode="0.00%;\-0.00%;&quot;-&quot;"/>
    <numFmt numFmtId="167" formatCode="#,##0;\-#,##0;&quot;-&quot;"/>
    <numFmt numFmtId="168" formatCode="0.000"/>
    <numFmt numFmtId="169" formatCode="0.0"/>
    <numFmt numFmtId="170" formatCode="mmmm\ yyyy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sz val="8"/>
      <name val="Calibri"/>
      <family val="2"/>
      <scheme val="minor"/>
    </font>
    <font>
      <sz val="11"/>
      <color indexed="8"/>
      <name val="Calibri"/>
      <family val="2"/>
    </font>
    <font>
      <u/>
      <sz val="9"/>
      <color rgb="FF0564C3"/>
      <name val="Calibri"/>
      <family val="2"/>
      <scheme val="minor"/>
    </font>
    <font>
      <sz val="8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b/>
      <sz val="8"/>
      <color indexed="8"/>
      <name val="Calibri"/>
      <family val="2"/>
      <scheme val="minor"/>
    </font>
    <font>
      <i/>
      <sz val="8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0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b/>
      <sz val="14"/>
      <color rgb="FF006EBE"/>
      <name val="Calibri"/>
      <family val="2"/>
      <scheme val="minor"/>
    </font>
    <font>
      <i/>
      <sz val="9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  <font>
      <sz val="16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D7C3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dotted">
        <color auto="1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dashed">
        <color auto="1"/>
      </top>
      <bottom/>
      <diagonal/>
    </border>
    <border>
      <left/>
      <right/>
      <top/>
      <bottom style="dashed">
        <color auto="1"/>
      </bottom>
      <diagonal/>
    </border>
    <border>
      <left/>
      <right/>
      <top style="thin">
        <color indexed="64"/>
      </top>
      <bottom style="dashed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hair">
        <color auto="1"/>
      </bottom>
      <diagonal/>
    </border>
  </borders>
  <cellStyleXfs count="12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8" fillId="0" borderId="0"/>
    <xf numFmtId="0" fontId="9" fillId="0" borderId="0"/>
    <xf numFmtId="9" fontId="8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9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" fillId="0" borderId="0"/>
  </cellStyleXfs>
  <cellXfs count="154">
    <xf numFmtId="0" fontId="0" fillId="0" borderId="0" xfId="0"/>
    <xf numFmtId="0" fontId="10" fillId="2" borderId="0" xfId="4" applyFont="1" applyFill="1" applyAlignment="1">
      <alignment vertical="center"/>
    </xf>
    <xf numFmtId="0" fontId="7" fillId="2" borderId="0" xfId="0" applyFont="1" applyFill="1"/>
    <xf numFmtId="0" fontId="2" fillId="2" borderId="0" xfId="0" applyFont="1" applyFill="1"/>
    <xf numFmtId="0" fontId="6" fillId="2" borderId="0" xfId="0" applyFont="1" applyFill="1"/>
    <xf numFmtId="0" fontId="0" fillId="2" borderId="0" xfId="0" applyFill="1"/>
    <xf numFmtId="0" fontId="6" fillId="2" borderId="1" xfId="0" applyFont="1" applyFill="1" applyBorder="1"/>
    <xf numFmtId="0" fontId="5" fillId="2" borderId="0" xfId="0" applyFont="1" applyFill="1"/>
    <xf numFmtId="0" fontId="12" fillId="2" borderId="0" xfId="2" applyFont="1" applyFill="1"/>
    <xf numFmtId="0" fontId="4" fillId="2" borderId="0" xfId="2" applyFont="1" applyFill="1"/>
    <xf numFmtId="0" fontId="10" fillId="2" borderId="0" xfId="5" applyFont="1" applyFill="1"/>
    <xf numFmtId="3" fontId="10" fillId="2" borderId="0" xfId="5" applyNumberFormat="1" applyFont="1" applyFill="1"/>
    <xf numFmtId="0" fontId="10" fillId="2" borderId="0" xfId="5" applyFont="1" applyFill="1" applyAlignment="1">
      <alignment wrapText="1"/>
    </xf>
    <xf numFmtId="0" fontId="13" fillId="2" borderId="0" xfId="5" applyFont="1" applyFill="1"/>
    <xf numFmtId="3" fontId="14" fillId="2" borderId="0" xfId="5" applyNumberFormat="1" applyFont="1" applyFill="1"/>
    <xf numFmtId="0" fontId="14" fillId="2" borderId="0" xfId="5" applyFont="1" applyFill="1" applyBorder="1"/>
    <xf numFmtId="0" fontId="13" fillId="2" borderId="8" xfId="5" applyFont="1" applyFill="1" applyBorder="1" applyAlignment="1">
      <alignment horizontal="center" vertical="center" textRotation="90"/>
    </xf>
    <xf numFmtId="0" fontId="13" fillId="2" borderId="8" xfId="5" applyFont="1" applyFill="1" applyBorder="1"/>
    <xf numFmtId="0" fontId="13" fillId="2" borderId="8" xfId="5" applyFont="1" applyFill="1" applyBorder="1" applyAlignment="1"/>
    <xf numFmtId="3" fontId="13" fillId="2" borderId="8" xfId="5" applyNumberFormat="1" applyFont="1" applyFill="1" applyBorder="1"/>
    <xf numFmtId="0" fontId="13" fillId="2" borderId="0" xfId="5" applyFont="1" applyFill="1" applyBorder="1" applyAlignment="1">
      <alignment horizontal="center" vertical="center" textRotation="90"/>
    </xf>
    <xf numFmtId="0" fontId="13" fillId="2" borderId="0" xfId="5" applyFont="1" applyFill="1" applyBorder="1"/>
    <xf numFmtId="0" fontId="13" fillId="2" borderId="0" xfId="5" applyFont="1" applyFill="1" applyBorder="1" applyAlignment="1"/>
    <xf numFmtId="3" fontId="13" fillId="2" borderId="0" xfId="5" applyNumberFormat="1" applyFont="1" applyFill="1" applyBorder="1"/>
    <xf numFmtId="0" fontId="13" fillId="2" borderId="1" xfId="5" applyFont="1" applyFill="1" applyBorder="1" applyAlignment="1">
      <alignment horizontal="center" vertical="center" textRotation="90"/>
    </xf>
    <xf numFmtId="0" fontId="13" fillId="2" borderId="1" xfId="5" applyFont="1" applyFill="1" applyBorder="1"/>
    <xf numFmtId="0" fontId="13" fillId="2" borderId="1" xfId="5" applyFont="1" applyFill="1" applyBorder="1" applyAlignment="1"/>
    <xf numFmtId="3" fontId="13" fillId="2" borderId="1" xfId="5" applyNumberFormat="1" applyFont="1" applyFill="1" applyBorder="1"/>
    <xf numFmtId="0" fontId="14" fillId="2" borderId="1" xfId="5" applyFont="1" applyFill="1" applyBorder="1"/>
    <xf numFmtId="0" fontId="14" fillId="2" borderId="1" xfId="5" applyFont="1" applyFill="1" applyBorder="1" applyAlignment="1"/>
    <xf numFmtId="3" fontId="14" fillId="2" borderId="1" xfId="5" applyNumberFormat="1" applyFont="1" applyFill="1" applyBorder="1"/>
    <xf numFmtId="0" fontId="14" fillId="2" borderId="1" xfId="5" applyFont="1" applyFill="1" applyBorder="1" applyAlignment="1">
      <alignment wrapText="1"/>
    </xf>
    <xf numFmtId="0" fontId="14" fillId="2" borderId="0" xfId="5" applyFont="1" applyFill="1"/>
    <xf numFmtId="0" fontId="15" fillId="2" borderId="0" xfId="5" applyFont="1" applyFill="1"/>
    <xf numFmtId="1" fontId="10" fillId="2" borderId="0" xfId="4" applyNumberFormat="1" applyFont="1" applyFill="1" applyBorder="1" applyAlignment="1">
      <alignment vertical="center"/>
    </xf>
    <xf numFmtId="0" fontId="10" fillId="2" borderId="0" xfId="4" applyFont="1" applyFill="1" applyBorder="1" applyAlignment="1">
      <alignment horizontal="left" vertical="center"/>
    </xf>
    <xf numFmtId="164" fontId="10" fillId="2" borderId="0" xfId="8" applyFont="1" applyFill="1" applyBorder="1" applyAlignment="1">
      <alignment vertical="center"/>
    </xf>
    <xf numFmtId="1" fontId="10" fillId="2" borderId="0" xfId="4" applyNumberFormat="1" applyFont="1" applyFill="1" applyAlignment="1">
      <alignment vertical="center"/>
    </xf>
    <xf numFmtId="0" fontId="10" fillId="2" borderId="0" xfId="4" applyFont="1" applyFill="1" applyBorder="1" applyAlignment="1">
      <alignment horizontal="left" vertical="center" indent="2"/>
    </xf>
    <xf numFmtId="0" fontId="13" fillId="2" borderId="0" xfId="4" applyFont="1" applyFill="1" applyBorder="1" applyAlignment="1">
      <alignment vertical="center"/>
    </xf>
    <xf numFmtId="169" fontId="13" fillId="2" borderId="8" xfId="4" applyNumberFormat="1" applyFont="1" applyFill="1" applyBorder="1" applyAlignment="1">
      <alignment vertical="center"/>
    </xf>
    <xf numFmtId="1" fontId="13" fillId="2" borderId="8" xfId="4" applyNumberFormat="1" applyFont="1" applyFill="1" applyBorder="1" applyAlignment="1">
      <alignment vertical="center"/>
    </xf>
    <xf numFmtId="167" fontId="13" fillId="2" borderId="8" xfId="4" applyNumberFormat="1" applyFont="1" applyFill="1" applyBorder="1" applyAlignment="1">
      <alignment vertical="center"/>
    </xf>
    <xf numFmtId="169" fontId="13" fillId="2" borderId="0" xfId="4" applyNumberFormat="1" applyFont="1" applyFill="1" applyBorder="1" applyAlignment="1">
      <alignment vertical="center"/>
    </xf>
    <xf numFmtId="1" fontId="13" fillId="2" borderId="0" xfId="4" applyNumberFormat="1" applyFont="1" applyFill="1" applyBorder="1" applyAlignment="1">
      <alignment vertical="center"/>
    </xf>
    <xf numFmtId="167" fontId="13" fillId="2" borderId="0" xfId="4" applyNumberFormat="1" applyFont="1" applyFill="1" applyBorder="1" applyAlignment="1">
      <alignment vertical="center"/>
    </xf>
    <xf numFmtId="0" fontId="13" fillId="2" borderId="1" xfId="4" applyFont="1" applyFill="1" applyBorder="1" applyAlignment="1">
      <alignment horizontal="left" vertical="center"/>
    </xf>
    <xf numFmtId="1" fontId="13" fillId="2" borderId="1" xfId="4" applyNumberFormat="1" applyFont="1" applyFill="1" applyBorder="1" applyAlignment="1">
      <alignment vertical="center"/>
    </xf>
    <xf numFmtId="168" fontId="13" fillId="2" borderId="1" xfId="4" applyNumberFormat="1" applyFont="1" applyFill="1" applyBorder="1" applyAlignment="1">
      <alignment vertical="center"/>
    </xf>
    <xf numFmtId="0" fontId="14" fillId="3" borderId="2" xfId="5" applyFont="1" applyFill="1" applyBorder="1"/>
    <xf numFmtId="0" fontId="14" fillId="3" borderId="2" xfId="4" applyFont="1" applyFill="1" applyBorder="1" applyAlignment="1">
      <alignment horizontal="right" vertical="center"/>
    </xf>
    <xf numFmtId="169" fontId="16" fillId="2" borderId="13" xfId="4" applyNumberFormat="1" applyFont="1" applyFill="1" applyBorder="1" applyAlignment="1">
      <alignment vertical="center"/>
    </xf>
    <xf numFmtId="1" fontId="13" fillId="2" borderId="13" xfId="4" applyNumberFormat="1" applyFont="1" applyFill="1" applyBorder="1" applyAlignment="1">
      <alignment vertical="center"/>
    </xf>
    <xf numFmtId="165" fontId="16" fillId="2" borderId="13" xfId="4" applyNumberFormat="1" applyFont="1" applyFill="1" applyBorder="1" applyAlignment="1">
      <alignment vertical="center"/>
    </xf>
    <xf numFmtId="0" fontId="16" fillId="2" borderId="1" xfId="4" applyFont="1" applyFill="1" applyBorder="1" applyAlignment="1">
      <alignment horizontal="left" vertical="center"/>
    </xf>
    <xf numFmtId="165" fontId="16" fillId="2" borderId="1" xfId="4" applyNumberFormat="1" applyFont="1" applyFill="1" applyBorder="1" applyAlignment="1">
      <alignment vertical="center"/>
    </xf>
    <xf numFmtId="1" fontId="14" fillId="3" borderId="2" xfId="4" applyNumberFormat="1" applyFont="1" applyFill="1" applyBorder="1" applyAlignment="1">
      <alignment horizontal="right" vertical="center"/>
    </xf>
    <xf numFmtId="167" fontId="13" fillId="2" borderId="1" xfId="4" applyNumberFormat="1" applyFont="1" applyFill="1" applyBorder="1" applyAlignment="1">
      <alignment vertical="center"/>
    </xf>
    <xf numFmtId="0" fontId="14" fillId="3" borderId="2" xfId="4" applyFont="1" applyFill="1" applyBorder="1" applyAlignment="1">
      <alignment horizontal="left" vertical="center"/>
    </xf>
    <xf numFmtId="1" fontId="13" fillId="3" borderId="2" xfId="4" applyNumberFormat="1" applyFont="1" applyFill="1" applyBorder="1" applyAlignment="1">
      <alignment vertical="center"/>
    </xf>
    <xf numFmtId="167" fontId="13" fillId="3" borderId="2" xfId="4" applyNumberFormat="1" applyFont="1" applyFill="1" applyBorder="1" applyAlignment="1">
      <alignment vertical="center"/>
    </xf>
    <xf numFmtId="0" fontId="13" fillId="2" borderId="6" xfId="4" applyFont="1" applyFill="1" applyBorder="1" applyAlignment="1">
      <alignment horizontal="left" vertical="center" wrapText="1" indent="1"/>
    </xf>
    <xf numFmtId="1" fontId="13" fillId="2" borderId="6" xfId="4" applyNumberFormat="1" applyFont="1" applyFill="1" applyBorder="1" applyAlignment="1">
      <alignment vertical="center"/>
    </xf>
    <xf numFmtId="167" fontId="13" fillId="2" borderId="6" xfId="4" applyNumberFormat="1" applyFont="1" applyFill="1" applyBorder="1" applyAlignment="1">
      <alignment vertical="center"/>
    </xf>
    <xf numFmtId="0" fontId="13" fillId="2" borderId="4" xfId="4" applyFont="1" applyFill="1" applyBorder="1" applyAlignment="1">
      <alignment horizontal="left" vertical="center" wrapText="1" indent="1"/>
    </xf>
    <xf numFmtId="1" fontId="13" fillId="2" borderId="4" xfId="4" applyNumberFormat="1" applyFont="1" applyFill="1" applyBorder="1" applyAlignment="1">
      <alignment vertical="center"/>
    </xf>
    <xf numFmtId="167" fontId="13" fillId="2" borderId="4" xfId="4" applyNumberFormat="1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 wrapText="1" indent="1"/>
    </xf>
    <xf numFmtId="0" fontId="13" fillId="2" borderId="0" xfId="4" applyFont="1" applyFill="1" applyBorder="1" applyAlignment="1">
      <alignment horizontal="left" vertical="center" wrapText="1" indent="2"/>
    </xf>
    <xf numFmtId="1" fontId="13" fillId="2" borderId="0" xfId="4" applyNumberFormat="1" applyFont="1" applyFill="1" applyBorder="1" applyAlignment="1">
      <alignment horizontal="left" vertical="center" wrapText="1" indent="1"/>
    </xf>
    <xf numFmtId="167" fontId="13" fillId="2" borderId="0" xfId="4" applyNumberFormat="1" applyFont="1" applyFill="1" applyAlignment="1">
      <alignment vertical="center"/>
    </xf>
    <xf numFmtId="1" fontId="13" fillId="2" borderId="0" xfId="4" applyNumberFormat="1" applyFont="1" applyFill="1" applyAlignment="1">
      <alignment vertical="center"/>
    </xf>
    <xf numFmtId="0" fontId="13" fillId="2" borderId="4" xfId="4" applyFont="1" applyFill="1" applyBorder="1" applyAlignment="1">
      <alignment horizontal="left" vertical="center" wrapText="1" indent="2"/>
    </xf>
    <xf numFmtId="0" fontId="13" fillId="2" borderId="4" xfId="4" applyFont="1" applyFill="1" applyBorder="1" applyAlignment="1">
      <alignment horizontal="left" vertical="center" wrapText="1" indent="3"/>
    </xf>
    <xf numFmtId="0" fontId="16" fillId="2" borderId="0" xfId="4" applyFont="1" applyFill="1" applyBorder="1" applyAlignment="1">
      <alignment horizontal="left" vertical="center" wrapText="1" indent="4"/>
    </xf>
    <xf numFmtId="0" fontId="16" fillId="2" borderId="0" xfId="4" applyFont="1" applyFill="1" applyBorder="1" applyAlignment="1">
      <alignment horizontal="left" vertical="center" wrapText="1" indent="5"/>
    </xf>
    <xf numFmtId="1" fontId="16" fillId="2" borderId="0" xfId="4" applyNumberFormat="1" applyFont="1" applyFill="1" applyBorder="1" applyAlignment="1">
      <alignment vertical="center"/>
    </xf>
    <xf numFmtId="0" fontId="16" fillId="2" borderId="0" xfId="4" applyFont="1" applyFill="1" applyBorder="1" applyAlignment="1">
      <alignment horizontal="left" vertical="center" wrapText="1" indent="3"/>
    </xf>
    <xf numFmtId="0" fontId="13" fillId="2" borderId="7" xfId="4" applyFont="1" applyFill="1" applyBorder="1" applyAlignment="1">
      <alignment horizontal="left" vertical="center" wrapText="1" indent="2"/>
    </xf>
    <xf numFmtId="1" fontId="13" fillId="2" borderId="7" xfId="4" applyNumberFormat="1" applyFont="1" applyFill="1" applyBorder="1" applyAlignment="1">
      <alignment vertical="center"/>
    </xf>
    <xf numFmtId="167" fontId="13" fillId="2" borderId="7" xfId="4" applyNumberFormat="1" applyFont="1" applyFill="1" applyBorder="1" applyAlignment="1">
      <alignment vertical="center"/>
    </xf>
    <xf numFmtId="0" fontId="13" fillId="2" borderId="8" xfId="4" applyFont="1" applyFill="1" applyBorder="1" applyAlignment="1">
      <alignment horizontal="left" vertical="center"/>
    </xf>
    <xf numFmtId="166" fontId="13" fillId="2" borderId="8" xfId="4" applyNumberFormat="1" applyFont="1" applyFill="1" applyBorder="1" applyAlignment="1">
      <alignment vertical="center"/>
    </xf>
    <xf numFmtId="166" fontId="13" fillId="2" borderId="4" xfId="4" applyNumberFormat="1" applyFont="1" applyFill="1" applyBorder="1" applyAlignment="1">
      <alignment vertical="center"/>
    </xf>
    <xf numFmtId="166" fontId="13" fillId="2" borderId="0" xfId="4" applyNumberFormat="1" applyFont="1" applyFill="1" applyAlignment="1">
      <alignment vertical="center"/>
    </xf>
    <xf numFmtId="0" fontId="13" fillId="2" borderId="3" xfId="4" applyFont="1" applyFill="1" applyBorder="1" applyAlignment="1">
      <alignment horizontal="left" vertical="center" wrapText="1" indent="2"/>
    </xf>
    <xf numFmtId="1" fontId="13" fillId="2" borderId="3" xfId="4" applyNumberFormat="1" applyFont="1" applyFill="1" applyBorder="1" applyAlignment="1">
      <alignment vertical="center"/>
    </xf>
    <xf numFmtId="166" fontId="13" fillId="2" borderId="3" xfId="4" applyNumberFormat="1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 wrapText="1" indent="3"/>
    </xf>
    <xf numFmtId="166" fontId="13" fillId="2" borderId="0" xfId="4" applyNumberFormat="1" applyFont="1" applyFill="1" applyBorder="1" applyAlignment="1">
      <alignment vertical="center"/>
    </xf>
    <xf numFmtId="0" fontId="13" fillId="2" borderId="1" xfId="4" applyFont="1" applyFill="1" applyBorder="1" applyAlignment="1">
      <alignment horizontal="left" vertical="center" wrapText="1" indent="2"/>
    </xf>
    <xf numFmtId="166" fontId="13" fillId="2" borderId="1" xfId="4" applyNumberFormat="1" applyFont="1" applyFill="1" applyBorder="1" applyAlignment="1">
      <alignment vertical="center"/>
    </xf>
    <xf numFmtId="10" fontId="13" fillId="2" borderId="8" xfId="1" applyNumberFormat="1" applyFont="1" applyFill="1" applyBorder="1" applyAlignment="1">
      <alignment vertical="center"/>
    </xf>
    <xf numFmtId="10" fontId="13" fillId="2" borderId="1" xfId="1" applyNumberFormat="1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/>
    </xf>
    <xf numFmtId="0" fontId="14" fillId="2" borderId="0" xfId="4" applyFont="1" applyFill="1" applyBorder="1" applyAlignment="1">
      <alignment horizontal="left" vertical="center"/>
    </xf>
    <xf numFmtId="0" fontId="14" fillId="2" borderId="0" xfId="4" applyFont="1" applyFill="1" applyBorder="1" applyAlignment="1">
      <alignment horizontal="right" vertical="center"/>
    </xf>
    <xf numFmtId="169" fontId="13" fillId="2" borderId="8" xfId="4" applyNumberFormat="1" applyFont="1" applyFill="1" applyBorder="1" applyAlignment="1">
      <alignment horizontal="right" vertical="center"/>
    </xf>
    <xf numFmtId="0" fontId="13" fillId="2" borderId="8" xfId="4" applyFont="1" applyFill="1" applyBorder="1" applyAlignment="1">
      <alignment vertical="center"/>
    </xf>
    <xf numFmtId="0" fontId="13" fillId="2" borderId="0" xfId="4" applyFont="1" applyFill="1" applyBorder="1" applyAlignment="1">
      <alignment horizontal="right" vertical="center"/>
    </xf>
    <xf numFmtId="0" fontId="13" fillId="2" borderId="1" xfId="4" applyFont="1" applyFill="1" applyBorder="1" applyAlignment="1">
      <alignment horizontal="right" vertical="center"/>
    </xf>
    <xf numFmtId="0" fontId="13" fillId="2" borderId="1" xfId="4" applyFont="1" applyFill="1" applyBorder="1" applyAlignment="1">
      <alignment vertical="center"/>
    </xf>
    <xf numFmtId="0" fontId="13" fillId="2" borderId="8" xfId="4" applyFont="1" applyFill="1" applyBorder="1" applyAlignment="1">
      <alignment horizontal="left" vertical="center" wrapText="1"/>
    </xf>
    <xf numFmtId="0" fontId="13" fillId="2" borderId="8" xfId="4" applyFont="1" applyFill="1" applyBorder="1" applyAlignment="1">
      <alignment horizontal="left" vertical="center" indent="1"/>
    </xf>
    <xf numFmtId="0" fontId="13" fillId="2" borderId="1" xfId="4" applyFont="1" applyFill="1" applyBorder="1" applyAlignment="1">
      <alignment horizontal="right" vertical="center" indent="1"/>
    </xf>
    <xf numFmtId="0" fontId="13" fillId="2" borderId="0" xfId="4" applyFont="1" applyFill="1" applyBorder="1" applyAlignment="1">
      <alignment horizontal="left" vertical="center" wrapText="1"/>
    </xf>
    <xf numFmtId="0" fontId="13" fillId="2" borderId="0" xfId="4" applyFont="1" applyFill="1" applyBorder="1" applyAlignment="1">
      <alignment horizontal="left" vertical="center" indent="1"/>
    </xf>
    <xf numFmtId="0" fontId="13" fillId="2" borderId="0" xfId="4" applyFont="1" applyFill="1" applyAlignment="1">
      <alignment vertical="center"/>
    </xf>
    <xf numFmtId="0" fontId="13" fillId="2" borderId="5" xfId="4" applyFont="1" applyFill="1" applyBorder="1" applyAlignment="1">
      <alignment horizontal="left" vertical="center" wrapText="1" indent="1"/>
    </xf>
    <xf numFmtId="0" fontId="13" fillId="2" borderId="5" xfId="4" applyFont="1" applyFill="1" applyBorder="1" applyAlignment="1">
      <alignment horizontal="left" vertical="center" indent="1"/>
    </xf>
    <xf numFmtId="0" fontId="13" fillId="2" borderId="9" xfId="4" applyFont="1" applyFill="1" applyBorder="1" applyAlignment="1">
      <alignment horizontal="right" vertical="center" indent="1"/>
    </xf>
    <xf numFmtId="0" fontId="13" fillId="2" borderId="9" xfId="4" applyFont="1" applyFill="1" applyBorder="1" applyAlignment="1">
      <alignment horizontal="left" vertical="center" indent="1"/>
    </xf>
    <xf numFmtId="0" fontId="13" fillId="2" borderId="9" xfId="4" applyFont="1" applyFill="1" applyBorder="1" applyAlignment="1">
      <alignment vertical="center"/>
    </xf>
    <xf numFmtId="0" fontId="13" fillId="2" borderId="0" xfId="4" applyFont="1" applyFill="1" applyBorder="1" applyAlignment="1">
      <alignment horizontal="right" vertical="center" indent="1"/>
    </xf>
    <xf numFmtId="0" fontId="13" fillId="2" borderId="10" xfId="4" applyFont="1" applyFill="1" applyBorder="1" applyAlignment="1">
      <alignment horizontal="right" vertical="center" indent="1"/>
    </xf>
    <xf numFmtId="0" fontId="13" fillId="2" borderId="10" xfId="4" applyFont="1" applyFill="1" applyBorder="1" applyAlignment="1">
      <alignment horizontal="left" vertical="center" indent="1"/>
    </xf>
    <xf numFmtId="0" fontId="13" fillId="2" borderId="10" xfId="4" applyFont="1" applyFill="1" applyBorder="1" applyAlignment="1">
      <alignment vertical="center"/>
    </xf>
    <xf numFmtId="0" fontId="13" fillId="2" borderId="1" xfId="4" applyFont="1" applyFill="1" applyBorder="1" applyAlignment="1">
      <alignment horizontal="left" vertical="center" indent="1"/>
    </xf>
    <xf numFmtId="0" fontId="13" fillId="2" borderId="8" xfId="4" applyFont="1" applyFill="1" applyBorder="1" applyAlignment="1">
      <alignment horizontal="left" vertical="center" wrapText="1" indent="1"/>
    </xf>
    <xf numFmtId="0" fontId="13" fillId="2" borderId="11" xfId="4" applyFont="1" applyFill="1" applyBorder="1" applyAlignment="1">
      <alignment horizontal="left" vertical="center" wrapText="1" indent="2"/>
    </xf>
    <xf numFmtId="0" fontId="13" fillId="2" borderId="11" xfId="4" applyFont="1" applyFill="1" applyBorder="1" applyAlignment="1">
      <alignment horizontal="left" vertical="center" indent="2"/>
    </xf>
    <xf numFmtId="0" fontId="13" fillId="2" borderId="11" xfId="4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 indent="2"/>
    </xf>
    <xf numFmtId="0" fontId="13" fillId="2" borderId="10" xfId="4" applyFont="1" applyFill="1" applyBorder="1" applyAlignment="1">
      <alignment horizontal="left" vertical="center" wrapText="1" indent="3"/>
    </xf>
    <xf numFmtId="0" fontId="13" fillId="2" borderId="12" xfId="4" applyFont="1" applyFill="1" applyBorder="1" applyAlignment="1">
      <alignment horizontal="left" vertical="center" wrapText="1" indent="2"/>
    </xf>
    <xf numFmtId="0" fontId="13" fillId="2" borderId="12" xfId="4" applyFont="1" applyFill="1" applyBorder="1" applyAlignment="1">
      <alignment horizontal="right" vertical="center" indent="1"/>
    </xf>
    <xf numFmtId="0" fontId="13" fillId="2" borderId="12" xfId="4" applyFont="1" applyFill="1" applyBorder="1" applyAlignment="1">
      <alignment horizontal="left" vertical="center" indent="1"/>
    </xf>
    <xf numFmtId="0" fontId="13" fillId="2" borderId="12" xfId="4" applyFont="1" applyFill="1" applyBorder="1" applyAlignment="1">
      <alignment vertical="center"/>
    </xf>
    <xf numFmtId="0" fontId="13" fillId="2" borderId="8" xfId="4" applyFont="1" applyFill="1" applyBorder="1" applyAlignment="1">
      <alignment horizontal="left" vertical="center" wrapText="1" indent="2"/>
    </xf>
    <xf numFmtId="0" fontId="13" fillId="2" borderId="8" xfId="4" applyFont="1" applyFill="1" applyBorder="1" applyAlignment="1">
      <alignment horizontal="left" vertical="center" indent="2"/>
    </xf>
    <xf numFmtId="0" fontId="13" fillId="2" borderId="10" xfId="4" applyFont="1" applyFill="1" applyBorder="1" applyAlignment="1">
      <alignment horizontal="left" vertical="center" wrapText="1" indent="2"/>
    </xf>
    <xf numFmtId="0" fontId="13" fillId="2" borderId="1" xfId="4" applyFont="1" applyFill="1" applyBorder="1" applyAlignment="1">
      <alignment horizontal="left" vertical="center" wrapText="1" indent="3"/>
    </xf>
    <xf numFmtId="0" fontId="13" fillId="2" borderId="12" xfId="4" applyFont="1" applyFill="1" applyBorder="1" applyAlignment="1">
      <alignment horizontal="left" vertical="center" wrapText="1" indent="3"/>
    </xf>
    <xf numFmtId="0" fontId="17" fillId="2" borderId="0" xfId="5" applyFont="1" applyFill="1"/>
    <xf numFmtId="0" fontId="13" fillId="2" borderId="0" xfId="5" applyFont="1" applyFill="1" applyAlignment="1">
      <alignment vertical="center"/>
    </xf>
    <xf numFmtId="0" fontId="13" fillId="2" borderId="0" xfId="5" applyFont="1" applyFill="1" applyAlignment="1">
      <alignment horizontal="center" vertical="center"/>
    </xf>
    <xf numFmtId="0" fontId="18" fillId="2" borderId="2" xfId="5" applyFont="1" applyFill="1" applyBorder="1" applyAlignment="1">
      <alignment vertical="center"/>
    </xf>
    <xf numFmtId="0" fontId="19" fillId="2" borderId="2" xfId="5" applyFont="1" applyFill="1" applyBorder="1" applyAlignment="1">
      <alignment vertical="center"/>
    </xf>
    <xf numFmtId="0" fontId="20" fillId="2" borderId="0" xfId="5" applyFont="1" applyFill="1" applyAlignment="1">
      <alignment vertical="center"/>
    </xf>
    <xf numFmtId="0" fontId="19" fillId="2" borderId="0" xfId="5" applyFont="1" applyFill="1" applyAlignment="1">
      <alignment vertical="center"/>
    </xf>
    <xf numFmtId="0" fontId="23" fillId="2" borderId="0" xfId="5" applyFont="1" applyFill="1" applyAlignment="1">
      <alignment vertical="center"/>
    </xf>
    <xf numFmtId="0" fontId="24" fillId="2" borderId="0" xfId="5" applyFont="1" applyFill="1" applyAlignment="1">
      <alignment vertical="center"/>
    </xf>
    <xf numFmtId="0" fontId="25" fillId="2" borderId="0" xfId="11" applyFont="1" applyFill="1" applyAlignment="1">
      <alignment vertical="center"/>
    </xf>
    <xf numFmtId="0" fontId="26" fillId="2" borderId="0" xfId="2" applyFont="1" applyFill="1" applyAlignment="1">
      <alignment horizontal="left" vertical="center" indent="1"/>
    </xf>
    <xf numFmtId="0" fontId="27" fillId="2" borderId="0" xfId="0" applyFont="1" applyFill="1"/>
    <xf numFmtId="0" fontId="27" fillId="2" borderId="0" xfId="0" applyFont="1" applyFill="1" applyAlignment="1">
      <alignment horizontal="left"/>
    </xf>
    <xf numFmtId="0" fontId="28" fillId="2" borderId="1" xfId="0" applyFont="1" applyFill="1" applyBorder="1"/>
    <xf numFmtId="0" fontId="29" fillId="2" borderId="0" xfId="0" applyFont="1" applyFill="1"/>
    <xf numFmtId="0" fontId="21" fillId="2" borderId="0" xfId="5" applyFont="1" applyFill="1" applyAlignment="1">
      <alignment horizontal="left" vertical="center"/>
    </xf>
    <xf numFmtId="170" fontId="22" fillId="2" borderId="0" xfId="5" quotePrefix="1" applyNumberFormat="1" applyFont="1" applyFill="1" applyAlignment="1">
      <alignment horizontal="left" vertical="center"/>
    </xf>
    <xf numFmtId="0" fontId="30" fillId="0" borderId="0" xfId="5" applyFont="1" applyAlignment="1">
      <alignment horizontal="left" vertical="center"/>
    </xf>
    <xf numFmtId="0" fontId="13" fillId="2" borderId="8" xfId="5" applyFont="1" applyFill="1" applyBorder="1" applyAlignment="1">
      <alignment horizontal="center" vertical="center" textRotation="90"/>
    </xf>
    <xf numFmtId="0" fontId="13" fillId="2" borderId="0" xfId="5" applyFont="1" applyFill="1" applyBorder="1" applyAlignment="1">
      <alignment horizontal="center" vertical="center" textRotation="90"/>
    </xf>
    <xf numFmtId="0" fontId="13" fillId="2" borderId="1" xfId="5" applyFont="1" applyFill="1" applyBorder="1" applyAlignment="1">
      <alignment horizontal="center" vertical="center" textRotation="90"/>
    </xf>
  </cellXfs>
  <cellStyles count="12">
    <cellStyle name="Comma" xfId="8" builtinId="3"/>
    <cellStyle name="Comma 2" xfId="3"/>
    <cellStyle name="Comma 3" xfId="9"/>
    <cellStyle name="Hyperlink" xfId="2" builtinId="8"/>
    <cellStyle name="Normal" xfId="0" builtinId="0"/>
    <cellStyle name="Normal 2" xfId="4"/>
    <cellStyle name="Normal 2 2" xfId="11"/>
    <cellStyle name="Normal 3" xfId="5"/>
    <cellStyle name="Percent" xfId="1" builtinId="5"/>
    <cellStyle name="Percent 2" xfId="6"/>
    <cellStyle name="Percent 3" xfId="7"/>
    <cellStyle name="Percent 4" xfId="10"/>
  </cellStyles>
  <dxfs count="0"/>
  <tableStyles count="0" defaultTableStyle="TableStyleMedium2" defaultPivotStyle="PivotStyleLight16"/>
  <colors>
    <mruColors>
      <color rgb="FF050505"/>
      <color rgb="FF006EBE"/>
      <color rgb="FFDCD7C3"/>
      <color rgb="FF0564C3"/>
      <color rgb="FF0070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15</xdr:row>
      <xdr:rowOff>0</xdr:rowOff>
    </xdr:from>
    <xdr:to>
      <xdr:col>15</xdr:col>
      <xdr:colOff>305811</xdr:colOff>
      <xdr:row>25</xdr:row>
      <xdr:rowOff>106854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39940" y="3505200"/>
          <a:ext cx="2957571" cy="2011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134"/>
    <col min="5" max="21" width="9.7109375" style="134" customWidth="1"/>
    <col min="22" max="22" width="9.7109375" style="135" customWidth="1"/>
    <col min="23" max="23" width="107.42578125" style="134" customWidth="1"/>
    <col min="24" max="24" width="44.7109375" style="134" customWidth="1"/>
    <col min="25" max="26" width="9.7109375" style="134" customWidth="1"/>
    <col min="27" max="16384" width="9.140625" style="134"/>
  </cols>
  <sheetData>
    <row r="2" spans="1:23" ht="21" x14ac:dyDescent="0.35">
      <c r="A2" s="133"/>
      <c r="B2" s="150"/>
      <c r="C2" s="150"/>
      <c r="D2" s="150"/>
      <c r="E2" s="150"/>
      <c r="F2" s="150"/>
      <c r="G2" s="150"/>
      <c r="H2" s="150"/>
      <c r="I2" s="150"/>
      <c r="J2" s="150"/>
      <c r="K2" s="150"/>
    </row>
    <row r="3" spans="1:23" ht="15" customHeight="1" x14ac:dyDescent="0.25">
      <c r="B3" s="150"/>
      <c r="C3" s="150"/>
      <c r="D3" s="150"/>
      <c r="E3" s="150"/>
      <c r="F3" s="150"/>
      <c r="G3" s="150"/>
      <c r="H3" s="150"/>
      <c r="I3" s="150"/>
      <c r="J3" s="150"/>
      <c r="K3" s="150"/>
    </row>
    <row r="6" spans="1:23" ht="31.5" x14ac:dyDescent="0.25">
      <c r="A6" s="136"/>
      <c r="B6" s="137" t="s">
        <v>277</v>
      </c>
      <c r="C6" s="137"/>
      <c r="D6" s="137"/>
      <c r="E6" s="137"/>
      <c r="F6" s="137"/>
      <c r="G6" s="137"/>
      <c r="H6" s="137"/>
      <c r="I6" s="137"/>
      <c r="J6" s="137"/>
      <c r="K6" s="137"/>
      <c r="L6" s="137"/>
      <c r="M6" s="137"/>
      <c r="N6" s="137"/>
      <c r="O6" s="137"/>
      <c r="P6" s="137"/>
      <c r="Q6" s="137"/>
      <c r="V6" s="134"/>
    </row>
    <row r="7" spans="1:23" ht="15" customHeight="1" x14ac:dyDescent="0.25">
      <c r="V7" s="134"/>
    </row>
    <row r="8" spans="1:23" ht="15" customHeight="1" x14ac:dyDescent="0.25">
      <c r="V8" s="134"/>
    </row>
    <row r="9" spans="1:23" ht="15" customHeight="1" x14ac:dyDescent="0.25">
      <c r="V9" s="134"/>
    </row>
    <row r="10" spans="1:23" ht="28.5" x14ac:dyDescent="0.25">
      <c r="C10" s="138" t="s">
        <v>280</v>
      </c>
      <c r="V10" s="134"/>
    </row>
    <row r="11" spans="1:23" ht="15" customHeight="1" x14ac:dyDescent="0.25">
      <c r="V11" s="134"/>
    </row>
    <row r="15" spans="1:23" ht="30" customHeight="1" x14ac:dyDescent="0.25">
      <c r="C15" s="138" t="s">
        <v>258</v>
      </c>
    </row>
    <row r="16" spans="1:23" ht="15" customHeight="1" x14ac:dyDescent="0.25">
      <c r="W16" s="139"/>
    </row>
    <row r="17" spans="12:32" ht="15" customHeight="1" x14ac:dyDescent="0.25">
      <c r="W17" s="139"/>
    </row>
    <row r="28" spans="12:32" ht="21" x14ac:dyDescent="0.25">
      <c r="L28" s="148" t="s">
        <v>253</v>
      </c>
      <c r="M28" s="148"/>
      <c r="N28" s="148"/>
      <c r="O28" s="148"/>
    </row>
    <row r="29" spans="12:32" ht="15" customHeight="1" x14ac:dyDescent="0.25">
      <c r="V29" s="134"/>
    </row>
    <row r="30" spans="12:32" ht="18.75" x14ac:dyDescent="0.25">
      <c r="L30" s="149">
        <v>45967.476875</v>
      </c>
      <c r="M30" s="149"/>
      <c r="N30" s="149"/>
      <c r="O30" s="149"/>
      <c r="V30" s="134"/>
    </row>
    <row r="31" spans="12:32" ht="15" customHeight="1" x14ac:dyDescent="0.25">
      <c r="L31" s="140" t="s">
        <v>278</v>
      </c>
      <c r="V31" s="134"/>
      <c r="AA31" s="141"/>
      <c r="AB31" s="141"/>
      <c r="AC31" s="141"/>
      <c r="AD31" s="141"/>
      <c r="AE31" s="141"/>
      <c r="AF31" s="141"/>
    </row>
    <row r="32" spans="12:32" ht="15" customHeight="1" x14ac:dyDescent="0.25">
      <c r="V32" s="134"/>
    </row>
    <row r="33" spans="2:32" ht="15" customHeight="1" x14ac:dyDescent="0.25">
      <c r="B33" s="142" t="s">
        <v>22</v>
      </c>
      <c r="V33" s="134"/>
    </row>
    <row r="34" spans="2:32" ht="15" customHeight="1" x14ac:dyDescent="0.25">
      <c r="B34" s="142"/>
      <c r="V34" s="142"/>
    </row>
    <row r="35" spans="2:32" ht="15" customHeight="1" x14ac:dyDescent="0.25">
      <c r="B35" s="142" t="s">
        <v>254</v>
      </c>
      <c r="V35" s="142"/>
    </row>
    <row r="36" spans="2:32" ht="15" customHeight="1" x14ac:dyDescent="0.25">
      <c r="B36" s="142" t="s">
        <v>23</v>
      </c>
      <c r="E36" s="141"/>
      <c r="F36" s="141"/>
      <c r="G36" s="141"/>
      <c r="H36" s="141"/>
      <c r="I36" s="141"/>
      <c r="J36" s="141"/>
      <c r="K36" s="141"/>
      <c r="L36" s="141"/>
      <c r="M36" s="141"/>
      <c r="N36" s="141"/>
      <c r="O36" s="141"/>
      <c r="P36" s="141"/>
      <c r="Q36" s="141"/>
      <c r="R36" s="141"/>
      <c r="S36" s="141"/>
      <c r="T36" s="141"/>
      <c r="U36" s="141"/>
      <c r="W36" s="141"/>
      <c r="X36" s="141"/>
      <c r="Y36" s="141"/>
      <c r="Z36" s="141"/>
    </row>
    <row r="38" spans="2:32" ht="15" customHeight="1" x14ac:dyDescent="0.25">
      <c r="B38" s="142" t="s">
        <v>255</v>
      </c>
    </row>
    <row r="39" spans="2:32" ht="15" customHeight="1" x14ac:dyDescent="0.25">
      <c r="B39" s="142" t="s">
        <v>256</v>
      </c>
    </row>
    <row r="40" spans="2:32" ht="15" customHeight="1" x14ac:dyDescent="0.25">
      <c r="B40" s="143" t="s">
        <v>257</v>
      </c>
      <c r="AA40" s="141"/>
      <c r="AB40" s="141"/>
      <c r="AC40" s="141"/>
      <c r="AD40" s="141"/>
      <c r="AE40" s="141"/>
      <c r="AF40" s="141"/>
    </row>
  </sheetData>
  <mergeCells count="3">
    <mergeCell ref="L28:O28"/>
    <mergeCell ref="L30:O30"/>
    <mergeCell ref="B2:K3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D7"/>
  <sheetViews>
    <sheetView showGridLines="0" zoomScaleNormal="100" workbookViewId="0"/>
  </sheetViews>
  <sheetFormatPr defaultColWidth="9.140625" defaultRowHeight="15" x14ac:dyDescent="0.25"/>
  <cols>
    <col min="1" max="1" width="7.7109375" style="5" customWidth="1"/>
    <col min="2" max="2" width="15.85546875" style="5" customWidth="1"/>
    <col min="3" max="3" width="2.85546875" style="5" customWidth="1"/>
    <col min="4" max="4" width="54.7109375" style="5" customWidth="1"/>
    <col min="5" max="16384" width="9.140625" style="5"/>
  </cols>
  <sheetData>
    <row r="1" spans="1:4" ht="18.75" x14ac:dyDescent="0.3">
      <c r="A1" s="144" t="s">
        <v>279</v>
      </c>
      <c r="B1" s="145" t="s">
        <v>280</v>
      </c>
      <c r="C1" s="3"/>
      <c r="D1" s="4"/>
    </row>
    <row r="2" spans="1:4" ht="18.75" x14ac:dyDescent="0.3">
      <c r="A2" s="2"/>
      <c r="B2" s="3"/>
      <c r="C2" s="3"/>
      <c r="D2" s="4"/>
    </row>
    <row r="3" spans="1:4" ht="18.75" x14ac:dyDescent="0.3">
      <c r="A3" s="2"/>
      <c r="B3" s="146" t="s">
        <v>6</v>
      </c>
      <c r="C3" s="6"/>
      <c r="D3" s="6"/>
    </row>
    <row r="4" spans="1:4" ht="15" customHeight="1" x14ac:dyDescent="0.3">
      <c r="A4" s="7"/>
      <c r="B4" s="8" t="str">
        <f ca="1">HYPERLINK("#"&amp;CELL("address",Macro_CurrPrices!D$2),MID(CELL("filename",Macro_CurrPrices!D$2),FIND("]",CELL("filename",Macro_CurrPrices!D$2))+1,256))</f>
        <v>Macro_CurrPrices</v>
      </c>
      <c r="C4" s="9"/>
      <c r="D4" s="147" t="s">
        <v>246</v>
      </c>
    </row>
    <row r="5" spans="1:4" ht="15" customHeight="1" x14ac:dyDescent="0.3">
      <c r="A5" s="7"/>
      <c r="B5" s="8" t="str">
        <f ca="1">HYPERLINK("#"&amp;CELL("address",Macro_euro2023!D$2),MID(CELL("filename",Macro_euro2023!D$2),FIND("]",CELL("filename",Macro_euro2023!D$2))+1,256))</f>
        <v>Macro_euro2023</v>
      </c>
      <c r="C5" s="9"/>
      <c r="D5" s="147" t="s">
        <v>273</v>
      </c>
    </row>
    <row r="6" spans="1:4" ht="15" customHeight="1" x14ac:dyDescent="0.3">
      <c r="A6" s="7"/>
      <c r="B6" s="8" t="str">
        <f ca="1">HYPERLINK("#"&amp;CELL("address",'Macro_JRC-IDEES'!$D$2),MID(CELL("filename",'Macro_JRC-IDEES'!$D$2),FIND("]",CELL("filename",'Macro_JRC-IDEES'!$D$2))+1,256))</f>
        <v>Macro_JRC-IDEES</v>
      </c>
      <c r="C6" s="9"/>
      <c r="D6" s="147" t="s">
        <v>261</v>
      </c>
    </row>
    <row r="7" spans="1:4" ht="15" customHeight="1" x14ac:dyDescent="0.3">
      <c r="A7" s="7"/>
      <c r="B7" s="8" t="str">
        <f ca="1">HYPERLINK("#"&amp;CELL("address",definitions!$D$2),MID(CELL("filename",definitions!$D$2),FIND("]",CELL("filename",definitions!$D$2))+1,256))</f>
        <v>definitions</v>
      </c>
      <c r="C7" s="9"/>
      <c r="D7" s="147" t="s">
        <v>247</v>
      </c>
    </row>
  </sheetData>
  <pageMargins left="0.39370078740157483" right="0.39370078740157483" top="0.39370078740157483" bottom="0.39370078740157483" header="0.31496062992125984" footer="0.31496062992125984"/>
  <pageSetup paperSize="9" scale="9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AA75"/>
  <sheetViews>
    <sheetView showGridLines="0" zoomScaleNormal="100" workbookViewId="0">
      <pane xSplit="3" ySplit="1" topLeftCell="D2" activePane="bottomRight" state="frozen"/>
      <selection activeCell="D2" sqref="D2"/>
      <selection pane="topRight" activeCell="D2" sqref="D2"/>
      <selection pane="bottomLeft" activeCell="D2" sqref="D2"/>
      <selection pane="bottomRight" activeCell="D2" sqref="D2"/>
    </sheetView>
  </sheetViews>
  <sheetFormatPr defaultColWidth="9.140625" defaultRowHeight="11.25" x14ac:dyDescent="0.2"/>
  <cols>
    <col min="1" max="1" width="3.28515625" style="10" customWidth="1" collapsed="1"/>
    <col min="2" max="2" width="9.28515625" style="10" customWidth="1"/>
    <col min="3" max="3" width="42.7109375" style="10" customWidth="1" collapsed="1"/>
    <col min="4" max="27" width="8.7109375" style="10" customWidth="1"/>
    <col min="28" max="16384" width="9.140625" style="10"/>
  </cols>
  <sheetData>
    <row r="1" spans="1:27" ht="12.75" customHeight="1" x14ac:dyDescent="0.2">
      <c r="A1" s="13"/>
      <c r="B1" s="14" t="s">
        <v>279</v>
      </c>
      <c r="C1" s="15" t="s">
        <v>262</v>
      </c>
      <c r="D1" s="33">
        <v>2000</v>
      </c>
      <c r="E1" s="33">
        <v>2001</v>
      </c>
      <c r="F1" s="33">
        <v>2002</v>
      </c>
      <c r="G1" s="33">
        <v>2003</v>
      </c>
      <c r="H1" s="33">
        <v>2004</v>
      </c>
      <c r="I1" s="33">
        <v>2005</v>
      </c>
      <c r="J1" s="33">
        <v>2006</v>
      </c>
      <c r="K1" s="33">
        <v>2007</v>
      </c>
      <c r="L1" s="33">
        <v>2008</v>
      </c>
      <c r="M1" s="33">
        <v>2009</v>
      </c>
      <c r="N1" s="33">
        <v>2010</v>
      </c>
      <c r="O1" s="33">
        <v>2011</v>
      </c>
      <c r="P1" s="33">
        <v>2012</v>
      </c>
      <c r="Q1" s="33">
        <v>2013</v>
      </c>
      <c r="R1" s="33">
        <v>2014</v>
      </c>
      <c r="S1" s="33">
        <v>2015</v>
      </c>
      <c r="T1" s="33">
        <v>2016</v>
      </c>
      <c r="U1" s="33">
        <v>2017</v>
      </c>
      <c r="V1" s="33">
        <v>2018</v>
      </c>
      <c r="W1" s="33">
        <v>2019</v>
      </c>
      <c r="X1" s="33">
        <v>2020</v>
      </c>
      <c r="Y1" s="33">
        <v>2021</v>
      </c>
      <c r="Z1" s="33">
        <v>2022</v>
      </c>
      <c r="AA1" s="33">
        <v>2023</v>
      </c>
    </row>
    <row r="2" spans="1:27" ht="12.75" customHeight="1" x14ac:dyDescent="0.2">
      <c r="A2" s="16"/>
      <c r="B2" s="17" t="s">
        <v>24</v>
      </c>
      <c r="C2" s="18" t="s">
        <v>25</v>
      </c>
      <c r="D2" s="19">
        <v>12503.7</v>
      </c>
      <c r="E2" s="19">
        <v>13690.7</v>
      </c>
      <c r="F2" s="19">
        <v>15177.2</v>
      </c>
      <c r="G2" s="19">
        <v>16674.599999999999</v>
      </c>
      <c r="H2" s="19">
        <v>18312.5</v>
      </c>
      <c r="I2" s="19">
        <v>20986</v>
      </c>
      <c r="J2" s="19">
        <v>23999.599999999999</v>
      </c>
      <c r="K2" s="19">
        <v>29034.1</v>
      </c>
      <c r="L2" s="19">
        <v>32683.1</v>
      </c>
      <c r="M2" s="19">
        <v>26973.5</v>
      </c>
      <c r="N2" s="19">
        <v>27663.4</v>
      </c>
      <c r="O2" s="19">
        <v>31066.400000000001</v>
      </c>
      <c r="P2" s="19">
        <v>33240.400000000001</v>
      </c>
      <c r="Q2" s="19">
        <v>34874</v>
      </c>
      <c r="R2" s="19">
        <v>36410.1</v>
      </c>
      <c r="S2" s="19">
        <v>37440.699999999997</v>
      </c>
      <c r="T2" s="19">
        <v>38820.699999999997</v>
      </c>
      <c r="U2" s="19">
        <v>42274.6</v>
      </c>
      <c r="V2" s="19">
        <v>45947.4</v>
      </c>
      <c r="W2" s="19">
        <v>49239.199999999997</v>
      </c>
      <c r="X2" s="19">
        <v>50264.6</v>
      </c>
      <c r="Y2" s="19">
        <v>56679.7</v>
      </c>
      <c r="Z2" s="19">
        <v>67455.5</v>
      </c>
      <c r="AA2" s="19">
        <v>73792.800000000003</v>
      </c>
    </row>
    <row r="3" spans="1:27" ht="12.75" customHeight="1" x14ac:dyDescent="0.2">
      <c r="A3" s="20"/>
      <c r="B3" s="21" t="s">
        <v>26</v>
      </c>
      <c r="C3" s="22" t="s">
        <v>27</v>
      </c>
      <c r="D3" s="23">
        <v>8083.6</v>
      </c>
      <c r="E3" s="23">
        <v>8892.9</v>
      </c>
      <c r="F3" s="23">
        <v>9721.5</v>
      </c>
      <c r="G3" s="23">
        <v>10672.9</v>
      </c>
      <c r="H3" s="23">
        <v>11811</v>
      </c>
      <c r="I3" s="23">
        <v>13492.8</v>
      </c>
      <c r="J3" s="23">
        <v>15410.9</v>
      </c>
      <c r="K3" s="23">
        <v>18350.599999999999</v>
      </c>
      <c r="L3" s="23">
        <v>21141.200000000001</v>
      </c>
      <c r="M3" s="23">
        <v>18225.900000000001</v>
      </c>
      <c r="N3" s="23">
        <v>17702.7</v>
      </c>
      <c r="O3" s="23">
        <v>19200.5</v>
      </c>
      <c r="P3" s="23">
        <v>20444.5</v>
      </c>
      <c r="Q3" s="23">
        <v>21384.400000000001</v>
      </c>
      <c r="R3" s="23">
        <v>22251</v>
      </c>
      <c r="S3" s="23">
        <v>22944.7</v>
      </c>
      <c r="T3" s="23">
        <v>24078.2</v>
      </c>
      <c r="U3" s="23">
        <v>25767.1</v>
      </c>
      <c r="V3" s="23">
        <v>27366.9</v>
      </c>
      <c r="W3" s="23">
        <v>28751.4</v>
      </c>
      <c r="X3" s="23">
        <v>28168.5</v>
      </c>
      <c r="Y3" s="23">
        <v>31851.4</v>
      </c>
      <c r="Z3" s="23">
        <v>38511.9</v>
      </c>
      <c r="AA3" s="23">
        <v>41822.699999999997</v>
      </c>
    </row>
    <row r="4" spans="1:27" ht="12.75" customHeight="1" x14ac:dyDescent="0.2">
      <c r="A4" s="24"/>
      <c r="B4" s="25" t="s">
        <v>28</v>
      </c>
      <c r="C4" s="26" t="s">
        <v>29</v>
      </c>
      <c r="D4" s="27">
        <v>11114</v>
      </c>
      <c r="E4" s="27">
        <v>12187</v>
      </c>
      <c r="F4" s="27">
        <v>13502.2</v>
      </c>
      <c r="G4" s="27">
        <v>14943.1</v>
      </c>
      <c r="H4" s="27">
        <v>16498.3</v>
      </c>
      <c r="I4" s="27">
        <v>19006.599999999999</v>
      </c>
      <c r="J4" s="27">
        <v>21725.4</v>
      </c>
      <c r="K4" s="27">
        <v>26061.9</v>
      </c>
      <c r="L4" s="27">
        <v>29313</v>
      </c>
      <c r="M4" s="27">
        <v>24262.6</v>
      </c>
      <c r="N4" s="27">
        <v>24707.5</v>
      </c>
      <c r="O4" s="27">
        <v>27803.8</v>
      </c>
      <c r="P4" s="27">
        <v>29870.7</v>
      </c>
      <c r="Q4" s="27">
        <v>31414.9</v>
      </c>
      <c r="R4" s="27">
        <v>32738</v>
      </c>
      <c r="S4" s="27">
        <v>33547.800000000003</v>
      </c>
      <c r="T4" s="27">
        <v>34789.699999999997</v>
      </c>
      <c r="U4" s="27">
        <v>37823.800000000003</v>
      </c>
      <c r="V4" s="27">
        <v>41189.1</v>
      </c>
      <c r="W4" s="27">
        <v>44098.400000000001</v>
      </c>
      <c r="X4" s="27">
        <v>44905</v>
      </c>
      <c r="Y4" s="27">
        <v>50519.8</v>
      </c>
      <c r="Z4" s="27">
        <v>61113.599999999999</v>
      </c>
      <c r="AA4" s="27">
        <v>66444.800000000003</v>
      </c>
    </row>
    <row r="5" spans="1:27" ht="12.75" customHeight="1" x14ac:dyDescent="0.2">
      <c r="B5" s="10" t="s">
        <v>30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</row>
    <row r="6" spans="1:27" ht="12.75" customHeight="1" x14ac:dyDescent="0.2">
      <c r="A6" s="151" t="s">
        <v>31</v>
      </c>
      <c r="B6" s="17" t="s">
        <v>32</v>
      </c>
      <c r="C6" s="18" t="s">
        <v>33</v>
      </c>
      <c r="D6" s="19">
        <v>696.9</v>
      </c>
      <c r="E6" s="19">
        <v>666.1</v>
      </c>
      <c r="F6" s="19">
        <v>723.6</v>
      </c>
      <c r="G6" s="19">
        <v>736.4</v>
      </c>
      <c r="H6" s="19">
        <v>760.3</v>
      </c>
      <c r="I6" s="19">
        <v>908.1</v>
      </c>
      <c r="J6" s="19">
        <v>929.5</v>
      </c>
      <c r="K6" s="19">
        <v>1008.3</v>
      </c>
      <c r="L6" s="19">
        <v>1072.5</v>
      </c>
      <c r="M6" s="19">
        <v>682.2</v>
      </c>
      <c r="N6" s="19">
        <v>848.9</v>
      </c>
      <c r="O6" s="19">
        <v>1093.2</v>
      </c>
      <c r="P6" s="19">
        <v>1329.6</v>
      </c>
      <c r="Q6" s="19">
        <v>1232.5999999999999</v>
      </c>
      <c r="R6" s="19">
        <v>1252.5999999999999</v>
      </c>
      <c r="S6" s="19">
        <v>1286.7</v>
      </c>
      <c r="T6" s="19">
        <v>1211.4000000000001</v>
      </c>
      <c r="U6" s="19">
        <v>1500.5</v>
      </c>
      <c r="V6" s="19">
        <v>1326.4</v>
      </c>
      <c r="W6" s="19">
        <v>1538.3</v>
      </c>
      <c r="X6" s="19">
        <v>1775.6</v>
      </c>
      <c r="Y6" s="19">
        <v>1924.7</v>
      </c>
      <c r="Z6" s="19">
        <v>2649.6</v>
      </c>
      <c r="AA6" s="19">
        <v>2003.8</v>
      </c>
    </row>
    <row r="7" spans="1:27" ht="12.75" customHeight="1" x14ac:dyDescent="0.2">
      <c r="A7" s="152"/>
      <c r="B7" s="21" t="s">
        <v>34</v>
      </c>
      <c r="C7" s="22" t="s">
        <v>35</v>
      </c>
      <c r="D7" s="23">
        <v>2649.1</v>
      </c>
      <c r="E7" s="23">
        <v>3001.6</v>
      </c>
      <c r="F7" s="23">
        <v>3154.5</v>
      </c>
      <c r="G7" s="23">
        <v>3625.1</v>
      </c>
      <c r="H7" s="23">
        <v>4211.7</v>
      </c>
      <c r="I7" s="23">
        <v>4757.2</v>
      </c>
      <c r="J7" s="23">
        <v>5185.2</v>
      </c>
      <c r="K7" s="23">
        <v>5691.4</v>
      </c>
      <c r="L7" s="23">
        <v>6258.1</v>
      </c>
      <c r="M7" s="23">
        <v>5148</v>
      </c>
      <c r="N7" s="23">
        <v>5784.7</v>
      </c>
      <c r="O7" s="23">
        <v>6923.7</v>
      </c>
      <c r="P7" s="23">
        <v>7512.4</v>
      </c>
      <c r="Q7" s="23">
        <v>7514.6</v>
      </c>
      <c r="R7" s="23">
        <v>7630.5</v>
      </c>
      <c r="S7" s="23">
        <v>7580.5</v>
      </c>
      <c r="T7" s="23">
        <v>7724.7</v>
      </c>
      <c r="U7" s="23">
        <v>8341.9</v>
      </c>
      <c r="V7" s="23">
        <v>8870.6</v>
      </c>
      <c r="W7" s="23">
        <v>9198.9</v>
      </c>
      <c r="X7" s="23">
        <v>9182.5</v>
      </c>
      <c r="Y7" s="23">
        <v>10507.6</v>
      </c>
      <c r="Z7" s="23">
        <v>13090.2</v>
      </c>
      <c r="AA7" s="23">
        <v>13007.8</v>
      </c>
    </row>
    <row r="8" spans="1:27" ht="12.75" customHeight="1" x14ac:dyDescent="0.2">
      <c r="A8" s="152"/>
      <c r="B8" s="21" t="s">
        <v>36</v>
      </c>
      <c r="C8" s="22" t="s">
        <v>37</v>
      </c>
      <c r="D8" s="23">
        <v>664.5</v>
      </c>
      <c r="E8" s="23">
        <v>724.3</v>
      </c>
      <c r="F8" s="23">
        <v>852.1</v>
      </c>
      <c r="G8" s="23">
        <v>1037.5999999999999</v>
      </c>
      <c r="H8" s="23">
        <v>1195.5</v>
      </c>
      <c r="I8" s="23">
        <v>1480.6</v>
      </c>
      <c r="J8" s="23">
        <v>2055.6</v>
      </c>
      <c r="K8" s="23">
        <v>2915.8</v>
      </c>
      <c r="L8" s="23">
        <v>3285.6</v>
      </c>
      <c r="M8" s="23">
        <v>1601</v>
      </c>
      <c r="N8" s="23">
        <v>1466.3</v>
      </c>
      <c r="O8" s="23">
        <v>1884.7</v>
      </c>
      <c r="P8" s="23">
        <v>1861.5</v>
      </c>
      <c r="Q8" s="23">
        <v>2119.1</v>
      </c>
      <c r="R8" s="23">
        <v>2464.6999999999998</v>
      </c>
      <c r="S8" s="23">
        <v>2514.9</v>
      </c>
      <c r="T8" s="23">
        <v>2367.6999999999998</v>
      </c>
      <c r="U8" s="23">
        <v>2531.3000000000002</v>
      </c>
      <c r="V8" s="23">
        <v>2882.2</v>
      </c>
      <c r="W8" s="23">
        <v>3237.2</v>
      </c>
      <c r="X8" s="23">
        <v>3277</v>
      </c>
      <c r="Y8" s="23">
        <v>3582.3</v>
      </c>
      <c r="Z8" s="23">
        <v>4205.3</v>
      </c>
      <c r="AA8" s="23">
        <v>4877.5</v>
      </c>
    </row>
    <row r="9" spans="1:27" ht="12.75" customHeight="1" x14ac:dyDescent="0.2">
      <c r="A9" s="152"/>
      <c r="B9" s="21" t="s">
        <v>38</v>
      </c>
      <c r="C9" s="22" t="s">
        <v>39</v>
      </c>
      <c r="D9" s="23">
        <v>2950.7</v>
      </c>
      <c r="E9" s="23">
        <v>3333.1</v>
      </c>
      <c r="F9" s="23">
        <v>3822.6</v>
      </c>
      <c r="G9" s="23">
        <v>4240.6000000000004</v>
      </c>
      <c r="H9" s="23">
        <v>4599.7</v>
      </c>
      <c r="I9" s="23">
        <v>5359.9</v>
      </c>
      <c r="J9" s="23">
        <v>5973.5</v>
      </c>
      <c r="K9" s="23">
        <v>7278.2</v>
      </c>
      <c r="L9" s="23">
        <v>8241.9</v>
      </c>
      <c r="M9" s="23">
        <v>7158.6</v>
      </c>
      <c r="N9" s="23">
        <v>7475</v>
      </c>
      <c r="O9" s="23">
        <v>8408.2000000000007</v>
      </c>
      <c r="P9" s="23">
        <v>9317.4</v>
      </c>
      <c r="Q9" s="23">
        <v>9980.9</v>
      </c>
      <c r="R9" s="23">
        <v>10315.799999999999</v>
      </c>
      <c r="S9" s="23">
        <v>10342.299999999999</v>
      </c>
      <c r="T9" s="23">
        <v>10800</v>
      </c>
      <c r="U9" s="23">
        <v>11824.1</v>
      </c>
      <c r="V9" s="23">
        <v>13084.8</v>
      </c>
      <c r="W9" s="23">
        <v>13700.9</v>
      </c>
      <c r="X9" s="23">
        <v>13299.6</v>
      </c>
      <c r="Y9" s="23">
        <v>14605.8</v>
      </c>
      <c r="Z9" s="23">
        <v>17352.7</v>
      </c>
      <c r="AA9" s="23">
        <v>18404.599999999999</v>
      </c>
    </row>
    <row r="10" spans="1:27" ht="12.75" customHeight="1" x14ac:dyDescent="0.2">
      <c r="A10" s="152"/>
      <c r="B10" s="21" t="s">
        <v>40</v>
      </c>
      <c r="C10" s="22" t="s">
        <v>41</v>
      </c>
      <c r="D10" s="23">
        <v>529.6</v>
      </c>
      <c r="E10" s="23">
        <v>597.29999999999995</v>
      </c>
      <c r="F10" s="23">
        <v>692.5</v>
      </c>
      <c r="G10" s="23">
        <v>745.3</v>
      </c>
      <c r="H10" s="23">
        <v>726.3</v>
      </c>
      <c r="I10" s="23">
        <v>770</v>
      </c>
      <c r="J10" s="23">
        <v>851.5</v>
      </c>
      <c r="K10" s="23">
        <v>976.2</v>
      </c>
      <c r="L10" s="23">
        <v>984.9</v>
      </c>
      <c r="M10" s="23">
        <v>951.5</v>
      </c>
      <c r="N10" s="23">
        <v>915.6</v>
      </c>
      <c r="O10" s="23">
        <v>876.6</v>
      </c>
      <c r="P10" s="23">
        <v>902.7</v>
      </c>
      <c r="Q10" s="23">
        <v>1013.1</v>
      </c>
      <c r="R10" s="23">
        <v>1026.4000000000001</v>
      </c>
      <c r="S10" s="23">
        <v>1159.8</v>
      </c>
      <c r="T10" s="23">
        <v>1263.0999999999999</v>
      </c>
      <c r="U10" s="23">
        <v>1397.2</v>
      </c>
      <c r="V10" s="23">
        <v>1522.1</v>
      </c>
      <c r="W10" s="23">
        <v>1717.7</v>
      </c>
      <c r="X10" s="23">
        <v>1872.5</v>
      </c>
      <c r="Y10" s="23">
        <v>2174</v>
      </c>
      <c r="Z10" s="23">
        <v>2832.5</v>
      </c>
      <c r="AA10" s="23">
        <v>3481.6</v>
      </c>
    </row>
    <row r="11" spans="1:27" ht="12.75" customHeight="1" x14ac:dyDescent="0.2">
      <c r="A11" s="152"/>
      <c r="B11" s="21" t="s">
        <v>42</v>
      </c>
      <c r="C11" s="22" t="s">
        <v>43</v>
      </c>
      <c r="D11" s="23">
        <v>229.2</v>
      </c>
      <c r="E11" s="23">
        <v>239.7</v>
      </c>
      <c r="F11" s="23">
        <v>294.2</v>
      </c>
      <c r="G11" s="23">
        <v>286.2</v>
      </c>
      <c r="H11" s="23">
        <v>315.39999999999998</v>
      </c>
      <c r="I11" s="23">
        <v>419.1</v>
      </c>
      <c r="J11" s="23">
        <v>620.29999999999995</v>
      </c>
      <c r="K11" s="23">
        <v>912</v>
      </c>
      <c r="L11" s="23">
        <v>994.2</v>
      </c>
      <c r="M11" s="23">
        <v>619.70000000000005</v>
      </c>
      <c r="N11" s="23">
        <v>713.3</v>
      </c>
      <c r="O11" s="23">
        <v>751</v>
      </c>
      <c r="P11" s="23">
        <v>626.4</v>
      </c>
      <c r="Q11" s="23">
        <v>706.4</v>
      </c>
      <c r="R11" s="23">
        <v>662.2</v>
      </c>
      <c r="S11" s="23">
        <v>704.8</v>
      </c>
      <c r="T11" s="23">
        <v>760.7</v>
      </c>
      <c r="U11" s="23">
        <v>785.9</v>
      </c>
      <c r="V11" s="23">
        <v>926.3</v>
      </c>
      <c r="W11" s="23">
        <v>1045.0999999999999</v>
      </c>
      <c r="X11" s="23">
        <v>1154.0999999999999</v>
      </c>
      <c r="Y11" s="23">
        <v>1515.2</v>
      </c>
      <c r="Z11" s="23">
        <v>2118.1</v>
      </c>
      <c r="AA11" s="23">
        <v>3218.3</v>
      </c>
    </row>
    <row r="12" spans="1:27" ht="12.75" customHeight="1" x14ac:dyDescent="0.2">
      <c r="A12" s="152"/>
      <c r="B12" s="21" t="s">
        <v>44</v>
      </c>
      <c r="C12" s="22" t="s">
        <v>45</v>
      </c>
      <c r="D12" s="23">
        <v>752.7</v>
      </c>
      <c r="E12" s="23">
        <v>803.9</v>
      </c>
      <c r="F12" s="23">
        <v>851.2</v>
      </c>
      <c r="G12" s="23">
        <v>898.7</v>
      </c>
      <c r="H12" s="23">
        <v>1003.9</v>
      </c>
      <c r="I12" s="23">
        <v>1194.8</v>
      </c>
      <c r="J12" s="23">
        <v>1406.4</v>
      </c>
      <c r="K12" s="23">
        <v>1727.7</v>
      </c>
      <c r="L12" s="23">
        <v>2031.3</v>
      </c>
      <c r="M12" s="23">
        <v>1785.1</v>
      </c>
      <c r="N12" s="23">
        <v>1642.8</v>
      </c>
      <c r="O12" s="23">
        <v>1694.7</v>
      </c>
      <c r="P12" s="23">
        <v>1827.6</v>
      </c>
      <c r="Q12" s="23">
        <v>1945.4</v>
      </c>
      <c r="R12" s="23">
        <v>2086.5</v>
      </c>
      <c r="S12" s="23">
        <v>2222.6</v>
      </c>
      <c r="T12" s="23">
        <v>2403.9</v>
      </c>
      <c r="U12" s="23">
        <v>2555.1999999999998</v>
      </c>
      <c r="V12" s="23">
        <v>2835</v>
      </c>
      <c r="W12" s="23">
        <v>2888.6</v>
      </c>
      <c r="X12" s="23">
        <v>3023.5</v>
      </c>
      <c r="Y12" s="23">
        <v>3223.4</v>
      </c>
      <c r="Z12" s="23">
        <v>3829.6</v>
      </c>
      <c r="AA12" s="23">
        <v>4362</v>
      </c>
    </row>
    <row r="13" spans="1:27" ht="12.75" customHeight="1" x14ac:dyDescent="0.2">
      <c r="A13" s="152"/>
      <c r="B13" s="21" t="s">
        <v>46</v>
      </c>
      <c r="C13" s="22" t="s">
        <v>47</v>
      </c>
      <c r="D13" s="23">
        <v>430.5</v>
      </c>
      <c r="E13" s="23">
        <v>471</v>
      </c>
      <c r="F13" s="23">
        <v>546.1</v>
      </c>
      <c r="G13" s="23">
        <v>702.5</v>
      </c>
      <c r="H13" s="23">
        <v>799.6</v>
      </c>
      <c r="I13" s="23">
        <v>973.8</v>
      </c>
      <c r="J13" s="23">
        <v>1145.9000000000001</v>
      </c>
      <c r="K13" s="23">
        <v>1531</v>
      </c>
      <c r="L13" s="23">
        <v>1671.5</v>
      </c>
      <c r="M13" s="23">
        <v>1555.1</v>
      </c>
      <c r="N13" s="23">
        <v>1410.9</v>
      </c>
      <c r="O13" s="23">
        <v>1539.9</v>
      </c>
      <c r="P13" s="23">
        <v>1683</v>
      </c>
      <c r="Q13" s="23">
        <v>1840.7</v>
      </c>
      <c r="R13" s="23">
        <v>1971.5</v>
      </c>
      <c r="S13" s="23">
        <v>2152.6999999999998</v>
      </c>
      <c r="T13" s="23">
        <v>2354.1999999999998</v>
      </c>
      <c r="U13" s="23">
        <v>2644.7</v>
      </c>
      <c r="V13" s="23">
        <v>2924.4</v>
      </c>
      <c r="W13" s="23">
        <v>3204.9</v>
      </c>
      <c r="X13" s="23">
        <v>3146.9</v>
      </c>
      <c r="Y13" s="23">
        <v>3918.3</v>
      </c>
      <c r="Z13" s="23">
        <v>4692.8999999999996</v>
      </c>
      <c r="AA13" s="23">
        <v>5347.4</v>
      </c>
    </row>
    <row r="14" spans="1:27" ht="12.75" customHeight="1" x14ac:dyDescent="0.2">
      <c r="A14" s="152"/>
      <c r="B14" s="21" t="s">
        <v>48</v>
      </c>
      <c r="C14" s="22" t="s">
        <v>49</v>
      </c>
      <c r="D14" s="23">
        <v>1947.1999999999989</v>
      </c>
      <c r="E14" s="23">
        <v>2068.2999999999993</v>
      </c>
      <c r="F14" s="23">
        <v>2212.3999999999996</v>
      </c>
      <c r="G14" s="23">
        <v>2310.0999999999985</v>
      </c>
      <c r="H14" s="23">
        <v>2503.1999999999989</v>
      </c>
      <c r="I14" s="23">
        <v>2711.7000000000007</v>
      </c>
      <c r="J14" s="23">
        <v>3124.7000000000007</v>
      </c>
      <c r="K14" s="23">
        <v>3565.2000000000007</v>
      </c>
      <c r="L14" s="23">
        <v>4281.7999999999993</v>
      </c>
      <c r="M14" s="23">
        <v>4259.5</v>
      </c>
      <c r="N14" s="23">
        <v>3985.7000000000007</v>
      </c>
      <c r="O14" s="23">
        <v>4149.8999999999942</v>
      </c>
      <c r="P14" s="23">
        <v>4288.8999999999978</v>
      </c>
      <c r="Q14" s="23">
        <v>4466.6999999999971</v>
      </c>
      <c r="R14" s="23">
        <v>4651.2000000000007</v>
      </c>
      <c r="S14" s="23">
        <v>4851.0000000000036</v>
      </c>
      <c r="T14" s="23">
        <v>5091.9999999999964</v>
      </c>
      <c r="U14" s="23">
        <v>5369.2999999999956</v>
      </c>
      <c r="V14" s="23">
        <v>5881.9000000000015</v>
      </c>
      <c r="W14" s="23">
        <v>6572.6000000000058</v>
      </c>
      <c r="X14" s="23">
        <v>7236.7999999999956</v>
      </c>
      <c r="Y14" s="23">
        <v>8048.9000000000015</v>
      </c>
      <c r="Z14" s="23">
        <v>9091.6999999999971</v>
      </c>
      <c r="AA14" s="23">
        <v>10309.700000000004</v>
      </c>
    </row>
    <row r="15" spans="1:27" ht="12.75" customHeight="1" x14ac:dyDescent="0.2">
      <c r="A15" s="152"/>
      <c r="B15" s="21" t="s">
        <v>50</v>
      </c>
      <c r="C15" s="22" t="s">
        <v>51</v>
      </c>
      <c r="D15" s="23">
        <v>263.60000000000002</v>
      </c>
      <c r="E15" s="23">
        <v>281.7</v>
      </c>
      <c r="F15" s="23">
        <v>353</v>
      </c>
      <c r="G15" s="23">
        <v>360.6</v>
      </c>
      <c r="H15" s="23">
        <v>382.7</v>
      </c>
      <c r="I15" s="23">
        <v>431.4</v>
      </c>
      <c r="J15" s="23">
        <v>432.8</v>
      </c>
      <c r="K15" s="23">
        <v>456.1</v>
      </c>
      <c r="L15" s="23">
        <v>491.2</v>
      </c>
      <c r="M15" s="23">
        <v>501.9</v>
      </c>
      <c r="N15" s="23">
        <v>464.3</v>
      </c>
      <c r="O15" s="23">
        <v>481.9</v>
      </c>
      <c r="P15" s="23">
        <v>521.20000000000005</v>
      </c>
      <c r="Q15" s="23">
        <v>595.4</v>
      </c>
      <c r="R15" s="23">
        <v>676.6</v>
      </c>
      <c r="S15" s="23">
        <v>732.5</v>
      </c>
      <c r="T15" s="23">
        <v>812</v>
      </c>
      <c r="U15" s="23">
        <v>873.7</v>
      </c>
      <c r="V15" s="23">
        <v>935.4</v>
      </c>
      <c r="W15" s="23">
        <v>994.2</v>
      </c>
      <c r="X15" s="23">
        <v>936.5</v>
      </c>
      <c r="Y15" s="23">
        <v>1019.6</v>
      </c>
      <c r="Z15" s="23">
        <v>1251</v>
      </c>
      <c r="AA15" s="23">
        <v>1432.1</v>
      </c>
    </row>
    <row r="16" spans="1:27" ht="12.75" customHeight="1" x14ac:dyDescent="0.2">
      <c r="A16" s="153"/>
      <c r="B16" s="28" t="s">
        <v>52</v>
      </c>
      <c r="C16" s="29" t="s">
        <v>53</v>
      </c>
      <c r="D16" s="30">
        <f>SUM(D6:D15)</f>
        <v>11114</v>
      </c>
      <c r="E16" s="30">
        <f t="shared" ref="E16:Y16" si="0">SUM(E6:E15)</f>
        <v>12187</v>
      </c>
      <c r="F16" s="30">
        <f t="shared" si="0"/>
        <v>13502.2</v>
      </c>
      <c r="G16" s="30">
        <f t="shared" si="0"/>
        <v>14943.1</v>
      </c>
      <c r="H16" s="30">
        <f t="shared" si="0"/>
        <v>16498.3</v>
      </c>
      <c r="I16" s="30">
        <f t="shared" si="0"/>
        <v>19006.599999999999</v>
      </c>
      <c r="J16" s="30">
        <f t="shared" si="0"/>
        <v>21725.4</v>
      </c>
      <c r="K16" s="30">
        <f t="shared" si="0"/>
        <v>26061.9</v>
      </c>
      <c r="L16" s="30">
        <f t="shared" si="0"/>
        <v>29313</v>
      </c>
      <c r="M16" s="30">
        <f t="shared" si="0"/>
        <v>24262.6</v>
      </c>
      <c r="N16" s="30">
        <f t="shared" si="0"/>
        <v>24707.5</v>
      </c>
      <c r="O16" s="30">
        <f t="shared" si="0"/>
        <v>27803.8</v>
      </c>
      <c r="P16" s="30">
        <f t="shared" si="0"/>
        <v>29870.7</v>
      </c>
      <c r="Q16" s="30">
        <f t="shared" si="0"/>
        <v>31414.9</v>
      </c>
      <c r="R16" s="30">
        <f t="shared" si="0"/>
        <v>32738</v>
      </c>
      <c r="S16" s="30">
        <f t="shared" si="0"/>
        <v>33547.800000000003</v>
      </c>
      <c r="T16" s="30">
        <f t="shared" si="0"/>
        <v>34789.699999999997</v>
      </c>
      <c r="U16" s="30">
        <f t="shared" si="0"/>
        <v>37823.800000000003</v>
      </c>
      <c r="V16" s="30">
        <f t="shared" si="0"/>
        <v>41189.1</v>
      </c>
      <c r="W16" s="30">
        <f t="shared" si="0"/>
        <v>44098.400000000001</v>
      </c>
      <c r="X16" s="30">
        <f t="shared" si="0"/>
        <v>44905</v>
      </c>
      <c r="Y16" s="30">
        <f t="shared" si="0"/>
        <v>50519.8</v>
      </c>
      <c r="Z16" s="30">
        <f t="shared" ref="Z16:AA16" si="1">SUM(Z6:Z15)</f>
        <v>61113.599999999999</v>
      </c>
      <c r="AA16" s="30">
        <f t="shared" si="1"/>
        <v>66444.800000000003</v>
      </c>
    </row>
    <row r="17" spans="1:27" ht="12.75" customHeight="1" x14ac:dyDescent="0.2"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</row>
    <row r="18" spans="1:27" ht="12.75" customHeight="1" x14ac:dyDescent="0.2">
      <c r="A18" s="151" t="s">
        <v>54</v>
      </c>
      <c r="B18" s="17" t="s">
        <v>32</v>
      </c>
      <c r="C18" s="18" t="s">
        <v>33</v>
      </c>
      <c r="D18" s="19">
        <v>696.9</v>
      </c>
      <c r="E18" s="19">
        <v>666.1</v>
      </c>
      <c r="F18" s="19">
        <v>723.6</v>
      </c>
      <c r="G18" s="19">
        <v>736.4</v>
      </c>
      <c r="H18" s="19">
        <v>760.3</v>
      </c>
      <c r="I18" s="19">
        <v>908.1</v>
      </c>
      <c r="J18" s="19">
        <v>929.5</v>
      </c>
      <c r="K18" s="19">
        <v>1008.3</v>
      </c>
      <c r="L18" s="19">
        <v>1072.5</v>
      </c>
      <c r="M18" s="19">
        <v>682.2</v>
      </c>
      <c r="N18" s="19">
        <v>848.9</v>
      </c>
      <c r="O18" s="19">
        <v>1093.2</v>
      </c>
      <c r="P18" s="19">
        <v>1329.6</v>
      </c>
      <c r="Q18" s="19">
        <v>1232.5999999999999</v>
      </c>
      <c r="R18" s="19">
        <v>1252.5999999999999</v>
      </c>
      <c r="S18" s="19">
        <v>1286.7</v>
      </c>
      <c r="T18" s="19">
        <v>1211.4000000000001</v>
      </c>
      <c r="U18" s="19">
        <v>1500.5</v>
      </c>
      <c r="V18" s="19">
        <v>1326.4</v>
      </c>
      <c r="W18" s="19">
        <v>1538.3</v>
      </c>
      <c r="X18" s="19">
        <v>1775.6</v>
      </c>
      <c r="Y18" s="19">
        <v>1924.7</v>
      </c>
      <c r="Z18" s="19">
        <v>2649.6</v>
      </c>
      <c r="AA18" s="19">
        <v>2003.8</v>
      </c>
    </row>
    <row r="19" spans="1:27" ht="12.75" customHeight="1" x14ac:dyDescent="0.2">
      <c r="A19" s="152"/>
      <c r="B19" s="21" t="s">
        <v>55</v>
      </c>
      <c r="C19" s="22" t="s">
        <v>56</v>
      </c>
      <c r="D19" s="23">
        <v>77.700000000000017</v>
      </c>
      <c r="E19" s="23">
        <v>88.099999999999937</v>
      </c>
      <c r="F19" s="23">
        <v>80.40000000000002</v>
      </c>
      <c r="G19" s="23">
        <v>84.3</v>
      </c>
      <c r="H19" s="23">
        <v>88.399999999999977</v>
      </c>
      <c r="I19" s="23">
        <v>99.210951644954704</v>
      </c>
      <c r="J19" s="23">
        <v>109.11164602903497</v>
      </c>
      <c r="K19" s="23">
        <v>118.29999999999997</v>
      </c>
      <c r="L19" s="23">
        <v>127.88863212158921</v>
      </c>
      <c r="M19" s="23">
        <v>76.807094032883796</v>
      </c>
      <c r="N19" s="23">
        <v>92.791620767494322</v>
      </c>
      <c r="O19" s="23">
        <v>119.90967169476488</v>
      </c>
      <c r="P19" s="23">
        <v>119.09999999999995</v>
      </c>
      <c r="Q19" s="23">
        <v>127.5</v>
      </c>
      <c r="R19" s="23">
        <v>128.70000000000002</v>
      </c>
      <c r="S19" s="23">
        <v>99.3</v>
      </c>
      <c r="T19" s="23">
        <v>97.29189234230482</v>
      </c>
      <c r="U19" s="23">
        <v>113.00884955752213</v>
      </c>
      <c r="V19" s="23">
        <v>125.70000000000006</v>
      </c>
      <c r="W19" s="23">
        <v>123.99999999999993</v>
      </c>
      <c r="X19" s="23">
        <v>134.30000000000001</v>
      </c>
      <c r="Y19" s="23">
        <v>138.60933144819225</v>
      </c>
      <c r="Z19" s="23">
        <v>149.39273098817694</v>
      </c>
      <c r="AA19" s="23">
        <v>163.30000000000001</v>
      </c>
    </row>
    <row r="20" spans="1:27" ht="12.75" customHeight="1" x14ac:dyDescent="0.2">
      <c r="A20" s="152"/>
      <c r="B20" s="21" t="s">
        <v>57</v>
      </c>
      <c r="C20" s="22" t="s">
        <v>58</v>
      </c>
      <c r="D20" s="23">
        <v>2121.6999999999998</v>
      </c>
      <c r="E20" s="23">
        <v>2382.8000000000002</v>
      </c>
      <c r="F20" s="23">
        <v>2495.1</v>
      </c>
      <c r="G20" s="23">
        <v>2803.1</v>
      </c>
      <c r="H20" s="23">
        <v>3340.4</v>
      </c>
      <c r="I20" s="23">
        <v>3851.3</v>
      </c>
      <c r="J20" s="23">
        <v>4248.3</v>
      </c>
      <c r="K20" s="23">
        <v>4630</v>
      </c>
      <c r="L20" s="23">
        <v>5133.1000000000004</v>
      </c>
      <c r="M20" s="23">
        <v>4065.3</v>
      </c>
      <c r="N20" s="23">
        <v>4677.3</v>
      </c>
      <c r="O20" s="23">
        <v>5683.9</v>
      </c>
      <c r="P20" s="23">
        <v>6205.8</v>
      </c>
      <c r="Q20" s="23">
        <v>6160.1</v>
      </c>
      <c r="R20" s="23">
        <v>6336.2</v>
      </c>
      <c r="S20" s="23">
        <v>6454.8</v>
      </c>
      <c r="T20" s="23">
        <v>6524.7</v>
      </c>
      <c r="U20" s="23">
        <v>7064.9</v>
      </c>
      <c r="V20" s="23">
        <v>7588.4</v>
      </c>
      <c r="W20" s="23">
        <v>7879.6</v>
      </c>
      <c r="X20" s="23">
        <v>7771.2</v>
      </c>
      <c r="Y20" s="23">
        <v>9022.2000000000007</v>
      </c>
      <c r="Z20" s="23">
        <v>11035</v>
      </c>
      <c r="AA20" s="23">
        <v>10756.8</v>
      </c>
    </row>
    <row r="21" spans="1:27" ht="12.75" customHeight="1" x14ac:dyDescent="0.2">
      <c r="A21" s="152"/>
      <c r="B21" s="21" t="s">
        <v>59</v>
      </c>
      <c r="C21" s="22" t="s">
        <v>60</v>
      </c>
      <c r="D21" s="23">
        <v>352.30000000000013</v>
      </c>
      <c r="E21" s="23">
        <v>421.49999999999977</v>
      </c>
      <c r="F21" s="23">
        <v>465.50000000000011</v>
      </c>
      <c r="G21" s="23">
        <v>612.1</v>
      </c>
      <c r="H21" s="23">
        <v>644.99999999999977</v>
      </c>
      <c r="I21" s="23">
        <v>664.47334952528126</v>
      </c>
      <c r="J21" s="23">
        <v>673.47188300597747</v>
      </c>
      <c r="K21" s="23">
        <v>755.99999999999989</v>
      </c>
      <c r="L21" s="23">
        <v>790.12976624300063</v>
      </c>
      <c r="M21" s="23">
        <v>807.97462590060957</v>
      </c>
      <c r="N21" s="23">
        <v>791.72850564334055</v>
      </c>
      <c r="O21" s="23">
        <v>763.76160361377765</v>
      </c>
      <c r="P21" s="23">
        <v>815.0999999999998</v>
      </c>
      <c r="Q21" s="23">
        <v>822.9</v>
      </c>
      <c r="R21" s="23">
        <v>732.30000000000007</v>
      </c>
      <c r="S21" s="23">
        <v>628</v>
      </c>
      <c r="T21" s="23">
        <v>687.94267144404637</v>
      </c>
      <c r="U21" s="23">
        <v>702.35500039157318</v>
      </c>
      <c r="V21" s="23">
        <v>696.3000000000003</v>
      </c>
      <c r="W21" s="23">
        <v>728.39999999999964</v>
      </c>
      <c r="X21" s="23">
        <v>796.4</v>
      </c>
      <c r="Y21" s="23">
        <v>814.95486433717076</v>
      </c>
      <c r="Z21" s="23">
        <v>1384.9326132438089</v>
      </c>
      <c r="AA21" s="23">
        <v>1477.2</v>
      </c>
    </row>
    <row r="22" spans="1:27" ht="12.75" customHeight="1" x14ac:dyDescent="0.2">
      <c r="A22" s="152"/>
      <c r="B22" s="21" t="s">
        <v>61</v>
      </c>
      <c r="C22" s="22" t="s">
        <v>62</v>
      </c>
      <c r="D22" s="23">
        <v>97.40000000000002</v>
      </c>
      <c r="E22" s="23">
        <v>109.19999999999995</v>
      </c>
      <c r="F22" s="23">
        <v>113.50000000000003</v>
      </c>
      <c r="G22" s="23">
        <v>125.60000000000001</v>
      </c>
      <c r="H22" s="23">
        <v>137.89999999999998</v>
      </c>
      <c r="I22" s="23">
        <v>142.21569882976368</v>
      </c>
      <c r="J22" s="23">
        <v>154.31647096498713</v>
      </c>
      <c r="K22" s="23">
        <v>187.09999999999997</v>
      </c>
      <c r="L22" s="23">
        <v>206.98160163541019</v>
      </c>
      <c r="M22" s="23">
        <v>197.91828006650655</v>
      </c>
      <c r="N22" s="23">
        <v>222.87987358916473</v>
      </c>
      <c r="O22" s="23">
        <v>356.12872469145765</v>
      </c>
      <c r="P22" s="23">
        <v>372.39999999999986</v>
      </c>
      <c r="Q22" s="23">
        <v>404.1</v>
      </c>
      <c r="R22" s="23">
        <v>433.30000000000007</v>
      </c>
      <c r="S22" s="23">
        <v>398.4</v>
      </c>
      <c r="T22" s="23">
        <v>414.76543621364891</v>
      </c>
      <c r="U22" s="23">
        <v>461.63615005090452</v>
      </c>
      <c r="V22" s="23">
        <v>460.20000000000022</v>
      </c>
      <c r="W22" s="23">
        <v>466.89999999999975</v>
      </c>
      <c r="X22" s="23">
        <v>480.6</v>
      </c>
      <c r="Y22" s="23">
        <v>531.8358042146366</v>
      </c>
      <c r="Z22" s="23">
        <v>520.87465576801446</v>
      </c>
      <c r="AA22" s="23">
        <v>610.5</v>
      </c>
    </row>
    <row r="23" spans="1:27" ht="12.75" customHeight="1" x14ac:dyDescent="0.2">
      <c r="A23" s="152"/>
      <c r="B23" s="21" t="s">
        <v>36</v>
      </c>
      <c r="C23" s="22" t="s">
        <v>37</v>
      </c>
      <c r="D23" s="23">
        <v>664.5</v>
      </c>
      <c r="E23" s="23">
        <v>724.3</v>
      </c>
      <c r="F23" s="23">
        <v>852.1</v>
      </c>
      <c r="G23" s="23">
        <v>1037.5999999999999</v>
      </c>
      <c r="H23" s="23">
        <v>1195.5</v>
      </c>
      <c r="I23" s="23">
        <v>1480.6</v>
      </c>
      <c r="J23" s="23">
        <v>2055.6</v>
      </c>
      <c r="K23" s="23">
        <v>2915.8</v>
      </c>
      <c r="L23" s="23">
        <v>3285.6</v>
      </c>
      <c r="M23" s="23">
        <v>1601</v>
      </c>
      <c r="N23" s="23">
        <v>1466.3</v>
      </c>
      <c r="O23" s="23">
        <v>1884.7</v>
      </c>
      <c r="P23" s="23">
        <v>1861.5</v>
      </c>
      <c r="Q23" s="23">
        <v>2119.1</v>
      </c>
      <c r="R23" s="23">
        <v>2464.6999999999998</v>
      </c>
      <c r="S23" s="23">
        <v>2514.9</v>
      </c>
      <c r="T23" s="23">
        <v>2367.6999999999998</v>
      </c>
      <c r="U23" s="23">
        <v>2531.3000000000002</v>
      </c>
      <c r="V23" s="23">
        <v>2882.2</v>
      </c>
      <c r="W23" s="23">
        <v>3237.2</v>
      </c>
      <c r="X23" s="23">
        <v>3277</v>
      </c>
      <c r="Y23" s="23">
        <v>3582.3</v>
      </c>
      <c r="Z23" s="23">
        <v>4205.3</v>
      </c>
      <c r="AA23" s="23">
        <v>4877.5</v>
      </c>
    </row>
    <row r="24" spans="1:27" ht="12.75" customHeight="1" x14ac:dyDescent="0.2">
      <c r="A24" s="152"/>
      <c r="B24" s="21" t="s">
        <v>63</v>
      </c>
      <c r="C24" s="22" t="s">
        <v>64</v>
      </c>
      <c r="D24" s="23">
        <v>1846.6999999999998</v>
      </c>
      <c r="E24" s="23">
        <v>2118.1</v>
      </c>
      <c r="F24" s="23">
        <v>2393.1999999999998</v>
      </c>
      <c r="G24" s="23">
        <v>2621.1000000000004</v>
      </c>
      <c r="H24" s="23">
        <v>2829.8999999999996</v>
      </c>
      <c r="I24" s="23">
        <v>3283.9999999999995</v>
      </c>
      <c r="J24" s="23">
        <v>3547.3</v>
      </c>
      <c r="K24" s="23">
        <v>4374.7999999999993</v>
      </c>
      <c r="L24" s="23">
        <v>5105.3999999999996</v>
      </c>
      <c r="M24" s="23">
        <v>4242.6000000000004</v>
      </c>
      <c r="N24" s="23">
        <v>4327.8</v>
      </c>
      <c r="O24" s="23">
        <v>4916</v>
      </c>
      <c r="P24" s="23">
        <v>5443.5</v>
      </c>
      <c r="Q24" s="23">
        <v>5815.4</v>
      </c>
      <c r="R24" s="23">
        <v>6016.2999999999993</v>
      </c>
      <c r="S24" s="23">
        <v>6072.7999999999993</v>
      </c>
      <c r="T24" s="23">
        <v>6252.5</v>
      </c>
      <c r="U24" s="23">
        <v>6711.1</v>
      </c>
      <c r="V24" s="23">
        <v>7322.4</v>
      </c>
      <c r="W24" s="23">
        <v>7435.4</v>
      </c>
      <c r="X24" s="23">
        <v>7563.2000000000007</v>
      </c>
      <c r="Y24" s="23">
        <v>8302.5</v>
      </c>
      <c r="Z24" s="23">
        <v>9437.3000000000011</v>
      </c>
      <c r="AA24" s="23">
        <v>9952.4999999999982</v>
      </c>
    </row>
    <row r="25" spans="1:27" ht="12.75" customHeight="1" x14ac:dyDescent="0.2">
      <c r="A25" s="152"/>
      <c r="B25" s="21" t="s">
        <v>65</v>
      </c>
      <c r="C25" s="22" t="s">
        <v>66</v>
      </c>
      <c r="D25" s="23">
        <v>936</v>
      </c>
      <c r="E25" s="23">
        <v>1025.2</v>
      </c>
      <c r="F25" s="23">
        <v>1217.5</v>
      </c>
      <c r="G25" s="23">
        <v>1388.9</v>
      </c>
      <c r="H25" s="23">
        <v>1524.2</v>
      </c>
      <c r="I25" s="23">
        <v>1806.9</v>
      </c>
      <c r="J25" s="23">
        <v>2129</v>
      </c>
      <c r="K25" s="23">
        <v>2563.6</v>
      </c>
      <c r="L25" s="23">
        <v>2746.8</v>
      </c>
      <c r="M25" s="23">
        <v>2575</v>
      </c>
      <c r="N25" s="23">
        <v>2814.6</v>
      </c>
      <c r="O25" s="23">
        <v>3120.3</v>
      </c>
      <c r="P25" s="23">
        <v>3460.9</v>
      </c>
      <c r="Q25" s="23">
        <v>3718.5</v>
      </c>
      <c r="R25" s="23">
        <v>3831.1</v>
      </c>
      <c r="S25" s="23">
        <v>3731.3</v>
      </c>
      <c r="T25" s="23">
        <v>3958.4</v>
      </c>
      <c r="U25" s="23">
        <v>4452.8</v>
      </c>
      <c r="V25" s="23">
        <v>5022.8999999999996</v>
      </c>
      <c r="W25" s="23">
        <v>5451.8</v>
      </c>
      <c r="X25" s="23">
        <v>5159.5</v>
      </c>
      <c r="Y25" s="23">
        <v>5592.9</v>
      </c>
      <c r="Z25" s="23">
        <v>6869</v>
      </c>
      <c r="AA25" s="23">
        <v>7221.6</v>
      </c>
    </row>
    <row r="26" spans="1:27" ht="12.75" customHeight="1" x14ac:dyDescent="0.2">
      <c r="A26" s="152"/>
      <c r="B26" s="21" t="s">
        <v>67</v>
      </c>
      <c r="C26" s="22" t="s">
        <v>68</v>
      </c>
      <c r="D26" s="23">
        <v>168</v>
      </c>
      <c r="E26" s="23">
        <v>189.8</v>
      </c>
      <c r="F26" s="23">
        <v>211.9</v>
      </c>
      <c r="G26" s="23">
        <v>230.6</v>
      </c>
      <c r="H26" s="23">
        <v>245.6</v>
      </c>
      <c r="I26" s="23">
        <v>269</v>
      </c>
      <c r="J26" s="23">
        <v>297.2</v>
      </c>
      <c r="K26" s="23">
        <v>339.8</v>
      </c>
      <c r="L26" s="23">
        <v>389.7</v>
      </c>
      <c r="M26" s="23">
        <v>341</v>
      </c>
      <c r="N26" s="23">
        <v>332.6</v>
      </c>
      <c r="O26" s="23">
        <v>371.9</v>
      </c>
      <c r="P26" s="23">
        <v>413</v>
      </c>
      <c r="Q26" s="23">
        <v>447</v>
      </c>
      <c r="R26" s="23">
        <v>468.4</v>
      </c>
      <c r="S26" s="23">
        <v>538.20000000000005</v>
      </c>
      <c r="T26" s="23">
        <v>589.1</v>
      </c>
      <c r="U26" s="23">
        <v>660.2</v>
      </c>
      <c r="V26" s="23">
        <v>739.5</v>
      </c>
      <c r="W26" s="23">
        <v>813.7</v>
      </c>
      <c r="X26" s="23">
        <v>576.9</v>
      </c>
      <c r="Y26" s="23">
        <v>710.4</v>
      </c>
      <c r="Z26" s="23">
        <v>1046.4000000000001</v>
      </c>
      <c r="AA26" s="23">
        <v>1230.5</v>
      </c>
    </row>
    <row r="27" spans="1:27" ht="12.75" customHeight="1" x14ac:dyDescent="0.2">
      <c r="A27" s="152"/>
      <c r="B27" s="21" t="s">
        <v>40</v>
      </c>
      <c r="C27" s="22" t="s">
        <v>41</v>
      </c>
      <c r="D27" s="23">
        <v>529.6</v>
      </c>
      <c r="E27" s="23">
        <v>597.29999999999995</v>
      </c>
      <c r="F27" s="23">
        <v>692.5</v>
      </c>
      <c r="G27" s="23">
        <v>745.3</v>
      </c>
      <c r="H27" s="23">
        <v>726.3</v>
      </c>
      <c r="I27" s="23">
        <v>770</v>
      </c>
      <c r="J27" s="23">
        <v>851.5</v>
      </c>
      <c r="K27" s="23">
        <v>976.2</v>
      </c>
      <c r="L27" s="23">
        <v>984.9</v>
      </c>
      <c r="M27" s="23">
        <v>951.5</v>
      </c>
      <c r="N27" s="23">
        <v>915.6</v>
      </c>
      <c r="O27" s="23">
        <v>876.6</v>
      </c>
      <c r="P27" s="23">
        <v>902.7</v>
      </c>
      <c r="Q27" s="23">
        <v>1013.1</v>
      </c>
      <c r="R27" s="23">
        <v>1026.4000000000001</v>
      </c>
      <c r="S27" s="23">
        <v>1159.8</v>
      </c>
      <c r="T27" s="23">
        <v>1263.0999999999999</v>
      </c>
      <c r="U27" s="23">
        <v>1397.2</v>
      </c>
      <c r="V27" s="23">
        <v>1522.1</v>
      </c>
      <c r="W27" s="23">
        <v>1717.7</v>
      </c>
      <c r="X27" s="23">
        <v>1872.5</v>
      </c>
      <c r="Y27" s="23">
        <v>2174</v>
      </c>
      <c r="Z27" s="23">
        <v>2832.5</v>
      </c>
      <c r="AA27" s="23">
        <v>3481.6</v>
      </c>
    </row>
    <row r="28" spans="1:27" ht="12.75" customHeight="1" x14ac:dyDescent="0.2">
      <c r="A28" s="152"/>
      <c r="B28" s="21" t="s">
        <v>42</v>
      </c>
      <c r="C28" s="22" t="s">
        <v>43</v>
      </c>
      <c r="D28" s="23">
        <v>229.2</v>
      </c>
      <c r="E28" s="23">
        <v>239.7</v>
      </c>
      <c r="F28" s="23">
        <v>294.2</v>
      </c>
      <c r="G28" s="23">
        <v>286.2</v>
      </c>
      <c r="H28" s="23">
        <v>315.39999999999998</v>
      </c>
      <c r="I28" s="23">
        <v>419.1</v>
      </c>
      <c r="J28" s="23">
        <v>620.29999999999995</v>
      </c>
      <c r="K28" s="23">
        <v>912</v>
      </c>
      <c r="L28" s="23">
        <v>994.2</v>
      </c>
      <c r="M28" s="23">
        <v>619.70000000000005</v>
      </c>
      <c r="N28" s="23">
        <v>713.3</v>
      </c>
      <c r="O28" s="23">
        <v>751</v>
      </c>
      <c r="P28" s="23">
        <v>626.4</v>
      </c>
      <c r="Q28" s="23">
        <v>706.4</v>
      </c>
      <c r="R28" s="23">
        <v>662.2</v>
      </c>
      <c r="S28" s="23">
        <v>704.8</v>
      </c>
      <c r="T28" s="23">
        <v>760.7</v>
      </c>
      <c r="U28" s="23">
        <v>785.9</v>
      </c>
      <c r="V28" s="23">
        <v>926.3</v>
      </c>
      <c r="W28" s="23">
        <v>1045.0999999999999</v>
      </c>
      <c r="X28" s="23">
        <v>1154.0999999999999</v>
      </c>
      <c r="Y28" s="23">
        <v>1515.2</v>
      </c>
      <c r="Z28" s="23">
        <v>2118.1</v>
      </c>
      <c r="AA28" s="23">
        <v>3218.3</v>
      </c>
    </row>
    <row r="29" spans="1:27" ht="12.75" customHeight="1" x14ac:dyDescent="0.2">
      <c r="A29" s="152"/>
      <c r="B29" s="21" t="s">
        <v>44</v>
      </c>
      <c r="C29" s="22" t="s">
        <v>45</v>
      </c>
      <c r="D29" s="23">
        <v>752.7</v>
      </c>
      <c r="E29" s="23">
        <v>803.9</v>
      </c>
      <c r="F29" s="23">
        <v>851.2</v>
      </c>
      <c r="G29" s="23">
        <v>898.7</v>
      </c>
      <c r="H29" s="23">
        <v>1003.9</v>
      </c>
      <c r="I29" s="23">
        <v>1194.8</v>
      </c>
      <c r="J29" s="23">
        <v>1406.4</v>
      </c>
      <c r="K29" s="23">
        <v>1727.7</v>
      </c>
      <c r="L29" s="23">
        <v>2031.3</v>
      </c>
      <c r="M29" s="23">
        <v>1785.1</v>
      </c>
      <c r="N29" s="23">
        <v>1642.8</v>
      </c>
      <c r="O29" s="23">
        <v>1694.7</v>
      </c>
      <c r="P29" s="23">
        <v>1827.6</v>
      </c>
      <c r="Q29" s="23">
        <v>1945.4</v>
      </c>
      <c r="R29" s="23">
        <v>2086.5</v>
      </c>
      <c r="S29" s="23">
        <v>2222.6</v>
      </c>
      <c r="T29" s="23">
        <v>2403.9</v>
      </c>
      <c r="U29" s="23">
        <v>2555.1999999999998</v>
      </c>
      <c r="V29" s="23">
        <v>2835</v>
      </c>
      <c r="W29" s="23">
        <v>2888.6</v>
      </c>
      <c r="X29" s="23">
        <v>3023.5</v>
      </c>
      <c r="Y29" s="23">
        <v>3223.4</v>
      </c>
      <c r="Z29" s="23">
        <v>3829.6</v>
      </c>
      <c r="AA29" s="23">
        <v>4362</v>
      </c>
    </row>
    <row r="30" spans="1:27" ht="12.75" customHeight="1" x14ac:dyDescent="0.2">
      <c r="A30" s="152"/>
      <c r="B30" s="21" t="s">
        <v>69</v>
      </c>
      <c r="C30" s="22" t="s">
        <v>70</v>
      </c>
      <c r="D30" s="23">
        <v>289.89999999999998</v>
      </c>
      <c r="E30" s="23">
        <v>315.60000000000002</v>
      </c>
      <c r="F30" s="23">
        <v>352.5</v>
      </c>
      <c r="G30" s="23">
        <v>488.4</v>
      </c>
      <c r="H30" s="23">
        <v>554.90000000000009</v>
      </c>
      <c r="I30" s="23">
        <v>650.69999999999993</v>
      </c>
      <c r="J30" s="23">
        <v>762.30000000000007</v>
      </c>
      <c r="K30" s="23">
        <v>1016.6</v>
      </c>
      <c r="L30" s="23">
        <v>1053.8</v>
      </c>
      <c r="M30" s="23">
        <v>990.3</v>
      </c>
      <c r="N30" s="23">
        <v>887.90000000000009</v>
      </c>
      <c r="O30" s="23">
        <v>979.60000000000014</v>
      </c>
      <c r="P30" s="23">
        <v>1041.2</v>
      </c>
      <c r="Q30" s="23">
        <v>1129.7</v>
      </c>
      <c r="R30" s="23">
        <v>1205.2</v>
      </c>
      <c r="S30" s="23">
        <v>1281.3999999999999</v>
      </c>
      <c r="T30" s="23">
        <v>1387.1</v>
      </c>
      <c r="U30" s="23">
        <v>1491.6</v>
      </c>
      <c r="V30" s="23">
        <v>1618.4</v>
      </c>
      <c r="W30" s="23">
        <v>1766.9</v>
      </c>
      <c r="X30" s="23">
        <v>1805.6000000000001</v>
      </c>
      <c r="Y30" s="23">
        <v>2139.4</v>
      </c>
      <c r="Z30" s="23">
        <v>2610.6999999999998</v>
      </c>
      <c r="AA30" s="23">
        <v>2800.2</v>
      </c>
    </row>
    <row r="31" spans="1:27" ht="12.75" customHeight="1" x14ac:dyDescent="0.2">
      <c r="A31" s="152"/>
      <c r="B31" s="21" t="s">
        <v>71</v>
      </c>
      <c r="C31" s="22" t="s">
        <v>72</v>
      </c>
      <c r="D31" s="23">
        <v>140.6</v>
      </c>
      <c r="E31" s="23">
        <v>155.4</v>
      </c>
      <c r="F31" s="23">
        <v>193.6</v>
      </c>
      <c r="G31" s="23">
        <v>214.1</v>
      </c>
      <c r="H31" s="23">
        <v>244.7</v>
      </c>
      <c r="I31" s="23">
        <v>323.10000000000002</v>
      </c>
      <c r="J31" s="23">
        <v>383.6</v>
      </c>
      <c r="K31" s="23">
        <v>514.4</v>
      </c>
      <c r="L31" s="23">
        <v>617.70000000000005</v>
      </c>
      <c r="M31" s="23">
        <v>564.79999999999995</v>
      </c>
      <c r="N31" s="23">
        <v>523</v>
      </c>
      <c r="O31" s="23">
        <v>560.29999999999995</v>
      </c>
      <c r="P31" s="23">
        <v>641.79999999999995</v>
      </c>
      <c r="Q31" s="23">
        <v>711</v>
      </c>
      <c r="R31" s="23">
        <v>766.3</v>
      </c>
      <c r="S31" s="23">
        <v>871.3</v>
      </c>
      <c r="T31" s="23">
        <v>967.1</v>
      </c>
      <c r="U31" s="23">
        <v>1153.0999999999999</v>
      </c>
      <c r="V31" s="23">
        <v>1306</v>
      </c>
      <c r="W31" s="23">
        <v>1438</v>
      </c>
      <c r="X31" s="23">
        <v>1341.3</v>
      </c>
      <c r="Y31" s="23">
        <v>1778.9</v>
      </c>
      <c r="Z31" s="23">
        <v>2082.1999999999998</v>
      </c>
      <c r="AA31" s="23">
        <v>2547.1999999999998</v>
      </c>
    </row>
    <row r="32" spans="1:27" ht="12.75" customHeight="1" x14ac:dyDescent="0.2">
      <c r="A32" s="152"/>
      <c r="B32" s="21" t="s">
        <v>73</v>
      </c>
      <c r="C32" s="22" t="s">
        <v>74</v>
      </c>
      <c r="D32" s="23">
        <v>911.39999999999895</v>
      </c>
      <c r="E32" s="23">
        <v>969.59999999999923</v>
      </c>
      <c r="F32" s="23">
        <v>1050.5999999999997</v>
      </c>
      <c r="G32" s="23">
        <v>1140.6999999999985</v>
      </c>
      <c r="H32" s="23">
        <v>1224.8999999999987</v>
      </c>
      <c r="I32" s="23">
        <v>1330.8000000000006</v>
      </c>
      <c r="J32" s="23">
        <v>1516.2000000000007</v>
      </c>
      <c r="K32" s="23">
        <v>1671.1000000000008</v>
      </c>
      <c r="L32" s="23">
        <v>1939.2999999999993</v>
      </c>
      <c r="M32" s="23">
        <v>1801</v>
      </c>
      <c r="N32" s="23">
        <v>1717.8000000000011</v>
      </c>
      <c r="O32" s="23">
        <v>1792.1999999999944</v>
      </c>
      <c r="P32" s="23">
        <v>1848.9999999999977</v>
      </c>
      <c r="Q32" s="23">
        <v>1926.7999999999975</v>
      </c>
      <c r="R32" s="23">
        <v>2023.9000000000005</v>
      </c>
      <c r="S32" s="23">
        <v>2080.0000000000036</v>
      </c>
      <c r="T32" s="23">
        <v>2125.4999999999964</v>
      </c>
      <c r="U32" s="23">
        <v>2183.1999999999957</v>
      </c>
      <c r="V32" s="23">
        <v>2325.1000000000013</v>
      </c>
      <c r="W32" s="23">
        <v>2561.5000000000055</v>
      </c>
      <c r="X32" s="23">
        <v>2773.9999999999955</v>
      </c>
      <c r="Y32" s="23">
        <v>2920.8000000000011</v>
      </c>
      <c r="Z32" s="23">
        <v>3385.0999999999967</v>
      </c>
      <c r="AA32" s="23">
        <v>3862.5000000000036</v>
      </c>
    </row>
    <row r="33" spans="1:27" ht="12.75" customHeight="1" x14ac:dyDescent="0.2">
      <c r="A33" s="152"/>
      <c r="B33" s="21" t="s">
        <v>75</v>
      </c>
      <c r="C33" s="22" t="s">
        <v>76</v>
      </c>
      <c r="D33" s="23">
        <v>667.4</v>
      </c>
      <c r="E33" s="23">
        <v>721.1</v>
      </c>
      <c r="F33" s="23">
        <v>766.4</v>
      </c>
      <c r="G33" s="23">
        <v>768.7</v>
      </c>
      <c r="H33" s="23">
        <v>831.7</v>
      </c>
      <c r="I33" s="23">
        <v>865.2</v>
      </c>
      <c r="J33" s="23">
        <v>962.3</v>
      </c>
      <c r="K33" s="23">
        <v>1110.5</v>
      </c>
      <c r="L33" s="23">
        <v>1382.4</v>
      </c>
      <c r="M33" s="23">
        <v>1499.3</v>
      </c>
      <c r="N33" s="23">
        <v>1364.6</v>
      </c>
      <c r="O33" s="23">
        <v>1383.8</v>
      </c>
      <c r="P33" s="23">
        <v>1403.2</v>
      </c>
      <c r="Q33" s="23">
        <v>1442.3</v>
      </c>
      <c r="R33" s="23">
        <v>1459.1</v>
      </c>
      <c r="S33" s="23">
        <v>1518.8</v>
      </c>
      <c r="T33" s="23">
        <v>1592.2</v>
      </c>
      <c r="U33" s="23">
        <v>1666.5</v>
      </c>
      <c r="V33" s="23">
        <v>1831.8</v>
      </c>
      <c r="W33" s="23">
        <v>2026.2</v>
      </c>
      <c r="X33" s="23">
        <v>2236.4</v>
      </c>
      <c r="Y33" s="23">
        <v>2458.9</v>
      </c>
      <c r="Z33" s="23">
        <v>2847.7</v>
      </c>
      <c r="AA33" s="23">
        <v>3272.3</v>
      </c>
    </row>
    <row r="34" spans="1:27" ht="12.75" customHeight="1" x14ac:dyDescent="0.2">
      <c r="A34" s="152"/>
      <c r="B34" s="21" t="s">
        <v>77</v>
      </c>
      <c r="C34" s="22" t="s">
        <v>78</v>
      </c>
      <c r="D34" s="23">
        <v>368.4</v>
      </c>
      <c r="E34" s="23">
        <v>377.6</v>
      </c>
      <c r="F34" s="23">
        <v>395.4</v>
      </c>
      <c r="G34" s="23">
        <v>400.7</v>
      </c>
      <c r="H34" s="23">
        <v>446.6</v>
      </c>
      <c r="I34" s="23">
        <v>515.70000000000005</v>
      </c>
      <c r="J34" s="23">
        <v>646.20000000000005</v>
      </c>
      <c r="K34" s="23">
        <v>783.6</v>
      </c>
      <c r="L34" s="23">
        <v>960.1</v>
      </c>
      <c r="M34" s="23">
        <v>959.2</v>
      </c>
      <c r="N34" s="23">
        <v>903.3</v>
      </c>
      <c r="O34" s="23">
        <v>973.9</v>
      </c>
      <c r="P34" s="23">
        <v>1036.7</v>
      </c>
      <c r="Q34" s="23">
        <v>1097.5999999999999</v>
      </c>
      <c r="R34" s="23">
        <v>1168.2</v>
      </c>
      <c r="S34" s="23">
        <v>1252.2</v>
      </c>
      <c r="T34" s="23">
        <v>1374.3</v>
      </c>
      <c r="U34" s="23">
        <v>1519.6</v>
      </c>
      <c r="V34" s="23">
        <v>1725</v>
      </c>
      <c r="W34" s="23">
        <v>1984.9</v>
      </c>
      <c r="X34" s="23">
        <v>2226.4</v>
      </c>
      <c r="Y34" s="23">
        <v>2669.2</v>
      </c>
      <c r="Z34" s="23">
        <v>2858.9</v>
      </c>
      <c r="AA34" s="23">
        <v>3174.9</v>
      </c>
    </row>
    <row r="35" spans="1:27" ht="12.75" customHeight="1" x14ac:dyDescent="0.2">
      <c r="A35" s="152"/>
      <c r="B35" s="21" t="s">
        <v>79</v>
      </c>
      <c r="C35" s="22" t="s">
        <v>80</v>
      </c>
      <c r="D35" s="23">
        <v>72.400000000000034</v>
      </c>
      <c r="E35" s="23">
        <v>75.400000000000006</v>
      </c>
      <c r="F35" s="23">
        <v>111.79999999999998</v>
      </c>
      <c r="G35" s="23">
        <v>109.40000000000003</v>
      </c>
      <c r="H35" s="23">
        <v>138.29999999999998</v>
      </c>
      <c r="I35" s="23">
        <v>191.09999999999997</v>
      </c>
      <c r="J35" s="23">
        <v>206</v>
      </c>
      <c r="K35" s="23">
        <v>223.60000000000002</v>
      </c>
      <c r="L35" s="23">
        <v>233.7</v>
      </c>
      <c r="M35" s="23">
        <v>244</v>
      </c>
      <c r="N35" s="23">
        <v>214.70000000000002</v>
      </c>
      <c r="O35" s="23">
        <v>221</v>
      </c>
      <c r="P35" s="23">
        <v>236.90000000000003</v>
      </c>
      <c r="Q35" s="23">
        <v>267.7</v>
      </c>
      <c r="R35" s="23">
        <v>325.60000000000002</v>
      </c>
      <c r="S35" s="23">
        <v>363</v>
      </c>
      <c r="T35" s="23">
        <v>421.2</v>
      </c>
      <c r="U35" s="23">
        <v>451.6</v>
      </c>
      <c r="V35" s="23">
        <v>485</v>
      </c>
      <c r="W35" s="23">
        <v>518.29999999999995</v>
      </c>
      <c r="X35" s="23">
        <v>470.3</v>
      </c>
      <c r="Y35" s="23">
        <v>517.5</v>
      </c>
      <c r="Z35" s="23">
        <v>690.6</v>
      </c>
      <c r="AA35" s="23">
        <v>822.99999999999989</v>
      </c>
    </row>
    <row r="36" spans="1:27" ht="12.75" customHeight="1" x14ac:dyDescent="0.2">
      <c r="A36" s="152"/>
      <c r="B36" s="21" t="s">
        <v>81</v>
      </c>
      <c r="C36" s="22" t="s">
        <v>82</v>
      </c>
      <c r="D36" s="23">
        <v>181</v>
      </c>
      <c r="E36" s="23">
        <v>194.1</v>
      </c>
      <c r="F36" s="23">
        <v>224.8</v>
      </c>
      <c r="G36" s="23">
        <v>230.1</v>
      </c>
      <c r="H36" s="23">
        <v>222.9</v>
      </c>
      <c r="I36" s="23">
        <v>209.4</v>
      </c>
      <c r="J36" s="23">
        <v>202</v>
      </c>
      <c r="K36" s="23">
        <v>206.9</v>
      </c>
      <c r="L36" s="23">
        <v>229.7</v>
      </c>
      <c r="M36" s="23">
        <v>235.1</v>
      </c>
      <c r="N36" s="23">
        <v>225.7</v>
      </c>
      <c r="O36" s="23">
        <v>236.1</v>
      </c>
      <c r="P36" s="23">
        <v>258.60000000000002</v>
      </c>
      <c r="Q36" s="23">
        <v>300.8</v>
      </c>
      <c r="R36" s="23">
        <v>323.39999999999998</v>
      </c>
      <c r="S36" s="23">
        <v>340.4</v>
      </c>
      <c r="T36" s="23">
        <v>358.6</v>
      </c>
      <c r="U36" s="23">
        <v>387</v>
      </c>
      <c r="V36" s="23">
        <v>411.5</v>
      </c>
      <c r="W36" s="23">
        <v>430.8</v>
      </c>
      <c r="X36" s="23">
        <v>419.5</v>
      </c>
      <c r="Y36" s="23">
        <v>454.5</v>
      </c>
      <c r="Z36" s="23">
        <v>507.6</v>
      </c>
      <c r="AA36" s="23">
        <v>550.4</v>
      </c>
    </row>
    <row r="37" spans="1:27" ht="12.75" customHeight="1" x14ac:dyDescent="0.2">
      <c r="A37" s="152"/>
      <c r="B37" s="21" t="s">
        <v>83</v>
      </c>
      <c r="C37" s="22" t="s">
        <v>84</v>
      </c>
      <c r="D37" s="23">
        <v>10.199999999999999</v>
      </c>
      <c r="E37" s="23">
        <v>12.2</v>
      </c>
      <c r="F37" s="23">
        <v>16.399999999999999</v>
      </c>
      <c r="G37" s="23">
        <v>21.1</v>
      </c>
      <c r="H37" s="23">
        <v>21.5</v>
      </c>
      <c r="I37" s="23">
        <v>30.9</v>
      </c>
      <c r="J37" s="23">
        <v>24.8</v>
      </c>
      <c r="K37" s="23">
        <v>25.6</v>
      </c>
      <c r="L37" s="23">
        <v>27.8</v>
      </c>
      <c r="M37" s="23">
        <v>22.8</v>
      </c>
      <c r="N37" s="23">
        <v>23.9</v>
      </c>
      <c r="O37" s="23">
        <v>24.8</v>
      </c>
      <c r="P37" s="23">
        <v>25.7</v>
      </c>
      <c r="Q37" s="23">
        <v>26.9</v>
      </c>
      <c r="R37" s="23">
        <v>27.6</v>
      </c>
      <c r="S37" s="23">
        <v>29.1</v>
      </c>
      <c r="T37" s="23">
        <v>32.200000000000003</v>
      </c>
      <c r="U37" s="23">
        <v>35.1</v>
      </c>
      <c r="V37" s="23">
        <v>38.9</v>
      </c>
      <c r="W37" s="23">
        <v>45.1</v>
      </c>
      <c r="X37" s="23">
        <v>46.7</v>
      </c>
      <c r="Y37" s="23">
        <v>47.6</v>
      </c>
      <c r="Z37" s="23">
        <v>52.8</v>
      </c>
      <c r="AA37" s="23">
        <v>58.7</v>
      </c>
    </row>
    <row r="38" spans="1:27" ht="12.75" customHeight="1" x14ac:dyDescent="0.2">
      <c r="A38" s="152"/>
      <c r="B38" s="21" t="s">
        <v>85</v>
      </c>
      <c r="C38" s="22" t="s">
        <v>86</v>
      </c>
      <c r="D38" s="23">
        <v>0</v>
      </c>
      <c r="E38" s="23">
        <v>0</v>
      </c>
      <c r="F38" s="23">
        <v>0</v>
      </c>
      <c r="G38" s="23">
        <v>0</v>
      </c>
      <c r="H38" s="23">
        <v>0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3">
        <v>0</v>
      </c>
      <c r="R38" s="23">
        <v>0</v>
      </c>
      <c r="S38" s="23">
        <v>0</v>
      </c>
      <c r="T38" s="23">
        <v>0</v>
      </c>
      <c r="U38" s="23">
        <v>0</v>
      </c>
      <c r="V38" s="23">
        <v>0</v>
      </c>
      <c r="W38" s="23">
        <v>0</v>
      </c>
      <c r="X38" s="23">
        <v>0</v>
      </c>
      <c r="Y38" s="23">
        <v>0</v>
      </c>
      <c r="Z38" s="23">
        <v>0</v>
      </c>
      <c r="AA38" s="23">
        <v>0</v>
      </c>
    </row>
    <row r="39" spans="1:27" ht="12.75" customHeight="1" x14ac:dyDescent="0.2">
      <c r="A39" s="153"/>
      <c r="B39" s="28" t="s">
        <v>52</v>
      </c>
      <c r="C39" s="29" t="s">
        <v>53</v>
      </c>
      <c r="D39" s="30">
        <f>SUM(D18:D38)</f>
        <v>11114</v>
      </c>
      <c r="E39" s="30">
        <f t="shared" ref="E39:Y39" si="2">SUM(E18:E38)</f>
        <v>12187</v>
      </c>
      <c r="F39" s="30">
        <f t="shared" si="2"/>
        <v>13502.199999999999</v>
      </c>
      <c r="G39" s="30">
        <f t="shared" si="2"/>
        <v>14943.100000000002</v>
      </c>
      <c r="H39" s="30">
        <f t="shared" si="2"/>
        <v>16498.3</v>
      </c>
      <c r="I39" s="30">
        <f t="shared" si="2"/>
        <v>19006.600000000002</v>
      </c>
      <c r="J39" s="30">
        <f t="shared" si="2"/>
        <v>21725.399999999998</v>
      </c>
      <c r="K39" s="30">
        <f t="shared" si="2"/>
        <v>26061.899999999998</v>
      </c>
      <c r="L39" s="30">
        <f t="shared" si="2"/>
        <v>29313</v>
      </c>
      <c r="M39" s="30">
        <f t="shared" si="2"/>
        <v>24262.6</v>
      </c>
      <c r="N39" s="30">
        <f t="shared" si="2"/>
        <v>24707.500000000004</v>
      </c>
      <c r="O39" s="30">
        <f t="shared" si="2"/>
        <v>27803.799999999992</v>
      </c>
      <c r="P39" s="30">
        <f t="shared" si="2"/>
        <v>29870.7</v>
      </c>
      <c r="Q39" s="30">
        <f t="shared" si="2"/>
        <v>31414.899999999998</v>
      </c>
      <c r="R39" s="30">
        <f t="shared" si="2"/>
        <v>32738</v>
      </c>
      <c r="S39" s="30">
        <f t="shared" si="2"/>
        <v>33547.799999999996</v>
      </c>
      <c r="T39" s="30">
        <f t="shared" si="2"/>
        <v>34789.69999999999</v>
      </c>
      <c r="U39" s="30">
        <f t="shared" si="2"/>
        <v>37823.799999999996</v>
      </c>
      <c r="V39" s="30">
        <f t="shared" si="2"/>
        <v>41189.1</v>
      </c>
      <c r="W39" s="30">
        <f t="shared" si="2"/>
        <v>44098.400000000009</v>
      </c>
      <c r="X39" s="30">
        <f t="shared" si="2"/>
        <v>44905</v>
      </c>
      <c r="Y39" s="30">
        <f t="shared" si="2"/>
        <v>50519.8</v>
      </c>
      <c r="Z39" s="30">
        <f t="shared" ref="Z39:AA39" si="3">SUM(Z18:Z38)</f>
        <v>61113.599999999991</v>
      </c>
      <c r="AA39" s="30">
        <f t="shared" si="3"/>
        <v>66444.799999999988</v>
      </c>
    </row>
    <row r="40" spans="1:27" ht="12.75" customHeight="1" x14ac:dyDescent="0.2">
      <c r="C40" s="12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</row>
    <row r="41" spans="1:27" ht="12.75" customHeight="1" x14ac:dyDescent="0.2">
      <c r="A41" s="151" t="s">
        <v>87</v>
      </c>
      <c r="B41" s="17" t="s">
        <v>88</v>
      </c>
      <c r="C41" s="18" t="s">
        <v>89</v>
      </c>
      <c r="D41" s="19">
        <v>554.6</v>
      </c>
      <c r="E41" s="19">
        <v>591.9</v>
      </c>
      <c r="F41" s="19">
        <v>588.5</v>
      </c>
      <c r="G41" s="19">
        <v>627.79999999999995</v>
      </c>
      <c r="H41" s="19">
        <v>667.5</v>
      </c>
      <c r="I41" s="19">
        <v>751.6</v>
      </c>
      <c r="J41" s="19">
        <v>805.7</v>
      </c>
      <c r="K41" s="19">
        <v>969.7</v>
      </c>
      <c r="L41" s="19">
        <v>1000</v>
      </c>
      <c r="M41" s="19">
        <v>1083.5999999999999</v>
      </c>
      <c r="N41" s="19">
        <v>1131.4000000000001</v>
      </c>
      <c r="O41" s="19">
        <v>1286.2</v>
      </c>
      <c r="P41" s="19">
        <v>1374</v>
      </c>
      <c r="Q41" s="19">
        <v>1466</v>
      </c>
      <c r="R41" s="19">
        <v>1476.1</v>
      </c>
      <c r="S41" s="19">
        <v>1441.7</v>
      </c>
      <c r="T41" s="19">
        <v>1418.6</v>
      </c>
      <c r="U41" s="19">
        <v>1495.7</v>
      </c>
      <c r="V41" s="19">
        <v>1581.7</v>
      </c>
      <c r="W41" s="19">
        <v>1616.8</v>
      </c>
      <c r="X41" s="19">
        <v>1630.8</v>
      </c>
      <c r="Y41" s="19">
        <v>1658.3</v>
      </c>
      <c r="Z41" s="19">
        <v>1822.1</v>
      </c>
      <c r="AA41" s="19">
        <v>1669.7817653000423</v>
      </c>
    </row>
    <row r="42" spans="1:27" ht="12.75" customHeight="1" x14ac:dyDescent="0.2">
      <c r="A42" s="152"/>
      <c r="B42" s="21" t="s">
        <v>90</v>
      </c>
      <c r="C42" s="22" t="s">
        <v>91</v>
      </c>
      <c r="D42" s="23">
        <v>419.1</v>
      </c>
      <c r="E42" s="23">
        <v>467.5</v>
      </c>
      <c r="F42" s="23">
        <v>455.2</v>
      </c>
      <c r="G42" s="23">
        <v>447.8</v>
      </c>
      <c r="H42" s="23">
        <v>468.3</v>
      </c>
      <c r="I42" s="23">
        <v>452.6</v>
      </c>
      <c r="J42" s="23">
        <v>439.5</v>
      </c>
      <c r="K42" s="23">
        <v>443.4</v>
      </c>
      <c r="L42" s="23">
        <v>396.4</v>
      </c>
      <c r="M42" s="23">
        <v>309.89999999999998</v>
      </c>
      <c r="N42" s="23">
        <v>369.9</v>
      </c>
      <c r="O42" s="23">
        <v>446</v>
      </c>
      <c r="P42" s="23">
        <v>469.4</v>
      </c>
      <c r="Q42" s="23">
        <v>489.8</v>
      </c>
      <c r="R42" s="23">
        <v>522.20000000000005</v>
      </c>
      <c r="S42" s="23">
        <v>510.4</v>
      </c>
      <c r="T42" s="23">
        <v>533.6</v>
      </c>
      <c r="U42" s="23">
        <v>547.29999999999995</v>
      </c>
      <c r="V42" s="23">
        <v>526.20000000000005</v>
      </c>
      <c r="W42" s="23">
        <v>513</v>
      </c>
      <c r="X42" s="23">
        <v>467.1</v>
      </c>
      <c r="Y42" s="23">
        <v>489</v>
      </c>
      <c r="Z42" s="23">
        <v>541.29999999999995</v>
      </c>
      <c r="AA42" s="23">
        <v>493.22451291050157</v>
      </c>
    </row>
    <row r="43" spans="1:27" ht="12.75" customHeight="1" x14ac:dyDescent="0.2">
      <c r="A43" s="152"/>
      <c r="B43" s="21" t="s">
        <v>92</v>
      </c>
      <c r="C43" s="22" t="s">
        <v>93</v>
      </c>
      <c r="D43" s="23">
        <v>218.2</v>
      </c>
      <c r="E43" s="23">
        <v>256.60000000000002</v>
      </c>
      <c r="F43" s="23">
        <v>290.2</v>
      </c>
      <c r="G43" s="23">
        <v>346.3</v>
      </c>
      <c r="H43" s="23">
        <v>394.3</v>
      </c>
      <c r="I43" s="23">
        <v>438.4</v>
      </c>
      <c r="J43" s="23">
        <v>481.2</v>
      </c>
      <c r="K43" s="23">
        <v>539.9</v>
      </c>
      <c r="L43" s="23">
        <v>540.4</v>
      </c>
      <c r="M43" s="23">
        <v>428.2</v>
      </c>
      <c r="N43" s="23">
        <v>521.1</v>
      </c>
      <c r="O43" s="23">
        <v>625.9</v>
      </c>
      <c r="P43" s="23">
        <v>653.70000000000005</v>
      </c>
      <c r="Q43" s="23">
        <v>734.9</v>
      </c>
      <c r="R43" s="23">
        <v>778.6</v>
      </c>
      <c r="S43" s="23">
        <v>779.8</v>
      </c>
      <c r="T43" s="23">
        <v>816.1</v>
      </c>
      <c r="U43" s="23">
        <v>835.1</v>
      </c>
      <c r="V43" s="23">
        <v>896.5</v>
      </c>
      <c r="W43" s="23">
        <v>913.2</v>
      </c>
      <c r="X43" s="23">
        <v>901.3</v>
      </c>
      <c r="Y43" s="23">
        <v>1090.2</v>
      </c>
      <c r="Z43" s="23">
        <v>1360.2</v>
      </c>
      <c r="AA43" s="23">
        <v>1315.809775112486</v>
      </c>
    </row>
    <row r="44" spans="1:27" ht="12.75" customHeight="1" x14ac:dyDescent="0.2">
      <c r="A44" s="152"/>
      <c r="B44" s="21" t="s">
        <v>94</v>
      </c>
      <c r="C44" s="22" t="s">
        <v>95</v>
      </c>
      <c r="D44" s="23">
        <v>212.99999999999977</v>
      </c>
      <c r="E44" s="23">
        <v>264.90000000000009</v>
      </c>
      <c r="F44" s="23">
        <v>245.79999999999973</v>
      </c>
      <c r="G44" s="23">
        <v>282.80000000000018</v>
      </c>
      <c r="H44" s="23">
        <v>414.00000000000045</v>
      </c>
      <c r="I44" s="23">
        <v>550.29999999999973</v>
      </c>
      <c r="J44" s="23">
        <v>508.40000000000009</v>
      </c>
      <c r="K44" s="23">
        <v>309.80000000000109</v>
      </c>
      <c r="L44" s="23">
        <v>532.69999999999982</v>
      </c>
      <c r="M44" s="23">
        <v>373.59999999999945</v>
      </c>
      <c r="N44" s="23">
        <v>487.80000000000018</v>
      </c>
      <c r="O44" s="23">
        <v>638.89999999999873</v>
      </c>
      <c r="P44" s="23">
        <v>694.69999999999982</v>
      </c>
      <c r="Q44" s="23">
        <v>386.30000000000018</v>
      </c>
      <c r="R44" s="23">
        <v>328.99999999999909</v>
      </c>
      <c r="S44" s="23">
        <v>429.69999999999982</v>
      </c>
      <c r="T44" s="23">
        <v>354.99999999999909</v>
      </c>
      <c r="U44" s="23">
        <v>454.39999999999964</v>
      </c>
      <c r="V44" s="23">
        <v>440.29999999999927</v>
      </c>
      <c r="W44" s="23">
        <v>438.10000000000036</v>
      </c>
      <c r="X44" s="23">
        <v>192.30000000000018</v>
      </c>
      <c r="Y44" s="23">
        <v>149.30000000000109</v>
      </c>
      <c r="Z44" s="23">
        <v>901.19999999999891</v>
      </c>
      <c r="AA44" s="23">
        <v>1338.4175946450873</v>
      </c>
    </row>
    <row r="45" spans="1:27" ht="12.75" customHeight="1" x14ac:dyDescent="0.2">
      <c r="A45" s="152"/>
      <c r="B45" s="21" t="s">
        <v>96</v>
      </c>
      <c r="C45" s="22" t="s">
        <v>97</v>
      </c>
      <c r="D45" s="23">
        <v>122.3</v>
      </c>
      <c r="E45" s="23">
        <v>110</v>
      </c>
      <c r="F45" s="23">
        <v>120</v>
      </c>
      <c r="G45" s="23">
        <v>126.6</v>
      </c>
      <c r="H45" s="23">
        <v>160.6</v>
      </c>
      <c r="I45" s="23">
        <v>204.6</v>
      </c>
      <c r="J45" s="23">
        <v>290.2</v>
      </c>
      <c r="K45" s="23">
        <v>456.4</v>
      </c>
      <c r="L45" s="23">
        <v>593.29999999999995</v>
      </c>
      <c r="M45" s="23">
        <v>380.9</v>
      </c>
      <c r="N45" s="23">
        <v>471</v>
      </c>
      <c r="O45" s="23">
        <v>632</v>
      </c>
      <c r="P45" s="23">
        <v>648.29999999999995</v>
      </c>
      <c r="Q45" s="23">
        <v>495.7</v>
      </c>
      <c r="R45" s="23">
        <v>505.3</v>
      </c>
      <c r="S45" s="23">
        <v>521.5</v>
      </c>
      <c r="T45" s="23">
        <v>478.6</v>
      </c>
      <c r="U45" s="23">
        <v>490.1</v>
      </c>
      <c r="V45" s="23">
        <v>621.29999999999995</v>
      </c>
      <c r="W45" s="23">
        <v>674.7</v>
      </c>
      <c r="X45" s="23">
        <v>911</v>
      </c>
      <c r="Y45" s="23">
        <v>1259.4000000000001</v>
      </c>
      <c r="Z45" s="23">
        <v>1387.3</v>
      </c>
      <c r="AA45" s="23">
        <v>1261.0020030886428</v>
      </c>
    </row>
    <row r="46" spans="1:27" ht="12.75" customHeight="1" x14ac:dyDescent="0.2">
      <c r="A46" s="152"/>
      <c r="B46" s="21" t="s">
        <v>98</v>
      </c>
      <c r="C46" s="22" t="s">
        <v>99</v>
      </c>
      <c r="D46" s="23">
        <v>0</v>
      </c>
      <c r="E46" s="23">
        <v>0</v>
      </c>
      <c r="F46" s="23">
        <v>0</v>
      </c>
      <c r="G46" s="23">
        <v>0</v>
      </c>
      <c r="H46" s="23">
        <v>0</v>
      </c>
      <c r="I46" s="23">
        <v>0</v>
      </c>
      <c r="J46" s="23">
        <v>0</v>
      </c>
      <c r="K46" s="23">
        <v>0</v>
      </c>
      <c r="L46" s="23">
        <v>0</v>
      </c>
      <c r="M46" s="23">
        <v>0</v>
      </c>
      <c r="N46" s="23">
        <v>0</v>
      </c>
      <c r="O46" s="23">
        <v>0</v>
      </c>
      <c r="P46" s="23">
        <v>0</v>
      </c>
      <c r="Q46" s="23">
        <v>0</v>
      </c>
      <c r="R46" s="23">
        <v>0</v>
      </c>
      <c r="S46" s="23">
        <v>0</v>
      </c>
      <c r="T46" s="23">
        <v>0</v>
      </c>
      <c r="U46" s="23">
        <v>0</v>
      </c>
      <c r="V46" s="23">
        <v>0</v>
      </c>
      <c r="W46" s="23">
        <v>0</v>
      </c>
      <c r="X46" s="23">
        <v>0</v>
      </c>
      <c r="Y46" s="23">
        <v>0</v>
      </c>
      <c r="Z46" s="23">
        <v>0</v>
      </c>
      <c r="AA46" s="23">
        <v>0</v>
      </c>
    </row>
    <row r="47" spans="1:27" ht="12.75" customHeight="1" x14ac:dyDescent="0.2">
      <c r="A47" s="152"/>
      <c r="B47" s="21" t="s">
        <v>100</v>
      </c>
      <c r="C47" s="22" t="s">
        <v>101</v>
      </c>
      <c r="D47" s="23">
        <v>143.5</v>
      </c>
      <c r="E47" s="23">
        <v>182.1</v>
      </c>
      <c r="F47" s="23">
        <v>207.7</v>
      </c>
      <c r="G47" s="23">
        <v>268.5</v>
      </c>
      <c r="H47" s="23">
        <v>302.10000000000002</v>
      </c>
      <c r="I47" s="23">
        <v>395.8</v>
      </c>
      <c r="J47" s="23">
        <v>515.79999999999995</v>
      </c>
      <c r="K47" s="23">
        <v>549.1</v>
      </c>
      <c r="L47" s="23">
        <v>531.79999999999995</v>
      </c>
      <c r="M47" s="23">
        <v>331.5</v>
      </c>
      <c r="N47" s="23">
        <v>393.2</v>
      </c>
      <c r="O47" s="23">
        <v>485.7</v>
      </c>
      <c r="P47" s="23">
        <v>540.79999999999995</v>
      </c>
      <c r="Q47" s="23">
        <v>624.5</v>
      </c>
      <c r="R47" s="23">
        <v>661.1</v>
      </c>
      <c r="S47" s="23">
        <v>619.5</v>
      </c>
      <c r="T47" s="23">
        <v>668.8</v>
      </c>
      <c r="U47" s="23">
        <v>707</v>
      </c>
      <c r="V47" s="23">
        <v>760.3</v>
      </c>
      <c r="W47" s="23">
        <v>764.6</v>
      </c>
      <c r="X47" s="23">
        <v>718.5</v>
      </c>
      <c r="Y47" s="23">
        <v>833.7</v>
      </c>
      <c r="Z47" s="23">
        <v>915.1</v>
      </c>
      <c r="AA47" s="23">
        <v>830.30943662806658</v>
      </c>
    </row>
    <row r="48" spans="1:27" ht="12.75" customHeight="1" x14ac:dyDescent="0.2">
      <c r="A48" s="152"/>
      <c r="B48" s="21" t="s">
        <v>102</v>
      </c>
      <c r="C48" s="22" t="s">
        <v>103</v>
      </c>
      <c r="D48" s="23">
        <v>71.5</v>
      </c>
      <c r="E48" s="23">
        <v>76</v>
      </c>
      <c r="F48" s="23">
        <v>74.400000000000006</v>
      </c>
      <c r="G48" s="23">
        <v>107</v>
      </c>
      <c r="H48" s="23">
        <v>145.4</v>
      </c>
      <c r="I48" s="23">
        <v>194.4</v>
      </c>
      <c r="J48" s="23">
        <v>237.3</v>
      </c>
      <c r="K48" s="23">
        <v>316.10000000000002</v>
      </c>
      <c r="L48" s="23">
        <v>313.39999999999998</v>
      </c>
      <c r="M48" s="23">
        <v>189.8</v>
      </c>
      <c r="N48" s="23">
        <v>225.5</v>
      </c>
      <c r="O48" s="23">
        <v>309.8</v>
      </c>
      <c r="P48" s="23">
        <v>333.8</v>
      </c>
      <c r="Q48" s="23">
        <v>334.8</v>
      </c>
      <c r="R48" s="23">
        <v>343.6</v>
      </c>
      <c r="S48" s="23">
        <v>355</v>
      </c>
      <c r="T48" s="23">
        <v>383.6</v>
      </c>
      <c r="U48" s="23">
        <v>431.7</v>
      </c>
      <c r="V48" s="23">
        <v>479.6</v>
      </c>
      <c r="W48" s="23">
        <v>500.6</v>
      </c>
      <c r="X48" s="23">
        <v>494</v>
      </c>
      <c r="Y48" s="23">
        <v>607.6</v>
      </c>
      <c r="Z48" s="23">
        <v>749.6</v>
      </c>
      <c r="AA48" s="23">
        <v>721.07016363080186</v>
      </c>
    </row>
    <row r="49" spans="1:27" ht="12.75" customHeight="1" x14ac:dyDescent="0.2">
      <c r="A49" s="152"/>
      <c r="B49" s="21" t="s">
        <v>104</v>
      </c>
      <c r="C49" s="22" t="s">
        <v>105</v>
      </c>
      <c r="D49" s="23">
        <v>96</v>
      </c>
      <c r="E49" s="23">
        <v>104.5</v>
      </c>
      <c r="F49" s="23">
        <v>115.5</v>
      </c>
      <c r="G49" s="23">
        <v>132.19999999999999</v>
      </c>
      <c r="H49" s="23">
        <v>170.7</v>
      </c>
      <c r="I49" s="23">
        <v>157</v>
      </c>
      <c r="J49" s="23">
        <v>125.1</v>
      </c>
      <c r="K49" s="23">
        <v>116.2</v>
      </c>
      <c r="L49" s="23">
        <v>116.2</v>
      </c>
      <c r="M49" s="23">
        <v>117.8</v>
      </c>
      <c r="N49" s="23">
        <v>137.80000000000001</v>
      </c>
      <c r="O49" s="23">
        <v>128.80000000000001</v>
      </c>
      <c r="P49" s="23">
        <v>134.69999999999999</v>
      </c>
      <c r="Q49" s="23">
        <v>124.7</v>
      </c>
      <c r="R49" s="23">
        <v>135.1</v>
      </c>
      <c r="S49" s="23">
        <v>159</v>
      </c>
      <c r="T49" s="23">
        <v>175.6</v>
      </c>
      <c r="U49" s="23">
        <v>217.7</v>
      </c>
      <c r="V49" s="23">
        <v>214.4</v>
      </c>
      <c r="W49" s="23">
        <v>262.89999999999998</v>
      </c>
      <c r="X49" s="23">
        <v>269.7</v>
      </c>
      <c r="Y49" s="23">
        <v>417.7</v>
      </c>
      <c r="Z49" s="23">
        <v>434.5</v>
      </c>
      <c r="AA49" s="23">
        <v>383.79072504243538</v>
      </c>
    </row>
    <row r="50" spans="1:27" ht="12.75" customHeight="1" x14ac:dyDescent="0.2">
      <c r="A50" s="152"/>
      <c r="B50" s="21" t="s">
        <v>106</v>
      </c>
      <c r="C50" s="22" t="s">
        <v>107</v>
      </c>
      <c r="D50" s="23">
        <v>39.6</v>
      </c>
      <c r="E50" s="23">
        <v>45.9</v>
      </c>
      <c r="F50" s="23">
        <v>54.6</v>
      </c>
      <c r="G50" s="23">
        <v>65.8</v>
      </c>
      <c r="H50" s="23">
        <v>76.400000000000006</v>
      </c>
      <c r="I50" s="23">
        <v>83.3</v>
      </c>
      <c r="J50" s="23">
        <v>92</v>
      </c>
      <c r="K50" s="23">
        <v>92.2</v>
      </c>
      <c r="L50" s="23">
        <v>84.2</v>
      </c>
      <c r="M50" s="23">
        <v>51.3</v>
      </c>
      <c r="N50" s="23">
        <v>64.2</v>
      </c>
      <c r="O50" s="23">
        <v>80</v>
      </c>
      <c r="P50" s="23">
        <v>105.6</v>
      </c>
      <c r="Q50" s="23">
        <v>115.5</v>
      </c>
      <c r="R50" s="23">
        <v>121.4</v>
      </c>
      <c r="S50" s="23">
        <v>123.3</v>
      </c>
      <c r="T50" s="23">
        <v>128.1</v>
      </c>
      <c r="U50" s="23">
        <v>141.1</v>
      </c>
      <c r="V50" s="23">
        <v>146.6</v>
      </c>
      <c r="W50" s="23">
        <v>149.4</v>
      </c>
      <c r="X50" s="23">
        <v>147.9</v>
      </c>
      <c r="Y50" s="23">
        <v>167</v>
      </c>
      <c r="Z50" s="23">
        <v>179.6</v>
      </c>
      <c r="AA50" s="23">
        <v>161.30331931648342</v>
      </c>
    </row>
    <row r="51" spans="1:27" ht="12.75" customHeight="1" x14ac:dyDescent="0.2">
      <c r="A51" s="152"/>
      <c r="B51" s="21" t="s">
        <v>108</v>
      </c>
      <c r="C51" s="22" t="s">
        <v>109</v>
      </c>
      <c r="D51" s="23">
        <v>28.4</v>
      </c>
      <c r="E51" s="23">
        <v>35.4</v>
      </c>
      <c r="F51" s="23">
        <v>46.2</v>
      </c>
      <c r="G51" s="23">
        <v>44.2</v>
      </c>
      <c r="H51" s="23">
        <v>53.9</v>
      </c>
      <c r="I51" s="23">
        <v>66.099999999999994</v>
      </c>
      <c r="J51" s="23">
        <v>83</v>
      </c>
      <c r="K51" s="23">
        <v>103.6</v>
      </c>
      <c r="L51" s="23">
        <v>147.80000000000001</v>
      </c>
      <c r="M51" s="23">
        <v>104.5</v>
      </c>
      <c r="N51" s="23">
        <v>120.2</v>
      </c>
      <c r="O51" s="23">
        <v>157.19999999999999</v>
      </c>
      <c r="P51" s="23">
        <v>176.5</v>
      </c>
      <c r="Q51" s="23">
        <v>200.8</v>
      </c>
      <c r="R51" s="23">
        <v>191.7</v>
      </c>
      <c r="S51" s="23">
        <v>188.9</v>
      </c>
      <c r="T51" s="23">
        <v>196.9</v>
      </c>
      <c r="U51" s="23">
        <v>233.1</v>
      </c>
      <c r="V51" s="23">
        <v>242.2</v>
      </c>
      <c r="W51" s="23">
        <v>244.9</v>
      </c>
      <c r="X51" s="23">
        <v>244.2</v>
      </c>
      <c r="Y51" s="23">
        <v>271.2</v>
      </c>
      <c r="Z51" s="23">
        <v>298.39999999999998</v>
      </c>
      <c r="AA51" s="23">
        <v>271.07872051802985</v>
      </c>
    </row>
    <row r="52" spans="1:27" ht="12.75" customHeight="1" x14ac:dyDescent="0.2">
      <c r="A52" s="152"/>
      <c r="B52" s="21" t="s">
        <v>110</v>
      </c>
      <c r="C52" s="22" t="s">
        <v>111</v>
      </c>
      <c r="D52" s="23">
        <v>69.900000000000006</v>
      </c>
      <c r="E52" s="23">
        <v>75.400000000000006</v>
      </c>
      <c r="F52" s="23">
        <v>82.6</v>
      </c>
      <c r="G52" s="23">
        <v>114.7</v>
      </c>
      <c r="H52" s="23">
        <v>141.19999999999999</v>
      </c>
      <c r="I52" s="23">
        <v>154.4</v>
      </c>
      <c r="J52" s="23">
        <v>175.7</v>
      </c>
      <c r="K52" s="23">
        <v>169.1</v>
      </c>
      <c r="L52" s="23">
        <v>207.2</v>
      </c>
      <c r="M52" s="23">
        <v>127.4</v>
      </c>
      <c r="N52" s="23">
        <v>145.1</v>
      </c>
      <c r="O52" s="23">
        <v>128.80000000000001</v>
      </c>
      <c r="P52" s="23">
        <v>162.4</v>
      </c>
      <c r="Q52" s="23">
        <v>186</v>
      </c>
      <c r="R52" s="23">
        <v>182.1</v>
      </c>
      <c r="S52" s="23">
        <v>195.6</v>
      </c>
      <c r="T52" s="23">
        <v>217.1</v>
      </c>
      <c r="U52" s="23">
        <v>256</v>
      </c>
      <c r="V52" s="23">
        <v>279.89999999999998</v>
      </c>
      <c r="W52" s="23">
        <v>309.3</v>
      </c>
      <c r="X52" s="23">
        <v>311.60000000000002</v>
      </c>
      <c r="Y52" s="23">
        <v>376.7</v>
      </c>
      <c r="Z52" s="23">
        <v>442.5</v>
      </c>
      <c r="AA52" s="23">
        <v>428.94111358085945</v>
      </c>
    </row>
    <row r="53" spans="1:27" ht="12.75" customHeight="1" x14ac:dyDescent="0.2">
      <c r="A53" s="152"/>
      <c r="B53" s="21" t="s">
        <v>112</v>
      </c>
      <c r="C53" s="22" t="s">
        <v>113</v>
      </c>
      <c r="D53" s="23">
        <v>145.6</v>
      </c>
      <c r="E53" s="23">
        <v>172.6</v>
      </c>
      <c r="F53" s="23">
        <v>214.4</v>
      </c>
      <c r="G53" s="23">
        <v>239.4</v>
      </c>
      <c r="H53" s="23">
        <v>346</v>
      </c>
      <c r="I53" s="23">
        <v>402.80000000000018</v>
      </c>
      <c r="J53" s="23">
        <v>494.40000000000009</v>
      </c>
      <c r="K53" s="23">
        <v>564.49999999999955</v>
      </c>
      <c r="L53" s="23">
        <v>669.69999999999982</v>
      </c>
      <c r="M53" s="23">
        <v>566.80000000000018</v>
      </c>
      <c r="N53" s="23">
        <v>610.10000000000036</v>
      </c>
      <c r="O53" s="23">
        <v>764.60000000000036</v>
      </c>
      <c r="P53" s="23">
        <v>911.89999999999964</v>
      </c>
      <c r="Q53" s="23">
        <v>1001.1000000000004</v>
      </c>
      <c r="R53" s="23">
        <v>1090</v>
      </c>
      <c r="S53" s="23">
        <v>1130.4000000000005</v>
      </c>
      <c r="T53" s="23">
        <v>1152.6999999999998</v>
      </c>
      <c r="U53" s="23">
        <v>1255.6999999999998</v>
      </c>
      <c r="V53" s="23">
        <v>1399.4000000000005</v>
      </c>
      <c r="W53" s="23">
        <v>1492.1000000000004</v>
      </c>
      <c r="X53" s="23">
        <v>1482.8000000000002</v>
      </c>
      <c r="Y53" s="23">
        <v>1702.1000000000004</v>
      </c>
      <c r="Z53" s="23">
        <v>2003.2000000000007</v>
      </c>
      <c r="AA53" s="23">
        <v>1882.0708702265638</v>
      </c>
    </row>
    <row r="54" spans="1:27" ht="12.75" customHeight="1" x14ac:dyDescent="0.2">
      <c r="A54" s="153"/>
      <c r="B54" s="28" t="s">
        <v>52</v>
      </c>
      <c r="C54" s="31" t="s">
        <v>58</v>
      </c>
      <c r="D54" s="30">
        <f>SUM(D41:D53)</f>
        <v>2121.6999999999998</v>
      </c>
      <c r="E54" s="30">
        <f t="shared" ref="E54:Y54" si="4">SUM(E41:E53)</f>
        <v>2382.8000000000002</v>
      </c>
      <c r="F54" s="30">
        <f t="shared" si="4"/>
        <v>2495.1</v>
      </c>
      <c r="G54" s="30">
        <f t="shared" si="4"/>
        <v>2803.1</v>
      </c>
      <c r="H54" s="30">
        <f t="shared" si="4"/>
        <v>3340.4</v>
      </c>
      <c r="I54" s="30">
        <f t="shared" si="4"/>
        <v>3851.3</v>
      </c>
      <c r="J54" s="30">
        <f t="shared" si="4"/>
        <v>4248.3</v>
      </c>
      <c r="K54" s="30">
        <f t="shared" si="4"/>
        <v>4630</v>
      </c>
      <c r="L54" s="30">
        <f t="shared" si="4"/>
        <v>5133.1000000000004</v>
      </c>
      <c r="M54" s="30">
        <f t="shared" si="4"/>
        <v>4065.3</v>
      </c>
      <c r="N54" s="30">
        <f t="shared" si="4"/>
        <v>4677.3</v>
      </c>
      <c r="O54" s="30">
        <f t="shared" si="4"/>
        <v>5683.9</v>
      </c>
      <c r="P54" s="30">
        <f t="shared" si="4"/>
        <v>6205.8</v>
      </c>
      <c r="Q54" s="30">
        <f t="shared" si="4"/>
        <v>6160.1</v>
      </c>
      <c r="R54" s="30">
        <f t="shared" si="4"/>
        <v>6336.2</v>
      </c>
      <c r="S54" s="30">
        <f t="shared" si="4"/>
        <v>6454.8</v>
      </c>
      <c r="T54" s="30">
        <f t="shared" si="4"/>
        <v>6524.7</v>
      </c>
      <c r="U54" s="30">
        <f t="shared" si="4"/>
        <v>7064.9</v>
      </c>
      <c r="V54" s="30">
        <f t="shared" si="4"/>
        <v>7588.4</v>
      </c>
      <c r="W54" s="30">
        <f t="shared" si="4"/>
        <v>7879.6</v>
      </c>
      <c r="X54" s="30">
        <f t="shared" si="4"/>
        <v>7771.2</v>
      </c>
      <c r="Y54" s="30">
        <f t="shared" si="4"/>
        <v>9022.2000000000007</v>
      </c>
      <c r="Z54" s="30">
        <f t="shared" ref="Z54:AA54" si="5">SUM(Z41:Z53)</f>
        <v>11035</v>
      </c>
      <c r="AA54" s="30">
        <f t="shared" si="5"/>
        <v>10756.8</v>
      </c>
    </row>
    <row r="55" spans="1:27" ht="12.75" customHeight="1" x14ac:dyDescent="0.2">
      <c r="C55" s="12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</row>
    <row r="56" spans="1:27" ht="12.75" customHeight="1" x14ac:dyDescent="0.2">
      <c r="A56" s="151" t="s">
        <v>114</v>
      </c>
      <c r="B56" s="17" t="s">
        <v>88</v>
      </c>
      <c r="C56" s="18" t="s">
        <v>89</v>
      </c>
      <c r="D56" s="19">
        <v>554.6</v>
      </c>
      <c r="E56" s="19">
        <v>591.9</v>
      </c>
      <c r="F56" s="19">
        <v>588.5</v>
      </c>
      <c r="G56" s="19">
        <v>627.79999999999995</v>
      </c>
      <c r="H56" s="19">
        <v>667.5</v>
      </c>
      <c r="I56" s="19">
        <v>751.6</v>
      </c>
      <c r="J56" s="19">
        <v>805.7</v>
      </c>
      <c r="K56" s="19">
        <v>969.7</v>
      </c>
      <c r="L56" s="19">
        <v>1000</v>
      </c>
      <c r="M56" s="19">
        <v>1083.5999999999999</v>
      </c>
      <c r="N56" s="19">
        <v>1131.4000000000001</v>
      </c>
      <c r="O56" s="19">
        <v>1286.2</v>
      </c>
      <c r="P56" s="19">
        <v>1374</v>
      </c>
      <c r="Q56" s="19">
        <v>1466</v>
      </c>
      <c r="R56" s="19">
        <v>1476.1</v>
      </c>
      <c r="S56" s="19">
        <v>1441.7</v>
      </c>
      <c r="T56" s="19">
        <v>1418.6</v>
      </c>
      <c r="U56" s="19">
        <v>1495.7</v>
      </c>
      <c r="V56" s="19">
        <v>1581.7</v>
      </c>
      <c r="W56" s="19">
        <v>1616.8</v>
      </c>
      <c r="X56" s="19">
        <v>1630.8</v>
      </c>
      <c r="Y56" s="19">
        <v>1658.3</v>
      </c>
      <c r="Z56" s="19">
        <v>1822.1</v>
      </c>
      <c r="AA56" s="19">
        <v>1669.7817653000423</v>
      </c>
    </row>
    <row r="57" spans="1:27" ht="12.75" customHeight="1" x14ac:dyDescent="0.2">
      <c r="A57" s="152"/>
      <c r="B57" s="21" t="s">
        <v>90</v>
      </c>
      <c r="C57" s="22" t="s">
        <v>91</v>
      </c>
      <c r="D57" s="23">
        <v>419.1</v>
      </c>
      <c r="E57" s="23">
        <v>467.5</v>
      </c>
      <c r="F57" s="23">
        <v>455.2</v>
      </c>
      <c r="G57" s="23">
        <v>447.8</v>
      </c>
      <c r="H57" s="23">
        <v>468.3</v>
      </c>
      <c r="I57" s="23">
        <v>452.6</v>
      </c>
      <c r="J57" s="23">
        <v>439.5</v>
      </c>
      <c r="K57" s="23">
        <v>443.4</v>
      </c>
      <c r="L57" s="23">
        <v>396.4</v>
      </c>
      <c r="M57" s="23">
        <v>309.89999999999998</v>
      </c>
      <c r="N57" s="23">
        <v>369.9</v>
      </c>
      <c r="O57" s="23">
        <v>446</v>
      </c>
      <c r="P57" s="23">
        <v>469.4</v>
      </c>
      <c r="Q57" s="23">
        <v>489.8</v>
      </c>
      <c r="R57" s="23">
        <v>522.20000000000005</v>
      </c>
      <c r="S57" s="23">
        <v>510.4</v>
      </c>
      <c r="T57" s="23">
        <v>533.6</v>
      </c>
      <c r="U57" s="23">
        <v>547.29999999999995</v>
      </c>
      <c r="V57" s="23">
        <v>526.20000000000005</v>
      </c>
      <c r="W57" s="23">
        <v>513</v>
      </c>
      <c r="X57" s="23">
        <v>467.1</v>
      </c>
      <c r="Y57" s="23">
        <v>489</v>
      </c>
      <c r="Z57" s="23">
        <v>541.29999999999995</v>
      </c>
      <c r="AA57" s="23">
        <v>493.22451291050157</v>
      </c>
    </row>
    <row r="58" spans="1:27" ht="12.75" customHeight="1" x14ac:dyDescent="0.2">
      <c r="A58" s="152"/>
      <c r="B58" s="21" t="s">
        <v>115</v>
      </c>
      <c r="C58" s="22" t="s">
        <v>116</v>
      </c>
      <c r="D58" s="23">
        <v>140.6</v>
      </c>
      <c r="E58" s="23">
        <v>168.6</v>
      </c>
      <c r="F58" s="23">
        <v>205.4</v>
      </c>
      <c r="G58" s="23">
        <v>243.5</v>
      </c>
      <c r="H58" s="23">
        <v>285.2</v>
      </c>
      <c r="I58" s="23">
        <v>321.60000000000002</v>
      </c>
      <c r="J58" s="23">
        <v>343.3</v>
      </c>
      <c r="K58" s="23">
        <v>392.6</v>
      </c>
      <c r="L58" s="23">
        <v>348.5</v>
      </c>
      <c r="M58" s="23">
        <v>274.7</v>
      </c>
      <c r="N58" s="23">
        <v>325.3</v>
      </c>
      <c r="O58" s="23">
        <v>387.8</v>
      </c>
      <c r="P58" s="23">
        <v>391</v>
      </c>
      <c r="Q58" s="23">
        <v>434.9</v>
      </c>
      <c r="R58" s="23">
        <v>467.7</v>
      </c>
      <c r="S58" s="23">
        <v>470</v>
      </c>
      <c r="T58" s="23">
        <v>496</v>
      </c>
      <c r="U58" s="23">
        <v>494.2</v>
      </c>
      <c r="V58" s="23">
        <v>530.29999999999995</v>
      </c>
      <c r="W58" s="23">
        <v>533.5</v>
      </c>
      <c r="X58" s="23">
        <v>536.29999999999995</v>
      </c>
      <c r="Y58" s="23">
        <v>695.3</v>
      </c>
      <c r="Z58" s="23">
        <v>900.9</v>
      </c>
      <c r="AA58" s="23">
        <v>886.55890665697348</v>
      </c>
    </row>
    <row r="59" spans="1:27" ht="12.75" customHeight="1" x14ac:dyDescent="0.2">
      <c r="A59" s="152"/>
      <c r="B59" s="21" t="s">
        <v>117</v>
      </c>
      <c r="C59" s="22" t="s">
        <v>118</v>
      </c>
      <c r="D59" s="23">
        <v>37.299999999999997</v>
      </c>
      <c r="E59" s="23">
        <v>45.6</v>
      </c>
      <c r="F59" s="23">
        <v>47.4</v>
      </c>
      <c r="G59" s="23">
        <v>48.5</v>
      </c>
      <c r="H59" s="23">
        <v>58.7</v>
      </c>
      <c r="I59" s="23">
        <v>60.7</v>
      </c>
      <c r="J59" s="23">
        <v>60.2</v>
      </c>
      <c r="K59" s="23">
        <v>67.3</v>
      </c>
      <c r="L59" s="23">
        <v>80.900000000000006</v>
      </c>
      <c r="M59" s="23">
        <v>72.400000000000006</v>
      </c>
      <c r="N59" s="23">
        <v>107.5</v>
      </c>
      <c r="O59" s="23">
        <v>125.2</v>
      </c>
      <c r="P59" s="23">
        <v>134</v>
      </c>
      <c r="Q59" s="23">
        <v>162.4</v>
      </c>
      <c r="R59" s="23">
        <v>177.7</v>
      </c>
      <c r="S59" s="23">
        <v>177.7</v>
      </c>
      <c r="T59" s="23">
        <v>189.5</v>
      </c>
      <c r="U59" s="23">
        <v>212.6</v>
      </c>
      <c r="V59" s="23">
        <v>234.4</v>
      </c>
      <c r="W59" s="23">
        <v>237.1</v>
      </c>
      <c r="X59" s="23">
        <v>233.1</v>
      </c>
      <c r="Y59" s="23">
        <v>258</v>
      </c>
      <c r="Z59" s="23">
        <v>317.39999999999998</v>
      </c>
      <c r="AA59" s="23">
        <v>304.35424409306961</v>
      </c>
    </row>
    <row r="60" spans="1:27" ht="12.75" customHeight="1" x14ac:dyDescent="0.2">
      <c r="A60" s="152"/>
      <c r="B60" s="21" t="s">
        <v>119</v>
      </c>
      <c r="C60" s="22" t="s">
        <v>7</v>
      </c>
      <c r="D60" s="23">
        <v>40.300000000000011</v>
      </c>
      <c r="E60" s="23">
        <v>42.400000000000034</v>
      </c>
      <c r="F60" s="23">
        <v>37.399999999999977</v>
      </c>
      <c r="G60" s="23">
        <v>54.300000000000011</v>
      </c>
      <c r="H60" s="23">
        <v>50.400000000000034</v>
      </c>
      <c r="I60" s="23">
        <v>56.099999999999966</v>
      </c>
      <c r="J60" s="23">
        <v>77.699999999999989</v>
      </c>
      <c r="K60" s="23">
        <v>79.999999999999943</v>
      </c>
      <c r="L60" s="23">
        <v>111</v>
      </c>
      <c r="M60" s="23">
        <v>81.099999999999966</v>
      </c>
      <c r="N60" s="23">
        <v>88.300000000000011</v>
      </c>
      <c r="O60" s="23">
        <v>112.89999999999998</v>
      </c>
      <c r="P60" s="23">
        <v>128.70000000000005</v>
      </c>
      <c r="Q60" s="23">
        <v>137.60000000000002</v>
      </c>
      <c r="R60" s="23">
        <v>133.20000000000005</v>
      </c>
      <c r="S60" s="23">
        <v>132.09999999999991</v>
      </c>
      <c r="T60" s="23">
        <v>130.60000000000002</v>
      </c>
      <c r="U60" s="23">
        <v>128.30000000000007</v>
      </c>
      <c r="V60" s="23">
        <v>131.80000000000007</v>
      </c>
      <c r="W60" s="23">
        <v>142.60000000000002</v>
      </c>
      <c r="X60" s="23">
        <v>131.89999999999998</v>
      </c>
      <c r="Y60" s="23">
        <v>136.90000000000009</v>
      </c>
      <c r="Z60" s="23">
        <v>141.90000000000009</v>
      </c>
      <c r="AA60" s="23">
        <v>124.89662436244294</v>
      </c>
    </row>
    <row r="61" spans="1:27" ht="12.75" customHeight="1" x14ac:dyDescent="0.2">
      <c r="A61" s="152"/>
      <c r="B61" s="21" t="s">
        <v>94</v>
      </c>
      <c r="C61" s="22" t="s">
        <v>95</v>
      </c>
      <c r="D61" s="23">
        <v>212.99999999999977</v>
      </c>
      <c r="E61" s="23">
        <v>264.90000000000009</v>
      </c>
      <c r="F61" s="23">
        <v>245.79999999999973</v>
      </c>
      <c r="G61" s="23">
        <v>282.80000000000018</v>
      </c>
      <c r="H61" s="23">
        <v>414.00000000000045</v>
      </c>
      <c r="I61" s="23">
        <v>550.29999999999973</v>
      </c>
      <c r="J61" s="23">
        <v>508.40000000000009</v>
      </c>
      <c r="K61" s="23">
        <v>309.80000000000109</v>
      </c>
      <c r="L61" s="23">
        <v>532.69999999999982</v>
      </c>
      <c r="M61" s="23">
        <v>373.59999999999945</v>
      </c>
      <c r="N61" s="23">
        <v>487.80000000000018</v>
      </c>
      <c r="O61" s="23">
        <v>638.89999999999873</v>
      </c>
      <c r="P61" s="23">
        <v>694.69999999999982</v>
      </c>
      <c r="Q61" s="23">
        <v>386.30000000000018</v>
      </c>
      <c r="R61" s="23">
        <v>328.99999999999909</v>
      </c>
      <c r="S61" s="23">
        <v>429.69999999999982</v>
      </c>
      <c r="T61" s="23">
        <v>354.99999999999909</v>
      </c>
      <c r="U61" s="23">
        <v>454.39999999999964</v>
      </c>
      <c r="V61" s="23">
        <v>440.29999999999927</v>
      </c>
      <c r="W61" s="23">
        <v>438.10000000000036</v>
      </c>
      <c r="X61" s="23">
        <v>192.30000000000018</v>
      </c>
      <c r="Y61" s="23">
        <v>149.30000000000109</v>
      </c>
      <c r="Z61" s="23">
        <v>901.19999999999891</v>
      </c>
      <c r="AA61" s="23">
        <v>1338.4175946450873</v>
      </c>
    </row>
    <row r="62" spans="1:27" ht="12.75" customHeight="1" x14ac:dyDescent="0.2">
      <c r="A62" s="152"/>
      <c r="B62" s="21" t="s">
        <v>96</v>
      </c>
      <c r="C62" s="22" t="s">
        <v>97</v>
      </c>
      <c r="D62" s="23">
        <v>122.3</v>
      </c>
      <c r="E62" s="23">
        <v>110</v>
      </c>
      <c r="F62" s="23">
        <v>120</v>
      </c>
      <c r="G62" s="23">
        <v>126.6</v>
      </c>
      <c r="H62" s="23">
        <v>160.6</v>
      </c>
      <c r="I62" s="23">
        <v>204.6</v>
      </c>
      <c r="J62" s="23">
        <v>290.2</v>
      </c>
      <c r="K62" s="23">
        <v>456.4</v>
      </c>
      <c r="L62" s="23">
        <v>593.29999999999995</v>
      </c>
      <c r="M62" s="23">
        <v>380.9</v>
      </c>
      <c r="N62" s="23">
        <v>471</v>
      </c>
      <c r="O62" s="23">
        <v>632</v>
      </c>
      <c r="P62" s="23">
        <v>648.29999999999995</v>
      </c>
      <c r="Q62" s="23">
        <v>495.7</v>
      </c>
      <c r="R62" s="23">
        <v>505.3</v>
      </c>
      <c r="S62" s="23">
        <v>521.5</v>
      </c>
      <c r="T62" s="23">
        <v>478.6</v>
      </c>
      <c r="U62" s="23">
        <v>490.1</v>
      </c>
      <c r="V62" s="23">
        <v>621.29999999999995</v>
      </c>
      <c r="W62" s="23">
        <v>674.7</v>
      </c>
      <c r="X62" s="23">
        <v>911</v>
      </c>
      <c r="Y62" s="23">
        <v>1259.4000000000001</v>
      </c>
      <c r="Z62" s="23">
        <v>1387.3</v>
      </c>
      <c r="AA62" s="23">
        <v>1261.0020030886428</v>
      </c>
    </row>
    <row r="63" spans="1:27" ht="12.75" customHeight="1" x14ac:dyDescent="0.2">
      <c r="A63" s="152"/>
      <c r="B63" s="21" t="s">
        <v>98</v>
      </c>
      <c r="C63" s="22" t="s">
        <v>99</v>
      </c>
      <c r="D63" s="23">
        <v>0</v>
      </c>
      <c r="E63" s="23">
        <v>0</v>
      </c>
      <c r="F63" s="23">
        <v>0</v>
      </c>
      <c r="G63" s="23">
        <v>0</v>
      </c>
      <c r="H63" s="23">
        <v>0</v>
      </c>
      <c r="I63" s="23">
        <v>0</v>
      </c>
      <c r="J63" s="23">
        <v>0</v>
      </c>
      <c r="K63" s="23">
        <v>0</v>
      </c>
      <c r="L63" s="23">
        <v>0</v>
      </c>
      <c r="M63" s="23">
        <v>0</v>
      </c>
      <c r="N63" s="23">
        <v>0</v>
      </c>
      <c r="O63" s="23">
        <v>0</v>
      </c>
      <c r="P63" s="23">
        <v>0</v>
      </c>
      <c r="Q63" s="23">
        <v>0</v>
      </c>
      <c r="R63" s="23">
        <v>0</v>
      </c>
      <c r="S63" s="23">
        <v>0</v>
      </c>
      <c r="T63" s="23">
        <v>0</v>
      </c>
      <c r="U63" s="23">
        <v>0</v>
      </c>
      <c r="V63" s="23">
        <v>0</v>
      </c>
      <c r="W63" s="23">
        <v>0</v>
      </c>
      <c r="X63" s="23">
        <v>0</v>
      </c>
      <c r="Y63" s="23">
        <v>0</v>
      </c>
      <c r="Z63" s="23">
        <v>0</v>
      </c>
      <c r="AA63" s="23">
        <v>0</v>
      </c>
    </row>
    <row r="64" spans="1:27" ht="12.75" customHeight="1" x14ac:dyDescent="0.2">
      <c r="A64" s="152"/>
      <c r="B64" s="21" t="s">
        <v>120</v>
      </c>
      <c r="C64" s="22" t="s">
        <v>121</v>
      </c>
      <c r="D64" s="23">
        <v>63.8</v>
      </c>
      <c r="E64" s="23">
        <v>95.9</v>
      </c>
      <c r="F64" s="23">
        <v>116.8</v>
      </c>
      <c r="G64" s="23">
        <v>157.5</v>
      </c>
      <c r="H64" s="23">
        <v>172.8</v>
      </c>
      <c r="I64" s="23">
        <v>220.8</v>
      </c>
      <c r="J64" s="23">
        <v>271</v>
      </c>
      <c r="K64" s="23">
        <v>276.39999999999998</v>
      </c>
      <c r="L64" s="23">
        <v>266.60000000000002</v>
      </c>
      <c r="M64" s="23">
        <v>195.3</v>
      </c>
      <c r="N64" s="23">
        <v>241</v>
      </c>
      <c r="O64" s="23">
        <v>292.10000000000002</v>
      </c>
      <c r="P64" s="23">
        <v>328.6</v>
      </c>
      <c r="Q64" s="23">
        <v>376.3</v>
      </c>
      <c r="R64" s="23">
        <v>395.1</v>
      </c>
      <c r="S64" s="23">
        <v>380.4</v>
      </c>
      <c r="T64" s="23">
        <v>413.1</v>
      </c>
      <c r="U64" s="23">
        <v>442.2</v>
      </c>
      <c r="V64" s="23">
        <v>481.2</v>
      </c>
      <c r="W64" s="23">
        <v>476.6</v>
      </c>
      <c r="X64" s="23">
        <v>441.4</v>
      </c>
      <c r="Y64" s="23">
        <v>520</v>
      </c>
      <c r="Z64" s="23">
        <v>575.9</v>
      </c>
      <c r="AA64" s="23">
        <v>523.46603400812853</v>
      </c>
    </row>
    <row r="65" spans="1:27" ht="12.75" customHeight="1" x14ac:dyDescent="0.2">
      <c r="A65" s="152"/>
      <c r="B65" s="21" t="s">
        <v>122</v>
      </c>
      <c r="C65" s="22" t="s">
        <v>123</v>
      </c>
      <c r="D65" s="23">
        <v>79.7</v>
      </c>
      <c r="E65" s="23">
        <v>86.199999999999989</v>
      </c>
      <c r="F65" s="23">
        <v>90.899999999999991</v>
      </c>
      <c r="G65" s="23">
        <v>111</v>
      </c>
      <c r="H65" s="23">
        <v>129.30000000000001</v>
      </c>
      <c r="I65" s="23">
        <v>175</v>
      </c>
      <c r="J65" s="23">
        <v>244.79999999999995</v>
      </c>
      <c r="K65" s="23">
        <v>272.70000000000005</v>
      </c>
      <c r="L65" s="23">
        <v>265.19999999999993</v>
      </c>
      <c r="M65" s="23">
        <v>136.19999999999999</v>
      </c>
      <c r="N65" s="23">
        <v>152.19999999999999</v>
      </c>
      <c r="O65" s="23">
        <v>193.59999999999997</v>
      </c>
      <c r="P65" s="23">
        <v>212.19999999999993</v>
      </c>
      <c r="Q65" s="23">
        <v>248.2</v>
      </c>
      <c r="R65" s="23">
        <v>266</v>
      </c>
      <c r="S65" s="23">
        <v>239.10000000000002</v>
      </c>
      <c r="T65" s="23">
        <v>255.69999999999993</v>
      </c>
      <c r="U65" s="23">
        <v>264.8</v>
      </c>
      <c r="V65" s="23">
        <v>279.09999999999997</v>
      </c>
      <c r="W65" s="23">
        <v>288</v>
      </c>
      <c r="X65" s="23">
        <v>277.10000000000002</v>
      </c>
      <c r="Y65" s="23">
        <v>313.70000000000005</v>
      </c>
      <c r="Z65" s="23">
        <v>339.20000000000005</v>
      </c>
      <c r="AA65" s="23">
        <v>306.84340261993805</v>
      </c>
    </row>
    <row r="66" spans="1:27" ht="12.75" customHeight="1" x14ac:dyDescent="0.2">
      <c r="A66" s="152"/>
      <c r="B66" s="21" t="s">
        <v>124</v>
      </c>
      <c r="C66" s="22" t="s">
        <v>125</v>
      </c>
      <c r="D66" s="23">
        <v>0</v>
      </c>
      <c r="E66" s="23">
        <v>0</v>
      </c>
      <c r="F66" s="23">
        <v>0</v>
      </c>
      <c r="G66" s="23">
        <v>0</v>
      </c>
      <c r="H66" s="23">
        <v>0</v>
      </c>
      <c r="I66" s="23">
        <v>0</v>
      </c>
      <c r="J66" s="23">
        <v>0</v>
      </c>
      <c r="K66" s="23">
        <v>0</v>
      </c>
      <c r="L66" s="23">
        <v>0</v>
      </c>
      <c r="M66" s="23">
        <v>0</v>
      </c>
      <c r="N66" s="23">
        <v>0</v>
      </c>
      <c r="O66" s="23">
        <v>0</v>
      </c>
      <c r="P66" s="23">
        <v>0</v>
      </c>
      <c r="Q66" s="23">
        <v>0</v>
      </c>
      <c r="R66" s="23">
        <v>0</v>
      </c>
      <c r="S66" s="23">
        <v>0</v>
      </c>
      <c r="T66" s="23">
        <v>0</v>
      </c>
      <c r="U66" s="23">
        <v>0</v>
      </c>
      <c r="V66" s="23">
        <v>0</v>
      </c>
      <c r="W66" s="23">
        <v>0</v>
      </c>
      <c r="X66" s="23">
        <v>0</v>
      </c>
      <c r="Y66" s="23">
        <v>0</v>
      </c>
      <c r="Z66" s="23">
        <v>0</v>
      </c>
      <c r="AA66" s="23">
        <v>0</v>
      </c>
    </row>
    <row r="67" spans="1:27" ht="12.75" customHeight="1" x14ac:dyDescent="0.2">
      <c r="A67" s="152"/>
      <c r="B67" s="21" t="s">
        <v>126</v>
      </c>
      <c r="C67" s="22" t="s">
        <v>127</v>
      </c>
      <c r="D67" s="23">
        <v>71.5</v>
      </c>
      <c r="E67" s="23">
        <v>76</v>
      </c>
      <c r="F67" s="23">
        <v>74.400000000000006</v>
      </c>
      <c r="G67" s="23">
        <v>107</v>
      </c>
      <c r="H67" s="23">
        <v>145.4</v>
      </c>
      <c r="I67" s="23">
        <v>194.4</v>
      </c>
      <c r="J67" s="23">
        <v>237.3</v>
      </c>
      <c r="K67" s="23">
        <v>316.10000000000002</v>
      </c>
      <c r="L67" s="23">
        <v>313.39999999999998</v>
      </c>
      <c r="M67" s="23">
        <v>189.8</v>
      </c>
      <c r="N67" s="23">
        <v>225.5</v>
      </c>
      <c r="O67" s="23">
        <v>309.8</v>
      </c>
      <c r="P67" s="23">
        <v>333.8</v>
      </c>
      <c r="Q67" s="23">
        <v>334.8</v>
      </c>
      <c r="R67" s="23">
        <v>343.6</v>
      </c>
      <c r="S67" s="23">
        <v>355</v>
      </c>
      <c r="T67" s="23">
        <v>383.6</v>
      </c>
      <c r="U67" s="23">
        <v>431.7</v>
      </c>
      <c r="V67" s="23">
        <v>479.6</v>
      </c>
      <c r="W67" s="23">
        <v>500.6</v>
      </c>
      <c r="X67" s="23">
        <v>494</v>
      </c>
      <c r="Y67" s="23">
        <v>607.6</v>
      </c>
      <c r="Z67" s="23">
        <v>749.6</v>
      </c>
      <c r="AA67" s="23">
        <v>721.07016363080186</v>
      </c>
    </row>
    <row r="68" spans="1:27" ht="12.75" customHeight="1" x14ac:dyDescent="0.2">
      <c r="A68" s="152"/>
      <c r="B68" s="21" t="s">
        <v>104</v>
      </c>
      <c r="C68" s="22" t="s">
        <v>105</v>
      </c>
      <c r="D68" s="23">
        <v>96</v>
      </c>
      <c r="E68" s="23">
        <v>104.5</v>
      </c>
      <c r="F68" s="23">
        <v>115.5</v>
      </c>
      <c r="G68" s="23">
        <v>132.19999999999999</v>
      </c>
      <c r="H68" s="23">
        <v>170.7</v>
      </c>
      <c r="I68" s="23">
        <v>157</v>
      </c>
      <c r="J68" s="23">
        <v>125.1</v>
      </c>
      <c r="K68" s="23">
        <v>116.2</v>
      </c>
      <c r="L68" s="23">
        <v>116.2</v>
      </c>
      <c r="M68" s="23">
        <v>117.8</v>
      </c>
      <c r="N68" s="23">
        <v>137.80000000000001</v>
      </c>
      <c r="O68" s="23">
        <v>128.80000000000001</v>
      </c>
      <c r="P68" s="23">
        <v>134.69999999999999</v>
      </c>
      <c r="Q68" s="23">
        <v>124.7</v>
      </c>
      <c r="R68" s="23">
        <v>135.1</v>
      </c>
      <c r="S68" s="23">
        <v>159</v>
      </c>
      <c r="T68" s="23">
        <v>175.6</v>
      </c>
      <c r="U68" s="23">
        <v>217.7</v>
      </c>
      <c r="V68" s="23">
        <v>214.4</v>
      </c>
      <c r="W68" s="23">
        <v>262.89999999999998</v>
      </c>
      <c r="X68" s="23">
        <v>269.7</v>
      </c>
      <c r="Y68" s="23">
        <v>417.7</v>
      </c>
      <c r="Z68" s="23">
        <v>434.5</v>
      </c>
      <c r="AA68" s="23">
        <v>383.79072504243538</v>
      </c>
    </row>
    <row r="69" spans="1:27" ht="12.75" customHeight="1" x14ac:dyDescent="0.2">
      <c r="A69" s="152"/>
      <c r="B69" s="21" t="s">
        <v>106</v>
      </c>
      <c r="C69" s="22" t="s">
        <v>107</v>
      </c>
      <c r="D69" s="23">
        <v>39.6</v>
      </c>
      <c r="E69" s="23">
        <v>45.9</v>
      </c>
      <c r="F69" s="23">
        <v>54.6</v>
      </c>
      <c r="G69" s="23">
        <v>65.8</v>
      </c>
      <c r="H69" s="23">
        <v>76.400000000000006</v>
      </c>
      <c r="I69" s="23">
        <v>83.3</v>
      </c>
      <c r="J69" s="23">
        <v>92</v>
      </c>
      <c r="K69" s="23">
        <v>92.2</v>
      </c>
      <c r="L69" s="23">
        <v>84.2</v>
      </c>
      <c r="M69" s="23">
        <v>51.3</v>
      </c>
      <c r="N69" s="23">
        <v>64.2</v>
      </c>
      <c r="O69" s="23">
        <v>80</v>
      </c>
      <c r="P69" s="23">
        <v>105.6</v>
      </c>
      <c r="Q69" s="23">
        <v>115.5</v>
      </c>
      <c r="R69" s="23">
        <v>121.4</v>
      </c>
      <c r="S69" s="23">
        <v>123.3</v>
      </c>
      <c r="T69" s="23">
        <v>128.1</v>
      </c>
      <c r="U69" s="23">
        <v>141.1</v>
      </c>
      <c r="V69" s="23">
        <v>146.6</v>
      </c>
      <c r="W69" s="23">
        <v>149.4</v>
      </c>
      <c r="X69" s="23">
        <v>147.9</v>
      </c>
      <c r="Y69" s="23">
        <v>167</v>
      </c>
      <c r="Z69" s="23">
        <v>179.6</v>
      </c>
      <c r="AA69" s="23">
        <v>161.30331931648342</v>
      </c>
    </row>
    <row r="70" spans="1:27" ht="12.75" customHeight="1" x14ac:dyDescent="0.2">
      <c r="A70" s="152"/>
      <c r="B70" s="21" t="s">
        <v>108</v>
      </c>
      <c r="C70" s="22" t="s">
        <v>109</v>
      </c>
      <c r="D70" s="23">
        <v>28.4</v>
      </c>
      <c r="E70" s="23">
        <v>35.4</v>
      </c>
      <c r="F70" s="23">
        <v>46.2</v>
      </c>
      <c r="G70" s="23">
        <v>44.2</v>
      </c>
      <c r="H70" s="23">
        <v>53.9</v>
      </c>
      <c r="I70" s="23">
        <v>66.099999999999994</v>
      </c>
      <c r="J70" s="23">
        <v>83</v>
      </c>
      <c r="K70" s="23">
        <v>103.6</v>
      </c>
      <c r="L70" s="23">
        <v>147.80000000000001</v>
      </c>
      <c r="M70" s="23">
        <v>104.5</v>
      </c>
      <c r="N70" s="23">
        <v>120.2</v>
      </c>
      <c r="O70" s="23">
        <v>157.19999999999999</v>
      </c>
      <c r="P70" s="23">
        <v>176.5</v>
      </c>
      <c r="Q70" s="23">
        <v>200.8</v>
      </c>
      <c r="R70" s="23">
        <v>191.7</v>
      </c>
      <c r="S70" s="23">
        <v>188.9</v>
      </c>
      <c r="T70" s="23">
        <v>196.9</v>
      </c>
      <c r="U70" s="23">
        <v>233.1</v>
      </c>
      <c r="V70" s="23">
        <v>242.2</v>
      </c>
      <c r="W70" s="23">
        <v>244.9</v>
      </c>
      <c r="X70" s="23">
        <v>244.2</v>
      </c>
      <c r="Y70" s="23">
        <v>271.2</v>
      </c>
      <c r="Z70" s="23">
        <v>298.39999999999998</v>
      </c>
      <c r="AA70" s="23">
        <v>271.07872051802985</v>
      </c>
    </row>
    <row r="71" spans="1:27" ht="12.75" customHeight="1" x14ac:dyDescent="0.2">
      <c r="A71" s="152"/>
      <c r="B71" s="21" t="s">
        <v>128</v>
      </c>
      <c r="C71" s="22" t="s">
        <v>129</v>
      </c>
      <c r="D71" s="23">
        <v>33</v>
      </c>
      <c r="E71" s="23">
        <v>35.6</v>
      </c>
      <c r="F71" s="23">
        <v>39.200000000000003</v>
      </c>
      <c r="G71" s="23">
        <v>60.2</v>
      </c>
      <c r="H71" s="23">
        <v>88.3</v>
      </c>
      <c r="I71" s="23">
        <v>81.5</v>
      </c>
      <c r="J71" s="23">
        <v>100.6</v>
      </c>
      <c r="K71" s="23">
        <v>90.2</v>
      </c>
      <c r="L71" s="23">
        <v>82</v>
      </c>
      <c r="M71" s="23">
        <v>26.7</v>
      </c>
      <c r="N71" s="23">
        <v>44.5</v>
      </c>
      <c r="O71" s="23">
        <v>66.400000000000006</v>
      </c>
      <c r="P71" s="23">
        <v>70.099999999999994</v>
      </c>
      <c r="Q71" s="23">
        <v>84.9</v>
      </c>
      <c r="R71" s="23">
        <v>103.8</v>
      </c>
      <c r="S71" s="23">
        <v>108.4</v>
      </c>
      <c r="T71" s="23">
        <v>131</v>
      </c>
      <c r="U71" s="23">
        <v>160.80000000000001</v>
      </c>
      <c r="V71" s="23">
        <v>163.19999999999999</v>
      </c>
      <c r="W71" s="23">
        <v>151.30000000000001</v>
      </c>
      <c r="X71" s="23">
        <v>151.6</v>
      </c>
      <c r="Y71" s="23">
        <v>183.5</v>
      </c>
      <c r="Z71" s="23">
        <v>206.9</v>
      </c>
      <c r="AA71" s="23">
        <v>202.73238795127952</v>
      </c>
    </row>
    <row r="72" spans="1:27" ht="12.75" customHeight="1" x14ac:dyDescent="0.2">
      <c r="A72" s="152"/>
      <c r="B72" s="21" t="s">
        <v>130</v>
      </c>
      <c r="C72" s="22" t="s">
        <v>131</v>
      </c>
      <c r="D72" s="23">
        <v>36.900000000000006</v>
      </c>
      <c r="E72" s="23">
        <v>39.800000000000004</v>
      </c>
      <c r="F72" s="23">
        <v>43.399999999999991</v>
      </c>
      <c r="G72" s="23">
        <v>54.5</v>
      </c>
      <c r="H72" s="23">
        <v>52.899999999999991</v>
      </c>
      <c r="I72" s="23">
        <v>72.900000000000006</v>
      </c>
      <c r="J72" s="23">
        <v>75.099999999999994</v>
      </c>
      <c r="K72" s="23">
        <v>78.899999999999991</v>
      </c>
      <c r="L72" s="23">
        <v>125.19999999999999</v>
      </c>
      <c r="M72" s="23">
        <v>100.7</v>
      </c>
      <c r="N72" s="23">
        <v>100.6</v>
      </c>
      <c r="O72" s="23">
        <v>62.400000000000006</v>
      </c>
      <c r="P72" s="23">
        <v>92.300000000000011</v>
      </c>
      <c r="Q72" s="23">
        <v>101.1</v>
      </c>
      <c r="R72" s="23">
        <v>78.3</v>
      </c>
      <c r="S72" s="23">
        <v>87.199999999999989</v>
      </c>
      <c r="T72" s="23">
        <v>86.1</v>
      </c>
      <c r="U72" s="23">
        <v>95.199999999999989</v>
      </c>
      <c r="V72" s="23">
        <v>116.69999999999999</v>
      </c>
      <c r="W72" s="23">
        <v>158</v>
      </c>
      <c r="X72" s="23">
        <v>160.00000000000003</v>
      </c>
      <c r="Y72" s="23">
        <v>193.2</v>
      </c>
      <c r="Z72" s="23">
        <v>235.6</v>
      </c>
      <c r="AA72" s="23">
        <v>226.20872562957993</v>
      </c>
    </row>
    <row r="73" spans="1:27" ht="12.75" customHeight="1" x14ac:dyDescent="0.2">
      <c r="A73" s="152"/>
      <c r="B73" s="21" t="s">
        <v>132</v>
      </c>
      <c r="C73" s="22" t="s">
        <v>133</v>
      </c>
      <c r="D73" s="23">
        <v>107.9</v>
      </c>
      <c r="E73" s="23">
        <v>126.2</v>
      </c>
      <c r="F73" s="23">
        <v>157.80000000000001</v>
      </c>
      <c r="G73" s="23">
        <v>191.8</v>
      </c>
      <c r="H73" s="23">
        <v>266.2</v>
      </c>
      <c r="I73" s="23">
        <v>293.89999999999998</v>
      </c>
      <c r="J73" s="23">
        <v>367.5</v>
      </c>
      <c r="K73" s="23">
        <v>432.4</v>
      </c>
      <c r="L73" s="23">
        <v>512.20000000000005</v>
      </c>
      <c r="M73" s="23">
        <v>418.6</v>
      </c>
      <c r="N73" s="23">
        <v>457.1</v>
      </c>
      <c r="O73" s="23">
        <v>607.29999999999995</v>
      </c>
      <c r="P73" s="23">
        <v>713.9</v>
      </c>
      <c r="Q73" s="23">
        <v>778.3</v>
      </c>
      <c r="R73" s="23">
        <v>850</v>
      </c>
      <c r="S73" s="23">
        <v>889.4</v>
      </c>
      <c r="T73" s="23">
        <v>902.1</v>
      </c>
      <c r="U73" s="23">
        <v>977</v>
      </c>
      <c r="V73" s="23">
        <v>1060.2</v>
      </c>
      <c r="W73" s="23">
        <v>1091.4000000000001</v>
      </c>
      <c r="X73" s="23">
        <v>1136.3</v>
      </c>
      <c r="Y73" s="23">
        <v>1324.8</v>
      </c>
      <c r="Z73" s="23">
        <v>1552.2</v>
      </c>
      <c r="AA73" s="23">
        <v>1462.8685575415998</v>
      </c>
    </row>
    <row r="74" spans="1:27" ht="12.75" customHeight="1" x14ac:dyDescent="0.2">
      <c r="A74" s="152"/>
      <c r="B74" s="21" t="s">
        <v>134</v>
      </c>
      <c r="C74" s="22" t="s">
        <v>135</v>
      </c>
      <c r="D74" s="23">
        <v>37.699999999999989</v>
      </c>
      <c r="E74" s="23">
        <v>46.399999999999991</v>
      </c>
      <c r="F74" s="23">
        <v>56.599999999999994</v>
      </c>
      <c r="G74" s="23">
        <v>47.599999999999994</v>
      </c>
      <c r="H74" s="23">
        <v>79.800000000000011</v>
      </c>
      <c r="I74" s="23">
        <v>108.9000000000002</v>
      </c>
      <c r="J74" s="23">
        <v>126.90000000000009</v>
      </c>
      <c r="K74" s="23">
        <v>132.09999999999957</v>
      </c>
      <c r="L74" s="23">
        <v>157.49999999999977</v>
      </c>
      <c r="M74" s="23">
        <v>148.20000000000016</v>
      </c>
      <c r="N74" s="23">
        <v>153.00000000000034</v>
      </c>
      <c r="O74" s="23">
        <v>157.30000000000041</v>
      </c>
      <c r="P74" s="23">
        <v>197.99999999999966</v>
      </c>
      <c r="Q74" s="23">
        <v>222.80000000000041</v>
      </c>
      <c r="R74" s="23">
        <v>240</v>
      </c>
      <c r="S74" s="23">
        <v>241.00000000000057</v>
      </c>
      <c r="T74" s="23">
        <v>250.5999999999998</v>
      </c>
      <c r="U74" s="23">
        <v>278.69999999999982</v>
      </c>
      <c r="V74" s="23">
        <v>339.2000000000005</v>
      </c>
      <c r="W74" s="23">
        <v>400.70000000000027</v>
      </c>
      <c r="X74" s="23">
        <v>346.50000000000023</v>
      </c>
      <c r="Y74" s="23">
        <v>377.30000000000041</v>
      </c>
      <c r="Z74" s="23">
        <v>451.00000000000068</v>
      </c>
      <c r="AA74" s="23">
        <v>419.202312684964</v>
      </c>
    </row>
    <row r="75" spans="1:27" ht="12.75" customHeight="1" x14ac:dyDescent="0.2">
      <c r="A75" s="153"/>
      <c r="B75" s="28" t="s">
        <v>52</v>
      </c>
      <c r="C75" s="31" t="s">
        <v>58</v>
      </c>
      <c r="D75" s="30">
        <f>SUM(D56:D74)</f>
        <v>2121.6999999999994</v>
      </c>
      <c r="E75" s="30">
        <f t="shared" ref="E75:Y75" si="6">SUM(E56:E74)</f>
        <v>2382.8000000000002</v>
      </c>
      <c r="F75" s="30">
        <f t="shared" si="6"/>
        <v>2495.1</v>
      </c>
      <c r="G75" s="30">
        <f t="shared" si="6"/>
        <v>2803.1</v>
      </c>
      <c r="H75" s="30">
        <f t="shared" si="6"/>
        <v>3340.4000000000015</v>
      </c>
      <c r="I75" s="30">
        <f t="shared" si="6"/>
        <v>3851.3</v>
      </c>
      <c r="J75" s="30">
        <f t="shared" si="6"/>
        <v>4248.2999999999993</v>
      </c>
      <c r="K75" s="30">
        <f t="shared" si="6"/>
        <v>4630</v>
      </c>
      <c r="L75" s="30">
        <f t="shared" si="6"/>
        <v>5133.0999999999995</v>
      </c>
      <c r="M75" s="30">
        <f t="shared" si="6"/>
        <v>4065.2999999999997</v>
      </c>
      <c r="N75" s="30">
        <f t="shared" si="6"/>
        <v>4677.3</v>
      </c>
      <c r="O75" s="30">
        <f t="shared" si="6"/>
        <v>5683.8999999999987</v>
      </c>
      <c r="P75" s="30">
        <f t="shared" si="6"/>
        <v>6205.8000000000011</v>
      </c>
      <c r="Q75" s="30">
        <f t="shared" si="6"/>
        <v>6160.1</v>
      </c>
      <c r="R75" s="30">
        <f t="shared" si="6"/>
        <v>6336.2</v>
      </c>
      <c r="S75" s="30">
        <f t="shared" si="6"/>
        <v>6454.7999999999993</v>
      </c>
      <c r="T75" s="30">
        <f t="shared" si="6"/>
        <v>6524.7</v>
      </c>
      <c r="U75" s="30">
        <f t="shared" si="6"/>
        <v>7064.9</v>
      </c>
      <c r="V75" s="30">
        <f t="shared" si="6"/>
        <v>7588.4</v>
      </c>
      <c r="W75" s="30">
        <f t="shared" si="6"/>
        <v>7879.6</v>
      </c>
      <c r="X75" s="30">
        <f t="shared" si="6"/>
        <v>7771.2</v>
      </c>
      <c r="Y75" s="30">
        <f t="shared" si="6"/>
        <v>9022.2000000000025</v>
      </c>
      <c r="Z75" s="30">
        <f t="shared" ref="Z75:AA75" si="7">SUM(Z56:Z74)</f>
        <v>11035</v>
      </c>
      <c r="AA75" s="30">
        <f t="shared" si="7"/>
        <v>10756.8</v>
      </c>
    </row>
  </sheetData>
  <mergeCells count="4">
    <mergeCell ref="A6:A16"/>
    <mergeCell ref="A18:A39"/>
    <mergeCell ref="A41:A54"/>
    <mergeCell ref="A56:A75"/>
  </mergeCells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AA75"/>
  <sheetViews>
    <sheetView showGridLines="0" zoomScaleNormal="100" workbookViewId="0">
      <pane xSplit="3" ySplit="1" topLeftCell="D2" activePane="bottomRight" state="frozen"/>
      <selection activeCell="D2" sqref="D2"/>
      <selection pane="topRight" activeCell="D2" sqref="D2"/>
      <selection pane="bottomLeft" activeCell="D2" sqref="D2"/>
      <selection pane="bottomRight" activeCell="D2" sqref="D2"/>
    </sheetView>
  </sheetViews>
  <sheetFormatPr defaultColWidth="9.140625" defaultRowHeight="11.25" x14ac:dyDescent="0.2"/>
  <cols>
    <col min="1" max="1" width="3.28515625" style="10" customWidth="1" collapsed="1"/>
    <col min="2" max="2" width="9.28515625" style="10" customWidth="1"/>
    <col min="3" max="3" width="42.7109375" style="10" customWidth="1" collapsed="1"/>
    <col min="4" max="27" width="8.7109375" style="10" customWidth="1"/>
    <col min="28" max="16384" width="9.140625" style="10"/>
  </cols>
  <sheetData>
    <row r="1" spans="1:27" ht="12.75" customHeight="1" x14ac:dyDescent="0.2">
      <c r="A1" s="13"/>
      <c r="B1" s="14" t="s">
        <v>279</v>
      </c>
      <c r="C1" s="15" t="s">
        <v>274</v>
      </c>
      <c r="D1" s="32">
        <v>2000</v>
      </c>
      <c r="E1" s="32">
        <v>2001</v>
      </c>
      <c r="F1" s="32">
        <v>2002</v>
      </c>
      <c r="G1" s="32">
        <v>2003</v>
      </c>
      <c r="H1" s="32">
        <v>2004</v>
      </c>
      <c r="I1" s="32">
        <v>2005</v>
      </c>
      <c r="J1" s="32">
        <v>2006</v>
      </c>
      <c r="K1" s="32">
        <v>2007</v>
      </c>
      <c r="L1" s="32">
        <v>2008</v>
      </c>
      <c r="M1" s="32">
        <v>2009</v>
      </c>
      <c r="N1" s="32">
        <v>2010</v>
      </c>
      <c r="O1" s="32">
        <v>2011</v>
      </c>
      <c r="P1" s="32">
        <v>2012</v>
      </c>
      <c r="Q1" s="32">
        <v>2013</v>
      </c>
      <c r="R1" s="32">
        <v>2014</v>
      </c>
      <c r="S1" s="32">
        <v>2015</v>
      </c>
      <c r="T1" s="32">
        <v>2016</v>
      </c>
      <c r="U1" s="32">
        <v>2017</v>
      </c>
      <c r="V1" s="32">
        <v>2018</v>
      </c>
      <c r="W1" s="32">
        <v>2019</v>
      </c>
      <c r="X1" s="32">
        <v>2020</v>
      </c>
      <c r="Y1" s="32">
        <v>2021</v>
      </c>
      <c r="Z1" s="32">
        <v>2022</v>
      </c>
      <c r="AA1" s="32">
        <v>2023</v>
      </c>
    </row>
    <row r="2" spans="1:27" ht="12.75" customHeight="1" x14ac:dyDescent="0.2">
      <c r="A2" s="16"/>
      <c r="B2" s="17" t="s">
        <v>24</v>
      </c>
      <c r="C2" s="18" t="s">
        <v>25</v>
      </c>
      <c r="D2" s="19">
        <v>30726.029437626825</v>
      </c>
      <c r="E2" s="19">
        <v>32718.688774902897</v>
      </c>
      <c r="F2" s="19">
        <v>34917.125269887219</v>
      </c>
      <c r="G2" s="19">
        <v>38601.881147590713</v>
      </c>
      <c r="H2" s="19">
        <v>41111.854833963538</v>
      </c>
      <c r="I2" s="19">
        <v>44290.328934993078</v>
      </c>
      <c r="J2" s="19">
        <v>47565.586839678384</v>
      </c>
      <c r="K2" s="19">
        <v>52835.136752534279</v>
      </c>
      <c r="L2" s="19">
        <v>54208.465272780631</v>
      </c>
      <c r="M2" s="19">
        <v>46164.605961527675</v>
      </c>
      <c r="N2" s="19">
        <v>46361.496982876975</v>
      </c>
      <c r="O2" s="19">
        <v>49293.188619678476</v>
      </c>
      <c r="P2" s="19">
        <v>51453.745014455992</v>
      </c>
      <c r="Q2" s="19">
        <v>53536.012535589602</v>
      </c>
      <c r="R2" s="19">
        <v>55555.968167636638</v>
      </c>
      <c r="S2" s="19">
        <v>57129.640908999987</v>
      </c>
      <c r="T2" s="19">
        <v>58656.402813233377</v>
      </c>
      <c r="U2" s="19">
        <v>61361.386459799847</v>
      </c>
      <c r="V2" s="19">
        <v>64379.353025224751</v>
      </c>
      <c r="W2" s="19">
        <v>67390.766812571746</v>
      </c>
      <c r="X2" s="19">
        <v>67419.629927655347</v>
      </c>
      <c r="Y2" s="19">
        <v>71720.711054259562</v>
      </c>
      <c r="Z2" s="19">
        <v>73540.717617764938</v>
      </c>
      <c r="AA2" s="19">
        <v>73792.800000000003</v>
      </c>
    </row>
    <row r="3" spans="1:27" ht="12.75" customHeight="1" x14ac:dyDescent="0.2">
      <c r="A3" s="20"/>
      <c r="B3" s="21" t="s">
        <v>26</v>
      </c>
      <c r="C3" s="22" t="s">
        <v>27</v>
      </c>
      <c r="D3" s="23">
        <v>18688.775381872947</v>
      </c>
      <c r="E3" s="23">
        <v>19469.289807767866</v>
      </c>
      <c r="F3" s="23">
        <v>20644.071174502802</v>
      </c>
      <c r="G3" s="23">
        <v>22988.243014216379</v>
      </c>
      <c r="H3" s="23">
        <v>25489.213159668929</v>
      </c>
      <c r="I3" s="23">
        <v>28458.98977414516</v>
      </c>
      <c r="J3" s="23">
        <v>31070.659362645903</v>
      </c>
      <c r="K3" s="23">
        <v>34959.576530625163</v>
      </c>
      <c r="L3" s="23">
        <v>36318.927963459893</v>
      </c>
      <c r="M3" s="23">
        <v>30005.602482929182</v>
      </c>
      <c r="N3" s="23">
        <v>28705.116368476647</v>
      </c>
      <c r="O3" s="23">
        <v>29833.491247185673</v>
      </c>
      <c r="P3" s="23">
        <v>30723.726341497524</v>
      </c>
      <c r="Q3" s="23">
        <v>31842.932347526574</v>
      </c>
      <c r="R3" s="23">
        <v>33133.69094256332</v>
      </c>
      <c r="S3" s="23">
        <v>34519.612808999998</v>
      </c>
      <c r="T3" s="23">
        <v>35826.538446475199</v>
      </c>
      <c r="U3" s="23">
        <v>36939.538169881074</v>
      </c>
      <c r="V3" s="23">
        <v>38251.063790668726</v>
      </c>
      <c r="W3" s="23">
        <v>39329.725553272358</v>
      </c>
      <c r="X3" s="23">
        <v>38077.778152657353</v>
      </c>
      <c r="Y3" s="23">
        <v>41147.431484311943</v>
      </c>
      <c r="Z3" s="23">
        <v>41966.651354463938</v>
      </c>
      <c r="AA3" s="23">
        <v>41822.699999999997</v>
      </c>
    </row>
    <row r="4" spans="1:27" ht="12.75" customHeight="1" x14ac:dyDescent="0.2">
      <c r="A4" s="24"/>
      <c r="B4" s="25" t="s">
        <v>28</v>
      </c>
      <c r="C4" s="26" t="s">
        <v>29</v>
      </c>
      <c r="D4" s="27">
        <v>27666.727567901034</v>
      </c>
      <c r="E4" s="27">
        <v>29460.642572243858</v>
      </c>
      <c r="F4" s="27">
        <v>31440.476855324901</v>
      </c>
      <c r="G4" s="27">
        <v>34757.673720856146</v>
      </c>
      <c r="H4" s="27">
        <v>37017.84938688908</v>
      </c>
      <c r="I4" s="27">
        <v>39879.789603174599</v>
      </c>
      <c r="J4" s="27">
        <v>42829.324125429092</v>
      </c>
      <c r="K4" s="27">
        <v>47573.880790704869</v>
      </c>
      <c r="L4" s="27">
        <v>48810.541026866187</v>
      </c>
      <c r="M4" s="27">
        <v>41567.739982793479</v>
      </c>
      <c r="N4" s="27">
        <v>41745.531078519947</v>
      </c>
      <c r="O4" s="27">
        <v>44384.942642680151</v>
      </c>
      <c r="P4" s="27">
        <v>46330.540110862719</v>
      </c>
      <c r="Q4" s="27">
        <v>48205.373081618767</v>
      </c>
      <c r="R4" s="27">
        <v>50024.381723966122</v>
      </c>
      <c r="S4" s="27">
        <v>51441.190086000002</v>
      </c>
      <c r="T4" s="27">
        <v>52815.740412660998</v>
      </c>
      <c r="U4" s="27">
        <v>55251.336279543873</v>
      </c>
      <c r="V4" s="27">
        <v>57969.298369909404</v>
      </c>
      <c r="W4" s="27">
        <v>60680.363986180288</v>
      </c>
      <c r="X4" s="27">
        <v>60706.710969459717</v>
      </c>
      <c r="Y4" s="27">
        <v>64579.376866132021</v>
      </c>
      <c r="Z4" s="27">
        <v>66218.023864270712</v>
      </c>
      <c r="AA4" s="27">
        <v>66444.800000000003</v>
      </c>
    </row>
    <row r="5" spans="1:27" ht="12.75" customHeight="1" x14ac:dyDescent="0.2">
      <c r="B5" s="10" t="s">
        <v>30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</row>
    <row r="6" spans="1:27" ht="12.75" customHeight="1" x14ac:dyDescent="0.2">
      <c r="A6" s="151" t="s">
        <v>31</v>
      </c>
      <c r="B6" s="17" t="s">
        <v>32</v>
      </c>
      <c r="C6" s="18" t="s">
        <v>33</v>
      </c>
      <c r="D6" s="19">
        <v>1734.8337630079386</v>
      </c>
      <c r="E6" s="19">
        <v>1610.2185950087498</v>
      </c>
      <c r="F6" s="19">
        <v>1684.9349774490895</v>
      </c>
      <c r="G6" s="19">
        <v>1712.8675394020293</v>
      </c>
      <c r="H6" s="19">
        <v>1705.9133904009361</v>
      </c>
      <c r="I6" s="19">
        <v>1905.3821798029558</v>
      </c>
      <c r="J6" s="19">
        <v>1832.4107622684201</v>
      </c>
      <c r="K6" s="19">
        <v>1840.5697205985641</v>
      </c>
      <c r="L6" s="19">
        <v>1785.8733412245074</v>
      </c>
      <c r="M6" s="19">
        <v>1168.7746662048467</v>
      </c>
      <c r="N6" s="19">
        <v>1434.292475262798</v>
      </c>
      <c r="O6" s="19">
        <v>1745.143444312574</v>
      </c>
      <c r="P6" s="19">
        <v>2062.2578691293834</v>
      </c>
      <c r="Q6" s="19">
        <v>1891.3936654391159</v>
      </c>
      <c r="R6" s="19">
        <v>1914.0002610861982</v>
      </c>
      <c r="S6" s="19">
        <v>1972.987179</v>
      </c>
      <c r="T6" s="19">
        <v>1839.0784610358107</v>
      </c>
      <c r="U6" s="19">
        <v>2191.8641196139884</v>
      </c>
      <c r="V6" s="19">
        <v>1866.7676001138127</v>
      </c>
      <c r="W6" s="19">
        <v>2116.7344828823975</v>
      </c>
      <c r="X6" s="19">
        <v>2400.4194632529266</v>
      </c>
      <c r="Y6" s="19">
        <v>2460.3408298180971</v>
      </c>
      <c r="Z6" s="19">
        <v>2870.9039564151299</v>
      </c>
      <c r="AA6" s="19">
        <v>2003.8</v>
      </c>
    </row>
    <row r="7" spans="1:27" ht="12.75" customHeight="1" x14ac:dyDescent="0.2">
      <c r="A7" s="152"/>
      <c r="B7" s="21" t="s">
        <v>34</v>
      </c>
      <c r="C7" s="22" t="s">
        <v>35</v>
      </c>
      <c r="D7" s="23">
        <v>6594.5589346883771</v>
      </c>
      <c r="E7" s="23">
        <v>7256.0158156106636</v>
      </c>
      <c r="F7" s="23">
        <v>7345.3943979590285</v>
      </c>
      <c r="G7" s="23">
        <v>8431.98820897107</v>
      </c>
      <c r="H7" s="23">
        <v>9449.9479499561003</v>
      </c>
      <c r="I7" s="23">
        <v>9981.5924521072793</v>
      </c>
      <c r="J7" s="23">
        <v>10222.072387858216</v>
      </c>
      <c r="K7" s="23">
        <v>10389.188245378029</v>
      </c>
      <c r="L7" s="23">
        <v>10420.675017918033</v>
      </c>
      <c r="M7" s="23">
        <v>8819.7771645009543</v>
      </c>
      <c r="N7" s="23">
        <v>9773.7680311611584</v>
      </c>
      <c r="O7" s="23">
        <v>11052.734783559246</v>
      </c>
      <c r="P7" s="23">
        <v>11652.005126389575</v>
      </c>
      <c r="Q7" s="23">
        <v>11530.964496437435</v>
      </c>
      <c r="R7" s="23">
        <v>11659.571285500748</v>
      </c>
      <c r="S7" s="23">
        <v>11623.711284999999</v>
      </c>
      <c r="T7" s="23">
        <v>11727.199428729838</v>
      </c>
      <c r="U7" s="23">
        <v>12185.479039925311</v>
      </c>
      <c r="V7" s="23">
        <v>12484.430544006022</v>
      </c>
      <c r="W7" s="23">
        <v>12657.887820702652</v>
      </c>
      <c r="X7" s="23">
        <v>12413.748435075468</v>
      </c>
      <c r="Y7" s="23">
        <v>13431.847718292012</v>
      </c>
      <c r="Z7" s="23">
        <v>14183.539768367051</v>
      </c>
      <c r="AA7" s="23">
        <v>13007.8</v>
      </c>
    </row>
    <row r="8" spans="1:27" ht="12.75" customHeight="1" x14ac:dyDescent="0.2">
      <c r="A8" s="152"/>
      <c r="B8" s="21" t="s">
        <v>36</v>
      </c>
      <c r="C8" s="22" t="s">
        <v>37</v>
      </c>
      <c r="D8" s="23">
        <v>1654.1785557738201</v>
      </c>
      <c r="E8" s="23">
        <v>1750.9102662735886</v>
      </c>
      <c r="F8" s="23">
        <v>1984.1529771757453</v>
      </c>
      <c r="G8" s="23">
        <v>2413.4592054366453</v>
      </c>
      <c r="H8" s="23">
        <v>2682.3878182616327</v>
      </c>
      <c r="I8" s="23">
        <v>3106.6059414340448</v>
      </c>
      <c r="J8" s="23">
        <v>4052.3975932425651</v>
      </c>
      <c r="K8" s="23">
        <v>5322.5559767145633</v>
      </c>
      <c r="L8" s="23">
        <v>5471.0167365288962</v>
      </c>
      <c r="M8" s="23">
        <v>2742.9027273438282</v>
      </c>
      <c r="N8" s="23">
        <v>2477.4449952619166</v>
      </c>
      <c r="O8" s="23">
        <v>3008.6643336040142</v>
      </c>
      <c r="P8" s="23">
        <v>2887.2540789593463</v>
      </c>
      <c r="Q8" s="23">
        <v>3251.7055950284202</v>
      </c>
      <c r="R8" s="23">
        <v>3766.11563428002</v>
      </c>
      <c r="S8" s="23">
        <v>3856.2722129999997</v>
      </c>
      <c r="T8" s="23">
        <v>3594.5072413690673</v>
      </c>
      <c r="U8" s="23">
        <v>3697.6112269102896</v>
      </c>
      <c r="V8" s="23">
        <v>4056.3914181604569</v>
      </c>
      <c r="W8" s="23">
        <v>4454.4580822901244</v>
      </c>
      <c r="X8" s="23">
        <v>4430.1501357737334</v>
      </c>
      <c r="Y8" s="23">
        <v>4579.2481709655367</v>
      </c>
      <c r="Z8" s="23">
        <v>4556.5415186868004</v>
      </c>
      <c r="AA8" s="23">
        <v>4877.5</v>
      </c>
    </row>
    <row r="9" spans="1:27" ht="12.75" customHeight="1" x14ac:dyDescent="0.2">
      <c r="A9" s="152"/>
      <c r="B9" s="21" t="s">
        <v>38</v>
      </c>
      <c r="C9" s="22" t="s">
        <v>39</v>
      </c>
      <c r="D9" s="23">
        <v>7345.3493822751097</v>
      </c>
      <c r="E9" s="23">
        <v>8057.3781699799783</v>
      </c>
      <c r="F9" s="23">
        <v>8901.0951420631427</v>
      </c>
      <c r="G9" s="23">
        <v>9863.6421613094062</v>
      </c>
      <c r="H9" s="23">
        <v>10320.517982148082</v>
      </c>
      <c r="I9" s="23">
        <v>11246.18207854406</v>
      </c>
      <c r="J9" s="23">
        <v>11776.122311361385</v>
      </c>
      <c r="K9" s="23">
        <v>13285.762709967737</v>
      </c>
      <c r="L9" s="23">
        <v>13723.999525443605</v>
      </c>
      <c r="M9" s="23">
        <v>12264.424399727375</v>
      </c>
      <c r="N9" s="23">
        <v>12629.681060889876</v>
      </c>
      <c r="O9" s="23">
        <v>13422.534859558165</v>
      </c>
      <c r="P9" s="23">
        <v>14451.625654201351</v>
      </c>
      <c r="Q9" s="23">
        <v>15315.439749619725</v>
      </c>
      <c r="R9" s="23">
        <v>15762.768556053812</v>
      </c>
      <c r="S9" s="23">
        <v>15858.572550999997</v>
      </c>
      <c r="T9" s="23">
        <v>16395.944674910643</v>
      </c>
      <c r="U9" s="23">
        <v>17272.122983490677</v>
      </c>
      <c r="V9" s="23">
        <v>18415.470969518406</v>
      </c>
      <c r="W9" s="23">
        <v>18852.738397271951</v>
      </c>
      <c r="X9" s="23">
        <v>17979.623053322048</v>
      </c>
      <c r="Y9" s="23">
        <v>18670.570006835955</v>
      </c>
      <c r="Z9" s="23">
        <v>18802.058833214382</v>
      </c>
      <c r="AA9" s="23">
        <v>18404.599999999999</v>
      </c>
    </row>
    <row r="10" spans="1:27" ht="12.75" customHeight="1" x14ac:dyDescent="0.2">
      <c r="A10" s="152"/>
      <c r="B10" s="21" t="s">
        <v>40</v>
      </c>
      <c r="C10" s="22" t="s">
        <v>41</v>
      </c>
      <c r="D10" s="23">
        <v>1318.3641281231228</v>
      </c>
      <c r="E10" s="23">
        <v>1443.9026674654349</v>
      </c>
      <c r="F10" s="23">
        <v>1612.5172358810041</v>
      </c>
      <c r="G10" s="23">
        <v>1733.5689531726405</v>
      </c>
      <c r="H10" s="23">
        <v>1629.6263257243193</v>
      </c>
      <c r="I10" s="23">
        <v>1615.6197318007662</v>
      </c>
      <c r="J10" s="23">
        <v>1678.6420269731682</v>
      </c>
      <c r="K10" s="23">
        <v>1781.9737788835846</v>
      </c>
      <c r="L10" s="23">
        <v>1640.0062039832328</v>
      </c>
      <c r="M10" s="23">
        <v>1630.1511212165224</v>
      </c>
      <c r="N10" s="23">
        <v>1546.9880908830462</v>
      </c>
      <c r="O10" s="23">
        <v>1399.3713348741333</v>
      </c>
      <c r="P10" s="23">
        <v>1400.1204711665873</v>
      </c>
      <c r="Q10" s="23">
        <v>1554.5764420382675</v>
      </c>
      <c r="R10" s="23">
        <v>1568.3617020428503</v>
      </c>
      <c r="S10" s="23">
        <v>1778.4025259999999</v>
      </c>
      <c r="T10" s="23">
        <v>1917.5664554518178</v>
      </c>
      <c r="U10" s="23">
        <v>2040.9680426022423</v>
      </c>
      <c r="V10" s="23">
        <v>2142.1946352029809</v>
      </c>
      <c r="W10" s="23">
        <v>2363.5928110557725</v>
      </c>
      <c r="X10" s="23">
        <v>2531.4177995838618</v>
      </c>
      <c r="Y10" s="23">
        <v>2779.0206078996948</v>
      </c>
      <c r="Z10" s="23">
        <v>3069.080410834034</v>
      </c>
      <c r="AA10" s="23">
        <v>3481.6</v>
      </c>
    </row>
    <row r="11" spans="1:27" ht="12.75" customHeight="1" x14ac:dyDescent="0.2">
      <c r="A11" s="152"/>
      <c r="B11" s="21" t="s">
        <v>42</v>
      </c>
      <c r="C11" s="22" t="s">
        <v>43</v>
      </c>
      <c r="D11" s="23">
        <v>570.56091043394963</v>
      </c>
      <c r="E11" s="23">
        <v>579.44662546704296</v>
      </c>
      <c r="F11" s="23">
        <v>685.05786396561928</v>
      </c>
      <c r="G11" s="23">
        <v>665.7016428257208</v>
      </c>
      <c r="H11" s="23">
        <v>707.67471173544027</v>
      </c>
      <c r="I11" s="23">
        <v>879.35873973727428</v>
      </c>
      <c r="J11" s="23">
        <v>1222.8557244057031</v>
      </c>
      <c r="K11" s="23">
        <v>1664.7818954536253</v>
      </c>
      <c r="L11" s="23">
        <v>1655.4920986903546</v>
      </c>
      <c r="M11" s="23">
        <v>1061.6969519893632</v>
      </c>
      <c r="N11" s="23">
        <v>1205.1841472552171</v>
      </c>
      <c r="O11" s="23">
        <v>1198.8682095487952</v>
      </c>
      <c r="P11" s="23">
        <v>971.56914051041338</v>
      </c>
      <c r="Q11" s="23">
        <v>1083.9530141702026</v>
      </c>
      <c r="R11" s="23">
        <v>1011.8561175884406</v>
      </c>
      <c r="S11" s="23">
        <v>1080.7191759999998</v>
      </c>
      <c r="T11" s="23">
        <v>1154.8513994633822</v>
      </c>
      <c r="U11" s="23">
        <v>1148.0080050680663</v>
      </c>
      <c r="V11" s="23">
        <v>1303.6692008334021</v>
      </c>
      <c r="W11" s="23">
        <v>1438.0804836900434</v>
      </c>
      <c r="X11" s="23">
        <v>1560.2185754337702</v>
      </c>
      <c r="Y11" s="23">
        <v>1936.8776564349669</v>
      </c>
      <c r="Z11" s="23">
        <v>2295.0111979479493</v>
      </c>
      <c r="AA11" s="23">
        <v>3218.3</v>
      </c>
    </row>
    <row r="12" spans="1:27" ht="12.75" customHeight="1" x14ac:dyDescent="0.2">
      <c r="A12" s="152"/>
      <c r="B12" s="21" t="s">
        <v>44</v>
      </c>
      <c r="C12" s="22" t="s">
        <v>45</v>
      </c>
      <c r="D12" s="23">
        <v>1873.7399532444763</v>
      </c>
      <c r="E12" s="23">
        <v>1943.3339266289354</v>
      </c>
      <c r="F12" s="23">
        <v>1982.0572869052862</v>
      </c>
      <c r="G12" s="23">
        <v>2090.3775905222756</v>
      </c>
      <c r="H12" s="23">
        <v>2252.4877714369327</v>
      </c>
      <c r="I12" s="23">
        <v>2506.9382539682538</v>
      </c>
      <c r="J12" s="23">
        <v>2772.5685810159293</v>
      </c>
      <c r="K12" s="23">
        <v>3153.7759657623124</v>
      </c>
      <c r="L12" s="23">
        <v>3382.4191310296892</v>
      </c>
      <c r="M12" s="23">
        <v>3058.3108423369563</v>
      </c>
      <c r="N12" s="23">
        <v>2775.65753134848</v>
      </c>
      <c r="O12" s="23">
        <v>2705.3554656755573</v>
      </c>
      <c r="P12" s="23">
        <v>2834.673948270804</v>
      </c>
      <c r="Q12" s="23">
        <v>2985.1673184692982</v>
      </c>
      <c r="R12" s="23">
        <v>3188.2177428998507</v>
      </c>
      <c r="S12" s="23">
        <v>3408.0681619999996</v>
      </c>
      <c r="T12" s="23">
        <v>3649.4640188905278</v>
      </c>
      <c r="U12" s="23">
        <v>3732.5232911947105</v>
      </c>
      <c r="V12" s="23">
        <v>3989.9624142963348</v>
      </c>
      <c r="W12" s="23">
        <v>3974.7768492843361</v>
      </c>
      <c r="X12" s="23">
        <v>4087.445509768655</v>
      </c>
      <c r="Y12" s="23">
        <v>4120.466893976024</v>
      </c>
      <c r="Z12" s="23">
        <v>4149.4617268596703</v>
      </c>
      <c r="AA12" s="23">
        <v>4362</v>
      </c>
    </row>
    <row r="13" spans="1:27" ht="12.75" customHeight="1" x14ac:dyDescent="0.2">
      <c r="A13" s="152"/>
      <c r="B13" s="21" t="s">
        <v>46</v>
      </c>
      <c r="C13" s="22" t="s">
        <v>47</v>
      </c>
      <c r="D13" s="23">
        <v>1071.6687257496305</v>
      </c>
      <c r="E13" s="23">
        <v>1138.5872365247276</v>
      </c>
      <c r="F13" s="23">
        <v>1271.6182852196625</v>
      </c>
      <c r="G13" s="23">
        <v>1634.0160869499261</v>
      </c>
      <c r="H13" s="23">
        <v>1794.09226221832</v>
      </c>
      <c r="I13" s="23">
        <v>2043.234408866995</v>
      </c>
      <c r="J13" s="23">
        <v>2259.0204330106326</v>
      </c>
      <c r="K13" s="23">
        <v>2794.7160986178733</v>
      </c>
      <c r="L13" s="23">
        <v>2783.298172360619</v>
      </c>
      <c r="M13" s="23">
        <v>2664.2648540239766</v>
      </c>
      <c r="N13" s="23">
        <v>2383.841740308967</v>
      </c>
      <c r="O13" s="23">
        <v>2458.2385564370043</v>
      </c>
      <c r="P13" s="23">
        <v>2610.3940987851624</v>
      </c>
      <c r="Q13" s="23">
        <v>2824.5078046193262</v>
      </c>
      <c r="R13" s="23">
        <v>3012.4952217239661</v>
      </c>
      <c r="S13" s="23">
        <v>3300.8855989999997</v>
      </c>
      <c r="T13" s="23">
        <v>3574.0123105254293</v>
      </c>
      <c r="U13" s="23">
        <v>3863.2609377828157</v>
      </c>
      <c r="V13" s="23">
        <v>4115.783451276262</v>
      </c>
      <c r="W13" s="23">
        <v>4410.0125750437473</v>
      </c>
      <c r="X13" s="23">
        <v>4254.2689845182676</v>
      </c>
      <c r="Y13" s="23">
        <v>5008.7564157927209</v>
      </c>
      <c r="Z13" s="23">
        <v>5084.8675939993063</v>
      </c>
      <c r="AA13" s="23">
        <v>5347.4</v>
      </c>
    </row>
    <row r="14" spans="1:27" ht="12.75" customHeight="1" x14ac:dyDescent="0.2">
      <c r="A14" s="152"/>
      <c r="B14" s="21" t="s">
        <v>48</v>
      </c>
      <c r="C14" s="22" t="s">
        <v>49</v>
      </c>
      <c r="D14" s="23">
        <v>4847.2783804406026</v>
      </c>
      <c r="E14" s="23">
        <v>4999.8725717708994</v>
      </c>
      <c r="F14" s="23">
        <v>5151.6723937373754</v>
      </c>
      <c r="G14" s="23">
        <v>5373.2961743245869</v>
      </c>
      <c r="H14" s="23">
        <v>5616.5229499560992</v>
      </c>
      <c r="I14" s="23">
        <v>5689.7091256157646</v>
      </c>
      <c r="J14" s="23">
        <v>6160.0149638086432</v>
      </c>
      <c r="K14" s="23">
        <v>6507.9829097272659</v>
      </c>
      <c r="L14" s="23">
        <v>7129.839135156265</v>
      </c>
      <c r="M14" s="23">
        <v>7297.560379213639</v>
      </c>
      <c r="N14" s="23">
        <v>6734.1966293496707</v>
      </c>
      <c r="O14" s="23">
        <v>6624.7445842963234</v>
      </c>
      <c r="P14" s="23">
        <v>6652.2396020675451</v>
      </c>
      <c r="Q14" s="23">
        <v>6854.0386868545311</v>
      </c>
      <c r="R14" s="23">
        <v>7107.1355695067277</v>
      </c>
      <c r="S14" s="23">
        <v>7438.3778700000048</v>
      </c>
      <c r="T14" s="23">
        <v>7730.3842856152723</v>
      </c>
      <c r="U14" s="23">
        <v>7843.2362662068499</v>
      </c>
      <c r="V14" s="23">
        <v>8278.1516489063906</v>
      </c>
      <c r="W14" s="23">
        <v>9044.0415147844105</v>
      </c>
      <c r="X14" s="23">
        <v>9783.3721399351034</v>
      </c>
      <c r="Y14" s="23">
        <v>10288.895570802142</v>
      </c>
      <c r="Z14" s="23">
        <v>9851.0709165683238</v>
      </c>
      <c r="AA14" s="23">
        <v>10309.700000000004</v>
      </c>
    </row>
    <row r="15" spans="1:27" ht="12.75" customHeight="1" x14ac:dyDescent="0.2">
      <c r="A15" s="152"/>
      <c r="B15" s="21" t="s">
        <v>50</v>
      </c>
      <c r="C15" s="22" t="s">
        <v>51</v>
      </c>
      <c r="D15" s="23">
        <v>656.19483416400158</v>
      </c>
      <c r="E15" s="23">
        <v>680.97669751383387</v>
      </c>
      <c r="F15" s="23">
        <v>821.97629496894501</v>
      </c>
      <c r="G15" s="23">
        <v>838.75615794184114</v>
      </c>
      <c r="H15" s="23">
        <v>858.67822505121444</v>
      </c>
      <c r="I15" s="23">
        <v>905.16669129720844</v>
      </c>
      <c r="J15" s="23">
        <v>853.21934148442415</v>
      </c>
      <c r="K15" s="23">
        <v>832.57348960131424</v>
      </c>
      <c r="L15" s="23">
        <v>817.92166453098184</v>
      </c>
      <c r="M15" s="23">
        <v>859.87687623601948</v>
      </c>
      <c r="N15" s="23">
        <v>784.47637679881871</v>
      </c>
      <c r="O15" s="23">
        <v>769.28707081433345</v>
      </c>
      <c r="P15" s="23">
        <v>808.40012138254713</v>
      </c>
      <c r="Q15" s="23">
        <v>913.62630894243853</v>
      </c>
      <c r="R15" s="23">
        <v>1033.8596332835077</v>
      </c>
      <c r="S15" s="23">
        <v>1123.1935249999999</v>
      </c>
      <c r="T15" s="23">
        <v>1232.7321366692076</v>
      </c>
      <c r="U15" s="23">
        <v>1276.2623667489115</v>
      </c>
      <c r="V15" s="23">
        <v>1316.476487595341</v>
      </c>
      <c r="W15" s="23">
        <v>1368.0409691748553</v>
      </c>
      <c r="X15" s="23">
        <v>1266.0468727958807</v>
      </c>
      <c r="Y15" s="23">
        <v>1303.3529953148707</v>
      </c>
      <c r="Z15" s="23">
        <v>1355.4879413780675</v>
      </c>
      <c r="AA15" s="23">
        <v>1432.1</v>
      </c>
    </row>
    <row r="16" spans="1:27" ht="12.75" customHeight="1" x14ac:dyDescent="0.2">
      <c r="A16" s="153"/>
      <c r="B16" s="28" t="s">
        <v>52</v>
      </c>
      <c r="C16" s="29" t="s">
        <v>53</v>
      </c>
      <c r="D16" s="30">
        <f>SUM(D6:D15)</f>
        <v>27666.727567901027</v>
      </c>
      <c r="E16" s="30">
        <f t="shared" ref="E16:S16" si="0">SUM(E6:E15)</f>
        <v>29460.642572243858</v>
      </c>
      <c r="F16" s="30">
        <f t="shared" si="0"/>
        <v>31440.476855324898</v>
      </c>
      <c r="G16" s="30">
        <f t="shared" si="0"/>
        <v>34757.673720856139</v>
      </c>
      <c r="H16" s="30">
        <f t="shared" si="0"/>
        <v>37017.849386889073</v>
      </c>
      <c r="I16" s="30">
        <f t="shared" si="0"/>
        <v>39879.789603174599</v>
      </c>
      <c r="J16" s="30">
        <f t="shared" si="0"/>
        <v>42829.324125429092</v>
      </c>
      <c r="K16" s="30">
        <f t="shared" si="0"/>
        <v>47573.880790704869</v>
      </c>
      <c r="L16" s="30">
        <f t="shared" si="0"/>
        <v>48810.541026866187</v>
      </c>
      <c r="M16" s="30">
        <f t="shared" si="0"/>
        <v>41567.739982793486</v>
      </c>
      <c r="N16" s="30">
        <f t="shared" si="0"/>
        <v>41745.531078519954</v>
      </c>
      <c r="O16" s="30">
        <f t="shared" si="0"/>
        <v>44384.942642680144</v>
      </c>
      <c r="P16" s="30">
        <f t="shared" si="0"/>
        <v>46330.540110862719</v>
      </c>
      <c r="Q16" s="30">
        <f t="shared" si="0"/>
        <v>48205.373081618767</v>
      </c>
      <c r="R16" s="30">
        <f t="shared" si="0"/>
        <v>50024.381723966115</v>
      </c>
      <c r="S16" s="30">
        <f t="shared" si="0"/>
        <v>51441.190086000002</v>
      </c>
      <c r="T16" s="30">
        <f t="shared" ref="T16:Y16" si="1">SUM(T6:T15)</f>
        <v>52815.740412660991</v>
      </c>
      <c r="U16" s="30">
        <f t="shared" si="1"/>
        <v>55251.336279543859</v>
      </c>
      <c r="V16" s="30">
        <f t="shared" si="1"/>
        <v>57969.298369909418</v>
      </c>
      <c r="W16" s="30">
        <f t="shared" si="1"/>
        <v>60680.363986180295</v>
      </c>
      <c r="X16" s="30">
        <f t="shared" si="1"/>
        <v>60706.710969459709</v>
      </c>
      <c r="Y16" s="30">
        <f t="shared" si="1"/>
        <v>64579.376866132021</v>
      </c>
      <c r="Z16" s="30">
        <f t="shared" ref="Z16:AA16" si="2">SUM(Z6:Z15)</f>
        <v>66218.023864270712</v>
      </c>
      <c r="AA16" s="30">
        <f t="shared" si="2"/>
        <v>66444.800000000003</v>
      </c>
    </row>
    <row r="17" spans="1:27" ht="12.75" customHeight="1" x14ac:dyDescent="0.2"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</row>
    <row r="18" spans="1:27" ht="12.75" customHeight="1" x14ac:dyDescent="0.2">
      <c r="A18" s="151" t="s">
        <v>54</v>
      </c>
      <c r="B18" s="17" t="s">
        <v>32</v>
      </c>
      <c r="C18" s="18" t="s">
        <v>33</v>
      </c>
      <c r="D18" s="19">
        <v>1734.8337630079386</v>
      </c>
      <c r="E18" s="19">
        <v>1610.2185950087498</v>
      </c>
      <c r="F18" s="19">
        <v>1684.9349774490895</v>
      </c>
      <c r="G18" s="19">
        <v>1712.8675394020293</v>
      </c>
      <c r="H18" s="19">
        <v>1705.9133904009361</v>
      </c>
      <c r="I18" s="19">
        <v>1905.3821798029558</v>
      </c>
      <c r="J18" s="19">
        <v>1832.4107622684201</v>
      </c>
      <c r="K18" s="19">
        <v>1840.5697205985641</v>
      </c>
      <c r="L18" s="19">
        <v>1785.8733412245074</v>
      </c>
      <c r="M18" s="19">
        <v>1168.7746662048467</v>
      </c>
      <c r="N18" s="19">
        <v>1434.292475262798</v>
      </c>
      <c r="O18" s="19">
        <v>1745.143444312574</v>
      </c>
      <c r="P18" s="19">
        <v>2062.2578691293834</v>
      </c>
      <c r="Q18" s="19">
        <v>1891.3936654391159</v>
      </c>
      <c r="R18" s="19">
        <v>1914.0002610861982</v>
      </c>
      <c r="S18" s="19">
        <v>1972.987179</v>
      </c>
      <c r="T18" s="19">
        <v>1839.0784610358107</v>
      </c>
      <c r="U18" s="19">
        <v>2191.8641196139884</v>
      </c>
      <c r="V18" s="19">
        <v>1866.7676001138127</v>
      </c>
      <c r="W18" s="19">
        <v>2116.7344828823975</v>
      </c>
      <c r="X18" s="19">
        <v>2400.4194632529266</v>
      </c>
      <c r="Y18" s="19">
        <v>2460.3408298180971</v>
      </c>
      <c r="Z18" s="19">
        <v>2870.9039564151299</v>
      </c>
      <c r="AA18" s="19">
        <v>2003.8</v>
      </c>
    </row>
    <row r="19" spans="1:27" ht="12.75" customHeight="1" x14ac:dyDescent="0.2">
      <c r="A19" s="152"/>
      <c r="B19" s="21" t="s">
        <v>55</v>
      </c>
      <c r="C19" s="22" t="s">
        <v>56</v>
      </c>
      <c r="D19" s="23">
        <v>193.42313586700655</v>
      </c>
      <c r="E19" s="23">
        <v>212.97141303148288</v>
      </c>
      <c r="F19" s="23">
        <v>187.21499749434332</v>
      </c>
      <c r="G19" s="23">
        <v>196.08193043399112</v>
      </c>
      <c r="H19" s="23">
        <v>198.34636815920391</v>
      </c>
      <c r="I19" s="23">
        <v>208.16515725755909</v>
      </c>
      <c r="J19" s="23">
        <v>215.10204892138356</v>
      </c>
      <c r="K19" s="23">
        <v>215.94703753526736</v>
      </c>
      <c r="L19" s="23">
        <v>212.953751749757</v>
      </c>
      <c r="M19" s="23">
        <v>131.58924903319851</v>
      </c>
      <c r="N19" s="23">
        <v>156.77974253063527</v>
      </c>
      <c r="O19" s="23">
        <v>191.41929881795824</v>
      </c>
      <c r="P19" s="23">
        <v>184.7284237464722</v>
      </c>
      <c r="Q19" s="23">
        <v>195.64553978864782</v>
      </c>
      <c r="R19" s="23">
        <v>196.65642152466373</v>
      </c>
      <c r="S19" s="23">
        <v>152.26364099999998</v>
      </c>
      <c r="T19" s="23">
        <v>147.70300779275854</v>
      </c>
      <c r="U19" s="23">
        <v>165.07833558413057</v>
      </c>
      <c r="V19" s="23">
        <v>176.90944461271587</v>
      </c>
      <c r="W19" s="23">
        <v>170.62671512540933</v>
      </c>
      <c r="X19" s="23">
        <v>181.55909772182252</v>
      </c>
      <c r="Y19" s="23">
        <v>177.18407936601909</v>
      </c>
      <c r="Z19" s="23">
        <v>161.87053987530888</v>
      </c>
      <c r="AA19" s="23">
        <v>163.30000000000001</v>
      </c>
    </row>
    <row r="20" spans="1:27" ht="12.75" customHeight="1" x14ac:dyDescent="0.2">
      <c r="A20" s="152"/>
      <c r="B20" s="21" t="s">
        <v>57</v>
      </c>
      <c r="C20" s="22" t="s">
        <v>58</v>
      </c>
      <c r="D20" s="23">
        <v>5281.671394710781</v>
      </c>
      <c r="E20" s="23">
        <v>5760.139420787943</v>
      </c>
      <c r="F20" s="23">
        <v>5809.9519931360192</v>
      </c>
      <c r="G20" s="23">
        <v>6520.014937123613</v>
      </c>
      <c r="H20" s="23">
        <v>7494.9797307579738</v>
      </c>
      <c r="I20" s="23">
        <v>8080.8263286808979</v>
      </c>
      <c r="J20" s="23">
        <v>8375.073309677171</v>
      </c>
      <c r="K20" s="23">
        <v>8451.6887894191732</v>
      </c>
      <c r="L20" s="23">
        <v>8547.3813033468705</v>
      </c>
      <c r="M20" s="23">
        <v>6964.8485056032887</v>
      </c>
      <c r="N20" s="23">
        <v>7902.7166857659158</v>
      </c>
      <c r="O20" s="23">
        <v>9073.564602202925</v>
      </c>
      <c r="P20" s="23">
        <v>9625.4210922406201</v>
      </c>
      <c r="Q20" s="23">
        <v>9452.5183502121527</v>
      </c>
      <c r="R20" s="23">
        <v>9681.8525102142503</v>
      </c>
      <c r="S20" s="23">
        <v>9897.5966759999992</v>
      </c>
      <c r="T20" s="23">
        <v>9905.4277981842115</v>
      </c>
      <c r="U20" s="23">
        <v>10320.093847824635</v>
      </c>
      <c r="V20" s="23">
        <v>10679.86976530734</v>
      </c>
      <c r="W20" s="23">
        <v>10842.502133082065</v>
      </c>
      <c r="X20" s="23">
        <v>10505.823233178162</v>
      </c>
      <c r="Y20" s="23">
        <v>11533.063352618505</v>
      </c>
      <c r="Z20" s="23">
        <v>11956.682200724999</v>
      </c>
      <c r="AA20" s="23">
        <v>10756.8</v>
      </c>
    </row>
    <row r="21" spans="1:27" ht="12.75" customHeight="1" x14ac:dyDescent="0.2">
      <c r="A21" s="152"/>
      <c r="B21" s="21" t="s">
        <v>59</v>
      </c>
      <c r="C21" s="22" t="s">
        <v>60</v>
      </c>
      <c r="D21" s="23">
        <v>877.00091075864111</v>
      </c>
      <c r="E21" s="23">
        <v>1018.9267944695806</v>
      </c>
      <c r="F21" s="23">
        <v>1083.9375787763286</v>
      </c>
      <c r="G21" s="23">
        <v>1423.7455470776511</v>
      </c>
      <c r="H21" s="23">
        <v>1447.2104916593496</v>
      </c>
      <c r="I21" s="23">
        <v>1394.202928245184</v>
      </c>
      <c r="J21" s="23">
        <v>1327.6784577787321</v>
      </c>
      <c r="K21" s="23">
        <v>1380.0165712312946</v>
      </c>
      <c r="L21" s="23">
        <v>1315.6845553765281</v>
      </c>
      <c r="M21" s="23">
        <v>1384.257217368764</v>
      </c>
      <c r="N21" s="23">
        <v>1337.6961221525542</v>
      </c>
      <c r="O21" s="23">
        <v>1219.2403545227248</v>
      </c>
      <c r="P21" s="23">
        <v>1264.2496909802646</v>
      </c>
      <c r="Q21" s="23">
        <v>1262.7193309182612</v>
      </c>
      <c r="R21" s="23">
        <v>1118.9704544095666</v>
      </c>
      <c r="S21" s="23">
        <v>962.9563599999999</v>
      </c>
      <c r="T21" s="23">
        <v>1044.3953685654458</v>
      </c>
      <c r="U21" s="23">
        <v>1025.9691600065032</v>
      </c>
      <c r="V21" s="23">
        <v>979.96854641077221</v>
      </c>
      <c r="W21" s="23">
        <v>1002.2943491721626</v>
      </c>
      <c r="X21" s="23">
        <v>1076.6468013824233</v>
      </c>
      <c r="Y21" s="23">
        <v>1041.7554565322437</v>
      </c>
      <c r="Z21" s="23">
        <v>1500.6070798346905</v>
      </c>
      <c r="AA21" s="23">
        <v>1477.2</v>
      </c>
    </row>
    <row r="22" spans="1:27" ht="12.75" customHeight="1" x14ac:dyDescent="0.2">
      <c r="A22" s="152"/>
      <c r="B22" s="21" t="s">
        <v>61</v>
      </c>
      <c r="C22" s="22" t="s">
        <v>62</v>
      </c>
      <c r="D22" s="23">
        <v>242.46349335194898</v>
      </c>
      <c r="E22" s="23">
        <v>263.97818732165649</v>
      </c>
      <c r="F22" s="23">
        <v>264.28982855233789</v>
      </c>
      <c r="G22" s="23">
        <v>292.14579433581599</v>
      </c>
      <c r="H22" s="23">
        <v>309.41135937957262</v>
      </c>
      <c r="I22" s="23">
        <v>298.39803792363813</v>
      </c>
      <c r="J22" s="23">
        <v>304.21857148093017</v>
      </c>
      <c r="K22" s="23">
        <v>341.53584719229525</v>
      </c>
      <c r="L22" s="23">
        <v>344.6554074448764</v>
      </c>
      <c r="M22" s="23">
        <v>339.08219249570294</v>
      </c>
      <c r="N22" s="23">
        <v>376.575480712054</v>
      </c>
      <c r="O22" s="23">
        <v>568.51052801563742</v>
      </c>
      <c r="P22" s="23">
        <v>577.60591942221879</v>
      </c>
      <c r="Q22" s="23">
        <v>620.08127551837322</v>
      </c>
      <c r="R22" s="23">
        <v>662.09189935226721</v>
      </c>
      <c r="S22" s="23">
        <v>610.89460799999995</v>
      </c>
      <c r="T22" s="23">
        <v>629.67325418742291</v>
      </c>
      <c r="U22" s="23">
        <v>674.33769651004127</v>
      </c>
      <c r="V22" s="23">
        <v>647.68278767519371</v>
      </c>
      <c r="W22" s="23">
        <v>642.46462332301303</v>
      </c>
      <c r="X22" s="23">
        <v>649.71930279305957</v>
      </c>
      <c r="Y22" s="23">
        <v>679.84482977524499</v>
      </c>
      <c r="Z22" s="23">
        <v>564.37994793205075</v>
      </c>
      <c r="AA22" s="23">
        <v>610.5</v>
      </c>
    </row>
    <row r="23" spans="1:27" ht="12.75" customHeight="1" x14ac:dyDescent="0.2">
      <c r="A23" s="152"/>
      <c r="B23" s="21" t="s">
        <v>36</v>
      </c>
      <c r="C23" s="22" t="s">
        <v>37</v>
      </c>
      <c r="D23" s="23">
        <v>1654.1785557738201</v>
      </c>
      <c r="E23" s="23">
        <v>1750.9102662735886</v>
      </c>
      <c r="F23" s="23">
        <v>1984.1529771757453</v>
      </c>
      <c r="G23" s="23">
        <v>2413.4592054366453</v>
      </c>
      <c r="H23" s="23">
        <v>2682.3878182616327</v>
      </c>
      <c r="I23" s="23">
        <v>3106.6059414340448</v>
      </c>
      <c r="J23" s="23">
        <v>4052.3975932425651</v>
      </c>
      <c r="K23" s="23">
        <v>5322.5559767145633</v>
      </c>
      <c r="L23" s="23">
        <v>5471.0167365288962</v>
      </c>
      <c r="M23" s="23">
        <v>2742.9027273438282</v>
      </c>
      <c r="N23" s="23">
        <v>2477.4449952619166</v>
      </c>
      <c r="O23" s="23">
        <v>3008.6643336040142</v>
      </c>
      <c r="P23" s="23">
        <v>2887.2540789593463</v>
      </c>
      <c r="Q23" s="23">
        <v>3251.7055950284202</v>
      </c>
      <c r="R23" s="23">
        <v>3766.11563428002</v>
      </c>
      <c r="S23" s="23">
        <v>3856.2722129999997</v>
      </c>
      <c r="T23" s="23">
        <v>3594.5072413690673</v>
      </c>
      <c r="U23" s="23">
        <v>3697.6112269102896</v>
      </c>
      <c r="V23" s="23">
        <v>4056.3914181604569</v>
      </c>
      <c r="W23" s="23">
        <v>4454.4580822901244</v>
      </c>
      <c r="X23" s="23">
        <v>4430.1501357737334</v>
      </c>
      <c r="Y23" s="23">
        <v>4579.2481709655367</v>
      </c>
      <c r="Z23" s="23">
        <v>4556.5415186868004</v>
      </c>
      <c r="AA23" s="23">
        <v>4877.5</v>
      </c>
    </row>
    <row r="24" spans="1:27" ht="12.75" customHeight="1" x14ac:dyDescent="0.2">
      <c r="A24" s="152"/>
      <c r="B24" s="21" t="s">
        <v>63</v>
      </c>
      <c r="C24" s="22" t="s">
        <v>64</v>
      </c>
      <c r="D24" s="23">
        <v>4597.0978765199598</v>
      </c>
      <c r="E24" s="23">
        <v>5120.2582286263814</v>
      </c>
      <c r="F24" s="23">
        <v>5572.6732836251531</v>
      </c>
      <c r="G24" s="23">
        <v>6096.6826555223515</v>
      </c>
      <c r="H24" s="23">
        <v>6349.5518920105342</v>
      </c>
      <c r="I24" s="23">
        <v>6890.5132457580721</v>
      </c>
      <c r="J24" s="23">
        <v>6993.1260860621487</v>
      </c>
      <c r="K24" s="23">
        <v>7985.8419256913585</v>
      </c>
      <c r="L24" s="23">
        <v>8501.2566492192072</v>
      </c>
      <c r="M24" s="23">
        <v>7268.6065652897723</v>
      </c>
      <c r="N24" s="23">
        <v>7312.2051766313325</v>
      </c>
      <c r="O24" s="23">
        <v>7847.7178670331259</v>
      </c>
      <c r="P24" s="23">
        <v>8443.0661180849875</v>
      </c>
      <c r="Q24" s="23">
        <v>8923.5848791129611</v>
      </c>
      <c r="R24" s="23">
        <v>9193.038296960638</v>
      </c>
      <c r="S24" s="23">
        <v>9311.8493359999975</v>
      </c>
      <c r="T24" s="23">
        <v>9492.189266655445</v>
      </c>
      <c r="U24" s="23">
        <v>9803.278435948976</v>
      </c>
      <c r="V24" s="23">
        <v>10305.502921496818</v>
      </c>
      <c r="W24" s="23">
        <v>10231.273206802171</v>
      </c>
      <c r="X24" s="23">
        <v>10224.629693891944</v>
      </c>
      <c r="Y24" s="23">
        <v>10613.072031778849</v>
      </c>
      <c r="Z24" s="23">
        <v>10225.536650013779</v>
      </c>
      <c r="AA24" s="23">
        <v>9952.4999999999982</v>
      </c>
    </row>
    <row r="25" spans="1:27" ht="12.75" customHeight="1" x14ac:dyDescent="0.2">
      <c r="A25" s="152"/>
      <c r="B25" s="21" t="s">
        <v>65</v>
      </c>
      <c r="C25" s="22" t="s">
        <v>66</v>
      </c>
      <c r="D25" s="23">
        <v>2330.0393200967578</v>
      </c>
      <c r="E25" s="23">
        <v>2478.3007110088129</v>
      </c>
      <c r="F25" s="23">
        <v>2835.0032269821263</v>
      </c>
      <c r="G25" s="23">
        <v>3230.5835489889714</v>
      </c>
      <c r="H25" s="23">
        <v>3419.9042347088084</v>
      </c>
      <c r="I25" s="23">
        <v>3791.2510303776685</v>
      </c>
      <c r="J25" s="23">
        <v>4197.0979159434819</v>
      </c>
      <c r="K25" s="23">
        <v>4679.6434947203006</v>
      </c>
      <c r="L25" s="23">
        <v>4573.8339334969487</v>
      </c>
      <c r="M25" s="23">
        <v>4411.6018256779244</v>
      </c>
      <c r="N25" s="23">
        <v>4755.5184366529293</v>
      </c>
      <c r="O25" s="23">
        <v>4981.1297926166526</v>
      </c>
      <c r="P25" s="23">
        <v>5367.9815427721742</v>
      </c>
      <c r="Q25" s="23">
        <v>5705.9446251300933</v>
      </c>
      <c r="R25" s="23">
        <v>5854.0047902341803</v>
      </c>
      <c r="S25" s="23">
        <v>5721.4634809999998</v>
      </c>
      <c r="T25" s="23">
        <v>6009.4173519598426</v>
      </c>
      <c r="U25" s="23">
        <v>6504.4535500281027</v>
      </c>
      <c r="V25" s="23">
        <v>7069.2000743453473</v>
      </c>
      <c r="W25" s="23">
        <v>7501.7961735540903</v>
      </c>
      <c r="X25" s="23">
        <v>6975.0868555155866</v>
      </c>
      <c r="Y25" s="23">
        <v>7149.3948288510592</v>
      </c>
      <c r="Z25" s="23">
        <v>7442.7231569352089</v>
      </c>
      <c r="AA25" s="23">
        <v>7221.6</v>
      </c>
    </row>
    <row r="26" spans="1:27" ht="12.75" customHeight="1" x14ac:dyDescent="0.2">
      <c r="A26" s="152"/>
      <c r="B26" s="21" t="s">
        <v>67</v>
      </c>
      <c r="C26" s="22" t="s">
        <v>68</v>
      </c>
      <c r="D26" s="23">
        <v>418.21218565839246</v>
      </c>
      <c r="E26" s="23">
        <v>458.81923034478416</v>
      </c>
      <c r="F26" s="23">
        <v>493.41863145586245</v>
      </c>
      <c r="G26" s="23">
        <v>536.37595679808248</v>
      </c>
      <c r="H26" s="23">
        <v>551.06185542873857</v>
      </c>
      <c r="I26" s="23">
        <v>564.41780240831963</v>
      </c>
      <c r="J26" s="23">
        <v>585.89830935575515</v>
      </c>
      <c r="K26" s="23">
        <v>620.27728955607665</v>
      </c>
      <c r="L26" s="23">
        <v>648.90894272745038</v>
      </c>
      <c r="M26" s="23">
        <v>584.21600875967852</v>
      </c>
      <c r="N26" s="23">
        <v>561.95744760561513</v>
      </c>
      <c r="O26" s="23">
        <v>593.68719990838474</v>
      </c>
      <c r="P26" s="23">
        <v>640.57799334419019</v>
      </c>
      <c r="Q26" s="23">
        <v>685.91024537667124</v>
      </c>
      <c r="R26" s="23">
        <v>715.72546885899351</v>
      </c>
      <c r="S26" s="23">
        <v>825.25973399999998</v>
      </c>
      <c r="T26" s="23">
        <v>894.33805629535743</v>
      </c>
      <c r="U26" s="23">
        <v>964.39099751359902</v>
      </c>
      <c r="V26" s="23">
        <v>1040.7679736762398</v>
      </c>
      <c r="W26" s="23">
        <v>1119.6690169156909</v>
      </c>
      <c r="X26" s="23">
        <v>779.90650391451527</v>
      </c>
      <c r="Y26" s="23">
        <v>908.10314620604561</v>
      </c>
      <c r="Z26" s="23">
        <v>1133.7990262653957</v>
      </c>
      <c r="AA26" s="23">
        <v>1230.5</v>
      </c>
    </row>
    <row r="27" spans="1:27" ht="12.75" customHeight="1" x14ac:dyDescent="0.2">
      <c r="A27" s="152"/>
      <c r="B27" s="21" t="s">
        <v>40</v>
      </c>
      <c r="C27" s="22" t="s">
        <v>41</v>
      </c>
      <c r="D27" s="23">
        <v>1318.3641281231228</v>
      </c>
      <c r="E27" s="23">
        <v>1443.9026674654349</v>
      </c>
      <c r="F27" s="23">
        <v>1612.5172358810041</v>
      </c>
      <c r="G27" s="23">
        <v>1733.5689531726405</v>
      </c>
      <c r="H27" s="23">
        <v>1629.6263257243193</v>
      </c>
      <c r="I27" s="23">
        <v>1615.6197318007662</v>
      </c>
      <c r="J27" s="23">
        <v>1678.6420269731682</v>
      </c>
      <c r="K27" s="23">
        <v>1781.9737788835846</v>
      </c>
      <c r="L27" s="23">
        <v>1640.0062039832328</v>
      </c>
      <c r="M27" s="23">
        <v>1630.1511212165224</v>
      </c>
      <c r="N27" s="23">
        <v>1546.9880908830462</v>
      </c>
      <c r="O27" s="23">
        <v>1399.3713348741333</v>
      </c>
      <c r="P27" s="23">
        <v>1400.1204711665873</v>
      </c>
      <c r="Q27" s="23">
        <v>1554.5764420382675</v>
      </c>
      <c r="R27" s="23">
        <v>1568.3617020428503</v>
      </c>
      <c r="S27" s="23">
        <v>1778.4025259999999</v>
      </c>
      <c r="T27" s="23">
        <v>1917.5664554518178</v>
      </c>
      <c r="U27" s="23">
        <v>2040.9680426022423</v>
      </c>
      <c r="V27" s="23">
        <v>2142.1946352029809</v>
      </c>
      <c r="W27" s="23">
        <v>2363.5928110557725</v>
      </c>
      <c r="X27" s="23">
        <v>2531.4177995838618</v>
      </c>
      <c r="Y27" s="23">
        <v>2779.0206078996948</v>
      </c>
      <c r="Z27" s="23">
        <v>3069.080410834034</v>
      </c>
      <c r="AA27" s="23">
        <v>3481.6</v>
      </c>
    </row>
    <row r="28" spans="1:27" ht="12.75" customHeight="1" x14ac:dyDescent="0.2">
      <c r="A28" s="152"/>
      <c r="B28" s="21" t="s">
        <v>42</v>
      </c>
      <c r="C28" s="22" t="s">
        <v>43</v>
      </c>
      <c r="D28" s="23">
        <v>570.56091043394963</v>
      </c>
      <c r="E28" s="23">
        <v>579.44662546704296</v>
      </c>
      <c r="F28" s="23">
        <v>685.05786396561928</v>
      </c>
      <c r="G28" s="23">
        <v>665.7016428257208</v>
      </c>
      <c r="H28" s="23">
        <v>707.67471173544027</v>
      </c>
      <c r="I28" s="23">
        <v>879.35873973727428</v>
      </c>
      <c r="J28" s="23">
        <v>1222.8557244057031</v>
      </c>
      <c r="K28" s="23">
        <v>1664.7818954536253</v>
      </c>
      <c r="L28" s="23">
        <v>1655.4920986903546</v>
      </c>
      <c r="M28" s="23">
        <v>1061.6969519893632</v>
      </c>
      <c r="N28" s="23">
        <v>1205.1841472552171</v>
      </c>
      <c r="O28" s="23">
        <v>1198.8682095487952</v>
      </c>
      <c r="P28" s="23">
        <v>971.56914051041338</v>
      </c>
      <c r="Q28" s="23">
        <v>1083.9530141702026</v>
      </c>
      <c r="R28" s="23">
        <v>1011.8561175884406</v>
      </c>
      <c r="S28" s="23">
        <v>1080.7191759999998</v>
      </c>
      <c r="T28" s="23">
        <v>1154.8513994633822</v>
      </c>
      <c r="U28" s="23">
        <v>1148.0080050680663</v>
      </c>
      <c r="V28" s="23">
        <v>1303.6692008334021</v>
      </c>
      <c r="W28" s="23">
        <v>1438.0804836900434</v>
      </c>
      <c r="X28" s="23">
        <v>1560.2185754337702</v>
      </c>
      <c r="Y28" s="23">
        <v>1936.8776564349669</v>
      </c>
      <c r="Z28" s="23">
        <v>2295.0111979479493</v>
      </c>
      <c r="AA28" s="23">
        <v>3218.3</v>
      </c>
    </row>
    <row r="29" spans="1:27" ht="12.75" customHeight="1" x14ac:dyDescent="0.2">
      <c r="A29" s="152"/>
      <c r="B29" s="21" t="s">
        <v>44</v>
      </c>
      <c r="C29" s="22" t="s">
        <v>45</v>
      </c>
      <c r="D29" s="23">
        <v>1873.7399532444763</v>
      </c>
      <c r="E29" s="23">
        <v>1943.3339266289354</v>
      </c>
      <c r="F29" s="23">
        <v>1982.0572869052862</v>
      </c>
      <c r="G29" s="23">
        <v>2090.3775905222756</v>
      </c>
      <c r="H29" s="23">
        <v>2252.4877714369327</v>
      </c>
      <c r="I29" s="23">
        <v>2506.9382539682538</v>
      </c>
      <c r="J29" s="23">
        <v>2772.5685810159293</v>
      </c>
      <c r="K29" s="23">
        <v>3153.7759657623124</v>
      </c>
      <c r="L29" s="23">
        <v>3382.4191310296892</v>
      </c>
      <c r="M29" s="23">
        <v>3058.3108423369563</v>
      </c>
      <c r="N29" s="23">
        <v>2775.65753134848</v>
      </c>
      <c r="O29" s="23">
        <v>2705.3554656755573</v>
      </c>
      <c r="P29" s="23">
        <v>2834.673948270804</v>
      </c>
      <c r="Q29" s="23">
        <v>2985.1673184692982</v>
      </c>
      <c r="R29" s="23">
        <v>3188.2177428998507</v>
      </c>
      <c r="S29" s="23">
        <v>3408.0681619999996</v>
      </c>
      <c r="T29" s="23">
        <v>3649.4640188905278</v>
      </c>
      <c r="U29" s="23">
        <v>3732.5232911947105</v>
      </c>
      <c r="V29" s="23">
        <v>3989.9624142963348</v>
      </c>
      <c r="W29" s="23">
        <v>3974.7768492843361</v>
      </c>
      <c r="X29" s="23">
        <v>4087.445509768655</v>
      </c>
      <c r="Y29" s="23">
        <v>4120.466893976024</v>
      </c>
      <c r="Z29" s="23">
        <v>4149.4617268596703</v>
      </c>
      <c r="AA29" s="23">
        <v>4362</v>
      </c>
    </row>
    <row r="30" spans="1:27" ht="12.75" customHeight="1" x14ac:dyDescent="0.2">
      <c r="A30" s="152"/>
      <c r="B30" s="21" t="s">
        <v>69</v>
      </c>
      <c r="C30" s="22" t="s">
        <v>70</v>
      </c>
      <c r="D30" s="23">
        <v>721.66495608552361</v>
      </c>
      <c r="E30" s="23">
        <v>762.92596995160102</v>
      </c>
      <c r="F30" s="23">
        <v>820.81202259646773</v>
      </c>
      <c r="G30" s="23">
        <v>1136.0191556816283</v>
      </c>
      <c r="H30" s="23">
        <v>1245.0497702663156</v>
      </c>
      <c r="I30" s="23">
        <v>1365.3035837438422</v>
      </c>
      <c r="J30" s="23">
        <v>1502.7936784047517</v>
      </c>
      <c r="K30" s="23">
        <v>1855.7206961821882</v>
      </c>
      <c r="L30" s="23">
        <v>1754.7350368134132</v>
      </c>
      <c r="M30" s="23">
        <v>1696.6249662014945</v>
      </c>
      <c r="N30" s="23">
        <v>1500.1864634065716</v>
      </c>
      <c r="O30" s="23">
        <v>1563.7966685406127</v>
      </c>
      <c r="P30" s="23">
        <v>1614.938999200898</v>
      </c>
      <c r="Q30" s="23">
        <v>1733.4962062685133</v>
      </c>
      <c r="R30" s="23">
        <v>1841.5720219232687</v>
      </c>
      <c r="S30" s="23">
        <v>1964.8603179999996</v>
      </c>
      <c r="T30" s="23">
        <v>2105.8161906081991</v>
      </c>
      <c r="U30" s="23">
        <v>2178.863392746568</v>
      </c>
      <c r="V30" s="23">
        <v>2277.7266918155869</v>
      </c>
      <c r="W30" s="23">
        <v>2431.2930883474673</v>
      </c>
      <c r="X30" s="23">
        <v>2440.9762237269006</v>
      </c>
      <c r="Y30" s="23">
        <v>2734.7914850692769</v>
      </c>
      <c r="Z30" s="23">
        <v>2828.7548909318311</v>
      </c>
      <c r="AA30" s="23">
        <v>2800.2</v>
      </c>
    </row>
    <row r="31" spans="1:27" ht="12.75" customHeight="1" x14ac:dyDescent="0.2">
      <c r="A31" s="152"/>
      <c r="B31" s="21" t="s">
        <v>71</v>
      </c>
      <c r="C31" s="22" t="s">
        <v>72</v>
      </c>
      <c r="D31" s="23">
        <v>350.00376966410698</v>
      </c>
      <c r="E31" s="23">
        <v>375.66126657312674</v>
      </c>
      <c r="F31" s="23">
        <v>450.80626262319475</v>
      </c>
      <c r="G31" s="23">
        <v>497.99693126829777</v>
      </c>
      <c r="H31" s="23">
        <v>549.04249195200464</v>
      </c>
      <c r="I31" s="23">
        <v>677.93082512315277</v>
      </c>
      <c r="J31" s="23">
        <v>756.22675460588061</v>
      </c>
      <c r="K31" s="23">
        <v>938.99540243568515</v>
      </c>
      <c r="L31" s="23">
        <v>1028.5631355472058</v>
      </c>
      <c r="M31" s="23">
        <v>967.63988782248214</v>
      </c>
      <c r="N31" s="23">
        <v>883.65527690239537</v>
      </c>
      <c r="O31" s="23">
        <v>894.44188789639145</v>
      </c>
      <c r="P31" s="23">
        <v>995.45509958426453</v>
      </c>
      <c r="Q31" s="23">
        <v>1091.0115983508126</v>
      </c>
      <c r="R31" s="23">
        <v>1170.9231998006976</v>
      </c>
      <c r="S31" s="23">
        <v>1336.0252809999999</v>
      </c>
      <c r="T31" s="23">
        <v>1468.1961199172301</v>
      </c>
      <c r="U31" s="23">
        <v>1684.3975450362479</v>
      </c>
      <c r="V31" s="23">
        <v>1838.056759460675</v>
      </c>
      <c r="W31" s="23">
        <v>1978.7194866962802</v>
      </c>
      <c r="X31" s="23">
        <v>1813.2927607913666</v>
      </c>
      <c r="Y31" s="23">
        <v>2273.964930723444</v>
      </c>
      <c r="Z31" s="23">
        <v>2256.1127030674756</v>
      </c>
      <c r="AA31" s="23">
        <v>2547.1999999999998</v>
      </c>
    </row>
    <row r="32" spans="1:27" ht="12.75" customHeight="1" x14ac:dyDescent="0.2">
      <c r="A32" s="152"/>
      <c r="B32" s="21" t="s">
        <v>73</v>
      </c>
      <c r="C32" s="22" t="s">
        <v>74</v>
      </c>
      <c r="D32" s="23">
        <v>2268.8011071967762</v>
      </c>
      <c r="E32" s="23">
        <v>2343.8942346802019</v>
      </c>
      <c r="F32" s="23">
        <v>2446.3691090492161</v>
      </c>
      <c r="G32" s="23">
        <v>2653.269964959115</v>
      </c>
      <c r="H32" s="23">
        <v>2748.3536918349396</v>
      </c>
      <c r="I32" s="23">
        <v>2792.2944663382609</v>
      </c>
      <c r="J32" s="23">
        <v>2989.0276468546313</v>
      </c>
      <c r="K32" s="23">
        <v>3050.4572647944678</v>
      </c>
      <c r="L32" s="23">
        <v>3229.2253339269796</v>
      </c>
      <c r="M32" s="23">
        <v>3085.5514128333757</v>
      </c>
      <c r="N32" s="23">
        <v>2902.3767393172766</v>
      </c>
      <c r="O32" s="23">
        <v>2861.0008057967298</v>
      </c>
      <c r="P32" s="23">
        <v>2867.8661251656326</v>
      </c>
      <c r="Q32" s="23">
        <v>2956.6260867824794</v>
      </c>
      <c r="R32" s="23">
        <v>3092.5635705032396</v>
      </c>
      <c r="S32" s="23">
        <v>3189.4096000000054</v>
      </c>
      <c r="T32" s="23">
        <v>3226.8130006039364</v>
      </c>
      <c r="U32" s="23">
        <v>3189.1221232530825</v>
      </c>
      <c r="V32" s="23">
        <v>3272.3321373828617</v>
      </c>
      <c r="W32" s="23">
        <v>3524.6800870462675</v>
      </c>
      <c r="X32" s="23">
        <v>3750.1484518267671</v>
      </c>
      <c r="Y32" s="23">
        <v>3733.6538139620202</v>
      </c>
      <c r="Z32" s="23">
        <v>3667.8355158744139</v>
      </c>
      <c r="AA32" s="23">
        <v>3862.5000000000036</v>
      </c>
    </row>
    <row r="33" spans="1:27" ht="12.75" customHeight="1" x14ac:dyDescent="0.2">
      <c r="A33" s="152"/>
      <c r="B33" s="21" t="s">
        <v>75</v>
      </c>
      <c r="C33" s="22" t="s">
        <v>76</v>
      </c>
      <c r="D33" s="23">
        <v>1661.3976946929233</v>
      </c>
      <c r="E33" s="23">
        <v>1743.1746417366903</v>
      </c>
      <c r="F33" s="23">
        <v>1784.5966925331429</v>
      </c>
      <c r="G33" s="23">
        <v>1787.9973893785173</v>
      </c>
      <c r="H33" s="23">
        <v>1866.116226221832</v>
      </c>
      <c r="I33" s="23">
        <v>1815.3690804597702</v>
      </c>
      <c r="J33" s="23">
        <v>1897.0724868541158</v>
      </c>
      <c r="K33" s="23">
        <v>2027.127516339091</v>
      </c>
      <c r="L33" s="23">
        <v>2301.9033164650436</v>
      </c>
      <c r="M33" s="23">
        <v>2568.6658707723932</v>
      </c>
      <c r="N33" s="23">
        <v>2305.6137492562307</v>
      </c>
      <c r="O33" s="23">
        <v>2209.0463759968347</v>
      </c>
      <c r="P33" s="23">
        <v>2176.4141410667498</v>
      </c>
      <c r="Q33" s="23">
        <v>2213.1730355856216</v>
      </c>
      <c r="R33" s="23">
        <v>2229.536788241156</v>
      </c>
      <c r="S33" s="23">
        <v>2328.8823559999996</v>
      </c>
      <c r="T33" s="23">
        <v>2417.1873251289562</v>
      </c>
      <c r="U33" s="23">
        <v>2434.3495870287984</v>
      </c>
      <c r="V33" s="23">
        <v>2578.064603353801</v>
      </c>
      <c r="W33" s="23">
        <v>2788.095566025037</v>
      </c>
      <c r="X33" s="23">
        <v>3023.3713041331639</v>
      </c>
      <c r="Y33" s="23">
        <v>3143.2078071594115</v>
      </c>
      <c r="Z33" s="23">
        <v>3085.5499685550139</v>
      </c>
      <c r="AA33" s="23">
        <v>3272.3</v>
      </c>
    </row>
    <row r="34" spans="1:27" ht="12.75" customHeight="1" x14ac:dyDescent="0.2">
      <c r="A34" s="152"/>
      <c r="B34" s="21" t="s">
        <v>77</v>
      </c>
      <c r="C34" s="22" t="s">
        <v>78</v>
      </c>
      <c r="D34" s="23">
        <v>917.07957855090331</v>
      </c>
      <c r="E34" s="23">
        <v>912.80369535400678</v>
      </c>
      <c r="F34" s="23">
        <v>920.70659215501655</v>
      </c>
      <c r="G34" s="23">
        <v>932.02881998695432</v>
      </c>
      <c r="H34" s="23">
        <v>1002.0530318993268</v>
      </c>
      <c r="I34" s="23">
        <v>1082.0455788177342</v>
      </c>
      <c r="J34" s="23">
        <v>1273.9148300998959</v>
      </c>
      <c r="K34" s="23">
        <v>1430.3981285937073</v>
      </c>
      <c r="L34" s="23">
        <v>1598.710484764242</v>
      </c>
      <c r="M34" s="23">
        <v>1643.3430956078701</v>
      </c>
      <c r="N34" s="23">
        <v>1526.2061407761639</v>
      </c>
      <c r="O34" s="23">
        <v>1554.6974025027587</v>
      </c>
      <c r="P34" s="23">
        <v>1607.9593358351624</v>
      </c>
      <c r="Q34" s="23">
        <v>1684.23956448643</v>
      </c>
      <c r="R34" s="23">
        <v>1785.0352107623321</v>
      </c>
      <c r="S34" s="23">
        <v>1920.085914</v>
      </c>
      <c r="T34" s="23">
        <v>2086.3839598823793</v>
      </c>
      <c r="U34" s="23">
        <v>2219.7645559249695</v>
      </c>
      <c r="V34" s="23">
        <v>2427.7549081697275</v>
      </c>
      <c r="W34" s="23">
        <v>2731.2658617131065</v>
      </c>
      <c r="X34" s="23">
        <v>3009.8523839751724</v>
      </c>
      <c r="Y34" s="23">
        <v>3412.0339496807105</v>
      </c>
      <c r="Z34" s="23">
        <v>3097.6854321388946</v>
      </c>
      <c r="AA34" s="23">
        <v>3174.9</v>
      </c>
    </row>
    <row r="35" spans="1:27" ht="12.75" customHeight="1" x14ac:dyDescent="0.2">
      <c r="A35" s="152"/>
      <c r="B35" s="21" t="s">
        <v>79</v>
      </c>
      <c r="C35" s="22" t="s">
        <v>80</v>
      </c>
      <c r="D35" s="23">
        <v>180.22953715278348</v>
      </c>
      <c r="E35" s="23">
        <v>182.27065315066767</v>
      </c>
      <c r="F35" s="23">
        <v>260.3313024859151</v>
      </c>
      <c r="G35" s="23">
        <v>254.46456927020921</v>
      </c>
      <c r="H35" s="23">
        <v>310.30885425812107</v>
      </c>
      <c r="I35" s="23">
        <v>400.96744252873555</v>
      </c>
      <c r="J35" s="23">
        <v>406.10717270284511</v>
      </c>
      <c r="K35" s="23">
        <v>408.16363138534064</v>
      </c>
      <c r="L35" s="23">
        <v>389.14554764024928</v>
      </c>
      <c r="M35" s="23">
        <v>418.03139629724802</v>
      </c>
      <c r="N35" s="23">
        <v>362.75485267866981</v>
      </c>
      <c r="O35" s="23">
        <v>352.79610427467878</v>
      </c>
      <c r="P35" s="23">
        <v>367.44050029839877</v>
      </c>
      <c r="Q35" s="23">
        <v>410.77890981506681</v>
      </c>
      <c r="R35" s="23">
        <v>497.52393821624321</v>
      </c>
      <c r="S35" s="23">
        <v>556.61330999999996</v>
      </c>
      <c r="T35" s="23">
        <v>639.44184232151508</v>
      </c>
      <c r="U35" s="23">
        <v>659.67733183450662</v>
      </c>
      <c r="V35" s="23">
        <v>682.58616258685095</v>
      </c>
      <c r="W35" s="23">
        <v>713.19214878628793</v>
      </c>
      <c r="X35" s="23">
        <v>635.79481503032855</v>
      </c>
      <c r="Y35" s="23">
        <v>661.51939493472503</v>
      </c>
      <c r="Z35" s="23">
        <v>748.28135277033846</v>
      </c>
      <c r="AA35" s="23">
        <v>822.99999999999989</v>
      </c>
    </row>
    <row r="36" spans="1:27" ht="12.75" customHeight="1" x14ac:dyDescent="0.2">
      <c r="A36" s="152"/>
      <c r="B36" s="21" t="s">
        <v>81</v>
      </c>
      <c r="C36" s="22" t="s">
        <v>82</v>
      </c>
      <c r="D36" s="23">
        <v>450.57384288195851</v>
      </c>
      <c r="E36" s="23">
        <v>469.21397581624126</v>
      </c>
      <c r="F36" s="23">
        <v>523.45685866577583</v>
      </c>
      <c r="G36" s="23">
        <v>535.21295602445264</v>
      </c>
      <c r="H36" s="23">
        <v>500.12902107111495</v>
      </c>
      <c r="I36" s="23">
        <v>439.36463875205254</v>
      </c>
      <c r="J36" s="23">
        <v>398.22159653385785</v>
      </c>
      <c r="K36" s="23">
        <v>377.67913834359115</v>
      </c>
      <c r="L36" s="23">
        <v>382.48494776621845</v>
      </c>
      <c r="M36" s="23">
        <v>402.78352979296312</v>
      </c>
      <c r="N36" s="23">
        <v>381.34033651409294</v>
      </c>
      <c r="O36" s="23">
        <v>376.9011774626772</v>
      </c>
      <c r="P36" s="23">
        <v>401.0979880842799</v>
      </c>
      <c r="Q36" s="23">
        <v>461.5700264190217</v>
      </c>
      <c r="R36" s="23">
        <v>494.16228998505233</v>
      </c>
      <c r="S36" s="23">
        <v>521.95914799999991</v>
      </c>
      <c r="T36" s="23">
        <v>544.40608892805164</v>
      </c>
      <c r="U36" s="23">
        <v>565.31250535862284</v>
      </c>
      <c r="V36" s="23">
        <v>579.14269258657555</v>
      </c>
      <c r="W36" s="23">
        <v>592.79023287118048</v>
      </c>
      <c r="X36" s="23">
        <v>567.11870062773301</v>
      </c>
      <c r="Y36" s="23">
        <v>580.986599029628</v>
      </c>
      <c r="Z36" s="23">
        <v>549.99654599800726</v>
      </c>
      <c r="AA36" s="23">
        <v>550.4</v>
      </c>
    </row>
    <row r="37" spans="1:27" ht="12.75" customHeight="1" x14ac:dyDescent="0.2">
      <c r="A37" s="152"/>
      <c r="B37" s="21" t="s">
        <v>83</v>
      </c>
      <c r="C37" s="22" t="s">
        <v>84</v>
      </c>
      <c r="D37" s="23">
        <v>25.391454129259539</v>
      </c>
      <c r="E37" s="23">
        <v>29.492068546925005</v>
      </c>
      <c r="F37" s="23">
        <v>38.188133817254098</v>
      </c>
      <c r="G37" s="23">
        <v>49.078632647179276</v>
      </c>
      <c r="H37" s="23">
        <v>48.24034972197834</v>
      </c>
      <c r="I37" s="23">
        <v>64.834610016420356</v>
      </c>
      <c r="J37" s="23">
        <v>48.89057224772116</v>
      </c>
      <c r="K37" s="23">
        <v>46.730719872382473</v>
      </c>
      <c r="L37" s="23">
        <v>46.291169124514035</v>
      </c>
      <c r="M37" s="23">
        <v>39.061950145808424</v>
      </c>
      <c r="N37" s="23">
        <v>40.381187606055924</v>
      </c>
      <c r="O37" s="23">
        <v>39.589789076977532</v>
      </c>
      <c r="P37" s="23">
        <v>39.861632999868498</v>
      </c>
      <c r="Q37" s="23">
        <v>41.277372708350008</v>
      </c>
      <c r="R37" s="23">
        <v>42.173405082212263</v>
      </c>
      <c r="S37" s="23">
        <v>44.621066999999996</v>
      </c>
      <c r="T37" s="23">
        <v>48.884205419640999</v>
      </c>
      <c r="U37" s="23">
        <v>51.272529555782071</v>
      </c>
      <c r="V37" s="23">
        <v>54.747632421914432</v>
      </c>
      <c r="W37" s="23">
        <v>62.058587517386819</v>
      </c>
      <c r="X37" s="23">
        <v>63.133357137819154</v>
      </c>
      <c r="Y37" s="23">
        <v>60.847001350517701</v>
      </c>
      <c r="Z37" s="23">
        <v>57.210042609721789</v>
      </c>
      <c r="AA37" s="23">
        <v>58.7</v>
      </c>
    </row>
    <row r="38" spans="1:27" ht="12.75" customHeight="1" x14ac:dyDescent="0.2">
      <c r="A38" s="152"/>
      <c r="B38" s="21" t="s">
        <v>85</v>
      </c>
      <c r="C38" s="22" t="s">
        <v>86</v>
      </c>
      <c r="D38" s="23">
        <v>0</v>
      </c>
      <c r="E38" s="23">
        <v>0</v>
      </c>
      <c r="F38" s="23">
        <v>0</v>
      </c>
      <c r="G38" s="23">
        <v>0</v>
      </c>
      <c r="H38" s="23">
        <v>0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3">
        <v>0</v>
      </c>
      <c r="R38" s="23">
        <v>0</v>
      </c>
      <c r="S38" s="23">
        <v>0</v>
      </c>
      <c r="T38" s="23">
        <v>0</v>
      </c>
      <c r="U38" s="23">
        <v>0</v>
      </c>
      <c r="V38" s="23">
        <v>0</v>
      </c>
      <c r="W38" s="23">
        <v>0</v>
      </c>
      <c r="X38" s="23">
        <v>0</v>
      </c>
      <c r="Y38" s="23">
        <v>0</v>
      </c>
      <c r="Z38" s="23">
        <v>0</v>
      </c>
      <c r="AA38" s="23">
        <v>0</v>
      </c>
    </row>
    <row r="39" spans="1:27" ht="12.75" customHeight="1" x14ac:dyDescent="0.2">
      <c r="A39" s="153"/>
      <c r="B39" s="28" t="s">
        <v>52</v>
      </c>
      <c r="C39" s="29" t="s">
        <v>53</v>
      </c>
      <c r="D39" s="30">
        <f>SUM(D18:D38)</f>
        <v>27666.727567901024</v>
      </c>
      <c r="E39" s="30">
        <f t="shared" ref="E39:S39" si="3">SUM(E18:E38)</f>
        <v>29460.642572243858</v>
      </c>
      <c r="F39" s="30">
        <f t="shared" si="3"/>
        <v>31440.476855324901</v>
      </c>
      <c r="G39" s="30">
        <f t="shared" si="3"/>
        <v>34757.673720856139</v>
      </c>
      <c r="H39" s="30">
        <f t="shared" si="3"/>
        <v>37017.84938688908</v>
      </c>
      <c r="I39" s="30">
        <f t="shared" si="3"/>
        <v>39879.789603174606</v>
      </c>
      <c r="J39" s="30">
        <f t="shared" si="3"/>
        <v>42829.324125429077</v>
      </c>
      <c r="K39" s="30">
        <f t="shared" si="3"/>
        <v>47573.880790704854</v>
      </c>
      <c r="L39" s="30">
        <f t="shared" si="3"/>
        <v>48810.541026866194</v>
      </c>
      <c r="M39" s="30">
        <f t="shared" si="3"/>
        <v>41567.739982793479</v>
      </c>
      <c r="N39" s="30">
        <f t="shared" si="3"/>
        <v>41745.531078519954</v>
      </c>
      <c r="O39" s="30">
        <f t="shared" si="3"/>
        <v>44384.942642680136</v>
      </c>
      <c r="P39" s="30">
        <f t="shared" si="3"/>
        <v>46330.540110862719</v>
      </c>
      <c r="Q39" s="30">
        <f t="shared" si="3"/>
        <v>48205.373081618767</v>
      </c>
      <c r="R39" s="30">
        <f t="shared" si="3"/>
        <v>50024.381723966115</v>
      </c>
      <c r="S39" s="30">
        <f t="shared" si="3"/>
        <v>51441.19008600001</v>
      </c>
      <c r="T39" s="30">
        <f t="shared" ref="T39:Y39" si="4">SUM(T18:T38)</f>
        <v>52815.740412660998</v>
      </c>
      <c r="U39" s="30">
        <f t="shared" si="4"/>
        <v>55251.336279543881</v>
      </c>
      <c r="V39" s="30">
        <f t="shared" si="4"/>
        <v>57969.298369909397</v>
      </c>
      <c r="W39" s="30">
        <f t="shared" si="4"/>
        <v>60680.363986180302</v>
      </c>
      <c r="X39" s="30">
        <f t="shared" si="4"/>
        <v>60706.710969459709</v>
      </c>
      <c r="Y39" s="30">
        <f t="shared" si="4"/>
        <v>64579.376866132028</v>
      </c>
      <c r="Z39" s="30">
        <f t="shared" ref="Z39:AA39" si="5">SUM(Z18:Z38)</f>
        <v>66218.023864270712</v>
      </c>
      <c r="AA39" s="30">
        <f t="shared" si="5"/>
        <v>66444.799999999988</v>
      </c>
    </row>
    <row r="40" spans="1:27" ht="12.75" customHeight="1" x14ac:dyDescent="0.2">
      <c r="C40" s="12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</row>
    <row r="41" spans="1:27" ht="12.75" customHeight="1" x14ac:dyDescent="0.2">
      <c r="A41" s="151" t="s">
        <v>87</v>
      </c>
      <c r="B41" s="17" t="s">
        <v>88</v>
      </c>
      <c r="C41" s="18" t="s">
        <v>89</v>
      </c>
      <c r="D41" s="19">
        <v>1380.5980843222885</v>
      </c>
      <c r="E41" s="19">
        <v>1430.848801059419</v>
      </c>
      <c r="F41" s="19">
        <v>1370.3485824057341</v>
      </c>
      <c r="G41" s="19">
        <v>1460.2637713696279</v>
      </c>
      <c r="H41" s="19">
        <v>1497.6945785776995</v>
      </c>
      <c r="I41" s="19">
        <v>1577.0127148330596</v>
      </c>
      <c r="J41" s="19">
        <v>1588.3521798382637</v>
      </c>
      <c r="K41" s="19">
        <v>1770.1085570409875</v>
      </c>
      <c r="L41" s="19">
        <v>1665.1499685076992</v>
      </c>
      <c r="M41" s="19">
        <v>1856.4705779823685</v>
      </c>
      <c r="N41" s="19">
        <v>1911.6014919452584</v>
      </c>
      <c r="O41" s="19">
        <v>2053.2413996293749</v>
      </c>
      <c r="P41" s="19">
        <v>2131.1238810046425</v>
      </c>
      <c r="Q41" s="19">
        <v>2249.540088863982</v>
      </c>
      <c r="R41" s="19">
        <v>2255.5131609367213</v>
      </c>
      <c r="S41" s="19">
        <v>2210.659529</v>
      </c>
      <c r="T41" s="19">
        <v>2153.6376959100221</v>
      </c>
      <c r="U41" s="19">
        <v>2184.8524916405481</v>
      </c>
      <c r="V41" s="19">
        <v>2226.0753265229323</v>
      </c>
      <c r="W41" s="19">
        <v>2224.7522017319511</v>
      </c>
      <c r="X41" s="19">
        <v>2204.6654993652132</v>
      </c>
      <c r="Y41" s="19">
        <v>2119.8021499908295</v>
      </c>
      <c r="Z41" s="19">
        <v>1974.2882318025393</v>
      </c>
      <c r="AA41" s="19">
        <v>1669.7817653000423</v>
      </c>
    </row>
    <row r="42" spans="1:27" ht="12.75" customHeight="1" x14ac:dyDescent="0.2">
      <c r="A42" s="152"/>
      <c r="B42" s="21" t="s">
        <v>90</v>
      </c>
      <c r="C42" s="22" t="s">
        <v>91</v>
      </c>
      <c r="D42" s="23">
        <v>1043.2900417228111</v>
      </c>
      <c r="E42" s="23">
        <v>1130.1263971874951</v>
      </c>
      <c r="F42" s="23">
        <v>1059.9535679032967</v>
      </c>
      <c r="G42" s="23">
        <v>1041.5834928628854</v>
      </c>
      <c r="H42" s="23">
        <v>1050.7421290605794</v>
      </c>
      <c r="I42" s="23">
        <v>949.64868910782707</v>
      </c>
      <c r="J42" s="23">
        <v>866.42768156747786</v>
      </c>
      <c r="K42" s="23">
        <v>809.39067153962446</v>
      </c>
      <c r="L42" s="23">
        <v>660.06544751645185</v>
      </c>
      <c r="M42" s="23">
        <v>530.93413816605391</v>
      </c>
      <c r="N42" s="23">
        <v>624.97913370209562</v>
      </c>
      <c r="O42" s="23">
        <v>711.97765840048294</v>
      </c>
      <c r="P42" s="23">
        <v>728.05644086141137</v>
      </c>
      <c r="Q42" s="23">
        <v>751.58576775278198</v>
      </c>
      <c r="R42" s="23">
        <v>797.93304833084221</v>
      </c>
      <c r="S42" s="23">
        <v>782.63204799999994</v>
      </c>
      <c r="T42" s="23">
        <v>810.08111838262221</v>
      </c>
      <c r="U42" s="23">
        <v>799.47166455497222</v>
      </c>
      <c r="V42" s="23">
        <v>740.57080155299172</v>
      </c>
      <c r="W42" s="23">
        <v>705.89923273657291</v>
      </c>
      <c r="X42" s="23">
        <v>631.46876057977147</v>
      </c>
      <c r="Y42" s="23">
        <v>625.08789202527635</v>
      </c>
      <c r="Z42" s="23">
        <v>586.51128910307591</v>
      </c>
      <c r="AA42" s="23">
        <v>493.22451291050157</v>
      </c>
    </row>
    <row r="43" spans="1:27" ht="12.75" customHeight="1" x14ac:dyDescent="0.2">
      <c r="A43" s="152"/>
      <c r="B43" s="21" t="s">
        <v>92</v>
      </c>
      <c r="C43" s="22" t="s">
        <v>93</v>
      </c>
      <c r="D43" s="23">
        <v>543.17796970631684</v>
      </c>
      <c r="E43" s="23">
        <v>620.30039255253746</v>
      </c>
      <c r="F43" s="23">
        <v>675.74368498580122</v>
      </c>
      <c r="G43" s="23">
        <v>805.49433581602773</v>
      </c>
      <c r="H43" s="23">
        <v>884.70557652911907</v>
      </c>
      <c r="I43" s="23">
        <v>919.85414340448813</v>
      </c>
      <c r="J43" s="23">
        <v>948.6348131291702</v>
      </c>
      <c r="K43" s="23">
        <v>985.54358043356615</v>
      </c>
      <c r="L43" s="23">
        <v>899.84704298156055</v>
      </c>
      <c r="M43" s="23">
        <v>733.61083563312127</v>
      </c>
      <c r="N43" s="23">
        <v>880.44505696718591</v>
      </c>
      <c r="O43" s="23">
        <v>999.16326545484822</v>
      </c>
      <c r="P43" s="23">
        <v>1013.9124315958769</v>
      </c>
      <c r="Q43" s="23">
        <v>1127.6855465935473</v>
      </c>
      <c r="R43" s="23">
        <v>1189.7178694569009</v>
      </c>
      <c r="S43" s="23">
        <v>1195.7219259999999</v>
      </c>
      <c r="T43" s="23">
        <v>1238.956523073572</v>
      </c>
      <c r="U43" s="23">
        <v>1219.8771917958293</v>
      </c>
      <c r="V43" s="23">
        <v>1261.7288551734266</v>
      </c>
      <c r="W43" s="23">
        <v>1256.5831955848701</v>
      </c>
      <c r="X43" s="23">
        <v>1218.4602738397514</v>
      </c>
      <c r="Y43" s="23">
        <v>1393.6008586624873</v>
      </c>
      <c r="Z43" s="23">
        <v>1473.8087113209012</v>
      </c>
      <c r="AA43" s="23">
        <v>1315.809775112486</v>
      </c>
    </row>
    <row r="44" spans="1:27" ht="12.75" customHeight="1" x14ac:dyDescent="0.2">
      <c r="A44" s="152"/>
      <c r="B44" s="21" t="s">
        <v>94</v>
      </c>
      <c r="C44" s="22" t="s">
        <v>95</v>
      </c>
      <c r="D44" s="23">
        <v>530.23330681688981</v>
      </c>
      <c r="E44" s="23">
        <v>640.36466869511776</v>
      </c>
      <c r="F44" s="23">
        <v>572.35629830981998</v>
      </c>
      <c r="G44" s="23">
        <v>657.79323756503834</v>
      </c>
      <c r="H44" s="23">
        <v>928.90719929763043</v>
      </c>
      <c r="I44" s="23">
        <v>1154.6435563765731</v>
      </c>
      <c r="J44" s="23">
        <v>1002.256731078284</v>
      </c>
      <c r="K44" s="23">
        <v>565.51472720563049</v>
      </c>
      <c r="L44" s="23">
        <v>887.02538822405108</v>
      </c>
      <c r="M44" s="23">
        <v>640.06774449447391</v>
      </c>
      <c r="N44" s="23">
        <v>824.18172862904134</v>
      </c>
      <c r="O44" s="23">
        <v>1019.9159774710038</v>
      </c>
      <c r="P44" s="23">
        <v>1077.5049200392466</v>
      </c>
      <c r="Q44" s="23">
        <v>592.76762368905645</v>
      </c>
      <c r="R44" s="23">
        <v>502.71921275535487</v>
      </c>
      <c r="S44" s="23">
        <v>658.88908899999967</v>
      </c>
      <c r="T44" s="23">
        <v>538.94077403641336</v>
      </c>
      <c r="U44" s="23">
        <v>663.76744815234622</v>
      </c>
      <c r="V44" s="23">
        <v>619.67564409688657</v>
      </c>
      <c r="W44" s="23">
        <v>602.83519271324144</v>
      </c>
      <c r="X44" s="23">
        <v>259.96883463817204</v>
      </c>
      <c r="Y44" s="23">
        <v>190.84994331160416</v>
      </c>
      <c r="Z44" s="23">
        <v>976.47140908865947</v>
      </c>
      <c r="AA44" s="23">
        <v>1338.4175946450873</v>
      </c>
    </row>
    <row r="45" spans="1:27" ht="12.75" customHeight="1" x14ac:dyDescent="0.2">
      <c r="A45" s="152"/>
      <c r="B45" s="21" t="s">
        <v>96</v>
      </c>
      <c r="C45" s="22" t="s">
        <v>97</v>
      </c>
      <c r="D45" s="23">
        <v>304.4485137263178</v>
      </c>
      <c r="E45" s="23">
        <v>265.91209345588118</v>
      </c>
      <c r="F45" s="23">
        <v>279.4253693945422</v>
      </c>
      <c r="G45" s="23">
        <v>294.47179588307563</v>
      </c>
      <c r="H45" s="23">
        <v>360.34419373719629</v>
      </c>
      <c r="I45" s="23">
        <v>429.29324302134643</v>
      </c>
      <c r="J45" s="23">
        <v>572.09855106002749</v>
      </c>
      <c r="K45" s="23">
        <v>833.1211152248186</v>
      </c>
      <c r="L45" s="23">
        <v>987.93347631561778</v>
      </c>
      <c r="M45" s="23">
        <v>652.57442151484327</v>
      </c>
      <c r="N45" s="23">
        <v>795.79662604403097</v>
      </c>
      <c r="O45" s="23">
        <v>1008.9010764778144</v>
      </c>
      <c r="P45" s="23">
        <v>1005.536835556994</v>
      </c>
      <c r="Q45" s="23">
        <v>760.63916920182533</v>
      </c>
      <c r="R45" s="23">
        <v>772.10947782760343</v>
      </c>
      <c r="S45" s="23">
        <v>799.65245499999992</v>
      </c>
      <c r="T45" s="23">
        <v>726.58325198261434</v>
      </c>
      <c r="U45" s="23">
        <v>715.91643120480899</v>
      </c>
      <c r="V45" s="23">
        <v>874.4139851860009</v>
      </c>
      <c r="W45" s="23">
        <v>928.40197334769152</v>
      </c>
      <c r="X45" s="23">
        <v>1231.573626393003</v>
      </c>
      <c r="Y45" s="23">
        <v>1609.8889390933193</v>
      </c>
      <c r="Z45" s="23">
        <v>1503.1721990997546</v>
      </c>
      <c r="AA45" s="23">
        <v>1261.0020030886428</v>
      </c>
    </row>
    <row r="46" spans="1:27" ht="12.75" customHeight="1" x14ac:dyDescent="0.2">
      <c r="A46" s="152"/>
      <c r="B46" s="21" t="s">
        <v>98</v>
      </c>
      <c r="C46" s="22" t="s">
        <v>99</v>
      </c>
      <c r="D46" s="23">
        <v>0</v>
      </c>
      <c r="E46" s="23">
        <v>0</v>
      </c>
      <c r="F46" s="23">
        <v>0</v>
      </c>
      <c r="G46" s="23">
        <v>0</v>
      </c>
      <c r="H46" s="23">
        <v>0</v>
      </c>
      <c r="I46" s="23">
        <v>0</v>
      </c>
      <c r="J46" s="23">
        <v>0</v>
      </c>
      <c r="K46" s="23">
        <v>0</v>
      </c>
      <c r="L46" s="23">
        <v>0</v>
      </c>
      <c r="M46" s="23">
        <v>0</v>
      </c>
      <c r="N46" s="23">
        <v>0</v>
      </c>
      <c r="O46" s="23">
        <v>0</v>
      </c>
      <c r="P46" s="23">
        <v>0</v>
      </c>
      <c r="Q46" s="23">
        <v>0</v>
      </c>
      <c r="R46" s="23">
        <v>0</v>
      </c>
      <c r="S46" s="23">
        <v>0</v>
      </c>
      <c r="T46" s="23">
        <v>0</v>
      </c>
      <c r="U46" s="23">
        <v>0</v>
      </c>
      <c r="V46" s="23">
        <v>0</v>
      </c>
      <c r="W46" s="23">
        <v>0</v>
      </c>
      <c r="X46" s="23">
        <v>0</v>
      </c>
      <c r="Y46" s="23">
        <v>0</v>
      </c>
      <c r="Z46" s="23">
        <v>0</v>
      </c>
      <c r="AA46" s="23">
        <v>0</v>
      </c>
    </row>
    <row r="47" spans="1:27" ht="12.75" customHeight="1" x14ac:dyDescent="0.2">
      <c r="A47" s="152"/>
      <c r="B47" s="21" t="s">
        <v>100</v>
      </c>
      <c r="C47" s="22" t="s">
        <v>101</v>
      </c>
      <c r="D47" s="23">
        <v>357.2229085832102</v>
      </c>
      <c r="E47" s="23">
        <v>440.2053838028724</v>
      </c>
      <c r="F47" s="23">
        <v>483.63874352705346</v>
      </c>
      <c r="G47" s="23">
        <v>624.53141543922447</v>
      </c>
      <c r="H47" s="23">
        <v>677.83300702370502</v>
      </c>
      <c r="I47" s="23">
        <v>830.47050629447176</v>
      </c>
      <c r="J47" s="23">
        <v>1016.8450469909102</v>
      </c>
      <c r="K47" s="23">
        <v>1002.3374328877037</v>
      </c>
      <c r="L47" s="23">
        <v>885.52675325239431</v>
      </c>
      <c r="M47" s="23">
        <v>567.94019619892504</v>
      </c>
      <c r="N47" s="23">
        <v>664.34656764440126</v>
      </c>
      <c r="O47" s="23">
        <v>775.35324817290268</v>
      </c>
      <c r="P47" s="23">
        <v>838.80043293108486</v>
      </c>
      <c r="Q47" s="23">
        <v>958.27952625890646</v>
      </c>
      <c r="R47" s="23">
        <v>1010.1752934728452</v>
      </c>
      <c r="S47" s="23">
        <v>949.92271499999993</v>
      </c>
      <c r="T47" s="23">
        <v>1015.3340554240962</v>
      </c>
      <c r="U47" s="23">
        <v>1032.7543702546418</v>
      </c>
      <c r="V47" s="23">
        <v>1070.0417719892428</v>
      </c>
      <c r="W47" s="23">
        <v>1052.1063418136134</v>
      </c>
      <c r="X47" s="23">
        <v>971.33441335167151</v>
      </c>
      <c r="Y47" s="23">
        <v>1065.7173324774496</v>
      </c>
      <c r="Z47" s="23">
        <v>991.53238621508365</v>
      </c>
      <c r="AA47" s="23">
        <v>830.30943662806658</v>
      </c>
    </row>
    <row r="48" spans="1:27" ht="12.75" customHeight="1" x14ac:dyDescent="0.2">
      <c r="A48" s="152"/>
      <c r="B48" s="21" t="s">
        <v>102</v>
      </c>
      <c r="C48" s="22" t="s">
        <v>103</v>
      </c>
      <c r="D48" s="23">
        <v>177.98911472961345</v>
      </c>
      <c r="E48" s="23">
        <v>183.7210827513361</v>
      </c>
      <c r="F48" s="23">
        <v>173.24372902461619</v>
      </c>
      <c r="G48" s="23">
        <v>248.88216555678591</v>
      </c>
      <c r="H48" s="23">
        <v>326.23938835235583</v>
      </c>
      <c r="I48" s="23">
        <v>407.89152709359604</v>
      </c>
      <c r="J48" s="23">
        <v>467.81180622517064</v>
      </c>
      <c r="K48" s="23">
        <v>577.01486529922261</v>
      </c>
      <c r="L48" s="23">
        <v>521.85800013031292</v>
      </c>
      <c r="M48" s="23">
        <v>325.17360252958065</v>
      </c>
      <c r="N48" s="23">
        <v>381.00241862617622</v>
      </c>
      <c r="O48" s="23">
        <v>494.55309096966283</v>
      </c>
      <c r="P48" s="23">
        <v>517.73591810724145</v>
      </c>
      <c r="Q48" s="23">
        <v>513.74217036266111</v>
      </c>
      <c r="R48" s="23">
        <v>525.02833283507732</v>
      </c>
      <c r="S48" s="23">
        <v>544.34634999999992</v>
      </c>
      <c r="T48" s="23">
        <v>582.35966456441884</v>
      </c>
      <c r="U48" s="23">
        <v>630.60829086128547</v>
      </c>
      <c r="V48" s="23">
        <v>674.98623417866747</v>
      </c>
      <c r="W48" s="23">
        <v>688.83656122403193</v>
      </c>
      <c r="X48" s="23">
        <v>667.83465580476786</v>
      </c>
      <c r="Y48" s="23">
        <v>776.69407606249069</v>
      </c>
      <c r="Z48" s="23">
        <v>812.20924129256548</v>
      </c>
      <c r="AA48" s="23">
        <v>721.07016363080186</v>
      </c>
    </row>
    <row r="49" spans="1:27" ht="12.75" customHeight="1" x14ac:dyDescent="0.2">
      <c r="A49" s="152"/>
      <c r="B49" s="21" t="s">
        <v>104</v>
      </c>
      <c r="C49" s="22" t="s">
        <v>105</v>
      </c>
      <c r="D49" s="23">
        <v>238.97839180479568</v>
      </c>
      <c r="E49" s="23">
        <v>252.61648878308714</v>
      </c>
      <c r="F49" s="23">
        <v>268.94691804224686</v>
      </c>
      <c r="G49" s="23">
        <v>307.49740454772984</v>
      </c>
      <c r="H49" s="23">
        <v>383.00593942054428</v>
      </c>
      <c r="I49" s="23">
        <v>329.41856869184454</v>
      </c>
      <c r="J49" s="23">
        <v>246.62139468507729</v>
      </c>
      <c r="K49" s="23">
        <v>212.11365817073604</v>
      </c>
      <c r="L49" s="23">
        <v>193.49042634059464</v>
      </c>
      <c r="M49" s="23">
        <v>201.8200757533435</v>
      </c>
      <c r="N49" s="23">
        <v>232.82542477466558</v>
      </c>
      <c r="O49" s="23">
        <v>205.61148520623814</v>
      </c>
      <c r="P49" s="23">
        <v>208.92459008102281</v>
      </c>
      <c r="Q49" s="23">
        <v>191.34901028740694</v>
      </c>
      <c r="R49" s="23">
        <v>206.43576183358246</v>
      </c>
      <c r="S49" s="23">
        <v>243.80582999999999</v>
      </c>
      <c r="T49" s="23">
        <v>266.58591526984344</v>
      </c>
      <c r="U49" s="23">
        <v>318.00654371207281</v>
      </c>
      <c r="V49" s="23">
        <v>301.74530568787804</v>
      </c>
      <c r="W49" s="23">
        <v>361.75615650379143</v>
      </c>
      <c r="X49" s="23">
        <v>364.60527666102405</v>
      </c>
      <c r="Y49" s="23">
        <v>533.94521983426978</v>
      </c>
      <c r="Z49" s="23">
        <v>470.7909756425023</v>
      </c>
      <c r="AA49" s="23">
        <v>383.79072504243538</v>
      </c>
    </row>
    <row r="50" spans="1:27" ht="12.75" customHeight="1" x14ac:dyDescent="0.2">
      <c r="A50" s="152"/>
      <c r="B50" s="21" t="s">
        <v>106</v>
      </c>
      <c r="C50" s="22" t="s">
        <v>107</v>
      </c>
      <c r="D50" s="23">
        <v>98.578586619478216</v>
      </c>
      <c r="E50" s="23">
        <v>110.95786445113588</v>
      </c>
      <c r="F50" s="23">
        <v>127.13854307451672</v>
      </c>
      <c r="G50" s="23">
        <v>153.05090180968702</v>
      </c>
      <c r="H50" s="23">
        <v>171.42152180275093</v>
      </c>
      <c r="I50" s="23">
        <v>174.78068007662833</v>
      </c>
      <c r="J50" s="23">
        <v>181.36825188670753</v>
      </c>
      <c r="K50" s="23">
        <v>168.3036082903775</v>
      </c>
      <c r="L50" s="23">
        <v>140.20562734834826</v>
      </c>
      <c r="M50" s="23">
        <v>87.889387828068934</v>
      </c>
      <c r="N50" s="23">
        <v>108.4716420212883</v>
      </c>
      <c r="O50" s="23">
        <v>127.70899702250816</v>
      </c>
      <c r="P50" s="23">
        <v>163.78943364926511</v>
      </c>
      <c r="Q50" s="23">
        <v>177.23184192618686</v>
      </c>
      <c r="R50" s="23">
        <v>185.50186148480321</v>
      </c>
      <c r="S50" s="23">
        <v>189.06452099999998</v>
      </c>
      <c r="T50" s="23">
        <v>194.47412156074569</v>
      </c>
      <c r="U50" s="23">
        <v>206.1126473025883</v>
      </c>
      <c r="V50" s="23">
        <v>206.32398234068526</v>
      </c>
      <c r="W50" s="23">
        <v>205.57767128819492</v>
      </c>
      <c r="X50" s="23">
        <v>199.94482913669063</v>
      </c>
      <c r="Y50" s="23">
        <v>213.47582406589191</v>
      </c>
      <c r="Z50" s="23">
        <v>194.60082675579611</v>
      </c>
      <c r="AA50" s="23">
        <v>161.30331931648342</v>
      </c>
    </row>
    <row r="51" spans="1:27" ht="12.75" customHeight="1" x14ac:dyDescent="0.2">
      <c r="A51" s="152"/>
      <c r="B51" s="21" t="s">
        <v>108</v>
      </c>
      <c r="C51" s="22" t="s">
        <v>109</v>
      </c>
      <c r="D51" s="23">
        <v>70.697774242252052</v>
      </c>
      <c r="E51" s="23">
        <v>85.575346439438121</v>
      </c>
      <c r="F51" s="23">
        <v>107.57876721689875</v>
      </c>
      <c r="G51" s="23">
        <v>102.80926838887792</v>
      </c>
      <c r="H51" s="23">
        <v>120.9374348844015</v>
      </c>
      <c r="I51" s="23">
        <v>138.69151204159823</v>
      </c>
      <c r="J51" s="23">
        <v>163.62570550648616</v>
      </c>
      <c r="K51" s="23">
        <v>189.11338198354778</v>
      </c>
      <c r="L51" s="23">
        <v>246.10916534543796</v>
      </c>
      <c r="M51" s="23">
        <v>179.03393816828859</v>
      </c>
      <c r="N51" s="23">
        <v>203.08865063798839</v>
      </c>
      <c r="O51" s="23">
        <v>250.94817914922851</v>
      </c>
      <c r="P51" s="23">
        <v>273.75790756719027</v>
      </c>
      <c r="Q51" s="23">
        <v>308.12254423184697</v>
      </c>
      <c r="R51" s="23">
        <v>292.92180269058298</v>
      </c>
      <c r="S51" s="23">
        <v>289.653593</v>
      </c>
      <c r="T51" s="23">
        <v>298.92236171202831</v>
      </c>
      <c r="U51" s="23">
        <v>340.50218346019375</v>
      </c>
      <c r="V51" s="23">
        <v>340.87086304852636</v>
      </c>
      <c r="W51" s="23">
        <v>336.98776237268362</v>
      </c>
      <c r="X51" s="23">
        <v>330.13203025814636</v>
      </c>
      <c r="Y51" s="23">
        <v>346.67451189622687</v>
      </c>
      <c r="Z51" s="23">
        <v>323.32342262767014</v>
      </c>
      <c r="AA51" s="23">
        <v>271.07872051802985</v>
      </c>
    </row>
    <row r="52" spans="1:27" ht="12.75" customHeight="1" x14ac:dyDescent="0.2">
      <c r="A52" s="152"/>
      <c r="B52" s="21" t="s">
        <v>110</v>
      </c>
      <c r="C52" s="22" t="s">
        <v>111</v>
      </c>
      <c r="D52" s="23">
        <v>174.00614153286688</v>
      </c>
      <c r="E52" s="23">
        <v>182.27065315066767</v>
      </c>
      <c r="F52" s="23">
        <v>192.3377959332432</v>
      </c>
      <c r="G52" s="23">
        <v>266.79237747068544</v>
      </c>
      <c r="H52" s="23">
        <v>316.81569212759723</v>
      </c>
      <c r="I52" s="23">
        <v>323.96322933771211</v>
      </c>
      <c r="J52" s="23">
        <v>346.37393322276642</v>
      </c>
      <c r="K52" s="23">
        <v>308.67830978202636</v>
      </c>
      <c r="L52" s="23">
        <v>345.01907347479522</v>
      </c>
      <c r="M52" s="23">
        <v>218.26721265684179</v>
      </c>
      <c r="N52" s="23">
        <v>245.15942768362822</v>
      </c>
      <c r="O52" s="23">
        <v>205.61148520623814</v>
      </c>
      <c r="P52" s="23">
        <v>251.88829568788498</v>
      </c>
      <c r="Q52" s="23">
        <v>285.41231686814507</v>
      </c>
      <c r="R52" s="23">
        <v>278.25279222720479</v>
      </c>
      <c r="S52" s="23">
        <v>299.92717199999998</v>
      </c>
      <c r="T52" s="23">
        <v>329.58885082621305</v>
      </c>
      <c r="U52" s="23">
        <v>373.9534919168151</v>
      </c>
      <c r="V52" s="23">
        <v>393.92962249084445</v>
      </c>
      <c r="W52" s="23">
        <v>425.60357248620272</v>
      </c>
      <c r="X52" s="23">
        <v>421.24955212300745</v>
      </c>
      <c r="Y52" s="23">
        <v>481.53498757857176</v>
      </c>
      <c r="Z52" s="23">
        <v>479.45916391670255</v>
      </c>
      <c r="AA52" s="23">
        <v>428.94111358085945</v>
      </c>
    </row>
    <row r="53" spans="1:27" ht="12.75" customHeight="1" x14ac:dyDescent="0.2">
      <c r="A53" s="152"/>
      <c r="B53" s="21" t="s">
        <v>112</v>
      </c>
      <c r="C53" s="22" t="s">
        <v>113</v>
      </c>
      <c r="D53" s="23">
        <v>362.45056090394007</v>
      </c>
      <c r="E53" s="23">
        <v>417.24024845895542</v>
      </c>
      <c r="F53" s="23">
        <v>499.23999331824876</v>
      </c>
      <c r="G53" s="23">
        <v>556.84477041396769</v>
      </c>
      <c r="H53" s="23">
        <v>776.33306994439556</v>
      </c>
      <c r="I53" s="23">
        <v>845.1579584017519</v>
      </c>
      <c r="J53" s="23">
        <v>974.65721448682848</v>
      </c>
      <c r="K53" s="23">
        <v>1030.4488815609329</v>
      </c>
      <c r="L53" s="23">
        <v>1115.1509339096058</v>
      </c>
      <c r="M53" s="23">
        <v>971.06637467737801</v>
      </c>
      <c r="N53" s="23">
        <v>1030.8185170901563</v>
      </c>
      <c r="O53" s="23">
        <v>1220.5787390426224</v>
      </c>
      <c r="P53" s="23">
        <v>1414.3900051587575</v>
      </c>
      <c r="Q53" s="23">
        <v>1536.1627441758071</v>
      </c>
      <c r="R53" s="23">
        <v>1665.5438963627305</v>
      </c>
      <c r="S53" s="23">
        <v>1733.3214480000008</v>
      </c>
      <c r="T53" s="23">
        <v>1749.96346544162</v>
      </c>
      <c r="U53" s="23">
        <v>1834.2710929685338</v>
      </c>
      <c r="V53" s="23">
        <v>1969.5073730392569</v>
      </c>
      <c r="W53" s="23">
        <v>2053.1622712792214</v>
      </c>
      <c r="X53" s="23">
        <v>2004.5854810269432</v>
      </c>
      <c r="Y53" s="23">
        <v>2175.7916176200883</v>
      </c>
      <c r="Z53" s="23">
        <v>2170.5143438597488</v>
      </c>
      <c r="AA53" s="23">
        <v>1882.0708702265638</v>
      </c>
    </row>
    <row r="54" spans="1:27" ht="12.75" customHeight="1" x14ac:dyDescent="0.2">
      <c r="A54" s="153"/>
      <c r="B54" s="28" t="s">
        <v>52</v>
      </c>
      <c r="C54" s="31" t="s">
        <v>58</v>
      </c>
      <c r="D54" s="30">
        <f>SUM(D41:D53)</f>
        <v>5281.671394710781</v>
      </c>
      <c r="E54" s="30">
        <f t="shared" ref="E54:S54" si="6">SUM(E41:E53)</f>
        <v>5760.1394207879439</v>
      </c>
      <c r="F54" s="30">
        <f t="shared" si="6"/>
        <v>5809.9519931360173</v>
      </c>
      <c r="G54" s="30">
        <f t="shared" si="6"/>
        <v>6520.0149371236139</v>
      </c>
      <c r="H54" s="30">
        <f t="shared" si="6"/>
        <v>7494.9797307579756</v>
      </c>
      <c r="I54" s="30">
        <f t="shared" si="6"/>
        <v>8080.826328680896</v>
      </c>
      <c r="J54" s="30">
        <f t="shared" si="6"/>
        <v>8375.0733096771692</v>
      </c>
      <c r="K54" s="30">
        <f t="shared" si="6"/>
        <v>8451.688789419175</v>
      </c>
      <c r="L54" s="30">
        <f t="shared" si="6"/>
        <v>8547.3813033468687</v>
      </c>
      <c r="M54" s="30">
        <f t="shared" si="6"/>
        <v>6964.8485056032869</v>
      </c>
      <c r="N54" s="30">
        <f t="shared" si="6"/>
        <v>7902.7166857659158</v>
      </c>
      <c r="O54" s="30">
        <f t="shared" si="6"/>
        <v>9073.564602202925</v>
      </c>
      <c r="P54" s="30">
        <f t="shared" si="6"/>
        <v>9625.4210922406182</v>
      </c>
      <c r="Q54" s="30">
        <f t="shared" si="6"/>
        <v>9452.5183502121527</v>
      </c>
      <c r="R54" s="30">
        <f t="shared" si="6"/>
        <v>9681.8525102142485</v>
      </c>
      <c r="S54" s="30">
        <f t="shared" si="6"/>
        <v>9897.596676000001</v>
      </c>
      <c r="T54" s="30">
        <f t="shared" ref="T54:Y54" si="7">SUM(T41:T53)</f>
        <v>9905.4277981842079</v>
      </c>
      <c r="U54" s="30">
        <f t="shared" si="7"/>
        <v>10320.093847824635</v>
      </c>
      <c r="V54" s="30">
        <f t="shared" si="7"/>
        <v>10679.86976530734</v>
      </c>
      <c r="W54" s="30">
        <f t="shared" si="7"/>
        <v>10842.502133082067</v>
      </c>
      <c r="X54" s="30">
        <f t="shared" si="7"/>
        <v>10505.82323317816</v>
      </c>
      <c r="Y54" s="30">
        <f t="shared" si="7"/>
        <v>11533.063352618505</v>
      </c>
      <c r="Z54" s="30">
        <f t="shared" ref="Z54:AA54" si="8">SUM(Z41:Z53)</f>
        <v>11956.682200724998</v>
      </c>
      <c r="AA54" s="30">
        <f t="shared" si="8"/>
        <v>10756.8</v>
      </c>
    </row>
    <row r="55" spans="1:27" ht="12.75" customHeight="1" x14ac:dyDescent="0.2">
      <c r="C55" s="12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</row>
    <row r="56" spans="1:27" ht="12.75" customHeight="1" x14ac:dyDescent="0.2">
      <c r="A56" s="151" t="s">
        <v>114</v>
      </c>
      <c r="B56" s="17" t="s">
        <v>88</v>
      </c>
      <c r="C56" s="18" t="s">
        <v>89</v>
      </c>
      <c r="D56" s="19">
        <v>1380.5980843222885</v>
      </c>
      <c r="E56" s="19">
        <v>1430.848801059419</v>
      </c>
      <c r="F56" s="19">
        <v>1370.3485824057341</v>
      </c>
      <c r="G56" s="19">
        <v>1460.2637713696279</v>
      </c>
      <c r="H56" s="19">
        <v>1497.6945785776995</v>
      </c>
      <c r="I56" s="19">
        <v>1577.0127148330596</v>
      </c>
      <c r="J56" s="19">
        <v>1588.3521798382637</v>
      </c>
      <c r="K56" s="19">
        <v>1770.1085570409875</v>
      </c>
      <c r="L56" s="19">
        <v>1665.1499685076992</v>
      </c>
      <c r="M56" s="19">
        <v>1856.4705779823685</v>
      </c>
      <c r="N56" s="19">
        <v>1911.6014919452584</v>
      </c>
      <c r="O56" s="19">
        <v>2053.2413996293749</v>
      </c>
      <c r="P56" s="19">
        <v>2131.1238810046425</v>
      </c>
      <c r="Q56" s="19">
        <v>2249.540088863982</v>
      </c>
      <c r="R56" s="19">
        <v>2255.5131609367213</v>
      </c>
      <c r="S56" s="19">
        <v>2210.659529</v>
      </c>
      <c r="T56" s="19">
        <v>2153.6376959100221</v>
      </c>
      <c r="U56" s="19">
        <v>2184.8524916405481</v>
      </c>
      <c r="V56" s="19">
        <v>2226.0753265229323</v>
      </c>
      <c r="W56" s="19">
        <v>2224.7522017319511</v>
      </c>
      <c r="X56" s="19">
        <v>2204.6654993652132</v>
      </c>
      <c r="Y56" s="19">
        <v>2119.8021499908295</v>
      </c>
      <c r="Z56" s="19">
        <v>1974.2882318025393</v>
      </c>
      <c r="AA56" s="19">
        <v>1669.7817653000423</v>
      </c>
    </row>
    <row r="57" spans="1:27" ht="12.75" customHeight="1" x14ac:dyDescent="0.2">
      <c r="A57" s="152"/>
      <c r="B57" s="21" t="s">
        <v>90</v>
      </c>
      <c r="C57" s="22" t="s">
        <v>91</v>
      </c>
      <c r="D57" s="23">
        <v>1043.2900417228111</v>
      </c>
      <c r="E57" s="23">
        <v>1130.1263971874951</v>
      </c>
      <c r="F57" s="23">
        <v>1059.9535679032967</v>
      </c>
      <c r="G57" s="23">
        <v>1041.5834928628854</v>
      </c>
      <c r="H57" s="23">
        <v>1050.7421290605794</v>
      </c>
      <c r="I57" s="23">
        <v>949.64868910782707</v>
      </c>
      <c r="J57" s="23">
        <v>866.42768156747786</v>
      </c>
      <c r="K57" s="23">
        <v>809.39067153962446</v>
      </c>
      <c r="L57" s="23">
        <v>660.06544751645185</v>
      </c>
      <c r="M57" s="23">
        <v>530.93413816605391</v>
      </c>
      <c r="N57" s="23">
        <v>624.97913370209562</v>
      </c>
      <c r="O57" s="23">
        <v>711.97765840048294</v>
      </c>
      <c r="P57" s="23">
        <v>728.05644086141137</v>
      </c>
      <c r="Q57" s="23">
        <v>751.58576775278198</v>
      </c>
      <c r="R57" s="23">
        <v>797.93304833084221</v>
      </c>
      <c r="S57" s="23">
        <v>782.63204799999994</v>
      </c>
      <c r="T57" s="23">
        <v>810.08111838262221</v>
      </c>
      <c r="U57" s="23">
        <v>799.47166455497222</v>
      </c>
      <c r="V57" s="23">
        <v>740.57080155299172</v>
      </c>
      <c r="W57" s="23">
        <v>705.89923273657291</v>
      </c>
      <c r="X57" s="23">
        <v>631.46876057977147</v>
      </c>
      <c r="Y57" s="23">
        <v>625.08789202527635</v>
      </c>
      <c r="Z57" s="23">
        <v>586.51128910307591</v>
      </c>
      <c r="AA57" s="23">
        <v>493.22451291050157</v>
      </c>
    </row>
    <row r="58" spans="1:27" ht="12.75" customHeight="1" x14ac:dyDescent="0.2">
      <c r="A58" s="152"/>
      <c r="B58" s="21" t="s">
        <v>115</v>
      </c>
      <c r="C58" s="22" t="s">
        <v>116</v>
      </c>
      <c r="D58" s="23">
        <v>350.00376966410698</v>
      </c>
      <c r="E58" s="23">
        <v>407.57071778783245</v>
      </c>
      <c r="F58" s="23">
        <v>478.28309061365809</v>
      </c>
      <c r="G58" s="23">
        <v>566.38137675773237</v>
      </c>
      <c r="H58" s="23">
        <v>639.9138484050336</v>
      </c>
      <c r="I58" s="23">
        <v>674.78351395730704</v>
      </c>
      <c r="J58" s="23">
        <v>676.77957470333365</v>
      </c>
      <c r="K58" s="23">
        <v>716.6593992928656</v>
      </c>
      <c r="L58" s="23">
        <v>580.30476402493321</v>
      </c>
      <c r="M58" s="23">
        <v>470.62796951989355</v>
      </c>
      <c r="N58" s="23">
        <v>549.62344469665243</v>
      </c>
      <c r="O58" s="23">
        <v>619.06936306660828</v>
      </c>
      <c r="P58" s="23">
        <v>606.45519466726</v>
      </c>
      <c r="Q58" s="23">
        <v>667.34310003202302</v>
      </c>
      <c r="R58" s="23">
        <v>714.65585351270556</v>
      </c>
      <c r="S58" s="23">
        <v>720.68389999999999</v>
      </c>
      <c r="T58" s="23">
        <v>752.99894062552585</v>
      </c>
      <c r="U58" s="23">
        <v>721.90553009878909</v>
      </c>
      <c r="V58" s="23">
        <v>746.34111756661241</v>
      </c>
      <c r="W58" s="23">
        <v>734.10768160811233</v>
      </c>
      <c r="X58" s="23">
        <v>725.01968807307082</v>
      </c>
      <c r="Y58" s="23">
        <v>888.80084115577631</v>
      </c>
      <c r="Z58" s="23">
        <v>976.14635202837815</v>
      </c>
      <c r="AA58" s="23">
        <v>886.55890665697348</v>
      </c>
    </row>
    <row r="59" spans="1:27" ht="12.75" customHeight="1" x14ac:dyDescent="0.2">
      <c r="A59" s="152"/>
      <c r="B59" s="21" t="s">
        <v>117</v>
      </c>
      <c r="C59" s="22" t="s">
        <v>118</v>
      </c>
      <c r="D59" s="23">
        <v>92.853062649154978</v>
      </c>
      <c r="E59" s="23">
        <v>110.23264965080166</v>
      </c>
      <c r="F59" s="23">
        <v>110.37302091084418</v>
      </c>
      <c r="G59" s="23">
        <v>112.81107504209454</v>
      </c>
      <c r="H59" s="23">
        <v>131.70737342698271</v>
      </c>
      <c r="I59" s="23">
        <v>127.36119184455391</v>
      </c>
      <c r="J59" s="23">
        <v>118.67792134325863</v>
      </c>
      <c r="K59" s="23">
        <v>122.85068153950547</v>
      </c>
      <c r="L59" s="23">
        <v>134.71063245227288</v>
      </c>
      <c r="M59" s="23">
        <v>124.03882414721622</v>
      </c>
      <c r="N59" s="23">
        <v>181.63086475527246</v>
      </c>
      <c r="O59" s="23">
        <v>199.86458034022527</v>
      </c>
      <c r="P59" s="23">
        <v>207.83886466857504</v>
      </c>
      <c r="Q59" s="23">
        <v>249.19871107197184</v>
      </c>
      <c r="R59" s="23">
        <v>271.52949576482314</v>
      </c>
      <c r="S59" s="23">
        <v>272.47984899999994</v>
      </c>
      <c r="T59" s="23">
        <v>287.6881033236636</v>
      </c>
      <c r="U59" s="23">
        <v>310.55668899029251</v>
      </c>
      <c r="V59" s="23">
        <v>329.89318868115026</v>
      </c>
      <c r="W59" s="23">
        <v>326.25479158253688</v>
      </c>
      <c r="X59" s="23">
        <v>315.1260288827761</v>
      </c>
      <c r="Y59" s="23">
        <v>329.80097370658751</v>
      </c>
      <c r="Z59" s="23">
        <v>343.91036977889576</v>
      </c>
      <c r="AA59" s="23">
        <v>304.35424409306961</v>
      </c>
    </row>
    <row r="60" spans="1:27" ht="12.75" customHeight="1" x14ac:dyDescent="0.2">
      <c r="A60" s="152"/>
      <c r="B60" s="21" t="s">
        <v>119</v>
      </c>
      <c r="C60" s="22" t="s">
        <v>7</v>
      </c>
      <c r="D60" s="23">
        <v>100.32113739305488</v>
      </c>
      <c r="E60" s="23">
        <v>102.49702511390338</v>
      </c>
      <c r="F60" s="23">
        <v>87.087573461298931</v>
      </c>
      <c r="G60" s="23">
        <v>126.30188401620072</v>
      </c>
      <c r="H60" s="23">
        <v>113.08435469710278</v>
      </c>
      <c r="I60" s="23">
        <v>117.70943760262718</v>
      </c>
      <c r="J60" s="23">
        <v>153.17731708257796</v>
      </c>
      <c r="K60" s="23">
        <v>146.0334996011951</v>
      </c>
      <c r="L60" s="23">
        <v>184.83164650435461</v>
      </c>
      <c r="M60" s="23">
        <v>138.94404196601147</v>
      </c>
      <c r="N60" s="23">
        <v>149.19074751526102</v>
      </c>
      <c r="O60" s="23">
        <v>180.22932204801461</v>
      </c>
      <c r="P60" s="23">
        <v>199.61837226004192</v>
      </c>
      <c r="Q60" s="23">
        <v>211.14373548955251</v>
      </c>
      <c r="R60" s="23">
        <v>203.53252017937228</v>
      </c>
      <c r="S60" s="23">
        <v>202.55817699999986</v>
      </c>
      <c r="T60" s="23">
        <v>198.26947912438246</v>
      </c>
      <c r="U60" s="23">
        <v>187.41497270674768</v>
      </c>
      <c r="V60" s="23">
        <v>185.49454892566393</v>
      </c>
      <c r="W60" s="23">
        <v>196.22072239422087</v>
      </c>
      <c r="X60" s="23">
        <v>178.31455688390457</v>
      </c>
      <c r="Y60" s="23">
        <v>174.9990438001235</v>
      </c>
      <c r="Z60" s="23">
        <v>153.75198951362742</v>
      </c>
      <c r="AA60" s="23">
        <v>124.89662436244294</v>
      </c>
    </row>
    <row r="61" spans="1:27" ht="12.75" customHeight="1" x14ac:dyDescent="0.2">
      <c r="A61" s="152"/>
      <c r="B61" s="21" t="s">
        <v>94</v>
      </c>
      <c r="C61" s="22" t="s">
        <v>95</v>
      </c>
      <c r="D61" s="23">
        <v>530.23330681688981</v>
      </c>
      <c r="E61" s="23">
        <v>640.36466869511776</v>
      </c>
      <c r="F61" s="23">
        <v>572.35629830981998</v>
      </c>
      <c r="G61" s="23">
        <v>657.79323756503834</v>
      </c>
      <c r="H61" s="23">
        <v>928.90719929763043</v>
      </c>
      <c r="I61" s="23">
        <v>1154.6435563765731</v>
      </c>
      <c r="J61" s="23">
        <v>1002.256731078284</v>
      </c>
      <c r="K61" s="23">
        <v>565.51472720563049</v>
      </c>
      <c r="L61" s="23">
        <v>887.02538822405108</v>
      </c>
      <c r="M61" s="23">
        <v>640.06774449447391</v>
      </c>
      <c r="N61" s="23">
        <v>824.18172862904134</v>
      </c>
      <c r="O61" s="23">
        <v>1019.9159774710038</v>
      </c>
      <c r="P61" s="23">
        <v>1077.5049200392466</v>
      </c>
      <c r="Q61" s="23">
        <v>592.76762368905645</v>
      </c>
      <c r="R61" s="23">
        <v>502.71921275535487</v>
      </c>
      <c r="S61" s="23">
        <v>658.88908899999967</v>
      </c>
      <c r="T61" s="23">
        <v>538.94077403641336</v>
      </c>
      <c r="U61" s="23">
        <v>663.76744815234622</v>
      </c>
      <c r="V61" s="23">
        <v>619.67564409688657</v>
      </c>
      <c r="W61" s="23">
        <v>602.83519271324144</v>
      </c>
      <c r="X61" s="23">
        <v>259.96883463817204</v>
      </c>
      <c r="Y61" s="23">
        <v>190.84994331160416</v>
      </c>
      <c r="Z61" s="23">
        <v>976.47140908865947</v>
      </c>
      <c r="AA61" s="23">
        <v>1338.4175946450873</v>
      </c>
    </row>
    <row r="62" spans="1:27" ht="12.75" customHeight="1" x14ac:dyDescent="0.2">
      <c r="A62" s="152"/>
      <c r="B62" s="21" t="s">
        <v>96</v>
      </c>
      <c r="C62" s="22" t="s">
        <v>97</v>
      </c>
      <c r="D62" s="23">
        <v>304.4485137263178</v>
      </c>
      <c r="E62" s="23">
        <v>265.91209345588118</v>
      </c>
      <c r="F62" s="23">
        <v>279.4253693945422</v>
      </c>
      <c r="G62" s="23">
        <v>294.47179588307563</v>
      </c>
      <c r="H62" s="23">
        <v>360.34419373719629</v>
      </c>
      <c r="I62" s="23">
        <v>429.29324302134643</v>
      </c>
      <c r="J62" s="23">
        <v>572.09855106002749</v>
      </c>
      <c r="K62" s="23">
        <v>833.1211152248186</v>
      </c>
      <c r="L62" s="23">
        <v>987.93347631561778</v>
      </c>
      <c r="M62" s="23">
        <v>652.57442151484327</v>
      </c>
      <c r="N62" s="23">
        <v>795.79662604403097</v>
      </c>
      <c r="O62" s="23">
        <v>1008.9010764778144</v>
      </c>
      <c r="P62" s="23">
        <v>1005.536835556994</v>
      </c>
      <c r="Q62" s="23">
        <v>760.63916920182533</v>
      </c>
      <c r="R62" s="23">
        <v>772.10947782760343</v>
      </c>
      <c r="S62" s="23">
        <v>799.65245499999992</v>
      </c>
      <c r="T62" s="23">
        <v>726.58325198261434</v>
      </c>
      <c r="U62" s="23">
        <v>715.91643120480899</v>
      </c>
      <c r="V62" s="23">
        <v>874.4139851860009</v>
      </c>
      <c r="W62" s="23">
        <v>928.40197334769152</v>
      </c>
      <c r="X62" s="23">
        <v>1231.573626393003</v>
      </c>
      <c r="Y62" s="23">
        <v>1609.8889390933193</v>
      </c>
      <c r="Z62" s="23">
        <v>1503.1721990997546</v>
      </c>
      <c r="AA62" s="23">
        <v>1261.0020030886428</v>
      </c>
    </row>
    <row r="63" spans="1:27" ht="12.75" customHeight="1" x14ac:dyDescent="0.2">
      <c r="A63" s="152"/>
      <c r="B63" s="21" t="s">
        <v>98</v>
      </c>
      <c r="C63" s="22" t="s">
        <v>99</v>
      </c>
      <c r="D63" s="23">
        <v>0</v>
      </c>
      <c r="E63" s="23">
        <v>0</v>
      </c>
      <c r="F63" s="23">
        <v>0</v>
      </c>
      <c r="G63" s="23">
        <v>0</v>
      </c>
      <c r="H63" s="23">
        <v>0</v>
      </c>
      <c r="I63" s="23">
        <v>0</v>
      </c>
      <c r="J63" s="23">
        <v>0</v>
      </c>
      <c r="K63" s="23">
        <v>0</v>
      </c>
      <c r="L63" s="23">
        <v>0</v>
      </c>
      <c r="M63" s="23">
        <v>0</v>
      </c>
      <c r="N63" s="23">
        <v>0</v>
      </c>
      <c r="O63" s="23">
        <v>0</v>
      </c>
      <c r="P63" s="23">
        <v>0</v>
      </c>
      <c r="Q63" s="23">
        <v>0</v>
      </c>
      <c r="R63" s="23">
        <v>0</v>
      </c>
      <c r="S63" s="23">
        <v>0</v>
      </c>
      <c r="T63" s="23">
        <v>0</v>
      </c>
      <c r="U63" s="23">
        <v>0</v>
      </c>
      <c r="V63" s="23">
        <v>0</v>
      </c>
      <c r="W63" s="23">
        <v>0</v>
      </c>
      <c r="X63" s="23">
        <v>0</v>
      </c>
      <c r="Y63" s="23">
        <v>0</v>
      </c>
      <c r="Z63" s="23">
        <v>0</v>
      </c>
      <c r="AA63" s="23">
        <v>0</v>
      </c>
    </row>
    <row r="64" spans="1:27" ht="12.75" customHeight="1" x14ac:dyDescent="0.2">
      <c r="A64" s="152"/>
      <c r="B64" s="21" t="s">
        <v>120</v>
      </c>
      <c r="C64" s="22" t="s">
        <v>121</v>
      </c>
      <c r="D64" s="23">
        <v>158.82105622027046</v>
      </c>
      <c r="E64" s="23">
        <v>231.82699784017279</v>
      </c>
      <c r="F64" s="23">
        <v>271.97402621068773</v>
      </c>
      <c r="G64" s="23">
        <v>366.34524369339982</v>
      </c>
      <c r="H64" s="23">
        <v>387.71778753292358</v>
      </c>
      <c r="I64" s="23">
        <v>463.28420361247947</v>
      </c>
      <c r="J64" s="23">
        <v>534.24778544888852</v>
      </c>
      <c r="K64" s="23">
        <v>504.54574112212941</v>
      </c>
      <c r="L64" s="23">
        <v>443.92898160415263</v>
      </c>
      <c r="M64" s="23">
        <v>334.59644138054318</v>
      </c>
      <c r="N64" s="23">
        <v>407.19105493972711</v>
      </c>
      <c r="O64" s="23">
        <v>466.29747537843292</v>
      </c>
      <c r="P64" s="23">
        <v>509.6705293290579</v>
      </c>
      <c r="Q64" s="23">
        <v>577.42287547033868</v>
      </c>
      <c r="R64" s="23">
        <v>603.7214618834081</v>
      </c>
      <c r="S64" s="23">
        <v>583.29394799999989</v>
      </c>
      <c r="T64" s="23">
        <v>627.14488381533215</v>
      </c>
      <c r="U64" s="23">
        <v>645.94622705318602</v>
      </c>
      <c r="V64" s="23">
        <v>677.23806481812926</v>
      </c>
      <c r="W64" s="23">
        <v>655.81203571588821</v>
      </c>
      <c r="X64" s="23">
        <v>596.72513577373388</v>
      </c>
      <c r="Y64" s="23">
        <v>664.7151408039748</v>
      </c>
      <c r="Z64" s="23">
        <v>624.00120338899205</v>
      </c>
      <c r="AA64" s="23">
        <v>523.46603400812853</v>
      </c>
    </row>
    <row r="65" spans="1:27" ht="12.75" customHeight="1" x14ac:dyDescent="0.2">
      <c r="A65" s="152"/>
      <c r="B65" s="21" t="s">
        <v>122</v>
      </c>
      <c r="C65" s="22" t="s">
        <v>123</v>
      </c>
      <c r="D65" s="23">
        <v>198.40185236293976</v>
      </c>
      <c r="E65" s="23">
        <v>208.37838596269961</v>
      </c>
      <c r="F65" s="23">
        <v>211.66471731636571</v>
      </c>
      <c r="G65" s="23">
        <v>258.18617174582465</v>
      </c>
      <c r="H65" s="23">
        <v>290.11521949078139</v>
      </c>
      <c r="I65" s="23">
        <v>367.18630268199234</v>
      </c>
      <c r="J65" s="23">
        <v>482.59726154202167</v>
      </c>
      <c r="K65" s="23">
        <v>497.79169176557429</v>
      </c>
      <c r="L65" s="23">
        <v>441.59777164824169</v>
      </c>
      <c r="M65" s="23">
        <v>233.34375481838185</v>
      </c>
      <c r="N65" s="23">
        <v>257.15551270467409</v>
      </c>
      <c r="O65" s="23">
        <v>309.0557727944697</v>
      </c>
      <c r="P65" s="23">
        <v>329.12990360202696</v>
      </c>
      <c r="Q65" s="23">
        <v>380.85665078856778</v>
      </c>
      <c r="R65" s="23">
        <v>406.45383158943702</v>
      </c>
      <c r="S65" s="23">
        <v>366.62876700000004</v>
      </c>
      <c r="T65" s="23">
        <v>388.18917160876396</v>
      </c>
      <c r="U65" s="23">
        <v>386.80814320145561</v>
      </c>
      <c r="V65" s="23">
        <v>392.80370717111356</v>
      </c>
      <c r="W65" s="23">
        <v>396.2943060977251</v>
      </c>
      <c r="X65" s="23">
        <v>374.60927757793763</v>
      </c>
      <c r="Y65" s="23">
        <v>401.0021916734749</v>
      </c>
      <c r="Z65" s="23">
        <v>367.53118282609159</v>
      </c>
      <c r="AA65" s="23">
        <v>306.84340261993805</v>
      </c>
    </row>
    <row r="66" spans="1:27" ht="12.75" customHeight="1" x14ac:dyDescent="0.2">
      <c r="A66" s="152"/>
      <c r="B66" s="21" t="s">
        <v>124</v>
      </c>
      <c r="C66" s="22" t="s">
        <v>125</v>
      </c>
      <c r="D66" s="23">
        <v>0</v>
      </c>
      <c r="E66" s="23">
        <v>0</v>
      </c>
      <c r="F66" s="23">
        <v>0</v>
      </c>
      <c r="G66" s="23">
        <v>0</v>
      </c>
      <c r="H66" s="23">
        <v>0</v>
      </c>
      <c r="I66" s="23">
        <v>0</v>
      </c>
      <c r="J66" s="23">
        <v>0</v>
      </c>
      <c r="K66" s="23">
        <v>0</v>
      </c>
      <c r="L66" s="23">
        <v>0</v>
      </c>
      <c r="M66" s="23">
        <v>0</v>
      </c>
      <c r="N66" s="23">
        <v>0</v>
      </c>
      <c r="O66" s="23">
        <v>0</v>
      </c>
      <c r="P66" s="23">
        <v>0</v>
      </c>
      <c r="Q66" s="23">
        <v>0</v>
      </c>
      <c r="R66" s="23">
        <v>0</v>
      </c>
      <c r="S66" s="23">
        <v>0</v>
      </c>
      <c r="T66" s="23">
        <v>0</v>
      </c>
      <c r="U66" s="23">
        <v>0</v>
      </c>
      <c r="V66" s="23">
        <v>0</v>
      </c>
      <c r="W66" s="23">
        <v>0</v>
      </c>
      <c r="X66" s="23">
        <v>0</v>
      </c>
      <c r="Y66" s="23">
        <v>0</v>
      </c>
      <c r="Z66" s="23">
        <v>0</v>
      </c>
      <c r="AA66" s="23">
        <v>0</v>
      </c>
    </row>
    <row r="67" spans="1:27" ht="12.75" customHeight="1" x14ac:dyDescent="0.2">
      <c r="A67" s="152"/>
      <c r="B67" s="21" t="s">
        <v>126</v>
      </c>
      <c r="C67" s="22" t="s">
        <v>127</v>
      </c>
      <c r="D67" s="23">
        <v>177.98911472961345</v>
      </c>
      <c r="E67" s="23">
        <v>183.7210827513361</v>
      </c>
      <c r="F67" s="23">
        <v>173.24372902461619</v>
      </c>
      <c r="G67" s="23">
        <v>248.88216555678591</v>
      </c>
      <c r="H67" s="23">
        <v>326.23938835235583</v>
      </c>
      <c r="I67" s="23">
        <v>407.89152709359604</v>
      </c>
      <c r="J67" s="23">
        <v>467.81180622517064</v>
      </c>
      <c r="K67" s="23">
        <v>577.01486529922261</v>
      </c>
      <c r="L67" s="23">
        <v>521.85800013031292</v>
      </c>
      <c r="M67" s="23">
        <v>325.17360252958065</v>
      </c>
      <c r="N67" s="23">
        <v>381.00241862617622</v>
      </c>
      <c r="O67" s="23">
        <v>494.55309096966283</v>
      </c>
      <c r="P67" s="23">
        <v>517.73591810724145</v>
      </c>
      <c r="Q67" s="23">
        <v>513.74217036266111</v>
      </c>
      <c r="R67" s="23">
        <v>525.02833283507732</v>
      </c>
      <c r="S67" s="23">
        <v>544.34634999999992</v>
      </c>
      <c r="T67" s="23">
        <v>582.35966456441884</v>
      </c>
      <c r="U67" s="23">
        <v>630.60829086128547</v>
      </c>
      <c r="V67" s="23">
        <v>674.98623417866747</v>
      </c>
      <c r="W67" s="23">
        <v>688.83656122403193</v>
      </c>
      <c r="X67" s="23">
        <v>667.83465580476786</v>
      </c>
      <c r="Y67" s="23">
        <v>776.69407606249069</v>
      </c>
      <c r="Z67" s="23">
        <v>812.20924129256548</v>
      </c>
      <c r="AA67" s="23">
        <v>721.07016363080186</v>
      </c>
    </row>
    <row r="68" spans="1:27" ht="12.75" customHeight="1" x14ac:dyDescent="0.2">
      <c r="A68" s="152"/>
      <c r="B68" s="21" t="s">
        <v>104</v>
      </c>
      <c r="C68" s="22" t="s">
        <v>105</v>
      </c>
      <c r="D68" s="23">
        <v>238.97839180479568</v>
      </c>
      <c r="E68" s="23">
        <v>252.61648878308714</v>
      </c>
      <c r="F68" s="23">
        <v>268.94691804224686</v>
      </c>
      <c r="G68" s="23">
        <v>307.49740454772984</v>
      </c>
      <c r="H68" s="23">
        <v>383.00593942054428</v>
      </c>
      <c r="I68" s="23">
        <v>329.41856869184454</v>
      </c>
      <c r="J68" s="23">
        <v>246.62139468507729</v>
      </c>
      <c r="K68" s="23">
        <v>212.11365817073604</v>
      </c>
      <c r="L68" s="23">
        <v>193.49042634059464</v>
      </c>
      <c r="M68" s="23">
        <v>201.8200757533435</v>
      </c>
      <c r="N68" s="23">
        <v>232.82542477466558</v>
      </c>
      <c r="O68" s="23">
        <v>205.61148520623814</v>
      </c>
      <c r="P68" s="23">
        <v>208.92459008102281</v>
      </c>
      <c r="Q68" s="23">
        <v>191.34901028740694</v>
      </c>
      <c r="R68" s="23">
        <v>206.43576183358246</v>
      </c>
      <c r="S68" s="23">
        <v>243.80582999999999</v>
      </c>
      <c r="T68" s="23">
        <v>266.58591526984344</v>
      </c>
      <c r="U68" s="23">
        <v>318.00654371207281</v>
      </c>
      <c r="V68" s="23">
        <v>301.74530568787804</v>
      </c>
      <c r="W68" s="23">
        <v>361.75615650379143</v>
      </c>
      <c r="X68" s="23">
        <v>364.60527666102405</v>
      </c>
      <c r="Y68" s="23">
        <v>533.94521983426978</v>
      </c>
      <c r="Z68" s="23">
        <v>470.7909756425023</v>
      </c>
      <c r="AA68" s="23">
        <v>383.79072504243538</v>
      </c>
    </row>
    <row r="69" spans="1:27" ht="12.75" customHeight="1" x14ac:dyDescent="0.2">
      <c r="A69" s="152"/>
      <c r="B69" s="21" t="s">
        <v>106</v>
      </c>
      <c r="C69" s="22" t="s">
        <v>107</v>
      </c>
      <c r="D69" s="23">
        <v>98.578586619478216</v>
      </c>
      <c r="E69" s="23">
        <v>110.95786445113588</v>
      </c>
      <c r="F69" s="23">
        <v>127.13854307451672</v>
      </c>
      <c r="G69" s="23">
        <v>153.05090180968702</v>
      </c>
      <c r="H69" s="23">
        <v>171.42152180275093</v>
      </c>
      <c r="I69" s="23">
        <v>174.78068007662833</v>
      </c>
      <c r="J69" s="23">
        <v>181.36825188670753</v>
      </c>
      <c r="K69" s="23">
        <v>168.3036082903775</v>
      </c>
      <c r="L69" s="23">
        <v>140.20562734834826</v>
      </c>
      <c r="M69" s="23">
        <v>87.889387828068934</v>
      </c>
      <c r="N69" s="23">
        <v>108.4716420212883</v>
      </c>
      <c r="O69" s="23">
        <v>127.70899702250816</v>
      </c>
      <c r="P69" s="23">
        <v>163.78943364926511</v>
      </c>
      <c r="Q69" s="23">
        <v>177.23184192618686</v>
      </c>
      <c r="R69" s="23">
        <v>185.50186148480321</v>
      </c>
      <c r="S69" s="23">
        <v>189.06452099999998</v>
      </c>
      <c r="T69" s="23">
        <v>194.47412156074569</v>
      </c>
      <c r="U69" s="23">
        <v>206.1126473025883</v>
      </c>
      <c r="V69" s="23">
        <v>206.32398234068526</v>
      </c>
      <c r="W69" s="23">
        <v>205.57767128819492</v>
      </c>
      <c r="X69" s="23">
        <v>199.94482913669063</v>
      </c>
      <c r="Y69" s="23">
        <v>213.47582406589191</v>
      </c>
      <c r="Z69" s="23">
        <v>194.60082675579611</v>
      </c>
      <c r="AA69" s="23">
        <v>161.30331931648342</v>
      </c>
    </row>
    <row r="70" spans="1:27" ht="12.75" customHeight="1" x14ac:dyDescent="0.2">
      <c r="A70" s="152"/>
      <c r="B70" s="21" t="s">
        <v>108</v>
      </c>
      <c r="C70" s="22" t="s">
        <v>109</v>
      </c>
      <c r="D70" s="23">
        <v>70.697774242252052</v>
      </c>
      <c r="E70" s="23">
        <v>85.575346439438121</v>
      </c>
      <c r="F70" s="23">
        <v>107.57876721689875</v>
      </c>
      <c r="G70" s="23">
        <v>102.80926838887792</v>
      </c>
      <c r="H70" s="23">
        <v>120.9374348844015</v>
      </c>
      <c r="I70" s="23">
        <v>138.69151204159823</v>
      </c>
      <c r="J70" s="23">
        <v>163.62570550648616</v>
      </c>
      <c r="K70" s="23">
        <v>189.11338198354778</v>
      </c>
      <c r="L70" s="23">
        <v>246.10916534543796</v>
      </c>
      <c r="M70" s="23">
        <v>179.03393816828859</v>
      </c>
      <c r="N70" s="23">
        <v>203.08865063798839</v>
      </c>
      <c r="O70" s="23">
        <v>250.94817914922851</v>
      </c>
      <c r="P70" s="23">
        <v>273.75790756719027</v>
      </c>
      <c r="Q70" s="23">
        <v>308.12254423184697</v>
      </c>
      <c r="R70" s="23">
        <v>292.92180269058298</v>
      </c>
      <c r="S70" s="23">
        <v>289.653593</v>
      </c>
      <c r="T70" s="23">
        <v>298.92236171202831</v>
      </c>
      <c r="U70" s="23">
        <v>340.50218346019375</v>
      </c>
      <c r="V70" s="23">
        <v>340.87086304852636</v>
      </c>
      <c r="W70" s="23">
        <v>336.98776237268362</v>
      </c>
      <c r="X70" s="23">
        <v>330.13203025814636</v>
      </c>
      <c r="Y70" s="23">
        <v>346.67451189622687</v>
      </c>
      <c r="Z70" s="23">
        <v>323.32342262767014</v>
      </c>
      <c r="AA70" s="23">
        <v>271.07872051802985</v>
      </c>
    </row>
    <row r="71" spans="1:27" ht="12.75" customHeight="1" x14ac:dyDescent="0.2">
      <c r="A71" s="152"/>
      <c r="B71" s="21" t="s">
        <v>128</v>
      </c>
      <c r="C71" s="22" t="s">
        <v>129</v>
      </c>
      <c r="D71" s="23">
        <v>82.148822182898513</v>
      </c>
      <c r="E71" s="23">
        <v>86.058822972994278</v>
      </c>
      <c r="F71" s="23">
        <v>91.278954002217134</v>
      </c>
      <c r="G71" s="23">
        <v>140.02529314503283</v>
      </c>
      <c r="H71" s="23">
        <v>198.12199443956683</v>
      </c>
      <c r="I71" s="23">
        <v>171.00390667761357</v>
      </c>
      <c r="J71" s="23">
        <v>198.32224065003018</v>
      </c>
      <c r="K71" s="23">
        <v>164.65277080034761</v>
      </c>
      <c r="L71" s="23">
        <v>136.54229741763132</v>
      </c>
      <c r="M71" s="23">
        <v>45.743599512854594</v>
      </c>
      <c r="N71" s="23">
        <v>75.18673006148488</v>
      </c>
      <c r="O71" s="23">
        <v>105.99846752868179</v>
      </c>
      <c r="P71" s="23">
        <v>108.72764487512768</v>
      </c>
      <c r="Q71" s="23">
        <v>130.27691237691138</v>
      </c>
      <c r="R71" s="23">
        <v>158.60867563527654</v>
      </c>
      <c r="S71" s="23">
        <v>166.217308</v>
      </c>
      <c r="T71" s="23">
        <v>198.8767363345643</v>
      </c>
      <c r="U71" s="23">
        <v>234.88953711024951</v>
      </c>
      <c r="V71" s="23">
        <v>229.68672522510116</v>
      </c>
      <c r="W71" s="23">
        <v>208.19211289092297</v>
      </c>
      <c r="X71" s="23">
        <v>204.94682959514736</v>
      </c>
      <c r="Y71" s="23">
        <v>234.56774680294112</v>
      </c>
      <c r="Z71" s="23">
        <v>224.18101924150454</v>
      </c>
      <c r="AA71" s="23">
        <v>202.73238795127952</v>
      </c>
    </row>
    <row r="72" spans="1:27" ht="12.75" customHeight="1" x14ac:dyDescent="0.2">
      <c r="A72" s="152"/>
      <c r="B72" s="21" t="s">
        <v>130</v>
      </c>
      <c r="C72" s="22" t="s">
        <v>131</v>
      </c>
      <c r="D72" s="23">
        <v>91.85731934996835</v>
      </c>
      <c r="E72" s="23">
        <v>96.211830177673392</v>
      </c>
      <c r="F72" s="23">
        <v>101.05884193102608</v>
      </c>
      <c r="G72" s="23">
        <v>126.76708432565263</v>
      </c>
      <c r="H72" s="23">
        <v>118.6936976880304</v>
      </c>
      <c r="I72" s="23">
        <v>152.95932266009854</v>
      </c>
      <c r="J72" s="23">
        <v>148.05169257273624</v>
      </c>
      <c r="K72" s="23">
        <v>144.02553898167875</v>
      </c>
      <c r="L72" s="23">
        <v>208.4767760571639</v>
      </c>
      <c r="M72" s="23">
        <v>172.52361314398721</v>
      </c>
      <c r="N72" s="23">
        <v>169.97269762214333</v>
      </c>
      <c r="O72" s="23">
        <v>99.613017677556371</v>
      </c>
      <c r="P72" s="23">
        <v>143.1606508127573</v>
      </c>
      <c r="Q72" s="23">
        <v>155.13540449123369</v>
      </c>
      <c r="R72" s="23">
        <v>119.64411659192825</v>
      </c>
      <c r="S72" s="23">
        <v>133.70986399999998</v>
      </c>
      <c r="T72" s="23">
        <v>130.71211449164875</v>
      </c>
      <c r="U72" s="23">
        <v>139.06395480656559</v>
      </c>
      <c r="V72" s="23">
        <v>164.2428972657433</v>
      </c>
      <c r="W72" s="23">
        <v>217.41145959527975</v>
      </c>
      <c r="X72" s="23">
        <v>216.30272252786008</v>
      </c>
      <c r="Y72" s="23">
        <v>246.96724077563064</v>
      </c>
      <c r="Z72" s="23">
        <v>255.27814467519801</v>
      </c>
      <c r="AA72" s="23">
        <v>226.20872562957993</v>
      </c>
    </row>
    <row r="73" spans="1:27" ht="12.75" customHeight="1" x14ac:dyDescent="0.2">
      <c r="A73" s="152"/>
      <c r="B73" s="21" t="s">
        <v>132</v>
      </c>
      <c r="C73" s="22" t="s">
        <v>133</v>
      </c>
      <c r="D73" s="23">
        <v>268.60175495559849</v>
      </c>
      <c r="E73" s="23">
        <v>305.07369267392914</v>
      </c>
      <c r="F73" s="23">
        <v>367.44436075382305</v>
      </c>
      <c r="G73" s="23">
        <v>446.12709676440693</v>
      </c>
      <c r="H73" s="23">
        <v>597.28284167398294</v>
      </c>
      <c r="I73" s="23">
        <v>616.66316776135739</v>
      </c>
      <c r="J73" s="23">
        <v>724.48731052570668</v>
      </c>
      <c r="K73" s="23">
        <v>789.31106534446008</v>
      </c>
      <c r="L73" s="23">
        <v>852.8898138696436</v>
      </c>
      <c r="M73" s="23">
        <v>717.16369872962309</v>
      </c>
      <c r="N73" s="23">
        <v>772.31133283381439</v>
      </c>
      <c r="O73" s="23">
        <v>969.470923647115</v>
      </c>
      <c r="P73" s="23">
        <v>1107.284817066386</v>
      </c>
      <c r="Q73" s="23">
        <v>1194.2817538627812</v>
      </c>
      <c r="R73" s="23">
        <v>1298.8186347782762</v>
      </c>
      <c r="S73" s="23">
        <v>1363.779278</v>
      </c>
      <c r="T73" s="23">
        <v>1369.5168232626752</v>
      </c>
      <c r="U73" s="23">
        <v>1427.1584437606575</v>
      </c>
      <c r="V73" s="23">
        <v>1492.1192774733597</v>
      </c>
      <c r="W73" s="23">
        <v>1501.7902974828376</v>
      </c>
      <c r="X73" s="23">
        <v>1536.1548975525459</v>
      </c>
      <c r="Y73" s="23">
        <v>1693.4896510328958</v>
      </c>
      <c r="Z73" s="23">
        <v>1681.8452299017079</v>
      </c>
      <c r="AA73" s="23">
        <v>1462.8685575415998</v>
      </c>
    </row>
    <row r="74" spans="1:27" ht="12.75" customHeight="1" x14ac:dyDescent="0.2">
      <c r="A74" s="152"/>
      <c r="B74" s="21" t="s">
        <v>134</v>
      </c>
      <c r="C74" s="22" t="s">
        <v>135</v>
      </c>
      <c r="D74" s="23">
        <v>93.848805948341607</v>
      </c>
      <c r="E74" s="23">
        <v>112.16655578502623</v>
      </c>
      <c r="F74" s="23">
        <v>131.79563256442574</v>
      </c>
      <c r="G74" s="23">
        <v>110.71767364956082</v>
      </c>
      <c r="H74" s="23">
        <v>179.05022827041265</v>
      </c>
      <c r="I74" s="23">
        <v>228.49479064039451</v>
      </c>
      <c r="J74" s="23">
        <v>250.16990396112178</v>
      </c>
      <c r="K74" s="23">
        <v>241.1378162164728</v>
      </c>
      <c r="L74" s="23">
        <v>262.26112003996224</v>
      </c>
      <c r="M74" s="23">
        <v>253.902675947755</v>
      </c>
      <c r="N74" s="23">
        <v>258.50718425634187</v>
      </c>
      <c r="O74" s="23">
        <v>251.10781539550732</v>
      </c>
      <c r="P74" s="23">
        <v>307.10518809237152</v>
      </c>
      <c r="Q74" s="23">
        <v>341.88099031302602</v>
      </c>
      <c r="R74" s="23">
        <v>366.72526158445442</v>
      </c>
      <c r="S74" s="23">
        <v>369.54217000000085</v>
      </c>
      <c r="T74" s="23">
        <v>380.44664217894484</v>
      </c>
      <c r="U74" s="23">
        <v>407.11264920787619</v>
      </c>
      <c r="V74" s="23">
        <v>477.38809556589729</v>
      </c>
      <c r="W74" s="23">
        <v>551.37197379638394</v>
      </c>
      <c r="X74" s="23">
        <v>468.43058347439717</v>
      </c>
      <c r="Y74" s="23">
        <v>482.30196658719228</v>
      </c>
      <c r="Z74" s="23">
        <v>488.66911395804107</v>
      </c>
      <c r="AA74" s="23">
        <v>419.202312684964</v>
      </c>
    </row>
    <row r="75" spans="1:27" ht="12.75" customHeight="1" x14ac:dyDescent="0.2">
      <c r="A75" s="153"/>
      <c r="B75" s="28" t="s">
        <v>52</v>
      </c>
      <c r="C75" s="31" t="s">
        <v>58</v>
      </c>
      <c r="D75" s="30">
        <f>SUM(D56:D74)</f>
        <v>5281.6713947107819</v>
      </c>
      <c r="E75" s="30">
        <f t="shared" ref="E75:S75" si="9">SUM(E56:E74)</f>
        <v>5760.1394207879448</v>
      </c>
      <c r="F75" s="30">
        <f t="shared" si="9"/>
        <v>5809.9519931360182</v>
      </c>
      <c r="G75" s="30">
        <f t="shared" si="9"/>
        <v>6520.0149371236148</v>
      </c>
      <c r="H75" s="30">
        <f t="shared" si="9"/>
        <v>7494.9797307579756</v>
      </c>
      <c r="I75" s="30">
        <f t="shared" si="9"/>
        <v>8080.826328680896</v>
      </c>
      <c r="J75" s="30">
        <f t="shared" si="9"/>
        <v>8375.0733096771692</v>
      </c>
      <c r="K75" s="30">
        <f t="shared" si="9"/>
        <v>8451.688789419175</v>
      </c>
      <c r="L75" s="30">
        <f t="shared" si="9"/>
        <v>8547.3813033468705</v>
      </c>
      <c r="M75" s="30">
        <f t="shared" si="9"/>
        <v>6964.848505603286</v>
      </c>
      <c r="N75" s="30">
        <f t="shared" si="9"/>
        <v>7902.7166857659158</v>
      </c>
      <c r="O75" s="30">
        <f t="shared" si="9"/>
        <v>9073.5646022029232</v>
      </c>
      <c r="P75" s="30">
        <f t="shared" si="9"/>
        <v>9625.4210922406182</v>
      </c>
      <c r="Q75" s="30">
        <f t="shared" si="9"/>
        <v>9452.5183502121545</v>
      </c>
      <c r="R75" s="30">
        <f t="shared" si="9"/>
        <v>9681.8525102142485</v>
      </c>
      <c r="S75" s="30">
        <f t="shared" si="9"/>
        <v>9897.5966759999992</v>
      </c>
      <c r="T75" s="30">
        <f t="shared" ref="T75:Y75" si="10">SUM(T56:T74)</f>
        <v>9905.4277981842097</v>
      </c>
      <c r="U75" s="30">
        <f t="shared" si="10"/>
        <v>10320.093847824637</v>
      </c>
      <c r="V75" s="30">
        <f t="shared" si="10"/>
        <v>10679.86976530734</v>
      </c>
      <c r="W75" s="30">
        <f t="shared" si="10"/>
        <v>10842.502133082067</v>
      </c>
      <c r="X75" s="30">
        <f t="shared" si="10"/>
        <v>10505.823233178162</v>
      </c>
      <c r="Y75" s="30">
        <f t="shared" si="10"/>
        <v>11533.063352618503</v>
      </c>
      <c r="Z75" s="30">
        <f t="shared" ref="Z75:AA75" si="11">SUM(Z56:Z74)</f>
        <v>11956.682200725001</v>
      </c>
      <c r="AA75" s="30">
        <f t="shared" si="11"/>
        <v>10756.8</v>
      </c>
    </row>
  </sheetData>
  <mergeCells count="4">
    <mergeCell ref="A56:A75"/>
    <mergeCell ref="A6:A16"/>
    <mergeCell ref="A18:A39"/>
    <mergeCell ref="A41:A54"/>
  </mergeCells>
  <pageMargins left="0.75" right="0.75" top="1" bottom="1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pageSetUpPr fitToPage="1"/>
  </sheetPr>
  <dimension ref="A1:AA122"/>
  <sheetViews>
    <sheetView showGridLines="0" zoomScaleNormal="100" workbookViewId="0">
      <pane xSplit="3" ySplit="1" topLeftCell="D2" activePane="bottomRight" state="frozen"/>
      <selection pane="topRight" activeCell="D1" sqref="D1"/>
      <selection pane="bottomLeft" activeCell="A3" sqref="A3"/>
      <selection pane="bottomRight" activeCell="D2" sqref="D2"/>
    </sheetView>
  </sheetViews>
  <sheetFormatPr defaultColWidth="9.140625" defaultRowHeight="11.25" x14ac:dyDescent="0.25"/>
  <cols>
    <col min="1" max="1" width="35.28515625" style="1" customWidth="1"/>
    <col min="2" max="2" width="14.5703125" style="1" hidden="1" customWidth="1"/>
    <col min="3" max="3" width="7.7109375" style="1" hidden="1" customWidth="1"/>
    <col min="4" max="27" width="9.28515625" style="1" customWidth="1"/>
    <col min="28" max="16384" width="9.140625" style="1"/>
  </cols>
  <sheetData>
    <row r="1" spans="1:27" x14ac:dyDescent="0.2">
      <c r="A1" s="14" t="s">
        <v>279</v>
      </c>
      <c r="B1" s="15" t="s">
        <v>245</v>
      </c>
      <c r="C1" s="39"/>
      <c r="D1" s="32">
        <v>2000</v>
      </c>
      <c r="E1" s="32">
        <v>2001</v>
      </c>
      <c r="F1" s="32">
        <v>2002</v>
      </c>
      <c r="G1" s="32">
        <v>2003</v>
      </c>
      <c r="H1" s="32">
        <v>2004</v>
      </c>
      <c r="I1" s="32">
        <v>2005</v>
      </c>
      <c r="J1" s="32">
        <v>2006</v>
      </c>
      <c r="K1" s="32">
        <v>2007</v>
      </c>
      <c r="L1" s="32">
        <v>2008</v>
      </c>
      <c r="M1" s="32">
        <v>2009</v>
      </c>
      <c r="N1" s="32">
        <v>2010</v>
      </c>
      <c r="O1" s="32">
        <v>2011</v>
      </c>
      <c r="P1" s="32">
        <v>2012</v>
      </c>
      <c r="Q1" s="32">
        <v>2013</v>
      </c>
      <c r="R1" s="32">
        <v>2014</v>
      </c>
      <c r="S1" s="32">
        <v>2015</v>
      </c>
      <c r="T1" s="32">
        <v>2016</v>
      </c>
      <c r="U1" s="32">
        <v>2017</v>
      </c>
      <c r="V1" s="32">
        <v>2018</v>
      </c>
      <c r="W1" s="32">
        <v>2019</v>
      </c>
      <c r="X1" s="32">
        <v>2020</v>
      </c>
      <c r="Y1" s="32">
        <v>2021</v>
      </c>
      <c r="Z1" s="32">
        <v>2022</v>
      </c>
      <c r="AA1" s="32">
        <v>2023</v>
      </c>
    </row>
    <row r="2" spans="1:27" x14ac:dyDescent="0.2">
      <c r="A2" s="49" t="s">
        <v>237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</row>
    <row r="3" spans="1:27" x14ac:dyDescent="0.25">
      <c r="A3" s="40" t="s">
        <v>238</v>
      </c>
      <c r="B3" s="41"/>
      <c r="C3" s="41"/>
      <c r="D3" s="42">
        <v>3512074</v>
      </c>
      <c r="E3" s="42">
        <v>3486998</v>
      </c>
      <c r="F3" s="42">
        <v>3454637</v>
      </c>
      <c r="G3" s="42">
        <v>3431497</v>
      </c>
      <c r="H3" s="42">
        <v>3398929</v>
      </c>
      <c r="I3" s="42">
        <v>3355220</v>
      </c>
      <c r="J3" s="42">
        <v>3289835</v>
      </c>
      <c r="K3" s="42">
        <v>3249983</v>
      </c>
      <c r="L3" s="42">
        <v>3212605</v>
      </c>
      <c r="M3" s="42">
        <v>3183856</v>
      </c>
      <c r="N3" s="42">
        <v>3141976</v>
      </c>
      <c r="O3" s="42">
        <v>3052588</v>
      </c>
      <c r="P3" s="42">
        <v>3003641</v>
      </c>
      <c r="Q3" s="42">
        <v>2974637</v>
      </c>
      <c r="R3" s="42">
        <v>2947862</v>
      </c>
      <c r="S3" s="42">
        <v>2926644</v>
      </c>
      <c r="T3" s="42">
        <v>2895573</v>
      </c>
      <c r="U3" s="42">
        <v>2859077</v>
      </c>
      <c r="V3" s="42">
        <v>2826200</v>
      </c>
      <c r="W3" s="42">
        <v>2812200</v>
      </c>
      <c r="X3" s="42">
        <v>2809977</v>
      </c>
      <c r="Y3" s="42">
        <v>2810761</v>
      </c>
      <c r="Z3" s="42">
        <v>2805998</v>
      </c>
      <c r="AA3" s="42">
        <v>2857279</v>
      </c>
    </row>
    <row r="4" spans="1:27" x14ac:dyDescent="0.25">
      <c r="A4" s="43" t="s">
        <v>239</v>
      </c>
      <c r="B4" s="44"/>
      <c r="C4" s="44"/>
      <c r="D4" s="45">
        <v>1369971</v>
      </c>
      <c r="E4" s="45">
        <v>1365154</v>
      </c>
      <c r="F4" s="45">
        <v>1357439</v>
      </c>
      <c r="G4" s="45">
        <v>1353304</v>
      </c>
      <c r="H4" s="45">
        <v>1345406</v>
      </c>
      <c r="I4" s="45">
        <v>1333023</v>
      </c>
      <c r="J4" s="45">
        <v>1293683</v>
      </c>
      <c r="K4" s="45">
        <v>1274503</v>
      </c>
      <c r="L4" s="45">
        <v>1310198</v>
      </c>
      <c r="M4" s="45">
        <v>1297415</v>
      </c>
      <c r="N4" s="45">
        <v>1315735</v>
      </c>
      <c r="O4" s="45">
        <v>1302299</v>
      </c>
      <c r="P4" s="45">
        <v>1295231</v>
      </c>
      <c r="Q4" s="45">
        <v>1308683</v>
      </c>
      <c r="R4" s="45">
        <v>1302059</v>
      </c>
      <c r="S4" s="45">
        <v>1310047</v>
      </c>
      <c r="T4" s="45">
        <v>1319168</v>
      </c>
      <c r="U4" s="45">
        <v>1317547</v>
      </c>
      <c r="V4" s="45">
        <v>1301197</v>
      </c>
      <c r="W4" s="45">
        <v>1301944</v>
      </c>
      <c r="X4" s="45">
        <v>1293728</v>
      </c>
      <c r="Y4" s="45">
        <v>1340372</v>
      </c>
      <c r="Z4" s="45">
        <v>1371120</v>
      </c>
      <c r="AA4" s="45">
        <v>1398570</v>
      </c>
    </row>
    <row r="5" spans="1:27" x14ac:dyDescent="0.25">
      <c r="A5" s="46" t="s">
        <v>240</v>
      </c>
      <c r="B5" s="47"/>
      <c r="C5" s="47"/>
      <c r="D5" s="48">
        <f>D3/D4</f>
        <v>2.563611930471521</v>
      </c>
      <c r="E5" s="48">
        <f t="shared" ref="E5:S5" si="0">E3/E4</f>
        <v>2.5542891131696499</v>
      </c>
      <c r="F5" s="48">
        <f t="shared" si="0"/>
        <v>2.5449666614853412</v>
      </c>
      <c r="G5" s="48">
        <f t="shared" si="0"/>
        <v>2.5356438760248992</v>
      </c>
      <c r="H5" s="48">
        <f t="shared" si="0"/>
        <v>2.5263221659484199</v>
      </c>
      <c r="I5" s="48">
        <f t="shared" si="0"/>
        <v>2.5170008319436348</v>
      </c>
      <c r="J5" s="48">
        <f t="shared" si="0"/>
        <v>2.5429993282743917</v>
      </c>
      <c r="K5" s="48">
        <f t="shared" si="0"/>
        <v>2.5500002746168509</v>
      </c>
      <c r="L5" s="48">
        <f t="shared" si="0"/>
        <v>2.4519996214312645</v>
      </c>
      <c r="M5" s="48">
        <f t="shared" si="0"/>
        <v>2.4539996839870049</v>
      </c>
      <c r="N5" s="48">
        <f t="shared" si="0"/>
        <v>2.3880006232258015</v>
      </c>
      <c r="O5" s="48">
        <f t="shared" si="0"/>
        <v>2.3439993427008696</v>
      </c>
      <c r="P5" s="48">
        <f t="shared" si="0"/>
        <v>2.3190002401116097</v>
      </c>
      <c r="Q5" s="48">
        <f t="shared" si="0"/>
        <v>2.2730004133927011</v>
      </c>
      <c r="R5" s="48">
        <f t="shared" si="0"/>
        <v>2.2640003256380856</v>
      </c>
      <c r="S5" s="48">
        <f t="shared" si="0"/>
        <v>2.2339992381952709</v>
      </c>
      <c r="T5" s="48">
        <f t="shared" ref="T5:Y5" si="1">T3/T4</f>
        <v>2.1949994238792936</v>
      </c>
      <c r="U5" s="48">
        <f t="shared" si="1"/>
        <v>2.170000007589862</v>
      </c>
      <c r="V5" s="48">
        <f t="shared" si="1"/>
        <v>2.1720000891486837</v>
      </c>
      <c r="W5" s="48">
        <f t="shared" si="1"/>
        <v>2.1600007373589034</v>
      </c>
      <c r="X5" s="48">
        <f t="shared" si="1"/>
        <v>2.1719998330406391</v>
      </c>
      <c r="Y5" s="48">
        <f t="shared" si="1"/>
        <v>2.0970006833923716</v>
      </c>
      <c r="Z5" s="48">
        <f t="shared" ref="Z5:AA5" si="2">Z3/Z4</f>
        <v>2.046500670984305</v>
      </c>
      <c r="AA5" s="48">
        <f t="shared" si="2"/>
        <v>2.0430003503578655</v>
      </c>
    </row>
    <row r="6" spans="1:27" x14ac:dyDescent="0.25">
      <c r="A6" s="35"/>
      <c r="B6" s="34"/>
      <c r="C6" s="34"/>
      <c r="D6" s="34"/>
      <c r="E6" s="34"/>
      <c r="F6" s="34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</row>
    <row r="7" spans="1:27" x14ac:dyDescent="0.2">
      <c r="A7" s="49" t="s">
        <v>248</v>
      </c>
      <c r="B7" s="50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  <c r="AA7" s="50"/>
    </row>
    <row r="8" spans="1:27" x14ac:dyDescent="0.25">
      <c r="A8" s="40" t="s">
        <v>249</v>
      </c>
      <c r="B8" s="41"/>
      <c r="C8" s="41"/>
      <c r="D8" s="42">
        <v>4675.03</v>
      </c>
      <c r="E8" s="42">
        <v>4206.37</v>
      </c>
      <c r="F8" s="42">
        <v>4146.53</v>
      </c>
      <c r="G8" s="42">
        <v>3822.38</v>
      </c>
      <c r="H8" s="42">
        <v>4120.29</v>
      </c>
      <c r="I8" s="42">
        <v>4682.82</v>
      </c>
      <c r="J8" s="42">
        <v>4337.42</v>
      </c>
      <c r="K8" s="42">
        <v>4817.4399999999996</v>
      </c>
      <c r="L8" s="42">
        <v>4144.7700000000004</v>
      </c>
      <c r="M8" s="42">
        <v>3607.06</v>
      </c>
      <c r="N8" s="42">
        <v>3622.81</v>
      </c>
      <c r="O8" s="42">
        <v>3961.47</v>
      </c>
      <c r="P8" s="42">
        <v>3891.86</v>
      </c>
      <c r="Q8" s="42">
        <v>4218.46</v>
      </c>
      <c r="R8" s="42">
        <v>4132.8100000000004</v>
      </c>
      <c r="S8" s="42">
        <v>3986.46</v>
      </c>
      <c r="T8" s="42">
        <v>4607.75</v>
      </c>
      <c r="U8" s="42">
        <v>4138.5200000000004</v>
      </c>
      <c r="V8" s="42">
        <v>4072.79</v>
      </c>
      <c r="W8" s="42">
        <v>3816.55</v>
      </c>
      <c r="X8" s="42">
        <v>3566.72</v>
      </c>
      <c r="Y8" s="42">
        <v>4011.72</v>
      </c>
      <c r="Z8" s="42">
        <v>3834.5</v>
      </c>
      <c r="AA8" s="42">
        <v>4085.35</v>
      </c>
    </row>
    <row r="9" spans="1:27" x14ac:dyDescent="0.25">
      <c r="A9" s="43" t="s">
        <v>259</v>
      </c>
      <c r="B9" s="44"/>
      <c r="C9" s="44"/>
      <c r="D9" s="45">
        <f t="shared" ref="D9:W9" si="3">AVERAGE($D8:$X8)</f>
        <v>4122.6814285714281</v>
      </c>
      <c r="E9" s="45">
        <f t="shared" si="3"/>
        <v>4122.6814285714281</v>
      </c>
      <c r="F9" s="45">
        <f t="shared" si="3"/>
        <v>4122.6814285714281</v>
      </c>
      <c r="G9" s="45">
        <f t="shared" si="3"/>
        <v>4122.6814285714281</v>
      </c>
      <c r="H9" s="45">
        <f t="shared" si="3"/>
        <v>4122.6814285714281</v>
      </c>
      <c r="I9" s="45">
        <f t="shared" si="3"/>
        <v>4122.6814285714281</v>
      </c>
      <c r="J9" s="45">
        <f t="shared" si="3"/>
        <v>4122.6814285714281</v>
      </c>
      <c r="K9" s="45">
        <f t="shared" si="3"/>
        <v>4122.6814285714281</v>
      </c>
      <c r="L9" s="45">
        <f t="shared" si="3"/>
        <v>4122.6814285714281</v>
      </c>
      <c r="M9" s="45">
        <f t="shared" si="3"/>
        <v>4122.6814285714281</v>
      </c>
      <c r="N9" s="45">
        <f t="shared" si="3"/>
        <v>4122.6814285714281</v>
      </c>
      <c r="O9" s="45">
        <f t="shared" si="3"/>
        <v>4122.6814285714281</v>
      </c>
      <c r="P9" s="45">
        <f t="shared" si="3"/>
        <v>4122.6814285714281</v>
      </c>
      <c r="Q9" s="45">
        <f t="shared" si="3"/>
        <v>4122.6814285714281</v>
      </c>
      <c r="R9" s="45">
        <f t="shared" si="3"/>
        <v>4122.6814285714281</v>
      </c>
      <c r="S9" s="45">
        <f t="shared" si="3"/>
        <v>4122.6814285714281</v>
      </c>
      <c r="T9" s="45">
        <f t="shared" si="3"/>
        <v>4122.6814285714281</v>
      </c>
      <c r="U9" s="45">
        <f t="shared" si="3"/>
        <v>4122.6814285714281</v>
      </c>
      <c r="V9" s="45">
        <f t="shared" si="3"/>
        <v>4122.6814285714281</v>
      </c>
      <c r="W9" s="45">
        <f t="shared" si="3"/>
        <v>4122.6814285714281</v>
      </c>
      <c r="X9" s="45">
        <f>AVERAGE($D8:$X8)</f>
        <v>4122.6814285714281</v>
      </c>
      <c r="Y9" s="45">
        <f t="shared" ref="Y9:AA9" si="4">AVERAGE($D8:$X8)</f>
        <v>4122.6814285714281</v>
      </c>
      <c r="Z9" s="45">
        <f t="shared" si="4"/>
        <v>4122.6814285714281</v>
      </c>
      <c r="AA9" s="45">
        <f t="shared" si="4"/>
        <v>4122.6814285714281</v>
      </c>
    </row>
    <row r="10" spans="1:27" x14ac:dyDescent="0.25">
      <c r="A10" s="51" t="s">
        <v>250</v>
      </c>
      <c r="B10" s="52"/>
      <c r="C10" s="52"/>
      <c r="D10" s="53">
        <f t="shared" ref="D10:S10" si="5">IF(D8=0,0,D8/D9)</f>
        <v>1.1339779900529372</v>
      </c>
      <c r="E10" s="53">
        <f t="shared" si="5"/>
        <v>1.0202995484561539</v>
      </c>
      <c r="F10" s="53">
        <f t="shared" si="5"/>
        <v>1.0057847233267392</v>
      </c>
      <c r="G10" s="53">
        <f t="shared" si="5"/>
        <v>0.9271587111994033</v>
      </c>
      <c r="H10" s="53">
        <f t="shared" si="5"/>
        <v>0.99941993369779802</v>
      </c>
      <c r="I10" s="53">
        <f t="shared" si="5"/>
        <v>1.1358675369740292</v>
      </c>
      <c r="J10" s="53">
        <f t="shared" si="5"/>
        <v>1.0520871125138045</v>
      </c>
      <c r="K10" s="53">
        <f t="shared" si="5"/>
        <v>1.1685210423036048</v>
      </c>
      <c r="L10" s="53">
        <f t="shared" si="5"/>
        <v>1.0053578167052859</v>
      </c>
      <c r="M10" s="53">
        <f t="shared" si="5"/>
        <v>0.87493056703386884</v>
      </c>
      <c r="N10" s="53">
        <f t="shared" si="5"/>
        <v>0.8787508961747158</v>
      </c>
      <c r="O10" s="53">
        <f t="shared" si="5"/>
        <v>0.96089646232323833</v>
      </c>
      <c r="P10" s="53">
        <f t="shared" si="5"/>
        <v>0.94401182032359676</v>
      </c>
      <c r="Q10" s="53">
        <f t="shared" si="5"/>
        <v>1.0232321058728422</v>
      </c>
      <c r="R10" s="53">
        <f t="shared" si="5"/>
        <v>1.0024567921640459</v>
      </c>
      <c r="S10" s="53">
        <f t="shared" si="5"/>
        <v>0.96695805122671563</v>
      </c>
      <c r="T10" s="53">
        <f t="shared" ref="T10:Y10" si="6">IF(T8=0,0,T8/T9)</f>
        <v>1.1176585142055606</v>
      </c>
      <c r="U10" s="53">
        <f t="shared" si="6"/>
        <v>1.0038418130779658</v>
      </c>
      <c r="V10" s="53">
        <f t="shared" si="6"/>
        <v>0.98789830613016438</v>
      </c>
      <c r="W10" s="53">
        <f t="shared" si="6"/>
        <v>0.92574458301583895</v>
      </c>
      <c r="X10" s="53">
        <f t="shared" si="6"/>
        <v>0.86514567322169311</v>
      </c>
      <c r="Y10" s="53">
        <f t="shared" si="6"/>
        <v>0.97308513148689291</v>
      </c>
      <c r="Z10" s="53">
        <f t="shared" ref="Z10:AA10" si="7">IF(Z8=0,0,Z8/Z9)</f>
        <v>0.93009854543350268</v>
      </c>
      <c r="AA10" s="53">
        <f t="shared" si="7"/>
        <v>0.99094486701962703</v>
      </c>
    </row>
    <row r="11" spans="1:27" x14ac:dyDescent="0.25">
      <c r="A11" s="43" t="s">
        <v>251</v>
      </c>
      <c r="B11" s="44"/>
      <c r="C11" s="44"/>
      <c r="D11" s="45">
        <v>0</v>
      </c>
      <c r="E11" s="45">
        <v>0</v>
      </c>
      <c r="F11" s="45">
        <v>0.04</v>
      </c>
      <c r="G11" s="45">
        <v>0.09</v>
      </c>
      <c r="H11" s="45">
        <v>0.85</v>
      </c>
      <c r="I11" s="45">
        <v>0.3</v>
      </c>
      <c r="J11" s="45">
        <v>2.98</v>
      </c>
      <c r="K11" s="45">
        <v>0.08</v>
      </c>
      <c r="L11" s="45">
        <v>0.45</v>
      </c>
      <c r="M11" s="45">
        <v>3.93</v>
      </c>
      <c r="N11" s="45">
        <v>0</v>
      </c>
      <c r="O11" s="45">
        <v>0.7</v>
      </c>
      <c r="P11" s="45">
        <v>16.399999999999999</v>
      </c>
      <c r="Q11" s="45">
        <v>0</v>
      </c>
      <c r="R11" s="45">
        <v>14.95</v>
      </c>
      <c r="S11" s="45">
        <v>0.28000000000000003</v>
      </c>
      <c r="T11" s="45">
        <v>0</v>
      </c>
      <c r="U11" s="45">
        <v>6.85</v>
      </c>
      <c r="V11" s="45">
        <v>7.5</v>
      </c>
      <c r="W11" s="45">
        <v>8.3800000000000008</v>
      </c>
      <c r="X11" s="45">
        <v>0</v>
      </c>
      <c r="Y11" s="45">
        <v>12.94</v>
      </c>
      <c r="Z11" s="45">
        <v>23</v>
      </c>
      <c r="AA11" s="45">
        <v>4.91</v>
      </c>
    </row>
    <row r="12" spans="1:27" x14ac:dyDescent="0.25">
      <c r="A12" s="43" t="s">
        <v>260</v>
      </c>
      <c r="B12" s="44"/>
      <c r="C12" s="44"/>
      <c r="D12" s="45">
        <f t="shared" ref="D12" si="8">AVERAGE($D11:$X11)</f>
        <v>3.0371428571428574</v>
      </c>
      <c r="E12" s="45">
        <f t="shared" ref="E12" si="9">AVERAGE($D11:$X11)</f>
        <v>3.0371428571428574</v>
      </c>
      <c r="F12" s="45">
        <f t="shared" ref="F12" si="10">AVERAGE($D11:$X11)</f>
        <v>3.0371428571428574</v>
      </c>
      <c r="G12" s="45">
        <f t="shared" ref="G12" si="11">AVERAGE($D11:$X11)</f>
        <v>3.0371428571428574</v>
      </c>
      <c r="H12" s="45">
        <f t="shared" ref="H12" si="12">AVERAGE($D11:$X11)</f>
        <v>3.0371428571428574</v>
      </c>
      <c r="I12" s="45">
        <f t="shared" ref="I12" si="13">AVERAGE($D11:$X11)</f>
        <v>3.0371428571428574</v>
      </c>
      <c r="J12" s="45">
        <f t="shared" ref="J12" si="14">AVERAGE($D11:$X11)</f>
        <v>3.0371428571428574</v>
      </c>
      <c r="K12" s="45">
        <f t="shared" ref="K12" si="15">AVERAGE($D11:$X11)</f>
        <v>3.0371428571428574</v>
      </c>
      <c r="L12" s="45">
        <f t="shared" ref="L12" si="16">AVERAGE($D11:$X11)</f>
        <v>3.0371428571428574</v>
      </c>
      <c r="M12" s="45">
        <f t="shared" ref="M12" si="17">AVERAGE($D11:$X11)</f>
        <v>3.0371428571428574</v>
      </c>
      <c r="N12" s="45">
        <f t="shared" ref="N12" si="18">AVERAGE($D11:$X11)</f>
        <v>3.0371428571428574</v>
      </c>
      <c r="O12" s="45">
        <f t="shared" ref="O12" si="19">AVERAGE($D11:$X11)</f>
        <v>3.0371428571428574</v>
      </c>
      <c r="P12" s="45">
        <f t="shared" ref="P12" si="20">AVERAGE($D11:$X11)</f>
        <v>3.0371428571428574</v>
      </c>
      <c r="Q12" s="45">
        <f t="shared" ref="Q12" si="21">AVERAGE($D11:$X11)</f>
        <v>3.0371428571428574</v>
      </c>
      <c r="R12" s="45">
        <f t="shared" ref="R12" si="22">AVERAGE($D11:$X11)</f>
        <v>3.0371428571428574</v>
      </c>
      <c r="S12" s="45">
        <f t="shared" ref="S12" si="23">AVERAGE($D11:$X11)</f>
        <v>3.0371428571428574</v>
      </c>
      <c r="T12" s="45">
        <f t="shared" ref="T12" si="24">AVERAGE($D11:$X11)</f>
        <v>3.0371428571428574</v>
      </c>
      <c r="U12" s="45">
        <f t="shared" ref="U12" si="25">AVERAGE($D11:$X11)</f>
        <v>3.0371428571428574</v>
      </c>
      <c r="V12" s="45">
        <f t="shared" ref="V12" si="26">AVERAGE($D11:$X11)</f>
        <v>3.0371428571428574</v>
      </c>
      <c r="W12" s="45">
        <f t="shared" ref="W12" si="27">AVERAGE($D11:$X11)</f>
        <v>3.0371428571428574</v>
      </c>
      <c r="X12" s="45">
        <f>AVERAGE($D11:$X11)</f>
        <v>3.0371428571428574</v>
      </c>
      <c r="Y12" s="45">
        <f t="shared" ref="Y12:AA12" si="28">AVERAGE($D11:$X11)</f>
        <v>3.0371428571428574</v>
      </c>
      <c r="Z12" s="45">
        <f t="shared" si="28"/>
        <v>3.0371428571428574</v>
      </c>
      <c r="AA12" s="45">
        <f t="shared" si="28"/>
        <v>3.0371428571428574</v>
      </c>
    </row>
    <row r="13" spans="1:27" x14ac:dyDescent="0.25">
      <c r="A13" s="54" t="s">
        <v>252</v>
      </c>
      <c r="B13" s="47"/>
      <c r="C13" s="47"/>
      <c r="D13" s="55">
        <f t="shared" ref="D13:E13" si="29">IF(D11=0,0,D11/D12)</f>
        <v>0</v>
      </c>
      <c r="E13" s="55">
        <f t="shared" si="29"/>
        <v>0</v>
      </c>
      <c r="F13" s="55">
        <f t="shared" ref="F13" si="30">IF(F11=0,0,F11/F12)</f>
        <v>1.3170272812793978E-2</v>
      </c>
      <c r="G13" s="55">
        <f t="shared" ref="G13" si="31">IF(G11=0,0,G11/G12)</f>
        <v>2.9633113828786452E-2</v>
      </c>
      <c r="H13" s="55">
        <f t="shared" ref="H13" si="32">IF(H11=0,0,H11/H12)</f>
        <v>0.27986829727187201</v>
      </c>
      <c r="I13" s="55">
        <f t="shared" ref="I13" si="33">IF(I11=0,0,I11/I12)</f>
        <v>9.8777046095954835E-2</v>
      </c>
      <c r="J13" s="55">
        <f t="shared" ref="J13" si="34">IF(J11=0,0,J11/J12)</f>
        <v>0.98118532455315133</v>
      </c>
      <c r="K13" s="55">
        <f t="shared" ref="K13" si="35">IF(K11=0,0,K11/K12)</f>
        <v>2.6340545625587956E-2</v>
      </c>
      <c r="L13" s="55">
        <f t="shared" ref="L13" si="36">IF(L11=0,0,L11/L12)</f>
        <v>0.14816556914393225</v>
      </c>
      <c r="M13" s="55">
        <f t="shared" ref="M13" si="37">IF(M11=0,0,M11/M12)</f>
        <v>1.2939793038570084</v>
      </c>
      <c r="N13" s="55">
        <f t="shared" ref="N13" si="38">IF(N11=0,0,N11/N12)</f>
        <v>0</v>
      </c>
      <c r="O13" s="55">
        <f t="shared" ref="O13" si="39">IF(O11=0,0,O11/O12)</f>
        <v>0.2304797742238946</v>
      </c>
      <c r="P13" s="55">
        <f t="shared" ref="P13" si="40">IF(P11=0,0,P11/P12)</f>
        <v>5.3998118532455308</v>
      </c>
      <c r="Q13" s="55">
        <f t="shared" ref="Q13" si="41">IF(Q11=0,0,Q11/Q12)</f>
        <v>0</v>
      </c>
      <c r="R13" s="55">
        <f t="shared" ref="R13" si="42">IF(R11=0,0,R11/R12)</f>
        <v>4.9223894637817489</v>
      </c>
      <c r="S13" s="55">
        <f t="shared" ref="S13:Y13" si="43">IF(S11=0,0,S11/S12)</f>
        <v>9.2191909689557858E-2</v>
      </c>
      <c r="T13" s="55">
        <f t="shared" si="43"/>
        <v>0</v>
      </c>
      <c r="U13" s="55">
        <f t="shared" si="43"/>
        <v>2.2554092191909687</v>
      </c>
      <c r="V13" s="55">
        <f t="shared" si="43"/>
        <v>2.4694261523988708</v>
      </c>
      <c r="W13" s="55">
        <f t="shared" si="43"/>
        <v>2.7591721542803387</v>
      </c>
      <c r="X13" s="55">
        <f t="shared" si="43"/>
        <v>0</v>
      </c>
      <c r="Y13" s="55">
        <f t="shared" si="43"/>
        <v>4.2605832549388518</v>
      </c>
      <c r="Z13" s="55">
        <f t="shared" ref="Z13:AA13" si="44">IF(Z11=0,0,Z11/Z12)</f>
        <v>7.5729068673565374</v>
      </c>
      <c r="AA13" s="55">
        <f t="shared" si="44"/>
        <v>1.6166509877704609</v>
      </c>
    </row>
    <row r="14" spans="1:27" x14ac:dyDescent="0.25">
      <c r="A14" s="35"/>
      <c r="B14" s="34"/>
      <c r="C14" s="34"/>
      <c r="D14" s="34"/>
      <c r="E14" s="34"/>
      <c r="F14" s="34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</row>
    <row r="15" spans="1:27" x14ac:dyDescent="0.2">
      <c r="A15" s="49" t="s">
        <v>274</v>
      </c>
      <c r="B15" s="50"/>
      <c r="C15" s="50"/>
      <c r="D15" s="56"/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</row>
    <row r="16" spans="1:27" x14ac:dyDescent="0.25">
      <c r="A16" s="40" t="s">
        <v>139</v>
      </c>
      <c r="B16" s="41"/>
      <c r="C16" s="41"/>
      <c r="D16" s="42">
        <v>30726.029437626825</v>
      </c>
      <c r="E16" s="42">
        <v>32718.688774902897</v>
      </c>
      <c r="F16" s="42">
        <v>34917.125269887219</v>
      </c>
      <c r="G16" s="42">
        <v>38601.881147590713</v>
      </c>
      <c r="H16" s="42">
        <v>41111.854833963538</v>
      </c>
      <c r="I16" s="42">
        <v>44290.328934993078</v>
      </c>
      <c r="J16" s="42">
        <v>47565.586839678384</v>
      </c>
      <c r="K16" s="42">
        <v>52835.136752534279</v>
      </c>
      <c r="L16" s="42">
        <v>54208.465272780631</v>
      </c>
      <c r="M16" s="42">
        <v>46164.605961527675</v>
      </c>
      <c r="N16" s="42">
        <v>46361.496982876975</v>
      </c>
      <c r="O16" s="42">
        <v>49293.188619678476</v>
      </c>
      <c r="P16" s="42">
        <v>51453.745014455992</v>
      </c>
      <c r="Q16" s="42">
        <v>53536.012535589602</v>
      </c>
      <c r="R16" s="42">
        <v>55555.968167636638</v>
      </c>
      <c r="S16" s="42">
        <v>57129.640908999987</v>
      </c>
      <c r="T16" s="42">
        <v>58656.402813233377</v>
      </c>
      <c r="U16" s="42">
        <v>61361.386459799847</v>
      </c>
      <c r="V16" s="42">
        <v>64379.353025224751</v>
      </c>
      <c r="W16" s="42">
        <v>67390.766812571746</v>
      </c>
      <c r="X16" s="42">
        <v>67419.629927655347</v>
      </c>
      <c r="Y16" s="42">
        <v>71720.711054259562</v>
      </c>
      <c r="Z16" s="42">
        <v>73540.717617764938</v>
      </c>
      <c r="AA16" s="42">
        <v>73792.800000000003</v>
      </c>
    </row>
    <row r="17" spans="1:27" x14ac:dyDescent="0.25">
      <c r="A17" s="46" t="s">
        <v>141</v>
      </c>
      <c r="B17" s="47"/>
      <c r="C17" s="47"/>
      <c r="D17" s="57">
        <v>18688.775381872947</v>
      </c>
      <c r="E17" s="57">
        <v>19469.289807767866</v>
      </c>
      <c r="F17" s="57">
        <v>20644.071174502802</v>
      </c>
      <c r="G17" s="57">
        <v>22988.243014216379</v>
      </c>
      <c r="H17" s="57">
        <v>25489.213159668929</v>
      </c>
      <c r="I17" s="57">
        <v>28458.98977414516</v>
      </c>
      <c r="J17" s="57">
        <v>31070.659362645903</v>
      </c>
      <c r="K17" s="57">
        <v>34959.576530625163</v>
      </c>
      <c r="L17" s="57">
        <v>36318.927963459893</v>
      </c>
      <c r="M17" s="57">
        <v>30005.602482929182</v>
      </c>
      <c r="N17" s="57">
        <v>28705.116368476647</v>
      </c>
      <c r="O17" s="57">
        <v>29833.491247185673</v>
      </c>
      <c r="P17" s="57">
        <v>30723.726341497524</v>
      </c>
      <c r="Q17" s="57">
        <v>31842.932347526574</v>
      </c>
      <c r="R17" s="57">
        <v>33133.69094256332</v>
      </c>
      <c r="S17" s="57">
        <v>34519.612808999998</v>
      </c>
      <c r="T17" s="57">
        <v>35826.538446475199</v>
      </c>
      <c r="U17" s="57">
        <v>36939.538169881074</v>
      </c>
      <c r="V17" s="57">
        <v>38251.063790668726</v>
      </c>
      <c r="W17" s="57">
        <v>39329.725553272358</v>
      </c>
      <c r="X17" s="57">
        <v>38077.778152657353</v>
      </c>
      <c r="Y17" s="57">
        <v>41147.431484311943</v>
      </c>
      <c r="Z17" s="57">
        <v>41966.651354463938</v>
      </c>
      <c r="AA17" s="57">
        <v>41822.699999999997</v>
      </c>
    </row>
    <row r="18" spans="1:27" x14ac:dyDescent="0.25">
      <c r="A18" s="35"/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</row>
    <row r="19" spans="1:27" x14ac:dyDescent="0.2">
      <c r="A19" s="49" t="s">
        <v>275</v>
      </c>
      <c r="B19" s="50"/>
      <c r="C19" s="50"/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  <c r="AA19" s="56"/>
    </row>
    <row r="20" spans="1:27" x14ac:dyDescent="0.25">
      <c r="A20" s="40" t="s">
        <v>139</v>
      </c>
      <c r="B20" s="41"/>
      <c r="C20" s="41"/>
      <c r="D20" s="42">
        <f>1000000*D16/D$3</f>
        <v>8748.6850896726046</v>
      </c>
      <c r="E20" s="42">
        <f t="shared" ref="E20:S20" si="45">1000000*E16/E$3</f>
        <v>9383.0534961313133</v>
      </c>
      <c r="F20" s="42">
        <f t="shared" si="45"/>
        <v>10107.321049906899</v>
      </c>
      <c r="G20" s="42">
        <f t="shared" si="45"/>
        <v>11249.28308187089</v>
      </c>
      <c r="H20" s="42">
        <f t="shared" si="45"/>
        <v>12095.532102601595</v>
      </c>
      <c r="I20" s="42">
        <f t="shared" si="45"/>
        <v>13200.424691970446</v>
      </c>
      <c r="J20" s="42">
        <f t="shared" si="45"/>
        <v>14458.350294065927</v>
      </c>
      <c r="K20" s="42">
        <f t="shared" si="45"/>
        <v>16257.050191503857</v>
      </c>
      <c r="L20" s="42">
        <f t="shared" si="45"/>
        <v>16873.678921865787</v>
      </c>
      <c r="M20" s="42">
        <f t="shared" si="45"/>
        <v>14499.589793485531</v>
      </c>
      <c r="N20" s="42">
        <f t="shared" si="45"/>
        <v>14755.522315535503</v>
      </c>
      <c r="O20" s="42">
        <f t="shared" si="45"/>
        <v>16147.999212366187</v>
      </c>
      <c r="P20" s="42">
        <f t="shared" si="45"/>
        <v>17130.45767268991</v>
      </c>
      <c r="Q20" s="42">
        <f t="shared" si="45"/>
        <v>17997.494328077544</v>
      </c>
      <c r="R20" s="42">
        <f t="shared" si="45"/>
        <v>18846.190278797527</v>
      </c>
      <c r="S20" s="42">
        <f t="shared" si="45"/>
        <v>19520.529626767035</v>
      </c>
      <c r="T20" s="42">
        <f t="shared" ref="T20:Y20" si="46">1000000*T16/T$3</f>
        <v>20257.2695674512</v>
      </c>
      <c r="U20" s="42">
        <f t="shared" si="46"/>
        <v>21461.956589416743</v>
      </c>
      <c r="V20" s="42">
        <f t="shared" si="46"/>
        <v>22779.475276068486</v>
      </c>
      <c r="W20" s="42">
        <f t="shared" si="46"/>
        <v>23963.717663242922</v>
      </c>
      <c r="X20" s="42">
        <f t="shared" si="46"/>
        <v>23992.947247488271</v>
      </c>
      <c r="Y20" s="42">
        <f t="shared" si="46"/>
        <v>25516.474383364352</v>
      </c>
      <c r="Z20" s="42">
        <f t="shared" ref="Z20:AA20" si="47">1000000*Z16/Z$3</f>
        <v>26208.399869766457</v>
      </c>
      <c r="AA20" s="42">
        <f t="shared" si="47"/>
        <v>25826.249379217079</v>
      </c>
    </row>
    <row r="21" spans="1:27" x14ac:dyDescent="0.25">
      <c r="A21" s="46" t="s">
        <v>141</v>
      </c>
      <c r="B21" s="47"/>
      <c r="C21" s="47"/>
      <c r="D21" s="57">
        <f>1000000*D17/D$3</f>
        <v>5321.2931680462734</v>
      </c>
      <c r="E21" s="57">
        <f t="shared" ref="E21:S21" si="48">1000000*E17/E$3</f>
        <v>5583.3957483680415</v>
      </c>
      <c r="F21" s="57">
        <f t="shared" si="48"/>
        <v>5975.7569824276197</v>
      </c>
      <c r="G21" s="57">
        <f t="shared" si="48"/>
        <v>6699.1878513128177</v>
      </c>
      <c r="H21" s="57">
        <f t="shared" si="48"/>
        <v>7499.1896446406881</v>
      </c>
      <c r="I21" s="57">
        <f t="shared" si="48"/>
        <v>8482.0040933665041</v>
      </c>
      <c r="J21" s="57">
        <f t="shared" si="48"/>
        <v>9444.4430686176984</v>
      </c>
      <c r="K21" s="57">
        <f t="shared" si="48"/>
        <v>10756.849045248902</v>
      </c>
      <c r="L21" s="57">
        <f t="shared" si="48"/>
        <v>11305.13336169865</v>
      </c>
      <c r="M21" s="57">
        <f t="shared" si="48"/>
        <v>9424.2963510061945</v>
      </c>
      <c r="N21" s="57">
        <f t="shared" si="48"/>
        <v>9136.0075215331526</v>
      </c>
      <c r="O21" s="57">
        <f t="shared" si="48"/>
        <v>9773.1797567132126</v>
      </c>
      <c r="P21" s="57">
        <f t="shared" si="48"/>
        <v>10228.82772658168</v>
      </c>
      <c r="Q21" s="57">
        <f t="shared" si="48"/>
        <v>10704.812838516624</v>
      </c>
      <c r="R21" s="57">
        <f t="shared" si="48"/>
        <v>11239.905715587542</v>
      </c>
      <c r="S21" s="57">
        <f t="shared" si="48"/>
        <v>11794.947663262084</v>
      </c>
      <c r="T21" s="57">
        <f t="shared" ref="T21:Y21" si="49">1000000*T17/T$3</f>
        <v>12372.866595480478</v>
      </c>
      <c r="U21" s="57">
        <f t="shared" si="49"/>
        <v>12920.092103109177</v>
      </c>
      <c r="V21" s="57">
        <f t="shared" si="49"/>
        <v>13534.450424835017</v>
      </c>
      <c r="W21" s="57">
        <f t="shared" si="49"/>
        <v>13985.394194322009</v>
      </c>
      <c r="X21" s="57">
        <f t="shared" si="49"/>
        <v>13550.921645500071</v>
      </c>
      <c r="Y21" s="57">
        <f t="shared" si="49"/>
        <v>14639.249471695368</v>
      </c>
      <c r="Z21" s="57">
        <f t="shared" ref="Z21:AA21" si="50">1000000*Z17/Z$3</f>
        <v>14956.051769981281</v>
      </c>
      <c r="AA21" s="57">
        <f t="shared" si="50"/>
        <v>14637.247535154949</v>
      </c>
    </row>
    <row r="22" spans="1:27" x14ac:dyDescent="0.25">
      <c r="A22" s="35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</row>
    <row r="23" spans="1:27" x14ac:dyDescent="0.25">
      <c r="A23" s="58" t="s">
        <v>276</v>
      </c>
      <c r="B23" s="59"/>
      <c r="C23" s="59"/>
      <c r="D23" s="60">
        <v>27666.727567901034</v>
      </c>
      <c r="E23" s="60">
        <v>29460.642572243858</v>
      </c>
      <c r="F23" s="60">
        <v>31440.476855324901</v>
      </c>
      <c r="G23" s="60">
        <v>34757.673720856146</v>
      </c>
      <c r="H23" s="60">
        <v>37017.84938688908</v>
      </c>
      <c r="I23" s="60">
        <v>39879.789603174599</v>
      </c>
      <c r="J23" s="60">
        <v>42829.324125429092</v>
      </c>
      <c r="K23" s="60">
        <v>47573.880790704869</v>
      </c>
      <c r="L23" s="60">
        <v>48810.541026866187</v>
      </c>
      <c r="M23" s="60">
        <v>41567.739982793479</v>
      </c>
      <c r="N23" s="60">
        <v>41745.531078519947</v>
      </c>
      <c r="O23" s="60">
        <v>44384.942642680151</v>
      </c>
      <c r="P23" s="60">
        <v>46330.540110862719</v>
      </c>
      <c r="Q23" s="60">
        <v>48205.373081618767</v>
      </c>
      <c r="R23" s="60">
        <v>50024.381723966122</v>
      </c>
      <c r="S23" s="60">
        <v>51441.190086000002</v>
      </c>
      <c r="T23" s="60">
        <v>52815.740412660998</v>
      </c>
      <c r="U23" s="60">
        <v>55251.336279543873</v>
      </c>
      <c r="V23" s="60">
        <v>57969.298369909404</v>
      </c>
      <c r="W23" s="60">
        <v>60680.363986180288</v>
      </c>
      <c r="X23" s="60">
        <v>60706.710969459717</v>
      </c>
      <c r="Y23" s="60">
        <v>64579.376866132021</v>
      </c>
      <c r="Z23" s="60">
        <v>66218.023864270712</v>
      </c>
      <c r="AA23" s="60">
        <v>66444.800000000003</v>
      </c>
    </row>
    <row r="24" spans="1:27" x14ac:dyDescent="0.25">
      <c r="A24" s="61" t="s">
        <v>33</v>
      </c>
      <c r="B24" s="62"/>
      <c r="C24" s="62"/>
      <c r="D24" s="63">
        <v>1734.8337630079386</v>
      </c>
      <c r="E24" s="63">
        <v>1610.2185950087498</v>
      </c>
      <c r="F24" s="63">
        <v>1684.9349774490895</v>
      </c>
      <c r="G24" s="63">
        <v>1712.8675394020293</v>
      </c>
      <c r="H24" s="63">
        <v>1705.9133904009361</v>
      </c>
      <c r="I24" s="63">
        <v>1905.3821798029558</v>
      </c>
      <c r="J24" s="63">
        <v>1832.4107622684201</v>
      </c>
      <c r="K24" s="63">
        <v>1840.5697205985641</v>
      </c>
      <c r="L24" s="63">
        <v>1785.8733412245074</v>
      </c>
      <c r="M24" s="63">
        <v>1168.7746662048467</v>
      </c>
      <c r="N24" s="63">
        <v>1434.292475262798</v>
      </c>
      <c r="O24" s="63">
        <v>1745.143444312574</v>
      </c>
      <c r="P24" s="63">
        <v>2062.2578691293834</v>
      </c>
      <c r="Q24" s="63">
        <v>1891.3936654391159</v>
      </c>
      <c r="R24" s="63">
        <v>1914.0002610861982</v>
      </c>
      <c r="S24" s="63">
        <v>1972.987179</v>
      </c>
      <c r="T24" s="63">
        <v>1839.0784610358107</v>
      </c>
      <c r="U24" s="63">
        <v>2191.8641196139884</v>
      </c>
      <c r="V24" s="63">
        <v>1866.7676001138127</v>
      </c>
      <c r="W24" s="63">
        <v>2116.7344828823975</v>
      </c>
      <c r="X24" s="63">
        <v>2400.4194632529266</v>
      </c>
      <c r="Y24" s="63">
        <v>2460.3408298180971</v>
      </c>
      <c r="Z24" s="63">
        <v>2870.9039564151299</v>
      </c>
      <c r="AA24" s="63">
        <v>2003.8</v>
      </c>
    </row>
    <row r="25" spans="1:27" x14ac:dyDescent="0.25">
      <c r="A25" s="64" t="s">
        <v>56</v>
      </c>
      <c r="B25" s="65"/>
      <c r="C25" s="65"/>
      <c r="D25" s="66">
        <v>193.42313586700655</v>
      </c>
      <c r="E25" s="66">
        <v>212.97141303148288</v>
      </c>
      <c r="F25" s="66">
        <v>187.21499749434332</v>
      </c>
      <c r="G25" s="66">
        <v>196.08193043399112</v>
      </c>
      <c r="H25" s="66">
        <v>198.34636815920391</v>
      </c>
      <c r="I25" s="66">
        <v>208.16515725755909</v>
      </c>
      <c r="J25" s="66">
        <v>215.10204892138356</v>
      </c>
      <c r="K25" s="66">
        <v>215.94703753526736</v>
      </c>
      <c r="L25" s="66">
        <v>212.953751749757</v>
      </c>
      <c r="M25" s="66">
        <v>131.58924903319851</v>
      </c>
      <c r="N25" s="66">
        <v>156.77974253063527</v>
      </c>
      <c r="O25" s="66">
        <v>191.41929881795824</v>
      </c>
      <c r="P25" s="66">
        <v>184.7284237464722</v>
      </c>
      <c r="Q25" s="66">
        <v>195.64553978864782</v>
      </c>
      <c r="R25" s="66">
        <v>196.65642152466373</v>
      </c>
      <c r="S25" s="66">
        <v>152.26364099999998</v>
      </c>
      <c r="T25" s="66">
        <v>147.70300779275854</v>
      </c>
      <c r="U25" s="66">
        <v>165.07833558413057</v>
      </c>
      <c r="V25" s="66">
        <v>176.90944461271587</v>
      </c>
      <c r="W25" s="66">
        <v>170.62671512540933</v>
      </c>
      <c r="X25" s="66">
        <v>181.55909772182252</v>
      </c>
      <c r="Y25" s="66">
        <v>177.18407936601909</v>
      </c>
      <c r="Z25" s="66">
        <v>161.87053987530888</v>
      </c>
      <c r="AA25" s="66">
        <v>163.30000000000001</v>
      </c>
    </row>
    <row r="26" spans="1:27" x14ac:dyDescent="0.25">
      <c r="A26" s="67" t="s">
        <v>146</v>
      </c>
      <c r="B26" s="44"/>
      <c r="C26" s="44"/>
      <c r="D26" s="45">
        <v>18019.468613731184</v>
      </c>
      <c r="E26" s="45">
        <v>19219.642638457532</v>
      </c>
      <c r="F26" s="45">
        <v>20822.079963857803</v>
      </c>
      <c r="G26" s="45">
        <v>22602.222235031772</v>
      </c>
      <c r="H26" s="45">
        <v>23668.061815920391</v>
      </c>
      <c r="I26" s="45">
        <v>25413.101858394355</v>
      </c>
      <c r="J26" s="45">
        <v>27276.83185750194</v>
      </c>
      <c r="K26" s="45">
        <v>30604.240511422482</v>
      </c>
      <c r="L26" s="45">
        <v>31739.892458679587</v>
      </c>
      <c r="M26" s="45">
        <v>29429.27029318731</v>
      </c>
      <c r="N26" s="45">
        <v>28695.108241802467</v>
      </c>
      <c r="O26" s="45">
        <v>29398.01842461546</v>
      </c>
      <c r="P26" s="45">
        <v>30613.734143899001</v>
      </c>
      <c r="Q26" s="45">
        <v>32493.271590545191</v>
      </c>
      <c r="R26" s="45">
        <v>33713.511704035882</v>
      </c>
      <c r="S26" s="45">
        <v>34968.656187000008</v>
      </c>
      <c r="T26" s="45">
        <v>36665.07517789265</v>
      </c>
      <c r="U26" s="45">
        <v>38257.832238812189</v>
      </c>
      <c r="V26" s="45">
        <v>40686.779690870215</v>
      </c>
      <c r="W26" s="45">
        <v>42645.120197424512</v>
      </c>
      <c r="X26" s="45">
        <v>42580.542821625044</v>
      </c>
      <c r="Y26" s="45">
        <v>45270.086943418813</v>
      </c>
      <c r="Z26" s="45">
        <v>45660.087682691825</v>
      </c>
      <c r="AA26" s="45">
        <v>47585.402312684964</v>
      </c>
    </row>
    <row r="27" spans="1:27" x14ac:dyDescent="0.25">
      <c r="A27" s="68" t="s">
        <v>148</v>
      </c>
      <c r="B27" s="69"/>
      <c r="C27" s="69"/>
      <c r="D27" s="70">
        <v>7775.759423348537</v>
      </c>
      <c r="E27" s="70">
        <v>8119.2631662751637</v>
      </c>
      <c r="F27" s="70">
        <v>8740.4255546612785</v>
      </c>
      <c r="G27" s="70">
        <v>9394.7202493818495</v>
      </c>
      <c r="H27" s="70">
        <v>9897.7978943517646</v>
      </c>
      <c r="I27" s="70">
        <v>10446.34540093049</v>
      </c>
      <c r="J27" s="70">
        <v>11349.118361810726</v>
      </c>
      <c r="K27" s="70">
        <v>12216.067325388985</v>
      </c>
      <c r="L27" s="70">
        <v>12741.727559020914</v>
      </c>
      <c r="M27" s="70">
        <v>12711.40960994849</v>
      </c>
      <c r="N27" s="70">
        <v>12414.427366286887</v>
      </c>
      <c r="O27" s="70">
        <v>12552.357681096042</v>
      </c>
      <c r="P27" s="70">
        <v>13028.239638482308</v>
      </c>
      <c r="Q27" s="70">
        <v>13656.672467176362</v>
      </c>
      <c r="R27" s="70">
        <v>14174.389766816144</v>
      </c>
      <c r="S27" s="70">
        <v>14541.714395000005</v>
      </c>
      <c r="T27" s="70">
        <v>15273.581536191989</v>
      </c>
      <c r="U27" s="70">
        <v>15971.758145583057</v>
      </c>
      <c r="V27" s="70">
        <v>17070.705859514826</v>
      </c>
      <c r="W27" s="70">
        <v>18378.698854040482</v>
      </c>
      <c r="X27" s="70">
        <v>18174.160314395533</v>
      </c>
      <c r="Y27" s="70">
        <v>19007.912940793973</v>
      </c>
      <c r="Z27" s="70">
        <v>19175.874452539269</v>
      </c>
      <c r="AA27" s="70">
        <v>19584.800000000007</v>
      </c>
    </row>
    <row r="28" spans="1:27" x14ac:dyDescent="0.25">
      <c r="A28" s="68" t="s">
        <v>150</v>
      </c>
      <c r="B28" s="71"/>
      <c r="C28" s="71"/>
      <c r="D28" s="70">
        <v>5310.2990145623971</v>
      </c>
      <c r="E28" s="70">
        <v>5603.9765004493065</v>
      </c>
      <c r="F28" s="70">
        <v>6112.8956644546024</v>
      </c>
      <c r="G28" s="70">
        <v>6707.9558621421947</v>
      </c>
      <c r="H28" s="70">
        <v>6932.250441908106</v>
      </c>
      <c r="I28" s="70">
        <v>7549.350383141762</v>
      </c>
      <c r="J28" s="70">
        <v>8380.1989341870121</v>
      </c>
      <c r="K28" s="70">
        <v>9819.657596933368</v>
      </c>
      <c r="L28" s="70">
        <v>9889.9917229546281</v>
      </c>
      <c r="M28" s="70">
        <v>8856.269249505589</v>
      </c>
      <c r="N28" s="70">
        <v>8333.3930339158578</v>
      </c>
      <c r="O28" s="70">
        <v>8178.3245330751452</v>
      </c>
      <c r="P28" s="70">
        <v>8257.7172798171159</v>
      </c>
      <c r="Q28" s="70">
        <v>8951.0519784244661</v>
      </c>
      <c r="R28" s="70">
        <v>9317.2664793223721</v>
      </c>
      <c r="S28" s="70">
        <v>10134.655677999999</v>
      </c>
      <c r="T28" s="70">
        <v>10889.184478678852</v>
      </c>
      <c r="U28" s="70">
        <v>11401.345311562241</v>
      </c>
      <c r="V28" s="70">
        <v>12185.50002661747</v>
      </c>
      <c r="W28" s="70">
        <v>12841.311539462467</v>
      </c>
      <c r="X28" s="70">
        <v>13063.602927070106</v>
      </c>
      <c r="Y28" s="70">
        <v>14486.955174483552</v>
      </c>
      <c r="Z28" s="70">
        <v>15205.62751824869</v>
      </c>
      <c r="AA28" s="70">
        <v>17018.400000000001</v>
      </c>
    </row>
    <row r="29" spans="1:27" x14ac:dyDescent="0.25">
      <c r="A29" s="68" t="s">
        <v>152</v>
      </c>
      <c r="B29" s="71"/>
      <c r="C29" s="71"/>
      <c r="D29" s="70">
        <v>4933.4101758202505</v>
      </c>
      <c r="E29" s="70">
        <v>5496.4029717330641</v>
      </c>
      <c r="F29" s="70">
        <v>5968.7587447419164</v>
      </c>
      <c r="G29" s="70">
        <v>6499.5461235077291</v>
      </c>
      <c r="H29" s="70">
        <v>6838.0134796605198</v>
      </c>
      <c r="I29" s="70">
        <v>7417.4060743221053</v>
      </c>
      <c r="J29" s="70">
        <v>7547.5145615042011</v>
      </c>
      <c r="K29" s="70">
        <v>8568.5155891001268</v>
      </c>
      <c r="L29" s="70">
        <v>9108.1731767040455</v>
      </c>
      <c r="M29" s="70">
        <v>7861.5914337332297</v>
      </c>
      <c r="N29" s="70">
        <v>7947.2878415997284</v>
      </c>
      <c r="O29" s="70">
        <v>8667.3362104442713</v>
      </c>
      <c r="P29" s="70">
        <v>9327.7772255995769</v>
      </c>
      <c r="Q29" s="70">
        <v>9885.5471449443594</v>
      </c>
      <c r="R29" s="70">
        <v>10221.855457897358</v>
      </c>
      <c r="S29" s="70">
        <v>10292.286113999999</v>
      </c>
      <c r="T29" s="70">
        <v>10502.309163021813</v>
      </c>
      <c r="U29" s="70">
        <v>10884.728781666894</v>
      </c>
      <c r="V29" s="70">
        <v>11430.573804737909</v>
      </c>
      <c r="W29" s="70">
        <v>11425.109803921567</v>
      </c>
      <c r="X29" s="70">
        <v>11342.7795801594</v>
      </c>
      <c r="Y29" s="70">
        <v>11775.218828141287</v>
      </c>
      <c r="Z29" s="70">
        <v>11278.585711903872</v>
      </c>
      <c r="AA29" s="70">
        <v>10982.202312684962</v>
      </c>
    </row>
    <row r="30" spans="1:27" x14ac:dyDescent="0.25">
      <c r="A30" s="64" t="s">
        <v>154</v>
      </c>
      <c r="B30" s="65"/>
      <c r="C30" s="65"/>
      <c r="D30" s="66">
        <v>1407.2342175755309</v>
      </c>
      <c r="E30" s="66">
        <v>1659.2914631646984</v>
      </c>
      <c r="F30" s="66">
        <v>1656.2938770861485</v>
      </c>
      <c r="G30" s="66">
        <v>2081.5387846426893</v>
      </c>
      <c r="H30" s="66">
        <v>2376.1176909569799</v>
      </c>
      <c r="I30" s="66">
        <v>2548.8464846217571</v>
      </c>
      <c r="J30" s="66">
        <v>2329.9351888570163</v>
      </c>
      <c r="K30" s="66">
        <v>1945.5312984369252</v>
      </c>
      <c r="L30" s="66">
        <v>2202.7099436005792</v>
      </c>
      <c r="M30" s="66">
        <v>2024.3249618632381</v>
      </c>
      <c r="N30" s="66">
        <v>2161.8778507815955</v>
      </c>
      <c r="O30" s="66">
        <v>2239.1563319937286</v>
      </c>
      <c r="P30" s="66">
        <v>2341.7546110195112</v>
      </c>
      <c r="Q30" s="66">
        <v>1855.4869546073178</v>
      </c>
      <c r="R30" s="66">
        <v>1621.6896671649215</v>
      </c>
      <c r="S30" s="66">
        <v>1621.8454489999995</v>
      </c>
      <c r="T30" s="66">
        <v>1583.3361426018591</v>
      </c>
      <c r="U30" s="66">
        <v>1689.7366081588493</v>
      </c>
      <c r="V30" s="66">
        <v>1599.6441905076588</v>
      </c>
      <c r="W30" s="66">
        <v>1605.129541885404</v>
      </c>
      <c r="X30" s="66">
        <v>1336.6156360205953</v>
      </c>
      <c r="Y30" s="66">
        <v>1232.6053998438479</v>
      </c>
      <c r="Z30" s="66">
        <v>2477.0784889233501</v>
      </c>
      <c r="AA30" s="66">
        <v>2815.6175946450876</v>
      </c>
    </row>
    <row r="31" spans="1:27" x14ac:dyDescent="0.25">
      <c r="A31" s="64" t="s">
        <v>37</v>
      </c>
      <c r="B31" s="65"/>
      <c r="C31" s="65"/>
      <c r="D31" s="66">
        <v>1654.1785557738201</v>
      </c>
      <c r="E31" s="66">
        <v>1750.9102662735886</v>
      </c>
      <c r="F31" s="66">
        <v>1984.1529771757453</v>
      </c>
      <c r="G31" s="66">
        <v>2413.4592054366453</v>
      </c>
      <c r="H31" s="66">
        <v>2682.3878182616327</v>
      </c>
      <c r="I31" s="66">
        <v>3106.6059414340448</v>
      </c>
      <c r="J31" s="66">
        <v>4052.3975932425651</v>
      </c>
      <c r="K31" s="66">
        <v>5322.5559767145633</v>
      </c>
      <c r="L31" s="66">
        <v>5471.0167365288962</v>
      </c>
      <c r="M31" s="66">
        <v>2742.9027273438282</v>
      </c>
      <c r="N31" s="66">
        <v>2477.4449952619166</v>
      </c>
      <c r="O31" s="66">
        <v>3008.6643336040142</v>
      </c>
      <c r="P31" s="66">
        <v>2887.2540789593463</v>
      </c>
      <c r="Q31" s="66">
        <v>3251.7055950284202</v>
      </c>
      <c r="R31" s="66">
        <v>3766.11563428002</v>
      </c>
      <c r="S31" s="66">
        <v>3856.2722129999997</v>
      </c>
      <c r="T31" s="66">
        <v>3594.5072413690673</v>
      </c>
      <c r="U31" s="66">
        <v>3697.6112269102896</v>
      </c>
      <c r="V31" s="66">
        <v>4056.3914181604569</v>
      </c>
      <c r="W31" s="66">
        <v>4454.4580822901244</v>
      </c>
      <c r="X31" s="66">
        <v>4430.1501357737334</v>
      </c>
      <c r="Y31" s="66">
        <v>4579.2481709655367</v>
      </c>
      <c r="Z31" s="66">
        <v>4556.5415186868004</v>
      </c>
      <c r="AA31" s="66">
        <v>4877.5</v>
      </c>
    </row>
    <row r="32" spans="1:27" x14ac:dyDescent="0.25">
      <c r="A32" s="64" t="s">
        <v>58</v>
      </c>
      <c r="B32" s="65"/>
      <c r="C32" s="65"/>
      <c r="D32" s="66">
        <v>4657.5892819455494</v>
      </c>
      <c r="E32" s="66">
        <v>5007.6081963077986</v>
      </c>
      <c r="F32" s="66">
        <v>5105.8000622617737</v>
      </c>
      <c r="G32" s="66">
        <v>5751.5040259090138</v>
      </c>
      <c r="H32" s="66">
        <v>6387.0223031899304</v>
      </c>
      <c r="I32" s="66">
        <v>6697.6879816639303</v>
      </c>
      <c r="J32" s="66">
        <v>7122.6466746377646</v>
      </c>
      <c r="K32" s="66">
        <v>7645.0362459970702</v>
      </c>
      <c r="L32" s="66">
        <v>7398.0947950828568</v>
      </c>
      <c r="M32" s="66">
        <v>6070.87808516106</v>
      </c>
      <c r="N32" s="66">
        <v>6820.0277728805322</v>
      </c>
      <c r="O32" s="66">
        <v>7802.5408093364131</v>
      </c>
      <c r="P32" s="66">
        <v>8240.8109841090027</v>
      </c>
      <c r="Q32" s="66">
        <v>8517.8697362100702</v>
      </c>
      <c r="R32" s="66">
        <v>8812.4080358744413</v>
      </c>
      <c r="S32" s="66">
        <v>8869.1654169999983</v>
      </c>
      <c r="T32" s="66">
        <v>8986.0403819688527</v>
      </c>
      <c r="U32" s="66">
        <v>9249.2137504644124</v>
      </c>
      <c r="V32" s="66">
        <v>9582.8060256445569</v>
      </c>
      <c r="W32" s="66">
        <v>9688.2949665724409</v>
      </c>
      <c r="X32" s="66">
        <v>9777.4238150655929</v>
      </c>
      <c r="Y32" s="66">
        <v>10859.911442719707</v>
      </c>
      <c r="Z32" s="66">
        <v>10491.541677678299</v>
      </c>
      <c r="AA32" s="66">
        <v>8999.1800926699489</v>
      </c>
    </row>
    <row r="33" spans="1:27" x14ac:dyDescent="0.25">
      <c r="A33" s="72" t="s">
        <v>158</v>
      </c>
      <c r="B33" s="65"/>
      <c r="C33" s="65"/>
      <c r="D33" s="66">
        <v>0</v>
      </c>
      <c r="E33" s="66">
        <v>0</v>
      </c>
      <c r="F33" s="66">
        <v>0</v>
      </c>
      <c r="G33" s="66">
        <v>0</v>
      </c>
      <c r="H33" s="66">
        <v>0</v>
      </c>
      <c r="I33" s="66">
        <v>0</v>
      </c>
      <c r="J33" s="66">
        <v>0</v>
      </c>
      <c r="K33" s="66">
        <v>0</v>
      </c>
      <c r="L33" s="66">
        <v>0</v>
      </c>
      <c r="M33" s="66">
        <v>0</v>
      </c>
      <c r="N33" s="66">
        <v>0</v>
      </c>
      <c r="O33" s="66">
        <v>0</v>
      </c>
      <c r="P33" s="66">
        <v>0</v>
      </c>
      <c r="Q33" s="66">
        <v>0</v>
      </c>
      <c r="R33" s="66">
        <v>0</v>
      </c>
      <c r="S33" s="66">
        <v>0</v>
      </c>
      <c r="T33" s="66">
        <v>0</v>
      </c>
      <c r="U33" s="66">
        <v>0</v>
      </c>
      <c r="V33" s="66">
        <v>0</v>
      </c>
      <c r="W33" s="66">
        <v>0</v>
      </c>
      <c r="X33" s="66">
        <v>0</v>
      </c>
      <c r="Y33" s="66">
        <v>0</v>
      </c>
      <c r="Z33" s="66">
        <v>0</v>
      </c>
      <c r="AA33" s="66">
        <v>0</v>
      </c>
    </row>
    <row r="34" spans="1:27" x14ac:dyDescent="0.25">
      <c r="A34" s="73" t="s">
        <v>5</v>
      </c>
      <c r="B34" s="65"/>
      <c r="C34" s="65"/>
      <c r="D34" s="66">
        <v>0</v>
      </c>
      <c r="E34" s="66">
        <v>0</v>
      </c>
      <c r="F34" s="66">
        <v>0</v>
      </c>
      <c r="G34" s="66">
        <v>0</v>
      </c>
      <c r="H34" s="66">
        <v>0</v>
      </c>
      <c r="I34" s="66">
        <v>0</v>
      </c>
      <c r="J34" s="66">
        <v>0</v>
      </c>
      <c r="K34" s="66">
        <v>0</v>
      </c>
      <c r="L34" s="66">
        <v>0</v>
      </c>
      <c r="M34" s="66">
        <v>0</v>
      </c>
      <c r="N34" s="66">
        <v>0</v>
      </c>
      <c r="O34" s="66">
        <v>0</v>
      </c>
      <c r="P34" s="66">
        <v>0</v>
      </c>
      <c r="Q34" s="66">
        <v>0</v>
      </c>
      <c r="R34" s="66">
        <v>0</v>
      </c>
      <c r="S34" s="66">
        <v>0</v>
      </c>
      <c r="T34" s="66">
        <v>0</v>
      </c>
      <c r="U34" s="66">
        <v>0</v>
      </c>
      <c r="V34" s="66">
        <v>0</v>
      </c>
      <c r="W34" s="66">
        <v>0</v>
      </c>
      <c r="X34" s="66">
        <v>0</v>
      </c>
      <c r="Y34" s="66">
        <v>0</v>
      </c>
      <c r="Z34" s="66">
        <v>0</v>
      </c>
      <c r="AA34" s="66">
        <v>0</v>
      </c>
    </row>
    <row r="35" spans="1:27" x14ac:dyDescent="0.25">
      <c r="A35" s="74" t="s">
        <v>264</v>
      </c>
      <c r="B35" s="44"/>
      <c r="C35" s="44"/>
      <c r="D35" s="45">
        <v>0</v>
      </c>
      <c r="E35" s="45">
        <v>0</v>
      </c>
      <c r="F35" s="45">
        <v>0</v>
      </c>
      <c r="G35" s="45">
        <v>0</v>
      </c>
      <c r="H35" s="45">
        <v>0</v>
      </c>
      <c r="I35" s="45">
        <v>0</v>
      </c>
      <c r="J35" s="45">
        <v>0</v>
      </c>
      <c r="K35" s="45">
        <v>0</v>
      </c>
      <c r="L35" s="45">
        <v>0</v>
      </c>
      <c r="M35" s="45">
        <v>0</v>
      </c>
      <c r="N35" s="45">
        <v>0</v>
      </c>
      <c r="O35" s="45">
        <v>0</v>
      </c>
      <c r="P35" s="45">
        <v>0</v>
      </c>
      <c r="Q35" s="45">
        <v>0</v>
      </c>
      <c r="R35" s="45">
        <v>0</v>
      </c>
      <c r="S35" s="45">
        <v>0</v>
      </c>
      <c r="T35" s="45">
        <v>0</v>
      </c>
      <c r="U35" s="45">
        <v>0</v>
      </c>
      <c r="V35" s="45">
        <v>0</v>
      </c>
      <c r="W35" s="45">
        <v>0</v>
      </c>
      <c r="X35" s="45">
        <v>0</v>
      </c>
      <c r="Y35" s="45">
        <v>0</v>
      </c>
      <c r="Z35" s="45">
        <v>0</v>
      </c>
      <c r="AA35" s="45">
        <v>0</v>
      </c>
    </row>
    <row r="36" spans="1:27" x14ac:dyDescent="0.25">
      <c r="A36" s="74" t="s">
        <v>15</v>
      </c>
      <c r="B36" s="44"/>
      <c r="C36" s="44"/>
      <c r="D36" s="45">
        <v>0</v>
      </c>
      <c r="E36" s="45">
        <v>0</v>
      </c>
      <c r="F36" s="45">
        <v>0</v>
      </c>
      <c r="G36" s="45">
        <v>0</v>
      </c>
      <c r="H36" s="45">
        <v>0</v>
      </c>
      <c r="I36" s="45">
        <v>0</v>
      </c>
      <c r="J36" s="45">
        <v>0</v>
      </c>
      <c r="K36" s="45">
        <v>0</v>
      </c>
      <c r="L36" s="45">
        <v>0</v>
      </c>
      <c r="M36" s="45">
        <v>0</v>
      </c>
      <c r="N36" s="45">
        <v>0</v>
      </c>
      <c r="O36" s="45">
        <v>0</v>
      </c>
      <c r="P36" s="45">
        <v>0</v>
      </c>
      <c r="Q36" s="45">
        <v>0</v>
      </c>
      <c r="R36" s="45">
        <v>0</v>
      </c>
      <c r="S36" s="45">
        <v>0</v>
      </c>
      <c r="T36" s="45">
        <v>0</v>
      </c>
      <c r="U36" s="45">
        <v>0</v>
      </c>
      <c r="V36" s="45">
        <v>0</v>
      </c>
      <c r="W36" s="45">
        <v>0</v>
      </c>
      <c r="X36" s="45">
        <v>0</v>
      </c>
      <c r="Y36" s="45">
        <v>0</v>
      </c>
      <c r="Z36" s="45">
        <v>0</v>
      </c>
      <c r="AA36" s="45">
        <v>0</v>
      </c>
    </row>
    <row r="37" spans="1:27" x14ac:dyDescent="0.25">
      <c r="A37" s="73" t="s">
        <v>263</v>
      </c>
      <c r="B37" s="65"/>
      <c r="C37" s="65"/>
      <c r="D37" s="66">
        <v>0</v>
      </c>
      <c r="E37" s="66">
        <v>0</v>
      </c>
      <c r="F37" s="66">
        <v>0</v>
      </c>
      <c r="G37" s="66">
        <v>0</v>
      </c>
      <c r="H37" s="66">
        <v>0</v>
      </c>
      <c r="I37" s="66">
        <v>0</v>
      </c>
      <c r="J37" s="66">
        <v>0</v>
      </c>
      <c r="K37" s="66">
        <v>0</v>
      </c>
      <c r="L37" s="66">
        <v>0</v>
      </c>
      <c r="M37" s="66">
        <v>0</v>
      </c>
      <c r="N37" s="66">
        <v>0</v>
      </c>
      <c r="O37" s="66">
        <v>0</v>
      </c>
      <c r="P37" s="66">
        <v>0</v>
      </c>
      <c r="Q37" s="66">
        <v>0</v>
      </c>
      <c r="R37" s="66">
        <v>0</v>
      </c>
      <c r="S37" s="66">
        <v>0</v>
      </c>
      <c r="T37" s="66">
        <v>0</v>
      </c>
      <c r="U37" s="66">
        <v>0</v>
      </c>
      <c r="V37" s="66">
        <v>0</v>
      </c>
      <c r="W37" s="66">
        <v>0</v>
      </c>
      <c r="X37" s="66">
        <v>0</v>
      </c>
      <c r="Y37" s="66">
        <v>0</v>
      </c>
      <c r="Z37" s="66">
        <v>0</v>
      </c>
      <c r="AA37" s="66">
        <v>0</v>
      </c>
    </row>
    <row r="38" spans="1:27" x14ac:dyDescent="0.25">
      <c r="A38" s="74" t="s">
        <v>14</v>
      </c>
      <c r="B38" s="44"/>
      <c r="C38" s="44"/>
      <c r="D38" s="45">
        <v>0</v>
      </c>
      <c r="E38" s="45">
        <v>0</v>
      </c>
      <c r="F38" s="45">
        <v>0</v>
      </c>
      <c r="G38" s="45">
        <v>0</v>
      </c>
      <c r="H38" s="45">
        <v>0</v>
      </c>
      <c r="I38" s="45">
        <v>0</v>
      </c>
      <c r="J38" s="45">
        <v>0</v>
      </c>
      <c r="K38" s="45">
        <v>0</v>
      </c>
      <c r="L38" s="45">
        <v>0</v>
      </c>
      <c r="M38" s="45">
        <v>0</v>
      </c>
      <c r="N38" s="45">
        <v>0</v>
      </c>
      <c r="O38" s="45">
        <v>0</v>
      </c>
      <c r="P38" s="45">
        <v>0</v>
      </c>
      <c r="Q38" s="45">
        <v>0</v>
      </c>
      <c r="R38" s="45">
        <v>0</v>
      </c>
      <c r="S38" s="45">
        <v>0</v>
      </c>
      <c r="T38" s="45">
        <v>0</v>
      </c>
      <c r="U38" s="45">
        <v>0</v>
      </c>
      <c r="V38" s="45">
        <v>0</v>
      </c>
      <c r="W38" s="45">
        <v>0</v>
      </c>
      <c r="X38" s="45">
        <v>0</v>
      </c>
      <c r="Y38" s="45">
        <v>0</v>
      </c>
      <c r="Z38" s="45">
        <v>0</v>
      </c>
      <c r="AA38" s="45">
        <v>0</v>
      </c>
    </row>
    <row r="39" spans="1:27" x14ac:dyDescent="0.25">
      <c r="A39" s="74" t="s">
        <v>19</v>
      </c>
      <c r="B39" s="44"/>
      <c r="C39" s="44"/>
      <c r="D39" s="45">
        <v>0</v>
      </c>
      <c r="E39" s="45">
        <v>0</v>
      </c>
      <c r="F39" s="45">
        <v>0</v>
      </c>
      <c r="G39" s="45">
        <v>0</v>
      </c>
      <c r="H39" s="45">
        <v>0</v>
      </c>
      <c r="I39" s="45">
        <v>0</v>
      </c>
      <c r="J39" s="45">
        <v>0</v>
      </c>
      <c r="K39" s="45">
        <v>0</v>
      </c>
      <c r="L39" s="45">
        <v>0</v>
      </c>
      <c r="M39" s="45">
        <v>0</v>
      </c>
      <c r="N39" s="45">
        <v>0</v>
      </c>
      <c r="O39" s="45">
        <v>0</v>
      </c>
      <c r="P39" s="45">
        <v>0</v>
      </c>
      <c r="Q39" s="45">
        <v>0</v>
      </c>
      <c r="R39" s="45">
        <v>0</v>
      </c>
      <c r="S39" s="45">
        <v>0</v>
      </c>
      <c r="T39" s="45">
        <v>0</v>
      </c>
      <c r="U39" s="45">
        <v>0</v>
      </c>
      <c r="V39" s="45">
        <v>0</v>
      </c>
      <c r="W39" s="45">
        <v>0</v>
      </c>
      <c r="X39" s="45">
        <v>0</v>
      </c>
      <c r="Y39" s="45">
        <v>0</v>
      </c>
      <c r="Z39" s="45">
        <v>0</v>
      </c>
      <c r="AA39" s="45">
        <v>0</v>
      </c>
    </row>
    <row r="40" spans="1:27" x14ac:dyDescent="0.25">
      <c r="A40" s="75" t="s">
        <v>267</v>
      </c>
      <c r="B40" s="76"/>
      <c r="C40" s="76"/>
      <c r="D40" s="45">
        <v>0</v>
      </c>
      <c r="E40" s="45">
        <v>0</v>
      </c>
      <c r="F40" s="45">
        <v>0</v>
      </c>
      <c r="G40" s="45">
        <v>0</v>
      </c>
      <c r="H40" s="45">
        <v>0</v>
      </c>
      <c r="I40" s="45">
        <v>0</v>
      </c>
      <c r="J40" s="45">
        <v>0</v>
      </c>
      <c r="K40" s="45">
        <v>0</v>
      </c>
      <c r="L40" s="45">
        <v>0</v>
      </c>
      <c r="M40" s="45">
        <v>0</v>
      </c>
      <c r="N40" s="45">
        <v>0</v>
      </c>
      <c r="O40" s="45">
        <v>0</v>
      </c>
      <c r="P40" s="45">
        <v>0</v>
      </c>
      <c r="Q40" s="45">
        <v>0</v>
      </c>
      <c r="R40" s="45">
        <v>0</v>
      </c>
      <c r="S40" s="45">
        <v>0</v>
      </c>
      <c r="T40" s="45">
        <v>0</v>
      </c>
      <c r="U40" s="45">
        <v>0</v>
      </c>
      <c r="V40" s="45">
        <v>0</v>
      </c>
      <c r="W40" s="45">
        <v>0</v>
      </c>
      <c r="X40" s="45">
        <v>0</v>
      </c>
      <c r="Y40" s="45">
        <v>0</v>
      </c>
      <c r="Z40" s="45">
        <v>0</v>
      </c>
      <c r="AA40" s="45">
        <v>0</v>
      </c>
    </row>
    <row r="41" spans="1:27" x14ac:dyDescent="0.25">
      <c r="A41" s="75" t="s">
        <v>268</v>
      </c>
      <c r="B41" s="76"/>
      <c r="C41" s="76"/>
      <c r="D41" s="45">
        <v>0</v>
      </c>
      <c r="E41" s="45">
        <v>0</v>
      </c>
      <c r="F41" s="45">
        <v>0</v>
      </c>
      <c r="G41" s="45">
        <v>0</v>
      </c>
      <c r="H41" s="45">
        <v>0</v>
      </c>
      <c r="I41" s="45">
        <v>0</v>
      </c>
      <c r="J41" s="45">
        <v>0</v>
      </c>
      <c r="K41" s="45">
        <v>0</v>
      </c>
      <c r="L41" s="45">
        <v>0</v>
      </c>
      <c r="M41" s="45">
        <v>0</v>
      </c>
      <c r="N41" s="45">
        <v>0</v>
      </c>
      <c r="O41" s="45">
        <v>0</v>
      </c>
      <c r="P41" s="45">
        <v>0</v>
      </c>
      <c r="Q41" s="45">
        <v>0</v>
      </c>
      <c r="R41" s="45">
        <v>0</v>
      </c>
      <c r="S41" s="45">
        <v>0</v>
      </c>
      <c r="T41" s="45">
        <v>0</v>
      </c>
      <c r="U41" s="45">
        <v>0</v>
      </c>
      <c r="V41" s="45">
        <v>0</v>
      </c>
      <c r="W41" s="45">
        <v>0</v>
      </c>
      <c r="X41" s="45">
        <v>0</v>
      </c>
      <c r="Y41" s="45">
        <v>0</v>
      </c>
      <c r="Z41" s="45">
        <v>0</v>
      </c>
      <c r="AA41" s="45">
        <v>0</v>
      </c>
    </row>
    <row r="42" spans="1:27" x14ac:dyDescent="0.25">
      <c r="A42" s="74" t="s">
        <v>13</v>
      </c>
      <c r="B42" s="44"/>
      <c r="C42" s="44"/>
      <c r="D42" s="45">
        <v>0</v>
      </c>
      <c r="E42" s="45">
        <v>0</v>
      </c>
      <c r="F42" s="45">
        <v>0</v>
      </c>
      <c r="G42" s="45">
        <v>0</v>
      </c>
      <c r="H42" s="45">
        <v>0</v>
      </c>
      <c r="I42" s="45">
        <v>0</v>
      </c>
      <c r="J42" s="45">
        <v>0</v>
      </c>
      <c r="K42" s="45">
        <v>0</v>
      </c>
      <c r="L42" s="45">
        <v>0</v>
      </c>
      <c r="M42" s="45">
        <v>0</v>
      </c>
      <c r="N42" s="45">
        <v>0</v>
      </c>
      <c r="O42" s="45">
        <v>0</v>
      </c>
      <c r="P42" s="45">
        <v>0</v>
      </c>
      <c r="Q42" s="45">
        <v>0</v>
      </c>
      <c r="R42" s="45">
        <v>0</v>
      </c>
      <c r="S42" s="45">
        <v>0</v>
      </c>
      <c r="T42" s="45">
        <v>0</v>
      </c>
      <c r="U42" s="45">
        <v>0</v>
      </c>
      <c r="V42" s="45">
        <v>0</v>
      </c>
      <c r="W42" s="45">
        <v>0</v>
      </c>
      <c r="X42" s="45">
        <v>0</v>
      </c>
      <c r="Y42" s="45">
        <v>0</v>
      </c>
      <c r="Z42" s="45">
        <v>0</v>
      </c>
      <c r="AA42" s="45">
        <v>0</v>
      </c>
    </row>
    <row r="43" spans="1:27" x14ac:dyDescent="0.25">
      <c r="A43" s="72" t="s">
        <v>265</v>
      </c>
      <c r="B43" s="65"/>
      <c r="C43" s="65"/>
      <c r="D43" s="66">
        <v>304.4485137263178</v>
      </c>
      <c r="E43" s="66">
        <v>265.91209345588118</v>
      </c>
      <c r="F43" s="66">
        <v>279.4253693945422</v>
      </c>
      <c r="G43" s="66">
        <v>294.47179588307563</v>
      </c>
      <c r="H43" s="66">
        <v>360.34419373719629</v>
      </c>
      <c r="I43" s="66">
        <v>429.29324302134643</v>
      </c>
      <c r="J43" s="66">
        <v>572.09855106002749</v>
      </c>
      <c r="K43" s="66">
        <v>833.1211152248186</v>
      </c>
      <c r="L43" s="66">
        <v>987.93347631561778</v>
      </c>
      <c r="M43" s="66">
        <v>652.57442151484327</v>
      </c>
      <c r="N43" s="66">
        <v>795.79662604403097</v>
      </c>
      <c r="O43" s="66">
        <v>1008.9010764778144</v>
      </c>
      <c r="P43" s="66">
        <v>1005.536835556994</v>
      </c>
      <c r="Q43" s="66">
        <v>760.63916920182533</v>
      </c>
      <c r="R43" s="66">
        <v>772.10947782760343</v>
      </c>
      <c r="S43" s="66">
        <v>799.65245499999992</v>
      </c>
      <c r="T43" s="66">
        <v>726.58325198261434</v>
      </c>
      <c r="U43" s="66">
        <v>715.91643120480899</v>
      </c>
      <c r="V43" s="66">
        <v>874.4139851860009</v>
      </c>
      <c r="W43" s="66">
        <v>928.40197334769152</v>
      </c>
      <c r="X43" s="66">
        <v>1231.573626393003</v>
      </c>
      <c r="Y43" s="66">
        <v>1609.8889390933193</v>
      </c>
      <c r="Z43" s="66">
        <v>1503.1721990997546</v>
      </c>
      <c r="AA43" s="66">
        <v>1261.0020030886428</v>
      </c>
    </row>
    <row r="44" spans="1:27" x14ac:dyDescent="0.25">
      <c r="A44" s="73" t="s">
        <v>266</v>
      </c>
      <c r="B44" s="65"/>
      <c r="C44" s="65"/>
      <c r="D44" s="66">
        <v>304.4485137263178</v>
      </c>
      <c r="E44" s="66">
        <v>265.91209345588118</v>
      </c>
      <c r="F44" s="66">
        <v>279.4253693945422</v>
      </c>
      <c r="G44" s="66">
        <v>294.47179588307563</v>
      </c>
      <c r="H44" s="66">
        <v>360.34419373719629</v>
      </c>
      <c r="I44" s="66">
        <v>429.29324302134643</v>
      </c>
      <c r="J44" s="66">
        <v>572.09855106002749</v>
      </c>
      <c r="K44" s="66">
        <v>833.1211152248186</v>
      </c>
      <c r="L44" s="66">
        <v>987.93347631561778</v>
      </c>
      <c r="M44" s="66">
        <v>652.57442151484327</v>
      </c>
      <c r="N44" s="66">
        <v>795.79662604403097</v>
      </c>
      <c r="O44" s="66">
        <v>1008.9010764778144</v>
      </c>
      <c r="P44" s="66">
        <v>1005.536835556994</v>
      </c>
      <c r="Q44" s="66">
        <v>760.63916920182533</v>
      </c>
      <c r="R44" s="66">
        <v>772.10947782760343</v>
      </c>
      <c r="S44" s="66">
        <v>799.65245499999992</v>
      </c>
      <c r="T44" s="66">
        <v>726.58325198261434</v>
      </c>
      <c r="U44" s="66">
        <v>715.91643120480899</v>
      </c>
      <c r="V44" s="66">
        <v>874.4139851860009</v>
      </c>
      <c r="W44" s="66">
        <v>928.40197334769152</v>
      </c>
      <c r="X44" s="66">
        <v>1231.573626393003</v>
      </c>
      <c r="Y44" s="66">
        <v>1609.8889390933193</v>
      </c>
      <c r="Z44" s="66">
        <v>1503.1721990997546</v>
      </c>
      <c r="AA44" s="66">
        <v>1261.0020030886428</v>
      </c>
    </row>
    <row r="45" spans="1:27" x14ac:dyDescent="0.25">
      <c r="A45" s="74" t="s">
        <v>20</v>
      </c>
      <c r="B45" s="44"/>
      <c r="C45" s="44"/>
      <c r="D45" s="45">
        <v>259.16366430472181</v>
      </c>
      <c r="E45" s="45">
        <v>242.2067416421356</v>
      </c>
      <c r="F45" s="45">
        <v>248.28478095472619</v>
      </c>
      <c r="G45" s="45">
        <v>254.8819230459635</v>
      </c>
      <c r="H45" s="45">
        <v>320.40056616368867</v>
      </c>
      <c r="I45" s="45">
        <v>388.56978540718632</v>
      </c>
      <c r="J45" s="45">
        <v>527.72600943908185</v>
      </c>
      <c r="K45" s="45">
        <v>796.04415748186125</v>
      </c>
      <c r="L45" s="45">
        <v>912.47995748185326</v>
      </c>
      <c r="M45" s="45">
        <v>536.29265185086433</v>
      </c>
      <c r="N45" s="45">
        <v>731.28927680819686</v>
      </c>
      <c r="O45" s="45">
        <v>940.63766501445775</v>
      </c>
      <c r="P45" s="45">
        <v>904.91519934379164</v>
      </c>
      <c r="Q45" s="45">
        <v>571.11841804149333</v>
      </c>
      <c r="R45" s="45">
        <v>608.05975316980562</v>
      </c>
      <c r="S45" s="45">
        <v>710.78829979278316</v>
      </c>
      <c r="T45" s="45">
        <v>645.15690719577458</v>
      </c>
      <c r="U45" s="45">
        <v>627.35661598059482</v>
      </c>
      <c r="V45" s="45">
        <v>790.2049893991491</v>
      </c>
      <c r="W45" s="45">
        <v>839.68489582692541</v>
      </c>
      <c r="X45" s="45">
        <v>1137.5080391217343</v>
      </c>
      <c r="Y45" s="45">
        <v>1494.6756617273195</v>
      </c>
      <c r="Z45" s="45">
        <v>411.58351329932776</v>
      </c>
      <c r="AA45" s="45">
        <v>117.4650802271768</v>
      </c>
    </row>
    <row r="46" spans="1:27" x14ac:dyDescent="0.25">
      <c r="A46" s="74" t="s">
        <v>12</v>
      </c>
      <c r="B46" s="44"/>
      <c r="C46" s="44"/>
      <c r="D46" s="45">
        <v>45.284849421595993</v>
      </c>
      <c r="E46" s="45">
        <v>23.70535181374558</v>
      </c>
      <c r="F46" s="45">
        <v>31.140588439816014</v>
      </c>
      <c r="G46" s="45">
        <v>39.589872837112125</v>
      </c>
      <c r="H46" s="45">
        <v>39.943627573507626</v>
      </c>
      <c r="I46" s="45">
        <v>40.723457614160111</v>
      </c>
      <c r="J46" s="45">
        <v>44.37254162094564</v>
      </c>
      <c r="K46" s="45">
        <v>37.076957742957347</v>
      </c>
      <c r="L46" s="45">
        <v>75.45351883376452</v>
      </c>
      <c r="M46" s="45">
        <v>116.28176966397893</v>
      </c>
      <c r="N46" s="45">
        <v>64.507349235834113</v>
      </c>
      <c r="O46" s="45">
        <v>68.263411463356647</v>
      </c>
      <c r="P46" s="45">
        <v>100.62163621320235</v>
      </c>
      <c r="Q46" s="45">
        <v>189.520751160332</v>
      </c>
      <c r="R46" s="45">
        <v>164.04972465779781</v>
      </c>
      <c r="S46" s="45">
        <v>88.864155207216754</v>
      </c>
      <c r="T46" s="45">
        <v>81.426344786839763</v>
      </c>
      <c r="U46" s="45">
        <v>88.559815224214162</v>
      </c>
      <c r="V46" s="45">
        <v>84.208995786851801</v>
      </c>
      <c r="W46" s="45">
        <v>88.717077520766111</v>
      </c>
      <c r="X46" s="45">
        <v>94.065587271268669</v>
      </c>
      <c r="Y46" s="45">
        <v>115.21327736599983</v>
      </c>
      <c r="Z46" s="45">
        <v>1091.5886858004269</v>
      </c>
      <c r="AA46" s="45">
        <v>1143.5369228614661</v>
      </c>
    </row>
    <row r="47" spans="1:27" x14ac:dyDescent="0.25">
      <c r="A47" s="73" t="s">
        <v>11</v>
      </c>
      <c r="B47" s="65"/>
      <c r="C47" s="65"/>
      <c r="D47" s="66">
        <v>0</v>
      </c>
      <c r="E47" s="66">
        <v>0</v>
      </c>
      <c r="F47" s="66">
        <v>0</v>
      </c>
      <c r="G47" s="66">
        <v>0</v>
      </c>
      <c r="H47" s="66">
        <v>0</v>
      </c>
      <c r="I47" s="66">
        <v>0</v>
      </c>
      <c r="J47" s="66">
        <v>0</v>
      </c>
      <c r="K47" s="66">
        <v>0</v>
      </c>
      <c r="L47" s="66">
        <v>0</v>
      </c>
      <c r="M47" s="66">
        <v>0</v>
      </c>
      <c r="N47" s="66">
        <v>0</v>
      </c>
      <c r="O47" s="66">
        <v>0</v>
      </c>
      <c r="P47" s="66">
        <v>0</v>
      </c>
      <c r="Q47" s="66">
        <v>0</v>
      </c>
      <c r="R47" s="66">
        <v>0</v>
      </c>
      <c r="S47" s="66">
        <v>0</v>
      </c>
      <c r="T47" s="66">
        <v>0</v>
      </c>
      <c r="U47" s="66">
        <v>0</v>
      </c>
      <c r="V47" s="66">
        <v>0</v>
      </c>
      <c r="W47" s="66">
        <v>0</v>
      </c>
      <c r="X47" s="66">
        <v>0</v>
      </c>
      <c r="Y47" s="66">
        <v>0</v>
      </c>
      <c r="Z47" s="66">
        <v>0</v>
      </c>
      <c r="AA47" s="66">
        <v>0</v>
      </c>
    </row>
    <row r="48" spans="1:27" x14ac:dyDescent="0.25">
      <c r="A48" s="72" t="s">
        <v>4</v>
      </c>
      <c r="B48" s="65"/>
      <c r="C48" s="65"/>
      <c r="D48" s="66">
        <v>198.40185236293976</v>
      </c>
      <c r="E48" s="66">
        <v>208.37838596269961</v>
      </c>
      <c r="F48" s="66">
        <v>211.66471731636571</v>
      </c>
      <c r="G48" s="66">
        <v>258.18617174582465</v>
      </c>
      <c r="H48" s="66">
        <v>290.11521949078139</v>
      </c>
      <c r="I48" s="66">
        <v>367.18630268199234</v>
      </c>
      <c r="J48" s="66">
        <v>482.59726154202167</v>
      </c>
      <c r="K48" s="66">
        <v>497.79169176557429</v>
      </c>
      <c r="L48" s="66">
        <v>441.59777164824169</v>
      </c>
      <c r="M48" s="66">
        <v>233.34375481838185</v>
      </c>
      <c r="N48" s="66">
        <v>257.15551270467409</v>
      </c>
      <c r="O48" s="66">
        <v>309.0557727944697</v>
      </c>
      <c r="P48" s="66">
        <v>329.12990360202696</v>
      </c>
      <c r="Q48" s="66">
        <v>380.85665078856778</v>
      </c>
      <c r="R48" s="66">
        <v>406.45383158943702</v>
      </c>
      <c r="S48" s="66">
        <v>366.62876700000004</v>
      </c>
      <c r="T48" s="66">
        <v>388.18917160876396</v>
      </c>
      <c r="U48" s="66">
        <v>386.80814320145561</v>
      </c>
      <c r="V48" s="66">
        <v>392.80370717111356</v>
      </c>
      <c r="W48" s="66">
        <v>396.2943060977251</v>
      </c>
      <c r="X48" s="66">
        <v>374.60927757793763</v>
      </c>
      <c r="Y48" s="66">
        <v>401.0021916734749</v>
      </c>
      <c r="Z48" s="66">
        <v>367.53118282609159</v>
      </c>
      <c r="AA48" s="66">
        <v>306.84340261993805</v>
      </c>
    </row>
    <row r="49" spans="1:27" x14ac:dyDescent="0.25">
      <c r="A49" s="77" t="s">
        <v>10</v>
      </c>
      <c r="B49" s="44"/>
      <c r="C49" s="44"/>
      <c r="D49" s="45">
        <v>88.911349018904104</v>
      </c>
      <c r="E49" s="45">
        <v>81.961136052198725</v>
      </c>
      <c r="F49" s="45">
        <v>102.50985583340325</v>
      </c>
      <c r="G49" s="45">
        <v>123.20533144164857</v>
      </c>
      <c r="H49" s="45">
        <v>154.24730160279194</v>
      </c>
      <c r="I49" s="45">
        <v>192.64471855233555</v>
      </c>
      <c r="J49" s="45">
        <v>257.31757790873854</v>
      </c>
      <c r="K49" s="45">
        <v>275.92935820032176</v>
      </c>
      <c r="L49" s="45">
        <v>268.52237935746967</v>
      </c>
      <c r="M49" s="45">
        <v>129.51053811149339</v>
      </c>
      <c r="N49" s="45">
        <v>121.08768760268177</v>
      </c>
      <c r="O49" s="45">
        <v>145.94558597936523</v>
      </c>
      <c r="P49" s="45">
        <v>148.1547563952426</v>
      </c>
      <c r="Q49" s="45">
        <v>169.38566140649587</v>
      </c>
      <c r="R49" s="45">
        <v>187.08181929973532</v>
      </c>
      <c r="S49" s="45">
        <v>149.05032782340305</v>
      </c>
      <c r="T49" s="45">
        <v>172.19426261202517</v>
      </c>
      <c r="U49" s="45">
        <v>181.54654748165211</v>
      </c>
      <c r="V49" s="45">
        <v>197.48320226028383</v>
      </c>
      <c r="W49" s="45">
        <v>186.71216644392175</v>
      </c>
      <c r="X49" s="45">
        <v>148.40258290121173</v>
      </c>
      <c r="Y49" s="45">
        <v>191.33706677720019</v>
      </c>
      <c r="Z49" s="45">
        <v>180.97330368332845</v>
      </c>
      <c r="AA49" s="45">
        <v>163.69621068448345</v>
      </c>
    </row>
    <row r="50" spans="1:27" x14ac:dyDescent="0.25">
      <c r="A50" s="77" t="s">
        <v>18</v>
      </c>
      <c r="B50" s="44"/>
      <c r="C50" s="44"/>
      <c r="D50" s="45">
        <v>60.853968583108369</v>
      </c>
      <c r="E50" s="45">
        <v>60.470385369601857</v>
      </c>
      <c r="F50" s="45">
        <v>45.640374933469801</v>
      </c>
      <c r="G50" s="45">
        <v>62.606087198243479</v>
      </c>
      <c r="H50" s="45">
        <v>69.38597660695649</v>
      </c>
      <c r="I50" s="45">
        <v>71.228098315530957</v>
      </c>
      <c r="J50" s="45">
        <v>76.486513272837527</v>
      </c>
      <c r="K50" s="45">
        <v>71.535374622041388</v>
      </c>
      <c r="L50" s="45">
        <v>75.374258189305664</v>
      </c>
      <c r="M50" s="45">
        <v>38.961374390001488</v>
      </c>
      <c r="N50" s="45">
        <v>53.674031013275815</v>
      </c>
      <c r="O50" s="45">
        <v>64.099959669125496</v>
      </c>
      <c r="P50" s="45">
        <v>74.687323466877501</v>
      </c>
      <c r="Q50" s="45">
        <v>81.018630048380317</v>
      </c>
      <c r="R50" s="45">
        <v>110.87432937977677</v>
      </c>
      <c r="S50" s="45">
        <v>111.56841085276966</v>
      </c>
      <c r="T50" s="45">
        <v>121.52276134218839</v>
      </c>
      <c r="U50" s="45">
        <v>109.90055723510829</v>
      </c>
      <c r="V50" s="45">
        <v>103.7154825183038</v>
      </c>
      <c r="W50" s="45">
        <v>128.20768463140135</v>
      </c>
      <c r="X50" s="45">
        <v>141.20251713527244</v>
      </c>
      <c r="Y50" s="45">
        <v>128.79658775684933</v>
      </c>
      <c r="Z50" s="45">
        <v>107.45289906197628</v>
      </c>
      <c r="AA50" s="45">
        <v>84.46258003891451</v>
      </c>
    </row>
    <row r="51" spans="1:27" x14ac:dyDescent="0.25">
      <c r="A51" s="77" t="s">
        <v>9</v>
      </c>
      <c r="B51" s="44"/>
      <c r="C51" s="44"/>
      <c r="D51" s="45">
        <v>48.63653476092729</v>
      </c>
      <c r="E51" s="45">
        <v>65.946864540899028</v>
      </c>
      <c r="F51" s="45">
        <v>63.514486549492659</v>
      </c>
      <c r="G51" s="45">
        <v>72.374753105932598</v>
      </c>
      <c r="H51" s="45">
        <v>66.48194128103296</v>
      </c>
      <c r="I51" s="45">
        <v>103.31348581412584</v>
      </c>
      <c r="J51" s="45">
        <v>148.7931703604456</v>
      </c>
      <c r="K51" s="45">
        <v>150.32695894321114</v>
      </c>
      <c r="L51" s="45">
        <v>97.701134101466351</v>
      </c>
      <c r="M51" s="45">
        <v>64.871842316886983</v>
      </c>
      <c r="N51" s="45">
        <v>82.393794088716504</v>
      </c>
      <c r="O51" s="45">
        <v>99.010227145978973</v>
      </c>
      <c r="P51" s="45">
        <v>106.28782373990686</v>
      </c>
      <c r="Q51" s="45">
        <v>130.45235933369159</v>
      </c>
      <c r="R51" s="45">
        <v>108.49768290992493</v>
      </c>
      <c r="S51" s="45">
        <v>106.01002832382733</v>
      </c>
      <c r="T51" s="45">
        <v>94.472147654550398</v>
      </c>
      <c r="U51" s="45">
        <v>95.3610384846952</v>
      </c>
      <c r="V51" s="45">
        <v>91.605022392525925</v>
      </c>
      <c r="W51" s="45">
        <v>81.374455022402003</v>
      </c>
      <c r="X51" s="45">
        <v>85.004177541453458</v>
      </c>
      <c r="Y51" s="45">
        <v>80.868537139425371</v>
      </c>
      <c r="Z51" s="45">
        <v>79.104980080786859</v>
      </c>
      <c r="AA51" s="45">
        <v>58.68461189654009</v>
      </c>
    </row>
    <row r="52" spans="1:27" x14ac:dyDescent="0.25">
      <c r="A52" s="72" t="s">
        <v>3</v>
      </c>
      <c r="B52" s="65"/>
      <c r="C52" s="65"/>
      <c r="D52" s="66">
        <v>193.17420004220986</v>
      </c>
      <c r="E52" s="66">
        <v>212.72967476470504</v>
      </c>
      <c r="F52" s="66">
        <v>197.46059437214311</v>
      </c>
      <c r="G52" s="66">
        <v>239.11295905829525</v>
      </c>
      <c r="H52" s="66">
        <v>244.79172812408549</v>
      </c>
      <c r="I52" s="66">
        <v>245.07062944718109</v>
      </c>
      <c r="J52" s="66">
        <v>271.8552384258366</v>
      </c>
      <c r="K52" s="66">
        <v>268.88418114070055</v>
      </c>
      <c r="L52" s="66">
        <v>319.54227895662746</v>
      </c>
      <c r="M52" s="66">
        <v>262.98286611322771</v>
      </c>
      <c r="N52" s="66">
        <v>330.82161227053348</v>
      </c>
      <c r="O52" s="66">
        <v>380.09390238823988</v>
      </c>
      <c r="P52" s="66">
        <v>407.45723692861696</v>
      </c>
      <c r="Q52" s="66">
        <v>460.34244656152435</v>
      </c>
      <c r="R52" s="66">
        <v>475.06201594419542</v>
      </c>
      <c r="S52" s="66">
        <v>475.03802599999983</v>
      </c>
      <c r="T52" s="66">
        <v>485.95758244804608</v>
      </c>
      <c r="U52" s="66">
        <v>497.97166169704019</v>
      </c>
      <c r="V52" s="66">
        <v>515.3877376068142</v>
      </c>
      <c r="W52" s="66">
        <v>522.47551397675772</v>
      </c>
      <c r="X52" s="66">
        <v>493.44058576668067</v>
      </c>
      <c r="Y52" s="66">
        <v>504.80001750671101</v>
      </c>
      <c r="Z52" s="66">
        <v>497.66235929252321</v>
      </c>
      <c r="AA52" s="66">
        <v>429.25086845551255</v>
      </c>
    </row>
    <row r="53" spans="1:27" x14ac:dyDescent="0.25">
      <c r="A53" s="73" t="s">
        <v>21</v>
      </c>
      <c r="B53" s="65"/>
      <c r="C53" s="65"/>
      <c r="D53" s="66">
        <v>92.853062649154978</v>
      </c>
      <c r="E53" s="66">
        <v>110.23264965080166</v>
      </c>
      <c r="F53" s="66">
        <v>110.37302091084418</v>
      </c>
      <c r="G53" s="66">
        <v>112.81107504209454</v>
      </c>
      <c r="H53" s="66">
        <v>131.70737342698271</v>
      </c>
      <c r="I53" s="66">
        <v>127.36119184455391</v>
      </c>
      <c r="J53" s="66">
        <v>118.67792134325863</v>
      </c>
      <c r="K53" s="66">
        <v>122.85068153950547</v>
      </c>
      <c r="L53" s="66">
        <v>134.71063245227288</v>
      </c>
      <c r="M53" s="66">
        <v>124.03882414721622</v>
      </c>
      <c r="N53" s="66">
        <v>181.63086475527246</v>
      </c>
      <c r="O53" s="66">
        <v>199.86458034022527</v>
      </c>
      <c r="P53" s="66">
        <v>207.83886466857504</v>
      </c>
      <c r="Q53" s="66">
        <v>249.19871107197184</v>
      </c>
      <c r="R53" s="66">
        <v>271.52949576482314</v>
      </c>
      <c r="S53" s="66">
        <v>272.47984899999994</v>
      </c>
      <c r="T53" s="66">
        <v>287.6881033236636</v>
      </c>
      <c r="U53" s="66">
        <v>310.55668899029251</v>
      </c>
      <c r="V53" s="66">
        <v>329.89318868115026</v>
      </c>
      <c r="W53" s="66">
        <v>326.25479158253688</v>
      </c>
      <c r="X53" s="66">
        <v>315.1260288827761</v>
      </c>
      <c r="Y53" s="66">
        <v>329.80097370658751</v>
      </c>
      <c r="Z53" s="66">
        <v>343.91036977889576</v>
      </c>
      <c r="AA53" s="66">
        <v>304.35424409306961</v>
      </c>
    </row>
    <row r="54" spans="1:27" x14ac:dyDescent="0.25">
      <c r="A54" s="74" t="s">
        <v>8</v>
      </c>
      <c r="B54" s="44"/>
      <c r="C54" s="44"/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  <c r="AA54" s="45">
        <v>0</v>
      </c>
    </row>
    <row r="55" spans="1:27" x14ac:dyDescent="0.25">
      <c r="A55" s="74" t="s">
        <v>17</v>
      </c>
      <c r="B55" s="44"/>
      <c r="C55" s="44"/>
      <c r="D55" s="45">
        <v>92.853062649154978</v>
      </c>
      <c r="E55" s="45">
        <v>110.23264965080166</v>
      </c>
      <c r="F55" s="45">
        <v>110.37302091084418</v>
      </c>
      <c r="G55" s="45">
        <v>112.81107504209454</v>
      </c>
      <c r="H55" s="45">
        <v>131.70737342698271</v>
      </c>
      <c r="I55" s="45">
        <v>127.36119184455391</v>
      </c>
      <c r="J55" s="45">
        <v>118.67792134325863</v>
      </c>
      <c r="K55" s="45">
        <v>122.85068153950547</v>
      </c>
      <c r="L55" s="45">
        <v>134.71063245227288</v>
      </c>
      <c r="M55" s="45">
        <v>124.03882414721622</v>
      </c>
      <c r="N55" s="45">
        <v>181.63086475527246</v>
      </c>
      <c r="O55" s="45">
        <v>199.86458034022527</v>
      </c>
      <c r="P55" s="45">
        <v>207.83886466857504</v>
      </c>
      <c r="Q55" s="45">
        <v>249.19871107197184</v>
      </c>
      <c r="R55" s="45">
        <v>271.52949576482314</v>
      </c>
      <c r="S55" s="45">
        <v>272.47984899999994</v>
      </c>
      <c r="T55" s="45">
        <v>287.6881033236636</v>
      </c>
      <c r="U55" s="45">
        <v>310.55668899029251</v>
      </c>
      <c r="V55" s="45">
        <v>329.89318868115026</v>
      </c>
      <c r="W55" s="45">
        <v>326.25479158253688</v>
      </c>
      <c r="X55" s="45">
        <v>315.1260288827761</v>
      </c>
      <c r="Y55" s="45">
        <v>329.80097370658751</v>
      </c>
      <c r="Z55" s="45">
        <v>343.91036977889576</v>
      </c>
      <c r="AA55" s="45">
        <v>304.35424409306961</v>
      </c>
    </row>
    <row r="56" spans="1:27" x14ac:dyDescent="0.25">
      <c r="A56" s="73" t="s">
        <v>16</v>
      </c>
      <c r="B56" s="65"/>
      <c r="C56" s="65"/>
      <c r="D56" s="66">
        <v>100.32113739305488</v>
      </c>
      <c r="E56" s="66">
        <v>102.49702511390338</v>
      </c>
      <c r="F56" s="66">
        <v>87.087573461298931</v>
      </c>
      <c r="G56" s="66">
        <v>126.30188401620072</v>
      </c>
      <c r="H56" s="66">
        <v>113.08435469710278</v>
      </c>
      <c r="I56" s="66">
        <v>117.70943760262718</v>
      </c>
      <c r="J56" s="66">
        <v>153.17731708257796</v>
      </c>
      <c r="K56" s="66">
        <v>146.0334996011951</v>
      </c>
      <c r="L56" s="66">
        <v>184.83164650435461</v>
      </c>
      <c r="M56" s="66">
        <v>138.94404196601147</v>
      </c>
      <c r="N56" s="66">
        <v>149.19074751526102</v>
      </c>
      <c r="O56" s="66">
        <v>180.22932204801461</v>
      </c>
      <c r="P56" s="66">
        <v>199.61837226004192</v>
      </c>
      <c r="Q56" s="66">
        <v>211.14373548955251</v>
      </c>
      <c r="R56" s="66">
        <v>203.53252017937228</v>
      </c>
      <c r="S56" s="66">
        <v>202.55817699999986</v>
      </c>
      <c r="T56" s="66">
        <v>198.26947912438246</v>
      </c>
      <c r="U56" s="66">
        <v>187.41497270674768</v>
      </c>
      <c r="V56" s="66">
        <v>185.49454892566393</v>
      </c>
      <c r="W56" s="66">
        <v>196.22072239422087</v>
      </c>
      <c r="X56" s="66">
        <v>178.31455688390457</v>
      </c>
      <c r="Y56" s="66">
        <v>174.9990438001235</v>
      </c>
      <c r="Z56" s="66">
        <v>153.75198951362742</v>
      </c>
      <c r="AA56" s="66">
        <v>124.89662436244294</v>
      </c>
    </row>
    <row r="57" spans="1:27" x14ac:dyDescent="0.25">
      <c r="A57" s="72" t="s">
        <v>2</v>
      </c>
      <c r="B57" s="65"/>
      <c r="C57" s="65"/>
      <c r="D57" s="66">
        <v>1380.5980843222885</v>
      </c>
      <c r="E57" s="66">
        <v>1430.848801059419</v>
      </c>
      <c r="F57" s="66">
        <v>1370.3485824057341</v>
      </c>
      <c r="G57" s="66">
        <v>1460.2637713696279</v>
      </c>
      <c r="H57" s="66">
        <v>1497.6945785776995</v>
      </c>
      <c r="I57" s="66">
        <v>1577.0127148330596</v>
      </c>
      <c r="J57" s="66">
        <v>1588.3521798382637</v>
      </c>
      <c r="K57" s="66">
        <v>1770.1085570409875</v>
      </c>
      <c r="L57" s="66">
        <v>1665.1499685076992</v>
      </c>
      <c r="M57" s="66">
        <v>1856.4705779823685</v>
      </c>
      <c r="N57" s="66">
        <v>1911.6014919452584</v>
      </c>
      <c r="O57" s="66">
        <v>2053.2413996293749</v>
      </c>
      <c r="P57" s="66">
        <v>2131.1238810046425</v>
      </c>
      <c r="Q57" s="66">
        <v>2249.540088863982</v>
      </c>
      <c r="R57" s="66">
        <v>2255.5131609367213</v>
      </c>
      <c r="S57" s="66">
        <v>2210.659529</v>
      </c>
      <c r="T57" s="66">
        <v>2153.6376959100221</v>
      </c>
      <c r="U57" s="66">
        <v>2184.8524916405481</v>
      </c>
      <c r="V57" s="66">
        <v>2226.0753265229323</v>
      </c>
      <c r="W57" s="66">
        <v>2224.7522017319511</v>
      </c>
      <c r="X57" s="66">
        <v>2204.6654993652132</v>
      </c>
      <c r="Y57" s="66">
        <v>2119.8021499908295</v>
      </c>
      <c r="Z57" s="66">
        <v>1974.2882318025393</v>
      </c>
      <c r="AA57" s="66">
        <v>1669.7817653000423</v>
      </c>
    </row>
    <row r="58" spans="1:27" x14ac:dyDescent="0.25">
      <c r="A58" s="72" t="s">
        <v>269</v>
      </c>
      <c r="B58" s="65"/>
      <c r="C58" s="65"/>
      <c r="D58" s="66">
        <v>174.00614153286688</v>
      </c>
      <c r="E58" s="66">
        <v>182.27065315066767</v>
      </c>
      <c r="F58" s="66">
        <v>192.3377959332432</v>
      </c>
      <c r="G58" s="66">
        <v>266.79237747068544</v>
      </c>
      <c r="H58" s="66">
        <v>316.81569212759723</v>
      </c>
      <c r="I58" s="66">
        <v>323.96322933771211</v>
      </c>
      <c r="J58" s="66">
        <v>346.37393322276642</v>
      </c>
      <c r="K58" s="66">
        <v>308.67830978202636</v>
      </c>
      <c r="L58" s="66">
        <v>345.01907347479522</v>
      </c>
      <c r="M58" s="66">
        <v>218.26721265684179</v>
      </c>
      <c r="N58" s="66">
        <v>245.15942768362822</v>
      </c>
      <c r="O58" s="66">
        <v>205.61148520623814</v>
      </c>
      <c r="P58" s="66">
        <v>251.88829568788498</v>
      </c>
      <c r="Q58" s="66">
        <v>285.41231686814507</v>
      </c>
      <c r="R58" s="66">
        <v>278.25279222720479</v>
      </c>
      <c r="S58" s="66">
        <v>299.92717199999998</v>
      </c>
      <c r="T58" s="66">
        <v>329.58885082621305</v>
      </c>
      <c r="U58" s="66">
        <v>373.9534919168151</v>
      </c>
      <c r="V58" s="66">
        <v>393.92962249084445</v>
      </c>
      <c r="W58" s="66">
        <v>425.60357248620272</v>
      </c>
      <c r="X58" s="66">
        <v>421.24955212300745</v>
      </c>
      <c r="Y58" s="66">
        <v>481.53498757857176</v>
      </c>
      <c r="Z58" s="66">
        <v>479.45916391670255</v>
      </c>
      <c r="AA58" s="66">
        <v>428.94111358085945</v>
      </c>
    </row>
    <row r="59" spans="1:27" x14ac:dyDescent="0.25">
      <c r="A59" s="72" t="s">
        <v>270</v>
      </c>
      <c r="B59" s="65"/>
      <c r="C59" s="65"/>
      <c r="D59" s="66">
        <v>586.24386739613942</v>
      </c>
      <c r="E59" s="66">
        <v>632.87078242499729</v>
      </c>
      <c r="F59" s="66">
        <v>676.90795735827851</v>
      </c>
      <c r="G59" s="66">
        <v>812.23974030308079</v>
      </c>
      <c r="H59" s="66">
        <v>1001.6042844600526</v>
      </c>
      <c r="I59" s="66">
        <v>1050.7822879036671</v>
      </c>
      <c r="J59" s="66">
        <v>1059.4271583034415</v>
      </c>
      <c r="K59" s="66">
        <v>1146.5455137438839</v>
      </c>
      <c r="L59" s="66">
        <v>1101.6632191646938</v>
      </c>
      <c r="M59" s="66">
        <v>793.91700427928163</v>
      </c>
      <c r="N59" s="66">
        <v>925.38813606011854</v>
      </c>
      <c r="O59" s="66">
        <v>1078.8217523476376</v>
      </c>
      <c r="P59" s="66">
        <v>1164.2078494047196</v>
      </c>
      <c r="Q59" s="66">
        <v>1190.4455668081018</v>
      </c>
      <c r="R59" s="66">
        <v>1209.8877588440459</v>
      </c>
      <c r="S59" s="66">
        <v>1266.8702939999998</v>
      </c>
      <c r="T59" s="66">
        <v>1342.3420631070362</v>
      </c>
      <c r="U59" s="66">
        <v>1495.2296653361402</v>
      </c>
      <c r="V59" s="66">
        <v>1523.9263852557572</v>
      </c>
      <c r="W59" s="66">
        <v>1593.1581513887018</v>
      </c>
      <c r="X59" s="66">
        <v>1562.5167918606289</v>
      </c>
      <c r="Y59" s="66">
        <v>1870.7896318588794</v>
      </c>
      <c r="Z59" s="66">
        <v>1800.9244663185341</v>
      </c>
      <c r="AA59" s="66">
        <v>1537.2429285077505</v>
      </c>
    </row>
    <row r="60" spans="1:27" x14ac:dyDescent="0.25">
      <c r="A60" s="72" t="s">
        <v>1</v>
      </c>
      <c r="B60" s="65"/>
      <c r="C60" s="65"/>
      <c r="D60" s="66">
        <v>1043.2900417228111</v>
      </c>
      <c r="E60" s="66">
        <v>1130.1263971874951</v>
      </c>
      <c r="F60" s="66">
        <v>1059.9535679032967</v>
      </c>
      <c r="G60" s="66">
        <v>1041.5834928628854</v>
      </c>
      <c r="H60" s="66">
        <v>1050.7421290605794</v>
      </c>
      <c r="I60" s="66">
        <v>949.64868910782707</v>
      </c>
      <c r="J60" s="66">
        <v>866.42768156747786</v>
      </c>
      <c r="K60" s="66">
        <v>809.39067153962446</v>
      </c>
      <c r="L60" s="66">
        <v>660.06544751645185</v>
      </c>
      <c r="M60" s="66">
        <v>530.93413816605391</v>
      </c>
      <c r="N60" s="66">
        <v>624.97913370209562</v>
      </c>
      <c r="O60" s="66">
        <v>711.97765840048294</v>
      </c>
      <c r="P60" s="66">
        <v>728.05644086141137</v>
      </c>
      <c r="Q60" s="66">
        <v>751.58576775278198</v>
      </c>
      <c r="R60" s="66">
        <v>797.93304833084221</v>
      </c>
      <c r="S60" s="66">
        <v>782.63204799999994</v>
      </c>
      <c r="T60" s="66">
        <v>810.08111838262221</v>
      </c>
      <c r="U60" s="66">
        <v>799.47166455497222</v>
      </c>
      <c r="V60" s="66">
        <v>740.57080155299172</v>
      </c>
      <c r="W60" s="66">
        <v>705.89923273657291</v>
      </c>
      <c r="X60" s="66">
        <v>631.46876057977147</v>
      </c>
      <c r="Y60" s="66">
        <v>625.08789202527635</v>
      </c>
      <c r="Z60" s="66">
        <v>586.51128910307591</v>
      </c>
      <c r="AA60" s="66">
        <v>493.22451291050157</v>
      </c>
    </row>
    <row r="61" spans="1:27" x14ac:dyDescent="0.25">
      <c r="A61" s="72" t="s">
        <v>0</v>
      </c>
      <c r="B61" s="65"/>
      <c r="C61" s="65"/>
      <c r="D61" s="66">
        <v>350.00376966410698</v>
      </c>
      <c r="E61" s="66">
        <v>407.57071778783245</v>
      </c>
      <c r="F61" s="66">
        <v>478.28309061365809</v>
      </c>
      <c r="G61" s="66">
        <v>566.38137675773237</v>
      </c>
      <c r="H61" s="66">
        <v>639.9138484050336</v>
      </c>
      <c r="I61" s="66">
        <v>674.78351395730704</v>
      </c>
      <c r="J61" s="66">
        <v>676.77957470333365</v>
      </c>
      <c r="K61" s="66">
        <v>716.6593992928656</v>
      </c>
      <c r="L61" s="66">
        <v>580.30476402493321</v>
      </c>
      <c r="M61" s="66">
        <v>470.62796951989355</v>
      </c>
      <c r="N61" s="66">
        <v>549.62344469665243</v>
      </c>
      <c r="O61" s="66">
        <v>619.06936306660828</v>
      </c>
      <c r="P61" s="66">
        <v>606.45519466726</v>
      </c>
      <c r="Q61" s="66">
        <v>667.34310003202302</v>
      </c>
      <c r="R61" s="66">
        <v>714.65585351270556</v>
      </c>
      <c r="S61" s="66">
        <v>720.68389999999999</v>
      </c>
      <c r="T61" s="66">
        <v>752.99894062552585</v>
      </c>
      <c r="U61" s="66">
        <v>721.90553009878909</v>
      </c>
      <c r="V61" s="66">
        <v>746.34111756661241</v>
      </c>
      <c r="W61" s="66">
        <v>734.10768160811233</v>
      </c>
      <c r="X61" s="66">
        <v>725.01968807307082</v>
      </c>
      <c r="Y61" s="66">
        <v>888.80084115577631</v>
      </c>
      <c r="Z61" s="66">
        <v>976.14635202837815</v>
      </c>
      <c r="AA61" s="66">
        <v>886.55890665697348</v>
      </c>
    </row>
    <row r="62" spans="1:27" x14ac:dyDescent="0.25">
      <c r="A62" s="78" t="s">
        <v>271</v>
      </c>
      <c r="B62" s="79"/>
      <c r="C62" s="79"/>
      <c r="D62" s="80">
        <v>427.42281117586896</v>
      </c>
      <c r="E62" s="80">
        <v>536.90069051410194</v>
      </c>
      <c r="F62" s="80">
        <v>639.41838696451077</v>
      </c>
      <c r="G62" s="80">
        <v>812.47234045780669</v>
      </c>
      <c r="H62" s="80">
        <v>985.00062920690652</v>
      </c>
      <c r="I62" s="80">
        <v>1079.9473713738369</v>
      </c>
      <c r="J62" s="80">
        <v>1258.7350959745952</v>
      </c>
      <c r="K62" s="80">
        <v>1293.8568064665894</v>
      </c>
      <c r="L62" s="80">
        <v>1296.8187954737962</v>
      </c>
      <c r="M62" s="80">
        <v>1051.7601401101663</v>
      </c>
      <c r="N62" s="80">
        <v>1179.5023877735416</v>
      </c>
      <c r="O62" s="80">
        <v>1435.768399025548</v>
      </c>
      <c r="P62" s="80">
        <v>1616.9553463954439</v>
      </c>
      <c r="Q62" s="80">
        <v>1771.70462933312</v>
      </c>
      <c r="R62" s="80">
        <v>1902.5400966616844</v>
      </c>
      <c r="S62" s="80">
        <v>1947.073226</v>
      </c>
      <c r="T62" s="80">
        <v>1996.6617070780073</v>
      </c>
      <c r="U62" s="80">
        <v>2073.1046708138438</v>
      </c>
      <c r="V62" s="80">
        <v>2169.3573422914887</v>
      </c>
      <c r="W62" s="80">
        <v>2157.6023331987258</v>
      </c>
      <c r="X62" s="80">
        <v>2132.8800333262798</v>
      </c>
      <c r="Y62" s="80">
        <v>2358.2047918368708</v>
      </c>
      <c r="Z62" s="80">
        <v>2305.8464332906997</v>
      </c>
      <c r="AA62" s="80">
        <v>1986.3345915497284</v>
      </c>
    </row>
    <row r="63" spans="1:27" x14ac:dyDescent="0.25">
      <c r="A63" s="38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  <c r="AA63" s="37"/>
    </row>
    <row r="64" spans="1:27" x14ac:dyDescent="0.25">
      <c r="A64" s="58" t="s">
        <v>241</v>
      </c>
      <c r="B64" s="50"/>
      <c r="C64" s="50"/>
      <c r="D64" s="56"/>
      <c r="E64" s="56"/>
      <c r="F64" s="56"/>
      <c r="G64" s="56"/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  <c r="AA64" s="56"/>
    </row>
    <row r="65" spans="1:27" x14ac:dyDescent="0.25">
      <c r="A65" s="81" t="s">
        <v>142</v>
      </c>
      <c r="B65" s="41"/>
      <c r="C65" s="41"/>
      <c r="D65" s="82">
        <f t="shared" ref="D65:D76" si="51">D23/D$23</f>
        <v>1</v>
      </c>
      <c r="E65" s="82">
        <f t="shared" ref="E65:S65" si="52">E23/E$23</f>
        <v>1</v>
      </c>
      <c r="F65" s="82">
        <f t="shared" si="52"/>
        <v>1</v>
      </c>
      <c r="G65" s="82">
        <f t="shared" si="52"/>
        <v>1</v>
      </c>
      <c r="H65" s="82">
        <f t="shared" si="52"/>
        <v>1</v>
      </c>
      <c r="I65" s="82">
        <f t="shared" si="52"/>
        <v>1</v>
      </c>
      <c r="J65" s="82">
        <f t="shared" si="52"/>
        <v>1</v>
      </c>
      <c r="K65" s="82">
        <f t="shared" si="52"/>
        <v>1</v>
      </c>
      <c r="L65" s="82">
        <f t="shared" si="52"/>
        <v>1</v>
      </c>
      <c r="M65" s="82">
        <f t="shared" si="52"/>
        <v>1</v>
      </c>
      <c r="N65" s="82">
        <f t="shared" si="52"/>
        <v>1</v>
      </c>
      <c r="O65" s="82">
        <f t="shared" si="52"/>
        <v>1</v>
      </c>
      <c r="P65" s="82">
        <f t="shared" si="52"/>
        <v>1</v>
      </c>
      <c r="Q65" s="82">
        <f t="shared" si="52"/>
        <v>1</v>
      </c>
      <c r="R65" s="82">
        <f t="shared" si="52"/>
        <v>1</v>
      </c>
      <c r="S65" s="82">
        <f t="shared" si="52"/>
        <v>1</v>
      </c>
      <c r="T65" s="82">
        <f t="shared" ref="T65:Y65" si="53">T23/T$23</f>
        <v>1</v>
      </c>
      <c r="U65" s="82">
        <f t="shared" si="53"/>
        <v>1</v>
      </c>
      <c r="V65" s="82">
        <f t="shared" si="53"/>
        <v>1</v>
      </c>
      <c r="W65" s="82">
        <f t="shared" si="53"/>
        <v>1</v>
      </c>
      <c r="X65" s="82">
        <f t="shared" si="53"/>
        <v>1</v>
      </c>
      <c r="Y65" s="82">
        <f t="shared" si="53"/>
        <v>1</v>
      </c>
      <c r="Z65" s="82">
        <f t="shared" ref="Z65:AA65" si="54">Z23/Z$23</f>
        <v>1</v>
      </c>
      <c r="AA65" s="82">
        <f t="shared" si="54"/>
        <v>1</v>
      </c>
    </row>
    <row r="66" spans="1:27" x14ac:dyDescent="0.25">
      <c r="A66" s="64" t="s">
        <v>33</v>
      </c>
      <c r="B66" s="65"/>
      <c r="C66" s="65"/>
      <c r="D66" s="83">
        <f t="shared" si="51"/>
        <v>6.2704696778837499E-2</v>
      </c>
      <c r="E66" s="83">
        <f t="shared" ref="E66:S66" si="55">E24/E$23</f>
        <v>5.4656601296463443E-2</v>
      </c>
      <c r="F66" s="83">
        <f t="shared" si="55"/>
        <v>5.3591266608404547E-2</v>
      </c>
      <c r="G66" s="83">
        <f t="shared" si="55"/>
        <v>4.9280269823530586E-2</v>
      </c>
      <c r="H66" s="83">
        <f t="shared" si="55"/>
        <v>4.608353587945424E-2</v>
      </c>
      <c r="I66" s="83">
        <f t="shared" si="55"/>
        <v>4.7778140224974487E-2</v>
      </c>
      <c r="J66" s="83">
        <f t="shared" si="55"/>
        <v>4.2784022388540593E-2</v>
      </c>
      <c r="K66" s="83">
        <f t="shared" si="55"/>
        <v>3.8688660458370265E-2</v>
      </c>
      <c r="L66" s="83">
        <f t="shared" si="55"/>
        <v>3.6587862040732777E-2</v>
      </c>
      <c r="M66" s="83">
        <f t="shared" si="55"/>
        <v>2.8117349336015101E-2</v>
      </c>
      <c r="N66" s="83">
        <f t="shared" si="55"/>
        <v>3.4357988465040977E-2</v>
      </c>
      <c r="O66" s="83">
        <f t="shared" si="55"/>
        <v>3.9318366554212017E-2</v>
      </c>
      <c r="P66" s="83">
        <f t="shared" si="55"/>
        <v>4.4511846056503532E-2</v>
      </c>
      <c r="Q66" s="83">
        <f t="shared" si="55"/>
        <v>3.9236158638098477E-2</v>
      </c>
      <c r="R66" s="83">
        <f t="shared" si="55"/>
        <v>3.8261347669375036E-2</v>
      </c>
      <c r="S66" s="83">
        <f t="shared" si="55"/>
        <v>3.8354228891313291E-2</v>
      </c>
      <c r="T66" s="83">
        <f t="shared" ref="T66:Y66" si="56">T24/T$23</f>
        <v>3.4820650939789657E-2</v>
      </c>
      <c r="U66" s="83">
        <f t="shared" si="56"/>
        <v>3.9670789291398535E-2</v>
      </c>
      <c r="V66" s="83">
        <f t="shared" si="56"/>
        <v>3.2202694402159796E-2</v>
      </c>
      <c r="W66" s="83">
        <f t="shared" si="56"/>
        <v>3.4883351776935211E-2</v>
      </c>
      <c r="X66" s="83">
        <f t="shared" si="56"/>
        <v>3.9541253757933416E-2</v>
      </c>
      <c r="Y66" s="83">
        <f t="shared" si="56"/>
        <v>3.809793387938986E-2</v>
      </c>
      <c r="Z66" s="83">
        <f t="shared" ref="Z66:AA66" si="57">Z24/Z$23</f>
        <v>4.3355325164938736E-2</v>
      </c>
      <c r="AA66" s="83">
        <f t="shared" si="57"/>
        <v>3.0157363706414947E-2</v>
      </c>
    </row>
    <row r="67" spans="1:27" x14ac:dyDescent="0.25">
      <c r="A67" s="64" t="s">
        <v>56</v>
      </c>
      <c r="B67" s="65"/>
      <c r="C67" s="65"/>
      <c r="D67" s="83">
        <f t="shared" si="51"/>
        <v>6.991182292603924E-3</v>
      </c>
      <c r="E67" s="83">
        <f t="shared" ref="E67:S67" si="58">E25/E$23</f>
        <v>7.2290145236727603E-3</v>
      </c>
      <c r="F67" s="83">
        <f t="shared" si="58"/>
        <v>5.9545851787116185E-3</v>
      </c>
      <c r="G67" s="83">
        <f t="shared" si="58"/>
        <v>5.6413997095649485E-3</v>
      </c>
      <c r="H67" s="83">
        <f t="shared" si="58"/>
        <v>5.3581278071073973E-3</v>
      </c>
      <c r="I67" s="83">
        <f t="shared" si="58"/>
        <v>5.2198158347602783E-3</v>
      </c>
      <c r="J67" s="83">
        <f t="shared" si="58"/>
        <v>5.0223078069464759E-3</v>
      </c>
      <c r="K67" s="83">
        <f t="shared" si="58"/>
        <v>4.5391932284292386E-3</v>
      </c>
      <c r="L67" s="83">
        <f t="shared" si="58"/>
        <v>4.3628639894104735E-3</v>
      </c>
      <c r="M67" s="83">
        <f t="shared" si="58"/>
        <v>3.1656580099776528E-3</v>
      </c>
      <c r="N67" s="83">
        <f t="shared" si="58"/>
        <v>3.7556054140440885E-3</v>
      </c>
      <c r="O67" s="83">
        <f t="shared" si="58"/>
        <v>4.3127080361232955E-3</v>
      </c>
      <c r="P67" s="83">
        <f t="shared" si="58"/>
        <v>3.9871847663429365E-3</v>
      </c>
      <c r="Q67" s="83">
        <f t="shared" si="58"/>
        <v>4.0585836657127663E-3</v>
      </c>
      <c r="R67" s="83">
        <f t="shared" si="58"/>
        <v>3.9312114362514521E-3</v>
      </c>
      <c r="S67" s="83">
        <f t="shared" si="58"/>
        <v>2.9599556453776396E-3</v>
      </c>
      <c r="T67" s="83">
        <f t="shared" ref="T67:Y67" si="59">T25/T$23</f>
        <v>2.7965717537749629E-3</v>
      </c>
      <c r="U67" s="83">
        <f t="shared" si="59"/>
        <v>2.9877709156013441E-3</v>
      </c>
      <c r="V67" s="83">
        <f t="shared" si="59"/>
        <v>3.0517782617245841E-3</v>
      </c>
      <c r="W67" s="83">
        <f t="shared" si="59"/>
        <v>2.8118934020281896E-3</v>
      </c>
      <c r="X67" s="83">
        <f t="shared" si="59"/>
        <v>2.9907582674535134E-3</v>
      </c>
      <c r="Y67" s="83">
        <f t="shared" si="59"/>
        <v>2.743663503184736E-3</v>
      </c>
      <c r="Z67" s="83">
        <f t="shared" ref="Z67:AA67" si="60">Z25/Z$23</f>
        <v>2.4445087670858364E-3</v>
      </c>
      <c r="AA67" s="83">
        <f t="shared" si="60"/>
        <v>2.4576791562319401E-3</v>
      </c>
    </row>
    <row r="68" spans="1:27" x14ac:dyDescent="0.25">
      <c r="A68" s="64" t="s">
        <v>146</v>
      </c>
      <c r="B68" s="65"/>
      <c r="C68" s="65"/>
      <c r="D68" s="83">
        <f t="shared" si="51"/>
        <v>0.65130466078819493</v>
      </c>
      <c r="E68" s="83">
        <f t="shared" ref="E68:S68" si="61">E26/E$23</f>
        <v>0.6523836875358987</v>
      </c>
      <c r="F68" s="83">
        <f t="shared" si="61"/>
        <v>0.66226985232036262</v>
      </c>
      <c r="G68" s="83">
        <f t="shared" si="61"/>
        <v>0.65028006236992308</v>
      </c>
      <c r="H68" s="83">
        <f t="shared" si="61"/>
        <v>0.63936890467502705</v>
      </c>
      <c r="I68" s="83">
        <f t="shared" si="61"/>
        <v>0.63724262618405003</v>
      </c>
      <c r="J68" s="83">
        <f t="shared" si="61"/>
        <v>0.63687280652899314</v>
      </c>
      <c r="K68" s="83">
        <f t="shared" si="61"/>
        <v>0.64329922223629132</v>
      </c>
      <c r="L68" s="83">
        <f t="shared" si="61"/>
        <v>0.65026717161789682</v>
      </c>
      <c r="M68" s="83">
        <f t="shared" si="61"/>
        <v>0.7079834098598875</v>
      </c>
      <c r="N68" s="83">
        <f t="shared" si="61"/>
        <v>0.68738155918604327</v>
      </c>
      <c r="O68" s="83">
        <f t="shared" si="61"/>
        <v>0.66234215196093549</v>
      </c>
      <c r="P68" s="83">
        <f t="shared" si="61"/>
        <v>0.66076790969076715</v>
      </c>
      <c r="Q68" s="83">
        <f t="shared" si="61"/>
        <v>0.67405912481020147</v>
      </c>
      <c r="R68" s="83">
        <f t="shared" si="61"/>
        <v>0.6739415969210093</v>
      </c>
      <c r="S68" s="83">
        <f t="shared" si="61"/>
        <v>0.67977929998390374</v>
      </c>
      <c r="T68" s="83">
        <f t="shared" ref="T68:Y68" si="62">T26/T$23</f>
        <v>0.69420734976770848</v>
      </c>
      <c r="U68" s="83">
        <f t="shared" si="62"/>
        <v>0.69243270507064059</v>
      </c>
      <c r="V68" s="83">
        <f t="shared" si="62"/>
        <v>0.70186772714140411</v>
      </c>
      <c r="W68" s="83">
        <f t="shared" si="62"/>
        <v>0.70278286740562024</v>
      </c>
      <c r="X68" s="83">
        <f t="shared" si="62"/>
        <v>0.70141409642578778</v>
      </c>
      <c r="Y68" s="83">
        <f t="shared" si="62"/>
        <v>0.7009991291377764</v>
      </c>
      <c r="Z68" s="83">
        <f t="shared" ref="Z68:AA68" si="63">Z26/Z$23</f>
        <v>0.68954168394216697</v>
      </c>
      <c r="AA68" s="83">
        <f t="shared" si="63"/>
        <v>0.71616442991302498</v>
      </c>
    </row>
    <row r="69" spans="1:27" x14ac:dyDescent="0.25">
      <c r="A69" s="68" t="s">
        <v>148</v>
      </c>
      <c r="B69" s="69"/>
      <c r="C69" s="69"/>
      <c r="D69" s="84">
        <f t="shared" si="51"/>
        <v>0.28105092675904253</v>
      </c>
      <c r="E69" s="84">
        <f t="shared" ref="E69:S69" si="64">E27/E$23</f>
        <v>0.27559694756707959</v>
      </c>
      <c r="F69" s="84">
        <f t="shared" si="64"/>
        <v>0.27799914088074529</v>
      </c>
      <c r="G69" s="84">
        <f t="shared" si="64"/>
        <v>0.27029197422221618</v>
      </c>
      <c r="H69" s="84">
        <f t="shared" si="64"/>
        <v>0.2673790632974305</v>
      </c>
      <c r="I69" s="84">
        <f t="shared" si="64"/>
        <v>0.26194585038881241</v>
      </c>
      <c r="J69" s="84">
        <f t="shared" si="64"/>
        <v>0.26498476437718066</v>
      </c>
      <c r="K69" s="84">
        <f t="shared" si="64"/>
        <v>0.25678097145641726</v>
      </c>
      <c r="L69" s="84">
        <f t="shared" si="64"/>
        <v>0.26104458772558248</v>
      </c>
      <c r="M69" s="84">
        <f t="shared" si="64"/>
        <v>0.30579987305564948</v>
      </c>
      <c r="N69" s="84">
        <f t="shared" si="64"/>
        <v>0.2973833856116565</v>
      </c>
      <c r="O69" s="84">
        <f t="shared" si="64"/>
        <v>0.28280666671462162</v>
      </c>
      <c r="P69" s="84">
        <f t="shared" si="64"/>
        <v>0.28120198053611056</v>
      </c>
      <c r="Q69" s="84">
        <f t="shared" si="64"/>
        <v>0.2833018726782513</v>
      </c>
      <c r="R69" s="84">
        <f t="shared" si="64"/>
        <v>0.28334962428981614</v>
      </c>
      <c r="S69" s="84">
        <f t="shared" si="64"/>
        <v>0.28268619700844771</v>
      </c>
      <c r="T69" s="84">
        <f t="shared" ref="T69:Y69" si="65">T27/T$23</f>
        <v>0.28918616717016815</v>
      </c>
      <c r="U69" s="84">
        <f t="shared" si="65"/>
        <v>0.28907460382087452</v>
      </c>
      <c r="V69" s="84">
        <f t="shared" si="65"/>
        <v>0.29447839355557659</v>
      </c>
      <c r="W69" s="84">
        <f t="shared" si="65"/>
        <v>0.3028772018939464</v>
      </c>
      <c r="X69" s="84">
        <f t="shared" si="65"/>
        <v>0.29937646141855018</v>
      </c>
      <c r="Y69" s="84">
        <f t="shared" si="65"/>
        <v>0.29433410266865667</v>
      </c>
      <c r="Z69" s="84">
        <f t="shared" ref="Z69:AA69" si="66">Z27/Z$23</f>
        <v>0.28958693318672113</v>
      </c>
      <c r="AA69" s="84">
        <f t="shared" si="66"/>
        <v>0.29475293777692169</v>
      </c>
    </row>
    <row r="70" spans="1:27" x14ac:dyDescent="0.25">
      <c r="A70" s="68" t="s">
        <v>150</v>
      </c>
      <c r="B70" s="71"/>
      <c r="C70" s="71"/>
      <c r="D70" s="84">
        <f t="shared" si="51"/>
        <v>0.19193809609501528</v>
      </c>
      <c r="E70" s="84">
        <f t="shared" ref="E70:S70" si="67">E28/E$23</f>
        <v>0.19021908591121683</v>
      </c>
      <c r="F70" s="84">
        <f t="shared" si="67"/>
        <v>0.19442757476559375</v>
      </c>
      <c r="G70" s="84">
        <f t="shared" si="67"/>
        <v>0.1929920833026614</v>
      </c>
      <c r="H70" s="84">
        <f t="shared" si="67"/>
        <v>0.18726777910451381</v>
      </c>
      <c r="I70" s="84">
        <f t="shared" si="67"/>
        <v>0.18930266328538509</v>
      </c>
      <c r="J70" s="84">
        <f t="shared" si="67"/>
        <v>0.19566498200263285</v>
      </c>
      <c r="K70" s="84">
        <f t="shared" si="67"/>
        <v>0.20640858878285925</v>
      </c>
      <c r="L70" s="84">
        <f t="shared" si="67"/>
        <v>0.20261999795312657</v>
      </c>
      <c r="M70" s="84">
        <f t="shared" si="67"/>
        <v>0.21305630888692884</v>
      </c>
      <c r="N70" s="84">
        <f t="shared" si="67"/>
        <v>0.19962359607406654</v>
      </c>
      <c r="O70" s="84">
        <f t="shared" si="67"/>
        <v>0.18425898618174497</v>
      </c>
      <c r="P70" s="84">
        <f t="shared" si="67"/>
        <v>0.17823485890856258</v>
      </c>
      <c r="Q70" s="84">
        <f t="shared" si="67"/>
        <v>0.18568577331139047</v>
      </c>
      <c r="R70" s="84">
        <f t="shared" si="67"/>
        <v>0.18625450546765226</v>
      </c>
      <c r="S70" s="84">
        <f t="shared" si="67"/>
        <v>0.19701440929062411</v>
      </c>
      <c r="T70" s="84">
        <f t="shared" ref="T70:Y70" si="68">T28/T$23</f>
        <v>0.20617309146097845</v>
      </c>
      <c r="U70" s="84">
        <f t="shared" si="68"/>
        <v>0.20635420026544135</v>
      </c>
      <c r="V70" s="84">
        <f t="shared" si="68"/>
        <v>0.21020609821530456</v>
      </c>
      <c r="W70" s="84">
        <f t="shared" si="68"/>
        <v>0.21162219037425395</v>
      </c>
      <c r="X70" s="84">
        <f t="shared" si="68"/>
        <v>0.21519207215232156</v>
      </c>
      <c r="Y70" s="84">
        <f t="shared" si="68"/>
        <v>0.22432788728379763</v>
      </c>
      <c r="Z70" s="84">
        <f t="shared" ref="Z70:AA70" si="69">Z28/Z$23</f>
        <v>0.22962973871609596</v>
      </c>
      <c r="AA70" s="84">
        <f t="shared" si="69"/>
        <v>0.25612839529955694</v>
      </c>
    </row>
    <row r="71" spans="1:27" x14ac:dyDescent="0.25">
      <c r="A71" s="68" t="s">
        <v>152</v>
      </c>
      <c r="B71" s="71"/>
      <c r="C71" s="71"/>
      <c r="D71" s="84">
        <f t="shared" si="51"/>
        <v>0.1783156379341371</v>
      </c>
      <c r="E71" s="84">
        <f t="shared" ref="E71:S71" si="70">E29/E$23</f>
        <v>0.18656765405760234</v>
      </c>
      <c r="F71" s="84">
        <f t="shared" si="70"/>
        <v>0.18984313667402344</v>
      </c>
      <c r="G71" s="84">
        <f t="shared" si="70"/>
        <v>0.18699600484504558</v>
      </c>
      <c r="H71" s="84">
        <f t="shared" si="70"/>
        <v>0.18472206227308266</v>
      </c>
      <c r="I71" s="84">
        <f t="shared" si="70"/>
        <v>0.18599411250985257</v>
      </c>
      <c r="J71" s="84">
        <f t="shared" si="70"/>
        <v>0.17622306014917963</v>
      </c>
      <c r="K71" s="84">
        <f t="shared" si="70"/>
        <v>0.18010966199701475</v>
      </c>
      <c r="L71" s="84">
        <f t="shared" si="70"/>
        <v>0.18660258593918772</v>
      </c>
      <c r="M71" s="84">
        <f t="shared" si="70"/>
        <v>0.18912722791730924</v>
      </c>
      <c r="N71" s="84">
        <f t="shared" si="70"/>
        <v>0.19037457750032039</v>
      </c>
      <c r="O71" s="84">
        <f t="shared" si="70"/>
        <v>0.19527649906456881</v>
      </c>
      <c r="P71" s="84">
        <f t="shared" si="70"/>
        <v>0.20133107024609398</v>
      </c>
      <c r="Q71" s="84">
        <f t="shared" si="70"/>
        <v>0.20507147882055965</v>
      </c>
      <c r="R71" s="84">
        <f t="shared" si="70"/>
        <v>0.20433746716354081</v>
      </c>
      <c r="S71" s="84">
        <f t="shared" si="70"/>
        <v>0.20007869368483175</v>
      </c>
      <c r="T71" s="84">
        <f t="shared" ref="T71:Y71" si="71">T29/T$23</f>
        <v>0.19884809113656196</v>
      </c>
      <c r="U71" s="84">
        <f t="shared" si="71"/>
        <v>0.1970039009843248</v>
      </c>
      <c r="V71" s="84">
        <f t="shared" si="71"/>
        <v>0.19718323537052279</v>
      </c>
      <c r="W71" s="84">
        <f t="shared" si="71"/>
        <v>0.18828347513741991</v>
      </c>
      <c r="X71" s="84">
        <f t="shared" si="71"/>
        <v>0.18684556285491594</v>
      </c>
      <c r="Y71" s="84">
        <f t="shared" si="71"/>
        <v>0.18233713918532216</v>
      </c>
      <c r="Z71" s="84">
        <f t="shared" ref="Z71:AA71" si="72">Z29/Z$23</f>
        <v>0.17032501203934997</v>
      </c>
      <c r="AA71" s="84">
        <f t="shared" si="72"/>
        <v>0.16528309683654643</v>
      </c>
    </row>
    <row r="72" spans="1:27" x14ac:dyDescent="0.25">
      <c r="A72" s="64" t="s">
        <v>154</v>
      </c>
      <c r="B72" s="65"/>
      <c r="C72" s="65"/>
      <c r="D72" s="83">
        <f t="shared" si="51"/>
        <v>5.0863775418391204E-2</v>
      </c>
      <c r="E72" s="83">
        <f t="shared" ref="E72:S72" si="73">E30/E$23</f>
        <v>5.6322310658898811E-2</v>
      </c>
      <c r="F72" s="83">
        <f t="shared" si="73"/>
        <v>5.2680303950467314E-2</v>
      </c>
      <c r="G72" s="83">
        <f t="shared" si="73"/>
        <v>5.988717200580871E-2</v>
      </c>
      <c r="H72" s="83">
        <f t="shared" si="73"/>
        <v>6.4188431535370322E-2</v>
      </c>
      <c r="I72" s="83">
        <f t="shared" si="73"/>
        <v>6.391323800812776E-2</v>
      </c>
      <c r="J72" s="83">
        <f t="shared" si="73"/>
        <v>5.4400465952570608E-2</v>
      </c>
      <c r="K72" s="83">
        <f t="shared" si="73"/>
        <v>4.0894946262551891E-2</v>
      </c>
      <c r="L72" s="83">
        <f t="shared" si="73"/>
        <v>4.5127751040255189E-2</v>
      </c>
      <c r="M72" s="83">
        <f t="shared" si="73"/>
        <v>4.8699423223422439E-2</v>
      </c>
      <c r="N72" s="83">
        <f t="shared" si="73"/>
        <v>5.1787048695470642E-2</v>
      </c>
      <c r="O72" s="83">
        <f t="shared" si="73"/>
        <v>5.0448557521409899E-2</v>
      </c>
      <c r="P72" s="83">
        <f t="shared" si="73"/>
        <v>5.0544513519937585E-2</v>
      </c>
      <c r="Q72" s="83">
        <f t="shared" si="73"/>
        <v>3.8491289165332385E-2</v>
      </c>
      <c r="R72" s="83">
        <f t="shared" si="73"/>
        <v>3.2417985215956964E-2</v>
      </c>
      <c r="S72" s="83">
        <f t="shared" si="73"/>
        <v>3.1528147896434329E-2</v>
      </c>
      <c r="T72" s="83">
        <f t="shared" ref="T72:Y72" si="74">T30/T$23</f>
        <v>2.9978489939379918E-2</v>
      </c>
      <c r="U72" s="83">
        <f t="shared" si="74"/>
        <v>3.0582728345422E-2</v>
      </c>
      <c r="V72" s="83">
        <f t="shared" si="74"/>
        <v>2.7594679174830227E-2</v>
      </c>
      <c r="W72" s="83">
        <f t="shared" si="74"/>
        <v>2.6452206882789396E-2</v>
      </c>
      <c r="X72" s="83">
        <f t="shared" si="74"/>
        <v>2.2017592695690907E-2</v>
      </c>
      <c r="Y72" s="83">
        <f t="shared" si="74"/>
        <v>1.9086672242114414E-2</v>
      </c>
      <c r="Z72" s="83">
        <f t="shared" ref="Z72:AA72" si="75">Z30/Z$23</f>
        <v>3.7407919239642373E-2</v>
      </c>
      <c r="AA72" s="83">
        <f t="shared" si="75"/>
        <v>4.2375288881072525E-2</v>
      </c>
    </row>
    <row r="73" spans="1:27" x14ac:dyDescent="0.25">
      <c r="A73" s="64" t="s">
        <v>37</v>
      </c>
      <c r="B73" s="65"/>
      <c r="C73" s="65"/>
      <c r="D73" s="83">
        <f t="shared" si="51"/>
        <v>5.978945474176714E-2</v>
      </c>
      <c r="E73" s="83">
        <f t="shared" ref="E73:S73" si="76">E31/E$23</f>
        <v>5.9432181833100839E-2</v>
      </c>
      <c r="F73" s="83">
        <f t="shared" si="76"/>
        <v>6.3108234213683695E-2</v>
      </c>
      <c r="G73" s="83">
        <f t="shared" si="76"/>
        <v>6.9436729995784E-2</v>
      </c>
      <c r="H73" s="83">
        <f t="shared" si="76"/>
        <v>7.246201123752144E-2</v>
      </c>
      <c r="I73" s="83">
        <f t="shared" si="76"/>
        <v>7.7899256047899157E-2</v>
      </c>
      <c r="J73" s="83">
        <f t="shared" si="76"/>
        <v>9.4617360324781116E-2</v>
      </c>
      <c r="K73" s="83">
        <f t="shared" si="76"/>
        <v>0.11187979387535063</v>
      </c>
      <c r="L73" s="83">
        <f t="shared" si="76"/>
        <v>0.11208678743219731</v>
      </c>
      <c r="M73" s="83">
        <f t="shared" si="76"/>
        <v>6.5986332874465231E-2</v>
      </c>
      <c r="N73" s="83">
        <f t="shared" si="76"/>
        <v>5.9346352322169386E-2</v>
      </c>
      <c r="O73" s="83">
        <f t="shared" si="76"/>
        <v>6.7785698357778437E-2</v>
      </c>
      <c r="P73" s="83">
        <f t="shared" si="76"/>
        <v>6.2318593136417959E-2</v>
      </c>
      <c r="Q73" s="83">
        <f t="shared" si="76"/>
        <v>6.7455252125583717E-2</v>
      </c>
      <c r="R73" s="83">
        <f t="shared" si="76"/>
        <v>7.5285600830838781E-2</v>
      </c>
      <c r="S73" s="83">
        <f t="shared" si="76"/>
        <v>7.4964677266467536E-2</v>
      </c>
      <c r="T73" s="83">
        <f t="shared" ref="T73:Y73" si="77">T31/T$23</f>
        <v>6.805749977723291E-2</v>
      </c>
      <c r="U73" s="83">
        <f t="shared" si="77"/>
        <v>6.6923471465056394E-2</v>
      </c>
      <c r="V73" s="83">
        <f t="shared" si="77"/>
        <v>6.9974823436297462E-2</v>
      </c>
      <c r="W73" s="83">
        <f t="shared" si="77"/>
        <v>7.340855904069081E-2</v>
      </c>
      <c r="X73" s="83">
        <f t="shared" si="77"/>
        <v>7.2976283264669858E-2</v>
      </c>
      <c r="Y73" s="83">
        <f t="shared" si="77"/>
        <v>7.0908831784765577E-2</v>
      </c>
      <c r="Z73" s="83">
        <f t="shared" ref="Z73:AA73" si="78">Z31/Z$23</f>
        <v>6.8811197507592417E-2</v>
      </c>
      <c r="AA73" s="83">
        <f t="shared" si="78"/>
        <v>7.3406797823155456E-2</v>
      </c>
    </row>
    <row r="74" spans="1:27" x14ac:dyDescent="0.25">
      <c r="A74" s="64" t="s">
        <v>58</v>
      </c>
      <c r="B74" s="65"/>
      <c r="C74" s="65"/>
      <c r="D74" s="83">
        <f t="shared" si="51"/>
        <v>0.16834622998020515</v>
      </c>
      <c r="E74" s="83">
        <f t="shared" ref="E74:S74" si="79">E32/E$23</f>
        <v>0.16997620415196518</v>
      </c>
      <c r="F74" s="83">
        <f t="shared" si="79"/>
        <v>0.16239575772837023</v>
      </c>
      <c r="G74" s="83">
        <f t="shared" si="79"/>
        <v>0.16547436609538849</v>
      </c>
      <c r="H74" s="83">
        <f t="shared" si="79"/>
        <v>0.17253898886551944</v>
      </c>
      <c r="I74" s="83">
        <f t="shared" si="79"/>
        <v>0.16794692370018838</v>
      </c>
      <c r="J74" s="83">
        <f t="shared" si="79"/>
        <v>0.16630303699816804</v>
      </c>
      <c r="K74" s="83">
        <f t="shared" si="79"/>
        <v>0.16069818393900673</v>
      </c>
      <c r="L74" s="83">
        <f t="shared" si="79"/>
        <v>0.15156756387950737</v>
      </c>
      <c r="M74" s="83">
        <f t="shared" si="79"/>
        <v>0.14604782669623209</v>
      </c>
      <c r="N74" s="83">
        <f t="shared" si="79"/>
        <v>0.1633714459172316</v>
      </c>
      <c r="O74" s="83">
        <f t="shared" si="79"/>
        <v>0.17579251756954084</v>
      </c>
      <c r="P74" s="83">
        <f t="shared" si="79"/>
        <v>0.17786995283003082</v>
      </c>
      <c r="Q74" s="83">
        <f t="shared" si="79"/>
        <v>0.17669959159507109</v>
      </c>
      <c r="R74" s="83">
        <f t="shared" si="79"/>
        <v>0.17616225792656853</v>
      </c>
      <c r="S74" s="83">
        <f t="shared" si="79"/>
        <v>0.17241369031650358</v>
      </c>
      <c r="T74" s="83">
        <f t="shared" ref="T74:Y74" si="80">T32/T$23</f>
        <v>0.17013943782211405</v>
      </c>
      <c r="U74" s="83">
        <f t="shared" si="80"/>
        <v>0.16740253491188084</v>
      </c>
      <c r="V74" s="83">
        <f t="shared" si="80"/>
        <v>0.16530829758358404</v>
      </c>
      <c r="W74" s="83">
        <f t="shared" si="80"/>
        <v>0.1596611214919362</v>
      </c>
      <c r="X74" s="83">
        <f t="shared" si="80"/>
        <v>0.16106001558846453</v>
      </c>
      <c r="Y74" s="83">
        <f t="shared" si="80"/>
        <v>0.16816376945276898</v>
      </c>
      <c r="Z74" s="83">
        <f t="shared" ref="Z74:AA74" si="81">Z32/Z$23</f>
        <v>0.15843936537857367</v>
      </c>
      <c r="AA74" s="83">
        <f t="shared" si="81"/>
        <v>0.13543844052010012</v>
      </c>
    </row>
    <row r="75" spans="1:27" x14ac:dyDescent="0.25">
      <c r="A75" s="85" t="s">
        <v>158</v>
      </c>
      <c r="B75" s="86"/>
      <c r="C75" s="86"/>
      <c r="D75" s="87">
        <f t="shared" si="51"/>
        <v>0</v>
      </c>
      <c r="E75" s="87">
        <f t="shared" ref="E75:S75" si="82">E33/E$23</f>
        <v>0</v>
      </c>
      <c r="F75" s="87">
        <f t="shared" si="82"/>
        <v>0</v>
      </c>
      <c r="G75" s="87">
        <f t="shared" si="82"/>
        <v>0</v>
      </c>
      <c r="H75" s="87">
        <f t="shared" si="82"/>
        <v>0</v>
      </c>
      <c r="I75" s="87">
        <f t="shared" si="82"/>
        <v>0</v>
      </c>
      <c r="J75" s="87">
        <f t="shared" si="82"/>
        <v>0</v>
      </c>
      <c r="K75" s="87">
        <f t="shared" si="82"/>
        <v>0</v>
      </c>
      <c r="L75" s="87">
        <f t="shared" si="82"/>
        <v>0</v>
      </c>
      <c r="M75" s="87">
        <f t="shared" si="82"/>
        <v>0</v>
      </c>
      <c r="N75" s="87">
        <f t="shared" si="82"/>
        <v>0</v>
      </c>
      <c r="O75" s="87">
        <f t="shared" si="82"/>
        <v>0</v>
      </c>
      <c r="P75" s="87">
        <f t="shared" si="82"/>
        <v>0</v>
      </c>
      <c r="Q75" s="87">
        <f t="shared" si="82"/>
        <v>0</v>
      </c>
      <c r="R75" s="87">
        <f t="shared" si="82"/>
        <v>0</v>
      </c>
      <c r="S75" s="87">
        <f t="shared" si="82"/>
        <v>0</v>
      </c>
      <c r="T75" s="87">
        <f t="shared" ref="T75:Y75" si="83">T33/T$23</f>
        <v>0</v>
      </c>
      <c r="U75" s="87">
        <f t="shared" si="83"/>
        <v>0</v>
      </c>
      <c r="V75" s="87">
        <f t="shared" si="83"/>
        <v>0</v>
      </c>
      <c r="W75" s="87">
        <f t="shared" si="83"/>
        <v>0</v>
      </c>
      <c r="X75" s="87">
        <f t="shared" si="83"/>
        <v>0</v>
      </c>
      <c r="Y75" s="87">
        <f t="shared" si="83"/>
        <v>0</v>
      </c>
      <c r="Z75" s="87">
        <f t="shared" ref="Z75:AA75" si="84">Z33/Z$23</f>
        <v>0</v>
      </c>
      <c r="AA75" s="87">
        <f t="shared" si="84"/>
        <v>0</v>
      </c>
    </row>
    <row r="76" spans="1:27" x14ac:dyDescent="0.25">
      <c r="A76" s="88" t="s">
        <v>5</v>
      </c>
      <c r="B76" s="44"/>
      <c r="C76" s="44"/>
      <c r="D76" s="89">
        <f t="shared" si="51"/>
        <v>0</v>
      </c>
      <c r="E76" s="89">
        <f t="shared" ref="E76:S76" si="85">E34/E$23</f>
        <v>0</v>
      </c>
      <c r="F76" s="89">
        <f t="shared" si="85"/>
        <v>0</v>
      </c>
      <c r="G76" s="89">
        <f t="shared" si="85"/>
        <v>0</v>
      </c>
      <c r="H76" s="89">
        <f t="shared" si="85"/>
        <v>0</v>
      </c>
      <c r="I76" s="89">
        <f t="shared" si="85"/>
        <v>0</v>
      </c>
      <c r="J76" s="89">
        <f t="shared" si="85"/>
        <v>0</v>
      </c>
      <c r="K76" s="89">
        <f t="shared" si="85"/>
        <v>0</v>
      </c>
      <c r="L76" s="89">
        <f t="shared" si="85"/>
        <v>0</v>
      </c>
      <c r="M76" s="89">
        <f t="shared" si="85"/>
        <v>0</v>
      </c>
      <c r="N76" s="89">
        <f t="shared" si="85"/>
        <v>0</v>
      </c>
      <c r="O76" s="89">
        <f t="shared" si="85"/>
        <v>0</v>
      </c>
      <c r="P76" s="89">
        <f t="shared" si="85"/>
        <v>0</v>
      </c>
      <c r="Q76" s="89">
        <f t="shared" si="85"/>
        <v>0</v>
      </c>
      <c r="R76" s="89">
        <f t="shared" si="85"/>
        <v>0</v>
      </c>
      <c r="S76" s="89">
        <f t="shared" si="85"/>
        <v>0</v>
      </c>
      <c r="T76" s="89">
        <f t="shared" ref="T76:Y76" si="86">T34/T$23</f>
        <v>0</v>
      </c>
      <c r="U76" s="89">
        <f t="shared" si="86"/>
        <v>0</v>
      </c>
      <c r="V76" s="89">
        <f t="shared" si="86"/>
        <v>0</v>
      </c>
      <c r="W76" s="89">
        <f t="shared" si="86"/>
        <v>0</v>
      </c>
      <c r="X76" s="89">
        <f t="shared" si="86"/>
        <v>0</v>
      </c>
      <c r="Y76" s="89">
        <f t="shared" si="86"/>
        <v>0</v>
      </c>
      <c r="Z76" s="89">
        <f t="shared" ref="Z76:AA76" si="87">Z34/Z$23</f>
        <v>0</v>
      </c>
      <c r="AA76" s="89">
        <f t="shared" si="87"/>
        <v>0</v>
      </c>
    </row>
    <row r="77" spans="1:27" x14ac:dyDescent="0.25">
      <c r="A77" s="88" t="s">
        <v>263</v>
      </c>
      <c r="B77" s="44"/>
      <c r="C77" s="44"/>
      <c r="D77" s="89">
        <f>D37/D$23</f>
        <v>0</v>
      </c>
      <c r="E77" s="89">
        <f t="shared" ref="E77:S77" si="88">E37/E$23</f>
        <v>0</v>
      </c>
      <c r="F77" s="89">
        <f t="shared" si="88"/>
        <v>0</v>
      </c>
      <c r="G77" s="89">
        <f t="shared" si="88"/>
        <v>0</v>
      </c>
      <c r="H77" s="89">
        <f t="shared" si="88"/>
        <v>0</v>
      </c>
      <c r="I77" s="89">
        <f t="shared" si="88"/>
        <v>0</v>
      </c>
      <c r="J77" s="89">
        <f t="shared" si="88"/>
        <v>0</v>
      </c>
      <c r="K77" s="89">
        <f t="shared" si="88"/>
        <v>0</v>
      </c>
      <c r="L77" s="89">
        <f t="shared" si="88"/>
        <v>0</v>
      </c>
      <c r="M77" s="89">
        <f t="shared" si="88"/>
        <v>0</v>
      </c>
      <c r="N77" s="89">
        <f t="shared" si="88"/>
        <v>0</v>
      </c>
      <c r="O77" s="89">
        <f t="shared" si="88"/>
        <v>0</v>
      </c>
      <c r="P77" s="89">
        <f t="shared" si="88"/>
        <v>0</v>
      </c>
      <c r="Q77" s="89">
        <f t="shared" si="88"/>
        <v>0</v>
      </c>
      <c r="R77" s="89">
        <f t="shared" si="88"/>
        <v>0</v>
      </c>
      <c r="S77" s="89">
        <f t="shared" si="88"/>
        <v>0</v>
      </c>
      <c r="T77" s="89">
        <f t="shared" ref="T77:Y77" si="89">T37/T$23</f>
        <v>0</v>
      </c>
      <c r="U77" s="89">
        <f t="shared" si="89"/>
        <v>0</v>
      </c>
      <c r="V77" s="89">
        <f t="shared" si="89"/>
        <v>0</v>
      </c>
      <c r="W77" s="89">
        <f t="shared" si="89"/>
        <v>0</v>
      </c>
      <c r="X77" s="89">
        <f t="shared" si="89"/>
        <v>0</v>
      </c>
      <c r="Y77" s="89">
        <f t="shared" si="89"/>
        <v>0</v>
      </c>
      <c r="Z77" s="89">
        <f t="shared" ref="Z77:AA77" si="90">Z37/Z$23</f>
        <v>0</v>
      </c>
      <c r="AA77" s="89">
        <f t="shared" si="90"/>
        <v>0</v>
      </c>
    </row>
    <row r="78" spans="1:27" x14ac:dyDescent="0.25">
      <c r="A78" s="68" t="s">
        <v>265</v>
      </c>
      <c r="B78" s="44"/>
      <c r="C78" s="44"/>
      <c r="D78" s="89">
        <f>D43/D$23</f>
        <v>1.100413892387979E-2</v>
      </c>
      <c r="E78" s="89">
        <f t="shared" ref="E78:S78" si="91">E43/E$23</f>
        <v>9.026011323541477E-3</v>
      </c>
      <c r="F78" s="89">
        <f t="shared" si="91"/>
        <v>8.8874405652412183E-3</v>
      </c>
      <c r="G78" s="89">
        <f t="shared" si="91"/>
        <v>8.4721376421224501E-3</v>
      </c>
      <c r="H78" s="89">
        <f t="shared" si="91"/>
        <v>9.734336264948509E-3</v>
      </c>
      <c r="I78" s="89">
        <f t="shared" si="91"/>
        <v>1.0764681742131681E-2</v>
      </c>
      <c r="J78" s="89">
        <f t="shared" si="91"/>
        <v>1.3357636683329189E-2</v>
      </c>
      <c r="K78" s="89">
        <f t="shared" si="91"/>
        <v>1.7512153757016945E-2</v>
      </c>
      <c r="L78" s="89">
        <f t="shared" si="91"/>
        <v>2.0240166479036602E-2</v>
      </c>
      <c r="M78" s="89">
        <f t="shared" si="91"/>
        <v>1.5699059457766274E-2</v>
      </c>
      <c r="N78" s="89">
        <f t="shared" si="91"/>
        <v>1.9063037539208742E-2</v>
      </c>
      <c r="O78" s="89">
        <f t="shared" si="91"/>
        <v>2.2730705874736547E-2</v>
      </c>
      <c r="P78" s="89">
        <f t="shared" si="91"/>
        <v>2.170354226717151E-2</v>
      </c>
      <c r="Q78" s="89">
        <f t="shared" si="91"/>
        <v>1.5779136651716222E-2</v>
      </c>
      <c r="R78" s="89">
        <f t="shared" si="91"/>
        <v>1.5434663082656241E-2</v>
      </c>
      <c r="S78" s="89">
        <f t="shared" si="91"/>
        <v>1.5544983575674111E-2</v>
      </c>
      <c r="T78" s="89">
        <f t="shared" ref="T78:Y78" si="92">T43/T$23</f>
        <v>1.3756945302776399E-2</v>
      </c>
      <c r="U78" s="89">
        <f t="shared" si="92"/>
        <v>1.2957450071119243E-2</v>
      </c>
      <c r="V78" s="89">
        <f t="shared" si="92"/>
        <v>1.5084087780505035E-2</v>
      </c>
      <c r="W78" s="89">
        <f t="shared" si="92"/>
        <v>1.529987482539049E-2</v>
      </c>
      <c r="X78" s="89">
        <f t="shared" si="92"/>
        <v>2.028727313216791E-2</v>
      </c>
      <c r="Y78" s="89">
        <f t="shared" si="92"/>
        <v>2.4928839781630175E-2</v>
      </c>
      <c r="Z78" s="89">
        <f t="shared" ref="Z78:AA78" si="93">Z43/Z$23</f>
        <v>2.2700348204000419E-2</v>
      </c>
      <c r="AA78" s="89">
        <f t="shared" si="93"/>
        <v>1.8978189460855367E-2</v>
      </c>
    </row>
    <row r="79" spans="1:27" x14ac:dyDescent="0.25">
      <c r="A79" s="88" t="s">
        <v>266</v>
      </c>
      <c r="B79" s="44"/>
      <c r="C79" s="44"/>
      <c r="D79" s="89">
        <f>D44/D$23</f>
        <v>1.100413892387979E-2</v>
      </c>
      <c r="E79" s="89">
        <f t="shared" ref="E79:S79" si="94">E44/E$23</f>
        <v>9.026011323541477E-3</v>
      </c>
      <c r="F79" s="89">
        <f t="shared" si="94"/>
        <v>8.8874405652412183E-3</v>
      </c>
      <c r="G79" s="89">
        <f t="shared" si="94"/>
        <v>8.4721376421224501E-3</v>
      </c>
      <c r="H79" s="89">
        <f t="shared" si="94"/>
        <v>9.734336264948509E-3</v>
      </c>
      <c r="I79" s="89">
        <f t="shared" si="94"/>
        <v>1.0764681742131681E-2</v>
      </c>
      <c r="J79" s="89">
        <f t="shared" si="94"/>
        <v>1.3357636683329189E-2</v>
      </c>
      <c r="K79" s="89">
        <f t="shared" si="94"/>
        <v>1.7512153757016945E-2</v>
      </c>
      <c r="L79" s="89">
        <f t="shared" si="94"/>
        <v>2.0240166479036602E-2</v>
      </c>
      <c r="M79" s="89">
        <f t="shared" si="94"/>
        <v>1.5699059457766274E-2</v>
      </c>
      <c r="N79" s="89">
        <f t="shared" si="94"/>
        <v>1.9063037539208742E-2</v>
      </c>
      <c r="O79" s="89">
        <f t="shared" si="94"/>
        <v>2.2730705874736547E-2</v>
      </c>
      <c r="P79" s="89">
        <f t="shared" si="94"/>
        <v>2.170354226717151E-2</v>
      </c>
      <c r="Q79" s="89">
        <f t="shared" si="94"/>
        <v>1.5779136651716222E-2</v>
      </c>
      <c r="R79" s="89">
        <f t="shared" si="94"/>
        <v>1.5434663082656241E-2</v>
      </c>
      <c r="S79" s="89">
        <f t="shared" si="94"/>
        <v>1.5544983575674111E-2</v>
      </c>
      <c r="T79" s="89">
        <f t="shared" ref="T79:Y79" si="95">T44/T$23</f>
        <v>1.3756945302776399E-2</v>
      </c>
      <c r="U79" s="89">
        <f t="shared" si="95"/>
        <v>1.2957450071119243E-2</v>
      </c>
      <c r="V79" s="89">
        <f t="shared" si="95"/>
        <v>1.5084087780505035E-2</v>
      </c>
      <c r="W79" s="89">
        <f t="shared" si="95"/>
        <v>1.529987482539049E-2</v>
      </c>
      <c r="X79" s="89">
        <f t="shared" si="95"/>
        <v>2.028727313216791E-2</v>
      </c>
      <c r="Y79" s="89">
        <f t="shared" si="95"/>
        <v>2.4928839781630175E-2</v>
      </c>
      <c r="Z79" s="89">
        <f t="shared" ref="Z79:AA79" si="96">Z44/Z$23</f>
        <v>2.2700348204000419E-2</v>
      </c>
      <c r="AA79" s="89">
        <f t="shared" si="96"/>
        <v>1.8978189460855367E-2</v>
      </c>
    </row>
    <row r="80" spans="1:27" x14ac:dyDescent="0.25">
      <c r="A80" s="88" t="s">
        <v>11</v>
      </c>
      <c r="B80" s="44"/>
      <c r="C80" s="44"/>
      <c r="D80" s="89">
        <f>D47/D$23</f>
        <v>0</v>
      </c>
      <c r="E80" s="89">
        <f t="shared" ref="E80:S80" si="97">E47/E$23</f>
        <v>0</v>
      </c>
      <c r="F80" s="89">
        <f t="shared" si="97"/>
        <v>0</v>
      </c>
      <c r="G80" s="89">
        <f t="shared" si="97"/>
        <v>0</v>
      </c>
      <c r="H80" s="89">
        <f t="shared" si="97"/>
        <v>0</v>
      </c>
      <c r="I80" s="89">
        <f t="shared" si="97"/>
        <v>0</v>
      </c>
      <c r="J80" s="89">
        <f t="shared" si="97"/>
        <v>0</v>
      </c>
      <c r="K80" s="89">
        <f t="shared" si="97"/>
        <v>0</v>
      </c>
      <c r="L80" s="89">
        <f t="shared" si="97"/>
        <v>0</v>
      </c>
      <c r="M80" s="89">
        <f t="shared" si="97"/>
        <v>0</v>
      </c>
      <c r="N80" s="89">
        <f t="shared" si="97"/>
        <v>0</v>
      </c>
      <c r="O80" s="89">
        <f t="shared" si="97"/>
        <v>0</v>
      </c>
      <c r="P80" s="89">
        <f t="shared" si="97"/>
        <v>0</v>
      </c>
      <c r="Q80" s="89">
        <f t="shared" si="97"/>
        <v>0</v>
      </c>
      <c r="R80" s="89">
        <f t="shared" si="97"/>
        <v>0</v>
      </c>
      <c r="S80" s="89">
        <f t="shared" si="97"/>
        <v>0</v>
      </c>
      <c r="T80" s="89">
        <f t="shared" ref="T80:Y80" si="98">T47/T$23</f>
        <v>0</v>
      </c>
      <c r="U80" s="89">
        <f t="shared" si="98"/>
        <v>0</v>
      </c>
      <c r="V80" s="89">
        <f t="shared" si="98"/>
        <v>0</v>
      </c>
      <c r="W80" s="89">
        <f t="shared" si="98"/>
        <v>0</v>
      </c>
      <c r="X80" s="89">
        <f t="shared" si="98"/>
        <v>0</v>
      </c>
      <c r="Y80" s="89">
        <f t="shared" si="98"/>
        <v>0</v>
      </c>
      <c r="Z80" s="89">
        <f t="shared" ref="Z80:AA80" si="99">Z47/Z$23</f>
        <v>0</v>
      </c>
      <c r="AA80" s="89">
        <f t="shared" si="99"/>
        <v>0</v>
      </c>
    </row>
    <row r="81" spans="1:27" x14ac:dyDescent="0.25">
      <c r="A81" s="68" t="s">
        <v>4</v>
      </c>
      <c r="B81" s="44"/>
      <c r="C81" s="44"/>
      <c r="D81" s="89">
        <f>D48/D$23</f>
        <v>7.1711355047687601E-3</v>
      </c>
      <c r="E81" s="89">
        <f t="shared" ref="E81:S81" si="100">E48/E$23</f>
        <v>7.0731106917206847E-3</v>
      </c>
      <c r="F81" s="89">
        <f t="shared" si="100"/>
        <v>6.7322362281702231E-3</v>
      </c>
      <c r="G81" s="89">
        <f t="shared" si="100"/>
        <v>7.4281775535196852E-3</v>
      </c>
      <c r="H81" s="89">
        <f t="shared" si="100"/>
        <v>7.837171102477225E-3</v>
      </c>
      <c r="I81" s="89">
        <f t="shared" si="100"/>
        <v>9.207327980806668E-3</v>
      </c>
      <c r="J81" s="89">
        <f t="shared" si="100"/>
        <v>1.1267916816261147E-2</v>
      </c>
      <c r="K81" s="89">
        <f t="shared" si="100"/>
        <v>1.0463550240005528E-2</v>
      </c>
      <c r="L81" s="89">
        <f t="shared" si="100"/>
        <v>9.0471804318902841E-3</v>
      </c>
      <c r="M81" s="89">
        <f t="shared" si="100"/>
        <v>5.6135780996265858E-3</v>
      </c>
      <c r="N81" s="89">
        <f t="shared" si="100"/>
        <v>6.1600728523727609E-3</v>
      </c>
      <c r="O81" s="89">
        <f t="shared" si="100"/>
        <v>6.9630769894762582E-3</v>
      </c>
      <c r="P81" s="89">
        <f t="shared" si="100"/>
        <v>7.1039513637109258E-3</v>
      </c>
      <c r="Q81" s="89">
        <f t="shared" si="100"/>
        <v>7.9007095359208534E-3</v>
      </c>
      <c r="R81" s="89">
        <f t="shared" si="100"/>
        <v>8.1251145457877701E-3</v>
      </c>
      <c r="S81" s="89">
        <f t="shared" si="100"/>
        <v>7.1271439557884578E-3</v>
      </c>
      <c r="T81" s="89">
        <f t="shared" ref="T81:Y81" si="101">T48/T$23</f>
        <v>7.3498765439196072E-3</v>
      </c>
      <c r="U81" s="89">
        <f t="shared" si="101"/>
        <v>7.0008830418942566E-3</v>
      </c>
      <c r="V81" s="89">
        <f t="shared" si="101"/>
        <v>6.7760645413471035E-3</v>
      </c>
      <c r="W81" s="89">
        <f t="shared" si="101"/>
        <v>6.530849191807412E-3</v>
      </c>
      <c r="X81" s="89">
        <f t="shared" si="101"/>
        <v>6.1708050328471223E-3</v>
      </c>
      <c r="Y81" s="89">
        <f t="shared" si="101"/>
        <v>6.2094465932169178E-3</v>
      </c>
      <c r="Z81" s="89">
        <f t="shared" ref="Z81:AA81" si="102">Z48/Z$23</f>
        <v>5.5503194051733182E-3</v>
      </c>
      <c r="AA81" s="89">
        <f t="shared" si="102"/>
        <v>4.6180198092241687E-3</v>
      </c>
    </row>
    <row r="82" spans="1:27" x14ac:dyDescent="0.25">
      <c r="A82" s="68" t="s">
        <v>3</v>
      </c>
      <c r="B82" s="44"/>
      <c r="C82" s="44"/>
      <c r="D82" s="89">
        <f>D52/D$23</f>
        <v>6.9821846319956813E-3</v>
      </c>
      <c r="E82" s="89">
        <f t="shared" ref="E82:S82" si="103">E52/E$23</f>
        <v>7.2208090588331848E-3</v>
      </c>
      <c r="F82" s="89">
        <f t="shared" si="103"/>
        <v>6.2804579994371265E-3</v>
      </c>
      <c r="G82" s="89">
        <f t="shared" si="103"/>
        <v>6.8794293018182304E-3</v>
      </c>
      <c r="H82" s="89">
        <f t="shared" si="103"/>
        <v>6.6128025311698799E-3</v>
      </c>
      <c r="I82" s="89">
        <f t="shared" si="103"/>
        <v>6.1452337609041053E-3</v>
      </c>
      <c r="J82" s="89">
        <f t="shared" si="103"/>
        <v>6.3474090235392661E-3</v>
      </c>
      <c r="K82" s="89">
        <f t="shared" si="103"/>
        <v>5.651928677494731E-3</v>
      </c>
      <c r="L82" s="89">
        <f t="shared" si="103"/>
        <v>6.5465834271483635E-3</v>
      </c>
      <c r="M82" s="89">
        <f t="shared" si="103"/>
        <v>6.3266096790945735E-3</v>
      </c>
      <c r="N82" s="89">
        <f t="shared" si="103"/>
        <v>7.9247192148133166E-3</v>
      </c>
      <c r="O82" s="89">
        <f t="shared" si="103"/>
        <v>8.5635776404664118E-3</v>
      </c>
      <c r="P82" s="89">
        <f t="shared" si="103"/>
        <v>8.7945712688353491E-3</v>
      </c>
      <c r="Q82" s="89">
        <f t="shared" si="103"/>
        <v>9.5496086252065109E-3</v>
      </c>
      <c r="R82" s="89">
        <f t="shared" si="103"/>
        <v>9.4966094446820217E-3</v>
      </c>
      <c r="S82" s="89">
        <f t="shared" si="103"/>
        <v>9.2345846821550101E-3</v>
      </c>
      <c r="T82" s="89">
        <f t="shared" ref="T82:Y82" si="104">T52/T$23</f>
        <v>9.2009991462990506E-3</v>
      </c>
      <c r="U82" s="89">
        <f t="shared" si="104"/>
        <v>9.0128437650368303E-3</v>
      </c>
      <c r="V82" s="89">
        <f t="shared" si="104"/>
        <v>8.8907016662175212E-3</v>
      </c>
      <c r="W82" s="89">
        <f t="shared" si="104"/>
        <v>8.6102897157266465E-3</v>
      </c>
      <c r="X82" s="89">
        <f t="shared" si="104"/>
        <v>8.1282707938982283E-3</v>
      </c>
      <c r="Y82" s="89">
        <f t="shared" si="104"/>
        <v>7.816737200068093E-3</v>
      </c>
      <c r="Z82" s="89">
        <f t="shared" ref="Z82:AA82" si="105">Z52/Z$23</f>
        <v>7.5155120955073852E-3</v>
      </c>
      <c r="AA82" s="89">
        <f t="shared" si="105"/>
        <v>6.4602627813690845E-3</v>
      </c>
    </row>
    <row r="83" spans="1:27" x14ac:dyDescent="0.25">
      <c r="A83" s="88" t="s">
        <v>21</v>
      </c>
      <c r="B83" s="44"/>
      <c r="C83" s="44"/>
      <c r="D83" s="89">
        <f>D53/D$23</f>
        <v>3.3561274068742123E-3</v>
      </c>
      <c r="E83" s="89">
        <f t="shared" ref="E83:S83" si="106">E53/E$23</f>
        <v>3.7416919668499219E-3</v>
      </c>
      <c r="F83" s="89">
        <f t="shared" si="106"/>
        <v>3.5105390232702816E-3</v>
      </c>
      <c r="G83" s="89">
        <f t="shared" si="106"/>
        <v>3.2456451472586008E-3</v>
      </c>
      <c r="H83" s="89">
        <f t="shared" si="106"/>
        <v>3.5579423334525374E-3</v>
      </c>
      <c r="I83" s="89">
        <f t="shared" si="106"/>
        <v>3.1936274767712272E-3</v>
      </c>
      <c r="J83" s="89">
        <f t="shared" si="106"/>
        <v>2.7709501321034362E-3</v>
      </c>
      <c r="K83" s="89">
        <f t="shared" si="106"/>
        <v>2.5823136455899224E-3</v>
      </c>
      <c r="L83" s="89">
        <f t="shared" si="106"/>
        <v>2.7598676355200767E-3</v>
      </c>
      <c r="M83" s="89">
        <f t="shared" si="106"/>
        <v>2.9840165522244115E-3</v>
      </c>
      <c r="N83" s="89">
        <f t="shared" si="106"/>
        <v>4.3509055954669635E-3</v>
      </c>
      <c r="O83" s="89">
        <f t="shared" si="106"/>
        <v>4.5029816068307216E-3</v>
      </c>
      <c r="P83" s="89">
        <f t="shared" si="106"/>
        <v>4.4860013324093508E-3</v>
      </c>
      <c r="Q83" s="89">
        <f t="shared" si="106"/>
        <v>5.1695214691117909E-3</v>
      </c>
      <c r="R83" s="89">
        <f t="shared" si="106"/>
        <v>5.4279430631070926E-3</v>
      </c>
      <c r="S83" s="89">
        <f t="shared" si="106"/>
        <v>5.2969196191702574E-3</v>
      </c>
      <c r="T83" s="89">
        <f t="shared" ref="T83:Y83" si="107">T53/T$23</f>
        <v>5.4470144899208678E-3</v>
      </c>
      <c r="U83" s="89">
        <f t="shared" si="107"/>
        <v>5.6207996023667633E-3</v>
      </c>
      <c r="V83" s="89">
        <f t="shared" si="107"/>
        <v>5.6908259709486254E-3</v>
      </c>
      <c r="W83" s="89">
        <f t="shared" si="107"/>
        <v>5.3766123033942266E-3</v>
      </c>
      <c r="X83" s="89">
        <f t="shared" si="107"/>
        <v>5.1909586905689795E-3</v>
      </c>
      <c r="Y83" s="89">
        <f t="shared" si="107"/>
        <v>5.1069085784187585E-3</v>
      </c>
      <c r="Z83" s="89">
        <f t="shared" ref="Z83:AA83" si="108">Z53/Z$23</f>
        <v>5.1936066603832862E-3</v>
      </c>
      <c r="AA83" s="89">
        <f t="shared" si="108"/>
        <v>4.5805577576133816E-3</v>
      </c>
    </row>
    <row r="84" spans="1:27" x14ac:dyDescent="0.25">
      <c r="A84" s="88" t="s">
        <v>16</v>
      </c>
      <c r="B84" s="44"/>
      <c r="C84" s="44"/>
      <c r="D84" s="89">
        <f t="shared" ref="D84:D90" si="109">D56/D$23</f>
        <v>3.6260572251214694E-3</v>
      </c>
      <c r="E84" s="89">
        <f t="shared" ref="E84:S84" si="110">E56/E$23</f>
        <v>3.4791170919832633E-3</v>
      </c>
      <c r="F84" s="89">
        <f t="shared" si="110"/>
        <v>2.769918976166845E-3</v>
      </c>
      <c r="G84" s="89">
        <f t="shared" si="110"/>
        <v>3.63378415455963E-3</v>
      </c>
      <c r="H84" s="89">
        <f t="shared" si="110"/>
        <v>3.0548601977173425E-3</v>
      </c>
      <c r="I84" s="89">
        <f t="shared" si="110"/>
        <v>2.9516062841328785E-3</v>
      </c>
      <c r="J84" s="89">
        <f t="shared" si="110"/>
        <v>3.5764588914358295E-3</v>
      </c>
      <c r="K84" s="89">
        <f t="shared" si="110"/>
        <v>3.069615031904809E-3</v>
      </c>
      <c r="L84" s="89">
        <f t="shared" si="110"/>
        <v>3.7867157916282876E-3</v>
      </c>
      <c r="M84" s="89">
        <f t="shared" si="110"/>
        <v>3.3425931268701611E-3</v>
      </c>
      <c r="N84" s="89">
        <f t="shared" si="110"/>
        <v>3.5738136193463528E-3</v>
      </c>
      <c r="O84" s="89">
        <f t="shared" si="110"/>
        <v>4.0605960336356894E-3</v>
      </c>
      <c r="P84" s="89">
        <f t="shared" si="110"/>
        <v>4.3085699364259974E-3</v>
      </c>
      <c r="Q84" s="89">
        <f t="shared" si="110"/>
        <v>4.38008715609472E-3</v>
      </c>
      <c r="R84" s="89">
        <f t="shared" si="110"/>
        <v>4.0686663815749299E-3</v>
      </c>
      <c r="S84" s="89">
        <f t="shared" si="110"/>
        <v>3.9376650629847527E-3</v>
      </c>
      <c r="T84" s="89">
        <f t="shared" ref="T84:Y84" si="111">T56/T$23</f>
        <v>3.753984656378182E-3</v>
      </c>
      <c r="U84" s="89">
        <f t="shared" si="111"/>
        <v>3.3920441626700665E-3</v>
      </c>
      <c r="V84" s="89">
        <f t="shared" si="111"/>
        <v>3.1998756952688959E-3</v>
      </c>
      <c r="W84" s="89">
        <f t="shared" si="111"/>
        <v>3.2336774123324203E-3</v>
      </c>
      <c r="X84" s="89">
        <f t="shared" si="111"/>
        <v>2.9373121033292502E-3</v>
      </c>
      <c r="Y84" s="89">
        <f t="shared" si="111"/>
        <v>2.7098286216493354E-3</v>
      </c>
      <c r="Z84" s="89">
        <f t="shared" ref="Z84:AA84" si="112">Z56/Z$23</f>
        <v>2.3219054351240986E-3</v>
      </c>
      <c r="AA84" s="89">
        <f t="shared" si="112"/>
        <v>1.8797050237557029E-3</v>
      </c>
    </row>
    <row r="85" spans="1:27" x14ac:dyDescent="0.25">
      <c r="A85" s="68" t="s">
        <v>2</v>
      </c>
      <c r="B85" s="44"/>
      <c r="C85" s="44"/>
      <c r="D85" s="89">
        <f t="shared" si="109"/>
        <v>4.9901025733309345E-2</v>
      </c>
      <c r="E85" s="89">
        <f t="shared" ref="E85:S85" si="113">E57/E$23</f>
        <v>4.8568146385492734E-2</v>
      </c>
      <c r="F85" s="89">
        <f t="shared" si="113"/>
        <v>4.3585489772037148E-2</v>
      </c>
      <c r="G85" s="89">
        <f t="shared" si="113"/>
        <v>4.2012701514411332E-2</v>
      </c>
      <c r="H85" s="89">
        <f t="shared" si="113"/>
        <v>4.0458713928101679E-2</v>
      </c>
      <c r="I85" s="89">
        <f t="shared" si="113"/>
        <v>3.9544158344995951E-2</v>
      </c>
      <c r="J85" s="89">
        <f t="shared" si="113"/>
        <v>3.7085623279663429E-2</v>
      </c>
      <c r="K85" s="89">
        <f t="shared" si="113"/>
        <v>3.7207571205476193E-2</v>
      </c>
      <c r="L85" s="89">
        <f t="shared" si="113"/>
        <v>3.4114556681335929E-2</v>
      </c>
      <c r="M85" s="89">
        <f t="shared" si="113"/>
        <v>4.4661330607601822E-2</v>
      </c>
      <c r="N85" s="89">
        <f t="shared" si="113"/>
        <v>4.5791763634523933E-2</v>
      </c>
      <c r="O85" s="89">
        <f t="shared" si="113"/>
        <v>4.6259863759629982E-2</v>
      </c>
      <c r="P85" s="89">
        <f t="shared" si="113"/>
        <v>4.5998252468137671E-2</v>
      </c>
      <c r="Q85" s="89">
        <f t="shared" si="113"/>
        <v>4.6665754148509146E-2</v>
      </c>
      <c r="R85" s="89">
        <f t="shared" si="113"/>
        <v>4.508827662044107E-2</v>
      </c>
      <c r="S85" s="89">
        <f t="shared" si="113"/>
        <v>4.2974502053785939E-2</v>
      </c>
      <c r="T85" s="89">
        <f t="shared" ref="T85:Y85" si="114">T57/T$23</f>
        <v>4.0776436703966981E-2</v>
      </c>
      <c r="U85" s="89">
        <f t="shared" si="114"/>
        <v>3.9543885067074167E-2</v>
      </c>
      <c r="V85" s="89">
        <f t="shared" si="114"/>
        <v>3.8400936170006145E-2</v>
      </c>
      <c r="W85" s="89">
        <f t="shared" si="114"/>
        <v>3.6663461712896604E-2</v>
      </c>
      <c r="X85" s="89">
        <f t="shared" si="114"/>
        <v>3.631666852243625E-2</v>
      </c>
      <c r="Y85" s="89">
        <f t="shared" si="114"/>
        <v>3.2824753858883046E-2</v>
      </c>
      <c r="Z85" s="89">
        <f t="shared" ref="Z85:AA85" si="115">Z57/Z$23</f>
        <v>2.9814967535867629E-2</v>
      </c>
      <c r="AA85" s="89">
        <f t="shared" si="115"/>
        <v>2.5130360318641069E-2</v>
      </c>
    </row>
    <row r="86" spans="1:27" x14ac:dyDescent="0.25">
      <c r="A86" s="68" t="s">
        <v>269</v>
      </c>
      <c r="B86" s="44"/>
      <c r="C86" s="44"/>
      <c r="D86" s="89">
        <f t="shared" si="109"/>
        <v>6.2893647651610591E-3</v>
      </c>
      <c r="E86" s="89">
        <f t="shared" ref="E86:S86" si="116">E58/E$23</f>
        <v>6.1869204890457044E-3</v>
      </c>
      <c r="F86" s="89">
        <f t="shared" si="116"/>
        <v>6.1175215890743716E-3</v>
      </c>
      <c r="G86" s="89">
        <f t="shared" si="116"/>
        <v>7.6757834719703398E-3</v>
      </c>
      <c r="H86" s="89">
        <f t="shared" si="116"/>
        <v>8.5584575380493744E-3</v>
      </c>
      <c r="I86" s="89">
        <f t="shared" si="116"/>
        <v>8.1234939442088542E-3</v>
      </c>
      <c r="J86" s="89">
        <f t="shared" si="116"/>
        <v>8.0873079436972369E-3</v>
      </c>
      <c r="K86" s="89">
        <f t="shared" si="116"/>
        <v>6.4883987736887947E-3</v>
      </c>
      <c r="L86" s="89">
        <f t="shared" si="116"/>
        <v>7.068536144372803E-3</v>
      </c>
      <c r="M86" s="89">
        <f t="shared" si="116"/>
        <v>5.2508799551573204E-3</v>
      </c>
      <c r="N86" s="89">
        <f t="shared" si="116"/>
        <v>5.8727107153698273E-3</v>
      </c>
      <c r="O86" s="89">
        <f t="shared" si="116"/>
        <v>4.6324603111804865E-3</v>
      </c>
      <c r="P86" s="89">
        <f t="shared" si="116"/>
        <v>5.4367657939050646E-3</v>
      </c>
      <c r="Q86" s="89">
        <f t="shared" si="116"/>
        <v>5.9207573476280362E-3</v>
      </c>
      <c r="R86" s="89">
        <f t="shared" si="116"/>
        <v>5.5623434540900477E-3</v>
      </c>
      <c r="S86" s="89">
        <f t="shared" si="116"/>
        <v>5.8304866489009705E-3</v>
      </c>
      <c r="T86" s="89">
        <f t="shared" ref="T86:Y86" si="117">T58/T$23</f>
        <v>6.2403527480834851E-3</v>
      </c>
      <c r="U86" s="89">
        <f t="shared" si="117"/>
        <v>6.7682252972995835E-3</v>
      </c>
      <c r="V86" s="89">
        <f t="shared" si="117"/>
        <v>6.795487155582423E-3</v>
      </c>
      <c r="W86" s="89">
        <f t="shared" si="117"/>
        <v>7.0138599132848357E-3</v>
      </c>
      <c r="X86" s="89">
        <f t="shared" si="117"/>
        <v>6.9390936421333937E-3</v>
      </c>
      <c r="Y86" s="89">
        <f t="shared" si="117"/>
        <v>7.4564824088773109E-3</v>
      </c>
      <c r="Z86" s="89">
        <f t="shared" ref="Z86:AA86" si="118">Z58/Z$23</f>
        <v>7.2406142004398377E-3</v>
      </c>
      <c r="AA86" s="89">
        <f t="shared" si="118"/>
        <v>6.4556009436533696E-3</v>
      </c>
    </row>
    <row r="87" spans="1:27" x14ac:dyDescent="0.25">
      <c r="A87" s="68" t="s">
        <v>270</v>
      </c>
      <c r="B87" s="44"/>
      <c r="C87" s="44"/>
      <c r="D87" s="89">
        <f t="shared" si="109"/>
        <v>2.1189490732409572E-2</v>
      </c>
      <c r="E87" s="89">
        <f t="shared" ref="E87:S87" si="119">E59/E$23</f>
        <v>2.1481906950028717E-2</v>
      </c>
      <c r="F87" s="89">
        <f t="shared" si="119"/>
        <v>2.1529824769296855E-2</v>
      </c>
      <c r="G87" s="89">
        <f t="shared" si="119"/>
        <v>2.3368645060261928E-2</v>
      </c>
      <c r="H87" s="89">
        <f t="shared" si="119"/>
        <v>2.7057333179782157E-2</v>
      </c>
      <c r="I87" s="89">
        <f t="shared" si="119"/>
        <v>2.634874201593131E-2</v>
      </c>
      <c r="J87" s="89">
        <f t="shared" si="119"/>
        <v>2.4736023272298777E-2</v>
      </c>
      <c r="K87" s="89">
        <f t="shared" si="119"/>
        <v>2.410031501924265E-2</v>
      </c>
      <c r="L87" s="89">
        <f t="shared" si="119"/>
        <v>2.2570190700371848E-2</v>
      </c>
      <c r="M87" s="89">
        <f t="shared" si="119"/>
        <v>1.9099354562165639E-2</v>
      </c>
      <c r="N87" s="89">
        <f t="shared" si="119"/>
        <v>2.2167358089648894E-2</v>
      </c>
      <c r="O87" s="89">
        <f t="shared" si="119"/>
        <v>2.4306030110992024E-2</v>
      </c>
      <c r="P87" s="89">
        <f t="shared" si="119"/>
        <v>2.5128302985869096E-2</v>
      </c>
      <c r="Q87" s="89">
        <f t="shared" si="119"/>
        <v>2.4695287904784036E-2</v>
      </c>
      <c r="R87" s="89">
        <f t="shared" si="119"/>
        <v>2.4185961268250962E-2</v>
      </c>
      <c r="S87" s="89">
        <f t="shared" si="119"/>
        <v>2.4627546366676797E-2</v>
      </c>
      <c r="T87" s="89">
        <f t="shared" ref="T87:Y87" si="120">T59/T$23</f>
        <v>2.5415568400992249E-2</v>
      </c>
      <c r="U87" s="89">
        <f t="shared" si="120"/>
        <v>2.7062325837171299E-2</v>
      </c>
      <c r="V87" s="89">
        <f t="shared" si="120"/>
        <v>2.6288508367504997E-2</v>
      </c>
      <c r="W87" s="89">
        <f t="shared" si="120"/>
        <v>2.6254920813453545E-2</v>
      </c>
      <c r="X87" s="89">
        <f t="shared" si="120"/>
        <v>2.5738781872842668E-2</v>
      </c>
      <c r="Y87" s="89">
        <f t="shared" si="120"/>
        <v>2.8968839939983927E-2</v>
      </c>
      <c r="Z87" s="89">
        <f t="shared" ref="Z87:AA87" si="121">Z59/Z$23</f>
        <v>2.7196892344748144E-2</v>
      </c>
      <c r="AA87" s="89">
        <f t="shared" si="121"/>
        <v>2.3135639335324216E-2</v>
      </c>
    </row>
    <row r="88" spans="1:27" x14ac:dyDescent="0.25">
      <c r="A88" s="68" t="s">
        <v>1</v>
      </c>
      <c r="B88" s="44"/>
      <c r="C88" s="44"/>
      <c r="D88" s="89">
        <f t="shared" si="109"/>
        <v>3.770919560914162E-2</v>
      </c>
      <c r="E88" s="89">
        <f t="shared" ref="E88:S88" si="122">E60/E$23</f>
        <v>3.8360548125051283E-2</v>
      </c>
      <c r="F88" s="89">
        <f t="shared" si="122"/>
        <v>3.3713024544148359E-2</v>
      </c>
      <c r="G88" s="89">
        <f t="shared" si="122"/>
        <v>2.9967008184379411E-2</v>
      </c>
      <c r="H88" s="89">
        <f t="shared" si="122"/>
        <v>2.8384742670456958E-2</v>
      </c>
      <c r="I88" s="89">
        <f t="shared" si="122"/>
        <v>2.3812780823503417E-2</v>
      </c>
      <c r="J88" s="89">
        <f t="shared" si="122"/>
        <v>2.0229777127233558E-2</v>
      </c>
      <c r="K88" s="89">
        <f t="shared" si="122"/>
        <v>1.7013341314332416E-2</v>
      </c>
      <c r="L88" s="89">
        <f t="shared" si="122"/>
        <v>1.3523010268481558E-2</v>
      </c>
      <c r="M88" s="89">
        <f t="shared" si="122"/>
        <v>1.2772744883071065E-2</v>
      </c>
      <c r="N88" s="89">
        <f t="shared" si="122"/>
        <v>1.4971162602448648E-2</v>
      </c>
      <c r="O88" s="89">
        <f t="shared" si="122"/>
        <v>1.6040972816665347E-2</v>
      </c>
      <c r="P88" s="89">
        <f t="shared" si="122"/>
        <v>1.5714395712186191E-2</v>
      </c>
      <c r="Q88" s="89">
        <f t="shared" si="122"/>
        <v>1.5591327682087161E-2</v>
      </c>
      <c r="R88" s="89">
        <f t="shared" si="122"/>
        <v>1.5950882766204412E-2</v>
      </c>
      <c r="S88" s="89">
        <f t="shared" si="122"/>
        <v>1.5214112400813166E-2</v>
      </c>
      <c r="T88" s="89">
        <f t="shared" ref="T88:Y88" si="123">T60/T$23</f>
        <v>1.5337872991143931E-2</v>
      </c>
      <c r="U88" s="89">
        <f t="shared" si="123"/>
        <v>1.4469725410984617E-2</v>
      </c>
      <c r="V88" s="89">
        <f t="shared" si="123"/>
        <v>1.2775224513281428E-2</v>
      </c>
      <c r="W88" s="89">
        <f t="shared" si="123"/>
        <v>1.1633075122906953E-2</v>
      </c>
      <c r="X88" s="89">
        <f t="shared" si="123"/>
        <v>1.0401959692684558E-2</v>
      </c>
      <c r="Y88" s="89">
        <f t="shared" si="123"/>
        <v>9.6793732358402048E-3</v>
      </c>
      <c r="Z88" s="89">
        <f t="shared" ref="Z88:AA88" si="124">Z60/Z$23</f>
        <v>8.8572756309561219E-3</v>
      </c>
      <c r="AA88" s="89">
        <f t="shared" si="124"/>
        <v>7.4230716761959029E-3</v>
      </c>
    </row>
    <row r="89" spans="1:27" x14ac:dyDescent="0.25">
      <c r="A89" s="68" t="s">
        <v>0</v>
      </c>
      <c r="B89" s="44"/>
      <c r="C89" s="44"/>
      <c r="D89" s="89">
        <f t="shared" si="109"/>
        <v>1.265071081518805E-2</v>
      </c>
      <c r="E89" s="89">
        <f t="shared" ref="E89:S89" si="125">E61/E$23</f>
        <v>1.3834413719537211E-2</v>
      </c>
      <c r="F89" s="89">
        <f t="shared" si="125"/>
        <v>1.5212335767504553E-2</v>
      </c>
      <c r="G89" s="89">
        <f t="shared" si="125"/>
        <v>1.629514625479318E-2</v>
      </c>
      <c r="H89" s="89">
        <f t="shared" si="125"/>
        <v>1.728662953152749E-2</v>
      </c>
      <c r="I89" s="89">
        <f t="shared" si="125"/>
        <v>1.6920438163585284E-2</v>
      </c>
      <c r="J89" s="89">
        <f t="shared" si="125"/>
        <v>1.5801780404503481E-2</v>
      </c>
      <c r="K89" s="89">
        <f t="shared" si="125"/>
        <v>1.5064135769072864E-2</v>
      </c>
      <c r="L89" s="89">
        <f t="shared" si="125"/>
        <v>1.1888923003445571E-2</v>
      </c>
      <c r="M89" s="89">
        <f t="shared" si="125"/>
        <v>1.1321952305194003E-2</v>
      </c>
      <c r="N89" s="89">
        <f t="shared" si="125"/>
        <v>1.3166042699585148E-2</v>
      </c>
      <c r="O89" s="89">
        <f t="shared" si="125"/>
        <v>1.3947733763010811E-2</v>
      </c>
      <c r="P89" s="89">
        <f t="shared" si="125"/>
        <v>1.3089750156507882E-2</v>
      </c>
      <c r="Q89" s="89">
        <f t="shared" si="125"/>
        <v>1.3843749303674369E-2</v>
      </c>
      <c r="R89" s="89">
        <f t="shared" si="125"/>
        <v>1.4286150650620074E-2</v>
      </c>
      <c r="S89" s="89">
        <f t="shared" si="125"/>
        <v>1.4009860557175135E-2</v>
      </c>
      <c r="T89" s="89">
        <f t="shared" ref="T89:Y89" si="126">T61/T$23</f>
        <v>1.4257093335096309E-2</v>
      </c>
      <c r="U89" s="89">
        <f t="shared" si="126"/>
        <v>1.3065847429396303E-2</v>
      </c>
      <c r="V89" s="89">
        <f t="shared" si="126"/>
        <v>1.2874765411237438E-2</v>
      </c>
      <c r="W89" s="89">
        <f t="shared" si="126"/>
        <v>1.2097944596629355E-2</v>
      </c>
      <c r="X89" s="89">
        <f t="shared" si="126"/>
        <v>1.1942990758267453E-2</v>
      </c>
      <c r="Y89" s="89">
        <f t="shared" si="126"/>
        <v>1.376292067664559E-2</v>
      </c>
      <c r="Z89" s="89">
        <f t="shared" ref="Z89:AA89" si="127">Z61/Z$23</f>
        <v>1.4741399622997173E-2</v>
      </c>
      <c r="AA89" s="89">
        <f t="shared" si="127"/>
        <v>1.3342788399648631E-2</v>
      </c>
    </row>
    <row r="90" spans="1:27" x14ac:dyDescent="0.25">
      <c r="A90" s="90" t="s">
        <v>272</v>
      </c>
      <c r="B90" s="47"/>
      <c r="C90" s="47"/>
      <c r="D90" s="91">
        <f t="shared" si="109"/>
        <v>1.5448983264351268E-2</v>
      </c>
      <c r="E90" s="91">
        <f t="shared" ref="E90:S90" si="128">E62/E$23</f>
        <v>1.8224337408714202E-2</v>
      </c>
      <c r="F90" s="91">
        <f t="shared" si="128"/>
        <v>2.0337426493460323E-2</v>
      </c>
      <c r="G90" s="91">
        <f t="shared" si="128"/>
        <v>2.3375337112111944E-2</v>
      </c>
      <c r="H90" s="91">
        <f t="shared" si="128"/>
        <v>2.6608802119006202E-2</v>
      </c>
      <c r="I90" s="91">
        <f t="shared" si="128"/>
        <v>2.7080066924121095E-2</v>
      </c>
      <c r="J90" s="91">
        <f t="shared" si="128"/>
        <v>2.9389562447641925E-2</v>
      </c>
      <c r="K90" s="91">
        <f t="shared" si="128"/>
        <v>2.7196789182676626E-2</v>
      </c>
      <c r="L90" s="91">
        <f t="shared" si="128"/>
        <v>2.656841674342442E-2</v>
      </c>
      <c r="M90" s="91">
        <f t="shared" si="128"/>
        <v>2.5302317146554783E-2</v>
      </c>
      <c r="N90" s="91">
        <f t="shared" si="128"/>
        <v>2.825457856926035E-2</v>
      </c>
      <c r="O90" s="91">
        <f t="shared" si="128"/>
        <v>3.2348096303382992E-2</v>
      </c>
      <c r="P90" s="91">
        <f t="shared" si="128"/>
        <v>3.4900420813707082E-2</v>
      </c>
      <c r="Q90" s="91">
        <f t="shared" si="128"/>
        <v>3.6753260395544794E-2</v>
      </c>
      <c r="R90" s="91">
        <f t="shared" si="128"/>
        <v>3.8032256093835912E-2</v>
      </c>
      <c r="S90" s="91">
        <f t="shared" si="128"/>
        <v>3.7850470075534014E-2</v>
      </c>
      <c r="T90" s="91">
        <f t="shared" ref="T90:Y90" si="129">T62/T$23</f>
        <v>3.7804292649836022E-2</v>
      </c>
      <c r="U90" s="91">
        <f t="shared" si="129"/>
        <v>3.7521348991904568E-2</v>
      </c>
      <c r="V90" s="91">
        <f t="shared" si="129"/>
        <v>3.7422521977901919E-2</v>
      </c>
      <c r="W90" s="91">
        <f t="shared" si="129"/>
        <v>3.5556845599840355E-2</v>
      </c>
      <c r="X90" s="91">
        <f t="shared" si="129"/>
        <v>3.5134172141186949E-2</v>
      </c>
      <c r="Y90" s="91">
        <f t="shared" si="129"/>
        <v>3.6516375757623738E-2</v>
      </c>
      <c r="Z90" s="91">
        <f t="shared" ref="Z90:AA90" si="130">Z62/Z$23</f>
        <v>3.4822036338883651E-2</v>
      </c>
      <c r="AA90" s="91">
        <f t="shared" si="130"/>
        <v>2.9894507795188312E-2</v>
      </c>
    </row>
    <row r="91" spans="1:27" x14ac:dyDescent="0.25">
      <c r="A91" s="38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  <c r="AA91" s="37"/>
    </row>
    <row r="92" spans="1:27" x14ac:dyDescent="0.25">
      <c r="A92" s="58" t="s">
        <v>236</v>
      </c>
      <c r="B92" s="50"/>
      <c r="C92" s="50"/>
      <c r="D92" s="56"/>
      <c r="E92" s="56"/>
      <c r="F92" s="56"/>
      <c r="G92" s="56"/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  <c r="Z92" s="56"/>
      <c r="AA92" s="56"/>
    </row>
    <row r="93" spans="1:27" x14ac:dyDescent="0.25">
      <c r="A93" s="40" t="s">
        <v>139</v>
      </c>
      <c r="B93" s="41"/>
      <c r="C93" s="41"/>
      <c r="D93" s="41"/>
      <c r="E93" s="92">
        <f t="shared" ref="E93:E94" si="131">IF(D16=0,"",E16/D16-1)</f>
        <v>6.4852484155856427E-2</v>
      </c>
      <c r="F93" s="92">
        <f t="shared" ref="F93:F94" si="132">IF(E16=0,"",F16/E16-1)</f>
        <v>6.7192072093996913E-2</v>
      </c>
      <c r="G93" s="92">
        <f t="shared" ref="G93:G94" si="133">IF(F16=0,"",G16/F16-1)</f>
        <v>0.10552861523457824</v>
      </c>
      <c r="H93" s="92">
        <f t="shared" ref="H93:H94" si="134">IF(G16=0,"",H16/G16-1)</f>
        <v>6.5022056225088498E-2</v>
      </c>
      <c r="I93" s="92">
        <f t="shared" ref="I93:I94" si="135">IF(H16=0,"",I16/H16-1)</f>
        <v>7.7312836257724005E-2</v>
      </c>
      <c r="J93" s="92">
        <f t="shared" ref="J93:J94" si="136">IF(I16=0,"",J16/I16-1)</f>
        <v>7.3949730865457086E-2</v>
      </c>
      <c r="K93" s="92">
        <f t="shared" ref="K93:K94" si="137">IF(J16=0,"",K16/J16-1)</f>
        <v>0.1107849237857006</v>
      </c>
      <c r="L93" s="92">
        <f t="shared" ref="L93:L94" si="138">IF(K16=0,"",L16/K16-1)</f>
        <v>2.5992712513997152E-2</v>
      </c>
      <c r="M93" s="92">
        <f t="shared" ref="M93:M94" si="139">IF(L16=0,"",M16/L16-1)</f>
        <v>-0.14838751237054426</v>
      </c>
      <c r="N93" s="92">
        <f t="shared" ref="N93:N94" si="140">IF(M16=0,"",N16/M16-1)</f>
        <v>4.2649778385064341E-3</v>
      </c>
      <c r="O93" s="92">
        <f t="shared" ref="O93:O94" si="141">IF(N16=0,"",O16/N16-1)</f>
        <v>6.3235482622234551E-2</v>
      </c>
      <c r="P93" s="92">
        <f t="shared" ref="P93:P94" si="142">IF(O16=0,"",P16/O16-1)</f>
        <v>4.3830729057665163E-2</v>
      </c>
      <c r="Q93" s="92">
        <f t="shared" ref="Q93:Q94" si="143">IF(P16=0,"",Q16/P16-1)</f>
        <v>4.0468726242348207E-2</v>
      </c>
      <c r="R93" s="92">
        <f t="shared" ref="R93:R94" si="144">IF(Q16=0,"",R16/Q16-1)</f>
        <v>3.7730782259963958E-2</v>
      </c>
      <c r="S93" s="92">
        <f t="shared" ref="S93:S94" si="145">IF(R16=0,"",S16/R16-1)</f>
        <v>2.8325898967594076E-2</v>
      </c>
      <c r="T93" s="92">
        <f t="shared" ref="T93:T94" si="146">IF(S16=0,"",T16/S16-1)</f>
        <v>2.6724514279116818E-2</v>
      </c>
      <c r="U93" s="92">
        <f t="shared" ref="U93:U94" si="147">IF(T16=0,"",U16/T16-1)</f>
        <v>4.6115743837537249E-2</v>
      </c>
      <c r="V93" s="92">
        <f t="shared" ref="V93:V94" si="148">IF(U16=0,"",V16/U16-1)</f>
        <v>4.9183480679695579E-2</v>
      </c>
      <c r="W93" s="92">
        <f t="shared" ref="W93:W94" si="149">IF(V16=0,"",W16/V16-1)</f>
        <v>4.6776080308962964E-2</v>
      </c>
      <c r="X93" s="92">
        <f t="shared" ref="X93:X94" si="150">IF(W16=0,"",X16/W16-1)</f>
        <v>4.2829480133188547E-4</v>
      </c>
      <c r="Y93" s="92">
        <f t="shared" ref="Y93:Y94" si="151">IF(X16=0,"",Y16/X16-1)</f>
        <v>6.3795679851988085E-2</v>
      </c>
      <c r="Z93" s="92">
        <f t="shared" ref="Z93:Z94" si="152">IF(Y16=0,"",Z16/Y16-1)</f>
        <v>2.5376303953936974E-2</v>
      </c>
      <c r="AA93" s="92">
        <f t="shared" ref="AA93:AA94" si="153">IF(Z16=0,"",AA16/Z16-1)</f>
        <v>3.4277933422581786E-3</v>
      </c>
    </row>
    <row r="94" spans="1:27" x14ac:dyDescent="0.25">
      <c r="A94" s="46" t="s">
        <v>141</v>
      </c>
      <c r="B94" s="47"/>
      <c r="C94" s="47"/>
      <c r="D94" s="47"/>
      <c r="E94" s="93">
        <f t="shared" si="131"/>
        <v>4.1763807951374465E-2</v>
      </c>
      <c r="F94" s="93">
        <f t="shared" si="132"/>
        <v>6.034022701055175E-2</v>
      </c>
      <c r="G94" s="93">
        <f t="shared" si="133"/>
        <v>0.11355181930436431</v>
      </c>
      <c r="H94" s="93">
        <f t="shared" si="134"/>
        <v>0.10879344471458308</v>
      </c>
      <c r="I94" s="93">
        <f t="shared" si="135"/>
        <v>0.11651111377479673</v>
      </c>
      <c r="J94" s="93">
        <f t="shared" si="136"/>
        <v>9.1769581746483198E-2</v>
      </c>
      <c r="K94" s="93">
        <f t="shared" si="137"/>
        <v>0.12516365110212746</v>
      </c>
      <c r="L94" s="93">
        <f t="shared" si="138"/>
        <v>3.8883521133155519E-2</v>
      </c>
      <c r="M94" s="93">
        <f t="shared" si="139"/>
        <v>-0.17383017160865777</v>
      </c>
      <c r="N94" s="93">
        <f t="shared" si="140"/>
        <v>-4.334144315857047E-2</v>
      </c>
      <c r="O94" s="93">
        <f t="shared" si="141"/>
        <v>3.9309190188414833E-2</v>
      </c>
      <c r="P94" s="93">
        <f t="shared" si="142"/>
        <v>2.984012454110041E-2</v>
      </c>
      <c r="Q94" s="93">
        <f t="shared" si="143"/>
        <v>3.6428068444203543E-2</v>
      </c>
      <c r="R94" s="93">
        <f t="shared" si="144"/>
        <v>4.0535167457246057E-2</v>
      </c>
      <c r="S94" s="93">
        <f t="shared" si="145"/>
        <v>4.1828176306682785E-2</v>
      </c>
      <c r="T94" s="93">
        <f t="shared" si="146"/>
        <v>3.7860379393782173E-2</v>
      </c>
      <c r="U94" s="93">
        <f t="shared" si="147"/>
        <v>3.1066348345897055E-2</v>
      </c>
      <c r="V94" s="93">
        <f t="shared" si="148"/>
        <v>3.5504656684013813E-2</v>
      </c>
      <c r="W94" s="93">
        <f t="shared" si="149"/>
        <v>2.8199523247423253E-2</v>
      </c>
      <c r="X94" s="93">
        <f t="shared" si="150"/>
        <v>-3.1832090944017288E-2</v>
      </c>
      <c r="Y94" s="93">
        <f t="shared" si="151"/>
        <v>8.061534786373481E-2</v>
      </c>
      <c r="Z94" s="93">
        <f t="shared" si="152"/>
        <v>1.9909380503235985E-2</v>
      </c>
      <c r="AA94" s="93">
        <f t="shared" si="153"/>
        <v>-3.4301367828488694E-3</v>
      </c>
    </row>
    <row r="95" spans="1:27" x14ac:dyDescent="0.25">
      <c r="A95" s="40" t="s">
        <v>242</v>
      </c>
      <c r="B95" s="41"/>
      <c r="C95" s="41"/>
      <c r="D95" s="41"/>
      <c r="E95" s="92">
        <f t="shared" ref="E95:E96" si="154">IF(D20=0,"",E20/D20-1)</f>
        <v>7.2510142947944223E-2</v>
      </c>
      <c r="F95" s="92">
        <f t="shared" ref="F95:F96" si="155">IF(E20=0,"",F20/E20-1)</f>
        <v>7.7188897417477698E-2</v>
      </c>
      <c r="G95" s="92">
        <f t="shared" ref="G95:G96" si="156">IF(F20=0,"",G20/F20-1)</f>
        <v>0.11298365079384798</v>
      </c>
      <c r="H95" s="92">
        <f t="shared" ref="H95:H96" si="157">IF(G20=0,"",H20/G20-1)</f>
        <v>7.5226929091552819E-2</v>
      </c>
      <c r="I95" s="92">
        <f t="shared" ref="I95:I96" si="158">IF(H20=0,"",I20/H20-1)</f>
        <v>9.1347166870914487E-2</v>
      </c>
      <c r="J95" s="92">
        <f t="shared" ref="J95:J96" si="159">IF(I20=0,"",J20/I20-1)</f>
        <v>9.529432813329497E-2</v>
      </c>
      <c r="K95" s="92">
        <f t="shared" ref="K95:K96" si="160">IF(J20=0,"",K20/J20-1)</f>
        <v>0.12440561065781908</v>
      </c>
      <c r="L95" s="92">
        <f t="shared" ref="L95:L96" si="161">IF(K20=0,"",L20/K20-1)</f>
        <v>3.7929927206854952E-2</v>
      </c>
      <c r="M95" s="92">
        <f t="shared" ref="M95:M96" si="162">IF(L20=0,"",M20/L20-1)</f>
        <v>-0.14069777784522075</v>
      </c>
      <c r="N95" s="92">
        <f t="shared" ref="N95:N96" si="163">IF(M20=0,"",N20/M20-1)</f>
        <v>1.7651018111213057E-2</v>
      </c>
      <c r="O95" s="92">
        <f t="shared" ref="O95:O96" si="164">IF(N20=0,"",O20/N20-1)</f>
        <v>9.4369881801107169E-2</v>
      </c>
      <c r="P95" s="92">
        <f t="shared" ref="P95:P96" si="165">IF(O20=0,"",P20/O20-1)</f>
        <v>6.0840878637853368E-2</v>
      </c>
      <c r="Q95" s="92">
        <f t="shared" ref="Q95:Q96" si="166">IF(P20=0,"",Q20/P20-1)</f>
        <v>5.0613747277161281E-2</v>
      </c>
      <c r="R95" s="92">
        <f t="shared" ref="R95:R96" si="167">IF(Q20=0,"",R20/Q20-1)</f>
        <v>4.7156339390864499E-2</v>
      </c>
      <c r="S95" s="92">
        <f t="shared" ref="S95:S96" si="168">IF(R20=0,"",S20/R20-1)</f>
        <v>3.5781202354099095E-2</v>
      </c>
      <c r="T95" s="92">
        <f t="shared" ref="T95:T96" si="169">IF(S20=0,"",T20/S20-1)</f>
        <v>3.7741800800011438E-2</v>
      </c>
      <c r="U95" s="92">
        <f t="shared" ref="U95:U96" si="170">IF(T20=0,"",U20/T20-1)</f>
        <v>5.9469368167030634E-2</v>
      </c>
      <c r="V95" s="92">
        <f t="shared" ref="V95:V96" si="171">IF(U20=0,"",V20/U20-1)</f>
        <v>6.1388563580518696E-2</v>
      </c>
      <c r="W95" s="92">
        <f t="shared" ref="W95:W96" si="172">IF(V20=0,"",W20/V20-1)</f>
        <v>5.1987254878455014E-2</v>
      </c>
      <c r="X95" s="92">
        <f t="shared" ref="X95:X96" si="173">IF(W20=0,"",X20/W20-1)</f>
        <v>1.2197433076164277E-3</v>
      </c>
      <c r="Y95" s="92">
        <f t="shared" ref="Y95:Y96" si="174">IF(X20=0,"",Y20/X20-1)</f>
        <v>6.3498957429482639E-2</v>
      </c>
      <c r="Z95" s="92">
        <f t="shared" ref="Z95:Z96" si="175">IF(Y20=0,"",Z20/Y20-1)</f>
        <v>2.7116813867248624E-2</v>
      </c>
      <c r="AA95" s="92">
        <f t="shared" ref="AA95:AA96" si="176">IF(Z20=0,"",AA20/Z20-1)</f>
        <v>-1.4581221762806629E-2</v>
      </c>
    </row>
    <row r="96" spans="1:27" x14ac:dyDescent="0.25">
      <c r="A96" s="46" t="s">
        <v>243</v>
      </c>
      <c r="B96" s="47"/>
      <c r="C96" s="47"/>
      <c r="D96" s="47"/>
      <c r="E96" s="93">
        <f t="shared" si="154"/>
        <v>4.9255429468848311E-2</v>
      </c>
      <c r="F96" s="93">
        <f t="shared" si="155"/>
        <v>7.0272868294220636E-2</v>
      </c>
      <c r="G96" s="93">
        <f t="shared" si="156"/>
        <v>0.12106095863880117</v>
      </c>
      <c r="H96" s="93">
        <f t="shared" si="157"/>
        <v>0.11941772810133955</v>
      </c>
      <c r="I96" s="93">
        <f t="shared" si="158"/>
        <v>0.13105608676374603</v>
      </c>
      <c r="J96" s="93">
        <f t="shared" si="159"/>
        <v>0.11346834600137545</v>
      </c>
      <c r="K96" s="93">
        <f t="shared" si="160"/>
        <v>0.138960653062975</v>
      </c>
      <c r="L96" s="93">
        <f t="shared" si="161"/>
        <v>5.0970717739309945E-2</v>
      </c>
      <c r="M96" s="93">
        <f t="shared" si="162"/>
        <v>-0.16637017454961278</v>
      </c>
      <c r="N96" s="93">
        <f t="shared" si="163"/>
        <v>-3.0589957991109085E-2</v>
      </c>
      <c r="O96" s="93">
        <f t="shared" si="164"/>
        <v>6.9742963069839181E-2</v>
      </c>
      <c r="P96" s="93">
        <f t="shared" si="165"/>
        <v>4.6622284784589407E-2</v>
      </c>
      <c r="Q96" s="93">
        <f t="shared" si="166"/>
        <v>4.6533691314206038E-2</v>
      </c>
      <c r="R96" s="93">
        <f t="shared" si="167"/>
        <v>4.9986196409302686E-2</v>
      </c>
      <c r="S96" s="93">
        <f t="shared" si="168"/>
        <v>4.9381370424202764E-2</v>
      </c>
      <c r="T96" s="93">
        <f t="shared" si="169"/>
        <v>4.8997159522669698E-2</v>
      </c>
      <c r="U96" s="93">
        <f t="shared" si="170"/>
        <v>4.4227867762559381E-2</v>
      </c>
      <c r="V96" s="93">
        <f t="shared" si="171"/>
        <v>4.7550614718760098E-2</v>
      </c>
      <c r="W96" s="93">
        <f t="shared" si="172"/>
        <v>3.3318217979470655E-2</v>
      </c>
      <c r="X96" s="93">
        <f t="shared" si="173"/>
        <v>-3.1066163941115832E-2</v>
      </c>
      <c r="Y96" s="93">
        <f t="shared" si="174"/>
        <v>8.0313933964536233E-2</v>
      </c>
      <c r="Z96" s="93">
        <f t="shared" si="175"/>
        <v>2.1640610667810645E-2</v>
      </c>
      <c r="AA96" s="93">
        <f t="shared" si="176"/>
        <v>-2.1316069222641509E-2</v>
      </c>
    </row>
    <row r="97" spans="1:27" x14ac:dyDescent="0.25">
      <c r="A97" s="94" t="s">
        <v>142</v>
      </c>
      <c r="B97" s="44"/>
      <c r="C97" s="44"/>
      <c r="D97" s="89"/>
      <c r="E97" s="89">
        <f t="shared" ref="E97:E106" si="177">IF(D23=0,"",E23/D23-1)</f>
        <v>6.4840158632426315E-2</v>
      </c>
      <c r="F97" s="89">
        <f t="shared" ref="F97:F106" si="178">IF(E23=0,"",F23/E23-1)</f>
        <v>6.7202685013609598E-2</v>
      </c>
      <c r="G97" s="89">
        <f t="shared" ref="G97:G106" si="179">IF(F23=0,"",G23/F23-1)</f>
        <v>0.10550720591152318</v>
      </c>
      <c r="H97" s="89">
        <f t="shared" ref="H97:H106" si="180">IF(G23=0,"",H23/G23-1)</f>
        <v>6.502666674947033E-2</v>
      </c>
      <c r="I97" s="89">
        <f t="shared" ref="I97:I106" si="181">IF(H23=0,"",I23/H23-1)</f>
        <v>7.7312438828473828E-2</v>
      </c>
      <c r="J97" s="89">
        <f t="shared" ref="J97:J106" si="182">IF(I23=0,"",J23/I23-1)</f>
        <v>7.3960633985383328E-2</v>
      </c>
      <c r="K97" s="89">
        <f t="shared" ref="K97:K106" si="183">IF(J23=0,"",K23/J23-1)</f>
        <v>0.11077822875236043</v>
      </c>
      <c r="L97" s="89">
        <f t="shared" ref="L97:L106" si="184">IF(K23=0,"",L23/K23-1)</f>
        <v>2.599452085067111E-2</v>
      </c>
      <c r="M97" s="89">
        <f t="shared" ref="M97:M106" si="185">IF(L23=0,"",M23/L23-1)</f>
        <v>-0.14838600211552955</v>
      </c>
      <c r="N97" s="89">
        <f t="shared" ref="N97:N106" si="186">IF(M23=0,"",N23/M23-1)</f>
        <v>4.2771412590645319E-3</v>
      </c>
      <c r="O97" s="89">
        <f t="shared" ref="O97:O106" si="187">IF(N23=0,"",O23/N23-1)</f>
        <v>6.3226206397894114E-2</v>
      </c>
      <c r="P97" s="89">
        <f t="shared" ref="P97:P106" si="188">IF(O23=0,"",P23/O23-1)</f>
        <v>4.3834628419947563E-2</v>
      </c>
      <c r="Q97" s="89">
        <f t="shared" ref="Q97:Q106" si="189">IF(P23=0,"",Q23/P23-1)</f>
        <v>4.0466460487398326E-2</v>
      </c>
      <c r="R97" s="89">
        <f t="shared" ref="R97:R106" si="190">IF(Q23=0,"",R23/Q23-1)</f>
        <v>3.7734562063600485E-2</v>
      </c>
      <c r="S97" s="89">
        <f t="shared" ref="S97:S106" si="191">IF(R23=0,"",S23/R23-1)</f>
        <v>2.832235628321822E-2</v>
      </c>
      <c r="T97" s="89">
        <f t="shared" ref="T97:T106" si="192">IF(S23=0,"",T23/S23-1)</f>
        <v>2.6720811170251046E-2</v>
      </c>
      <c r="U97" s="89">
        <f t="shared" ref="U97:U106" si="193">IF(T23=0,"",U23/T23-1)</f>
        <v>4.6114962089957023E-2</v>
      </c>
      <c r="V97" s="89">
        <f t="shared" ref="V97:V106" si="194">IF(U23=0,"",V23/U23-1)</f>
        <v>4.9192694211304122E-2</v>
      </c>
      <c r="W97" s="89">
        <f t="shared" ref="W97:W106" si="195">IF(V23=0,"",W23/V23-1)</f>
        <v>4.6767266337626401E-2</v>
      </c>
      <c r="X97" s="89">
        <f t="shared" ref="X97:X106" si="196">IF(W23=0,"",X23/W23-1)</f>
        <v>4.3419290110757736E-4</v>
      </c>
      <c r="Y97" s="89">
        <f t="shared" ref="Y97:Y106" si="197">IF(X23=0,"",Y23/X23-1)</f>
        <v>6.3793044209240035E-2</v>
      </c>
      <c r="Z97" s="89">
        <f t="shared" ref="Z97:Z108" si="198">IF(Y23=0,"",Z23/Y23-1)</f>
        <v>2.5374153137703415E-2</v>
      </c>
      <c r="AA97" s="89">
        <f t="shared" ref="AA97:AA108" si="199">IF(Z23=0,"",AA23/Z23-1)</f>
        <v>3.424688966770173E-3</v>
      </c>
    </row>
    <row r="98" spans="1:27" x14ac:dyDescent="0.25">
      <c r="A98" s="64" t="s">
        <v>33</v>
      </c>
      <c r="B98" s="65"/>
      <c r="C98" s="65"/>
      <c r="D98" s="83"/>
      <c r="E98" s="83">
        <f t="shared" si="177"/>
        <v>-7.1831186743290587E-2</v>
      </c>
      <c r="F98" s="83">
        <f t="shared" si="178"/>
        <v>4.6401390886889882E-2</v>
      </c>
      <c r="G98" s="83">
        <f t="shared" si="179"/>
        <v>1.6577827825277947E-2</v>
      </c>
      <c r="H98" s="83">
        <f t="shared" si="180"/>
        <v>-4.0599455831364928E-3</v>
      </c>
      <c r="I98" s="83">
        <f t="shared" si="181"/>
        <v>0.11692785256532812</v>
      </c>
      <c r="J98" s="83">
        <f t="shared" si="182"/>
        <v>-3.8297522831919228E-2</v>
      </c>
      <c r="K98" s="83">
        <f t="shared" si="183"/>
        <v>4.4525815380191958E-3</v>
      </c>
      <c r="L98" s="83">
        <f t="shared" si="184"/>
        <v>-2.9717091812348828E-2</v>
      </c>
      <c r="M98" s="83">
        <f t="shared" si="185"/>
        <v>-0.34554447998901139</v>
      </c>
      <c r="N98" s="83">
        <f t="shared" si="186"/>
        <v>0.22717621859491532</v>
      </c>
      <c r="O98" s="83">
        <f t="shared" si="187"/>
        <v>0.21672774166427966</v>
      </c>
      <c r="P98" s="83">
        <f t="shared" si="188"/>
        <v>0.18171252675548577</v>
      </c>
      <c r="Q98" s="83">
        <f t="shared" si="189"/>
        <v>-8.2852976947252799E-2</v>
      </c>
      <c r="R98" s="83">
        <f t="shared" si="190"/>
        <v>1.1952348186507145E-2</v>
      </c>
      <c r="S98" s="83">
        <f t="shared" si="191"/>
        <v>3.0818657193038446E-2</v>
      </c>
      <c r="T98" s="83">
        <f t="shared" si="192"/>
        <v>-6.7871053288881655E-2</v>
      </c>
      <c r="U98" s="83">
        <f t="shared" si="193"/>
        <v>0.19182741033217288</v>
      </c>
      <c r="V98" s="83">
        <f t="shared" si="194"/>
        <v>-0.14831965019685101</v>
      </c>
      <c r="W98" s="83">
        <f t="shared" si="195"/>
        <v>0.13390358968804938</v>
      </c>
      <c r="X98" s="83">
        <f t="shared" si="196"/>
        <v>0.13402010628382155</v>
      </c>
      <c r="Y98" s="83">
        <f t="shared" si="197"/>
        <v>2.4962873148832054E-2</v>
      </c>
      <c r="Z98" s="83">
        <f t="shared" si="198"/>
        <v>0.16687245995400857</v>
      </c>
      <c r="AA98" s="83">
        <f t="shared" si="199"/>
        <v>-0.30203168395012225</v>
      </c>
    </row>
    <row r="99" spans="1:27" x14ac:dyDescent="0.25">
      <c r="A99" s="64" t="s">
        <v>56</v>
      </c>
      <c r="B99" s="65"/>
      <c r="C99" s="65"/>
      <c r="D99" s="83"/>
      <c r="E99" s="83">
        <f t="shared" si="177"/>
        <v>0.101064834239464</v>
      </c>
      <c r="F99" s="83">
        <f t="shared" si="178"/>
        <v>-0.12093836994607376</v>
      </c>
      <c r="G99" s="83">
        <f t="shared" si="179"/>
        <v>4.7362300340899388E-2</v>
      </c>
      <c r="H99" s="83">
        <f t="shared" si="180"/>
        <v>1.154842631445363E-2</v>
      </c>
      <c r="I99" s="83">
        <f t="shared" si="181"/>
        <v>4.9503246212575291E-2</v>
      </c>
      <c r="J99" s="83">
        <f t="shared" si="182"/>
        <v>3.3323980608539472E-2</v>
      </c>
      <c r="K99" s="83">
        <f t="shared" si="183"/>
        <v>3.9283150398656819E-3</v>
      </c>
      <c r="L99" s="83">
        <f t="shared" si="184"/>
        <v>-1.3861203282409029E-2</v>
      </c>
      <c r="M99" s="83">
        <f t="shared" si="185"/>
        <v>-0.3820759298580958</v>
      </c>
      <c r="N99" s="83">
        <f t="shared" si="186"/>
        <v>0.1914327628017809</v>
      </c>
      <c r="O99" s="83">
        <f t="shared" si="187"/>
        <v>0.22094408198530036</v>
      </c>
      <c r="P99" s="83">
        <f t="shared" si="188"/>
        <v>-3.4954025601405703E-2</v>
      </c>
      <c r="Q99" s="83">
        <f t="shared" si="189"/>
        <v>5.9098193016352774E-2</v>
      </c>
      <c r="R99" s="83">
        <f t="shared" si="190"/>
        <v>5.1669040710458081E-3</v>
      </c>
      <c r="S99" s="83">
        <f t="shared" si="191"/>
        <v>-0.22573776223776254</v>
      </c>
      <c r="T99" s="83">
        <f t="shared" si="192"/>
        <v>-2.9952214312551684E-2</v>
      </c>
      <c r="U99" s="83">
        <f t="shared" si="193"/>
        <v>0.11763692595719699</v>
      </c>
      <c r="V99" s="83">
        <f t="shared" si="194"/>
        <v>7.166966511214734E-2</v>
      </c>
      <c r="W99" s="83">
        <f t="shared" si="195"/>
        <v>-3.5513816128135423E-2</v>
      </c>
      <c r="X99" s="83">
        <f t="shared" si="196"/>
        <v>6.4071927941518281E-2</v>
      </c>
      <c r="Y99" s="83">
        <f t="shared" si="197"/>
        <v>-2.4096938190928063E-2</v>
      </c>
      <c r="Z99" s="83">
        <f t="shared" si="198"/>
        <v>-8.6427288193744345E-2</v>
      </c>
      <c r="AA99" s="83">
        <f t="shared" si="199"/>
        <v>8.830885013370926E-3</v>
      </c>
    </row>
    <row r="100" spans="1:27" x14ac:dyDescent="0.25">
      <c r="A100" s="64" t="s">
        <v>146</v>
      </c>
      <c r="B100" s="65"/>
      <c r="C100" s="65"/>
      <c r="D100" s="83"/>
      <c r="E100" s="83">
        <f t="shared" si="177"/>
        <v>6.6604296189499923E-2</v>
      </c>
      <c r="F100" s="83">
        <f t="shared" si="178"/>
        <v>8.3374980250354724E-2</v>
      </c>
      <c r="G100" s="83">
        <f t="shared" si="179"/>
        <v>8.5493009068444259E-2</v>
      </c>
      <c r="H100" s="83">
        <f t="shared" si="180"/>
        <v>4.7156406560618924E-2</v>
      </c>
      <c r="I100" s="83">
        <f t="shared" si="181"/>
        <v>7.3729739935872507E-2</v>
      </c>
      <c r="J100" s="83">
        <f t="shared" si="182"/>
        <v>7.3337367846419088E-2</v>
      </c>
      <c r="K100" s="83">
        <f t="shared" si="183"/>
        <v>0.12198662481417921</v>
      </c>
      <c r="L100" s="83">
        <f t="shared" si="184"/>
        <v>3.7107666397839356E-2</v>
      </c>
      <c r="M100" s="83">
        <f t="shared" si="185"/>
        <v>-7.2798676570827947E-2</v>
      </c>
      <c r="N100" s="83">
        <f t="shared" si="186"/>
        <v>-2.4946661744270182E-2</v>
      </c>
      <c r="O100" s="83">
        <f t="shared" si="187"/>
        <v>2.449581917899879E-2</v>
      </c>
      <c r="P100" s="83">
        <f t="shared" si="188"/>
        <v>4.1353662064025354E-2</v>
      </c>
      <c r="Q100" s="83">
        <f t="shared" si="189"/>
        <v>6.1395236458625879E-2</v>
      </c>
      <c r="R100" s="83">
        <f t="shared" si="190"/>
        <v>3.7553624296968291E-2</v>
      </c>
      <c r="S100" s="83">
        <f t="shared" si="191"/>
        <v>3.7229716500101873E-2</v>
      </c>
      <c r="T100" s="83">
        <f t="shared" si="192"/>
        <v>4.8512558841860898E-2</v>
      </c>
      <c r="U100" s="83">
        <f t="shared" si="193"/>
        <v>4.3440714445333928E-2</v>
      </c>
      <c r="V100" s="83">
        <f t="shared" si="194"/>
        <v>6.3488893905334409E-2</v>
      </c>
      <c r="W100" s="83">
        <f t="shared" si="195"/>
        <v>4.8132108793897288E-2</v>
      </c>
      <c r="X100" s="83">
        <f t="shared" si="196"/>
        <v>-1.5142969582571109E-3</v>
      </c>
      <c r="Y100" s="83">
        <f t="shared" si="197"/>
        <v>6.3163688003241125E-2</v>
      </c>
      <c r="Z100" s="83">
        <f t="shared" si="198"/>
        <v>8.6149765906227138E-3</v>
      </c>
      <c r="AA100" s="83">
        <f t="shared" si="199"/>
        <v>4.2166249074527373E-2</v>
      </c>
    </row>
    <row r="101" spans="1:27" x14ac:dyDescent="0.25">
      <c r="A101" s="68" t="s">
        <v>148</v>
      </c>
      <c r="B101" s="69"/>
      <c r="C101" s="69"/>
      <c r="D101" s="84"/>
      <c r="E101" s="84">
        <f t="shared" si="177"/>
        <v>4.4176230799422234E-2</v>
      </c>
      <c r="F101" s="84">
        <f t="shared" si="178"/>
        <v>7.6504773360004608E-2</v>
      </c>
      <c r="G101" s="84">
        <f t="shared" si="179"/>
        <v>7.4858448324822691E-2</v>
      </c>
      <c r="H101" s="84">
        <f t="shared" si="180"/>
        <v>5.3548975553904032E-2</v>
      </c>
      <c r="I101" s="84">
        <f t="shared" si="181"/>
        <v>5.5421166650791776E-2</v>
      </c>
      <c r="J101" s="84">
        <f t="shared" si="182"/>
        <v>8.6419980024767584E-2</v>
      </c>
      <c r="K101" s="84">
        <f t="shared" si="183"/>
        <v>7.6389102302034662E-2</v>
      </c>
      <c r="L101" s="84">
        <f t="shared" si="184"/>
        <v>4.3030233841248933E-2</v>
      </c>
      <c r="M101" s="84">
        <f t="shared" si="185"/>
        <v>-2.3794221726989306E-3</v>
      </c>
      <c r="N101" s="84">
        <f t="shared" si="186"/>
        <v>-2.3363439049999046E-2</v>
      </c>
      <c r="O101" s="84">
        <f t="shared" si="187"/>
        <v>1.1110485464977948E-2</v>
      </c>
      <c r="P101" s="84">
        <f t="shared" si="188"/>
        <v>3.7911758848534705E-2</v>
      </c>
      <c r="Q101" s="84">
        <f t="shared" si="189"/>
        <v>4.8236204286403739E-2</v>
      </c>
      <c r="R101" s="84">
        <f t="shared" si="190"/>
        <v>3.7909476183463298E-2</v>
      </c>
      <c r="S101" s="84">
        <f t="shared" si="191"/>
        <v>2.5914669641991184E-2</v>
      </c>
      <c r="T101" s="84">
        <f t="shared" si="192"/>
        <v>5.0328807272107312E-2</v>
      </c>
      <c r="U101" s="84">
        <f t="shared" si="193"/>
        <v>4.5711387845521534E-2</v>
      </c>
      <c r="V101" s="84">
        <f t="shared" si="194"/>
        <v>6.8805682124336576E-2</v>
      </c>
      <c r="W101" s="84">
        <f t="shared" si="195"/>
        <v>7.6622080263693881E-2</v>
      </c>
      <c r="X101" s="84">
        <f t="shared" si="196"/>
        <v>-1.1129108826982148E-2</v>
      </c>
      <c r="Y101" s="84">
        <f t="shared" si="197"/>
        <v>4.587571651043687E-2</v>
      </c>
      <c r="Z101" s="84">
        <f t="shared" si="198"/>
        <v>8.8363994652365108E-3</v>
      </c>
      <c r="AA101" s="84">
        <f t="shared" si="199"/>
        <v>2.1325001291223389E-2</v>
      </c>
    </row>
    <row r="102" spans="1:27" x14ac:dyDescent="0.25">
      <c r="A102" s="68" t="s">
        <v>150</v>
      </c>
      <c r="B102" s="71"/>
      <c r="C102" s="71"/>
      <c r="D102" s="84"/>
      <c r="E102" s="84">
        <f t="shared" si="177"/>
        <v>5.530338029582893E-2</v>
      </c>
      <c r="F102" s="84">
        <f t="shared" si="178"/>
        <v>9.0813936133474549E-2</v>
      </c>
      <c r="G102" s="84">
        <f t="shared" si="179"/>
        <v>9.7345060402022066E-2</v>
      </c>
      <c r="H102" s="84">
        <f t="shared" si="180"/>
        <v>3.3437098331515092E-2</v>
      </c>
      <c r="I102" s="84">
        <f t="shared" si="181"/>
        <v>8.9018702714929399E-2</v>
      </c>
      <c r="J102" s="84">
        <f t="shared" si="182"/>
        <v>0.11005563510478922</v>
      </c>
      <c r="K102" s="84">
        <f t="shared" si="183"/>
        <v>0.17176903245984843</v>
      </c>
      <c r="L102" s="84">
        <f t="shared" si="184"/>
        <v>7.1625843698690517E-3</v>
      </c>
      <c r="M102" s="84">
        <f t="shared" si="185"/>
        <v>-0.10452207670202329</v>
      </c>
      <c r="N102" s="84">
        <f t="shared" si="186"/>
        <v>-5.9040234760130095E-2</v>
      </c>
      <c r="O102" s="84">
        <f t="shared" si="187"/>
        <v>-1.8608086791251033E-2</v>
      </c>
      <c r="P102" s="84">
        <f t="shared" si="188"/>
        <v>9.7077031390582214E-3</v>
      </c>
      <c r="Q102" s="84">
        <f t="shared" si="189"/>
        <v>8.3962029107238489E-2</v>
      </c>
      <c r="R102" s="84">
        <f t="shared" si="190"/>
        <v>4.0913012434809382E-2</v>
      </c>
      <c r="S102" s="84">
        <f t="shared" si="191"/>
        <v>8.7728434138021338E-2</v>
      </c>
      <c r="T102" s="84">
        <f t="shared" si="192"/>
        <v>7.4450363648442375E-2</v>
      </c>
      <c r="U102" s="84">
        <f t="shared" si="193"/>
        <v>4.7033901747757678E-2</v>
      </c>
      <c r="V102" s="84">
        <f t="shared" si="194"/>
        <v>6.8777384916147488E-2</v>
      </c>
      <c r="W102" s="84">
        <f t="shared" si="195"/>
        <v>5.3819007132450247E-2</v>
      </c>
      <c r="X102" s="84">
        <f t="shared" si="196"/>
        <v>1.7310645172381234E-2</v>
      </c>
      <c r="Y102" s="84">
        <f t="shared" si="197"/>
        <v>0.10895556573171761</v>
      </c>
      <c r="Z102" s="84">
        <f t="shared" si="198"/>
        <v>4.9608239627258799E-2</v>
      </c>
      <c r="AA102" s="84">
        <f t="shared" si="199"/>
        <v>0.11921720952165593</v>
      </c>
    </row>
    <row r="103" spans="1:27" x14ac:dyDescent="0.25">
      <c r="A103" s="68" t="s">
        <v>152</v>
      </c>
      <c r="B103" s="71"/>
      <c r="C103" s="71"/>
      <c r="D103" s="84"/>
      <c r="E103" s="84">
        <f t="shared" si="177"/>
        <v>0.11411838380521599</v>
      </c>
      <c r="F103" s="84">
        <f t="shared" si="178"/>
        <v>8.5939072414829676E-2</v>
      </c>
      <c r="G103" s="84">
        <f t="shared" si="179"/>
        <v>8.892759809288675E-2</v>
      </c>
      <c r="H103" s="84">
        <f t="shared" si="180"/>
        <v>5.2075537233071234E-2</v>
      </c>
      <c r="I103" s="84">
        <f t="shared" si="181"/>
        <v>8.4731127890427915E-2</v>
      </c>
      <c r="J103" s="84">
        <f t="shared" si="182"/>
        <v>1.7540968618734665E-2</v>
      </c>
      <c r="K103" s="84">
        <f t="shared" si="183"/>
        <v>0.13527645680917288</v>
      </c>
      <c r="L103" s="84">
        <f t="shared" si="184"/>
        <v>6.2981456005099412E-2</v>
      </c>
      <c r="M103" s="84">
        <f t="shared" si="185"/>
        <v>-0.1368640800725216</v>
      </c>
      <c r="N103" s="84">
        <f t="shared" si="186"/>
        <v>1.0900643793161802E-2</v>
      </c>
      <c r="O103" s="84">
        <f t="shared" si="187"/>
        <v>9.0603031272565859E-2</v>
      </c>
      <c r="P103" s="84">
        <f t="shared" si="188"/>
        <v>7.619884577218361E-2</v>
      </c>
      <c r="Q103" s="84">
        <f t="shared" si="189"/>
        <v>5.9796659574374633E-2</v>
      </c>
      <c r="R103" s="84">
        <f t="shared" si="190"/>
        <v>3.4020202222695639E-2</v>
      </c>
      <c r="S103" s="84">
        <f t="shared" si="191"/>
        <v>6.8902027027026858E-3</v>
      </c>
      <c r="T103" s="84">
        <f t="shared" si="192"/>
        <v>2.0405869667394105E-2</v>
      </c>
      <c r="U103" s="84">
        <f t="shared" si="193"/>
        <v>3.641290812420217E-2</v>
      </c>
      <c r="V103" s="84">
        <f t="shared" si="194"/>
        <v>5.0147783561716341E-2</v>
      </c>
      <c r="W103" s="84">
        <f t="shared" si="195"/>
        <v>-4.7801631918753529E-4</v>
      </c>
      <c r="X103" s="84">
        <f t="shared" si="196"/>
        <v>-7.206077243468334E-3</v>
      </c>
      <c r="Y103" s="84">
        <f t="shared" si="197"/>
        <v>3.8124627647556641E-2</v>
      </c>
      <c r="Z103" s="84">
        <f t="shared" si="198"/>
        <v>-4.2176126277205572E-2</v>
      </c>
      <c r="AA103" s="84">
        <f t="shared" si="199"/>
        <v>-2.6278418836334749E-2</v>
      </c>
    </row>
    <row r="104" spans="1:27" x14ac:dyDescent="0.25">
      <c r="A104" s="64" t="s">
        <v>154</v>
      </c>
      <c r="B104" s="65"/>
      <c r="C104" s="65"/>
      <c r="D104" s="83"/>
      <c r="E104" s="83">
        <f t="shared" si="177"/>
        <v>0.17911534728271961</v>
      </c>
      <c r="F104" s="83">
        <f t="shared" si="178"/>
        <v>-1.8065458330224216E-3</v>
      </c>
      <c r="G104" s="83">
        <f t="shared" si="179"/>
        <v>0.25674484065874648</v>
      </c>
      <c r="H104" s="83">
        <f t="shared" si="180"/>
        <v>0.14151977781420833</v>
      </c>
      <c r="I104" s="83">
        <f t="shared" si="181"/>
        <v>7.2693702976981189E-2</v>
      </c>
      <c r="J104" s="83">
        <f t="shared" si="182"/>
        <v>-8.5886418458515634E-2</v>
      </c>
      <c r="K104" s="83">
        <f t="shared" si="183"/>
        <v>-0.16498479968821189</v>
      </c>
      <c r="L104" s="83">
        <f t="shared" si="184"/>
        <v>0.13218941549296881</v>
      </c>
      <c r="M104" s="83">
        <f t="shared" si="185"/>
        <v>-8.0984326717911226E-2</v>
      </c>
      <c r="N104" s="83">
        <f t="shared" si="186"/>
        <v>6.7950003833253225E-2</v>
      </c>
      <c r="O104" s="83">
        <f t="shared" si="187"/>
        <v>3.5745997945348496E-2</v>
      </c>
      <c r="P104" s="83">
        <f t="shared" si="188"/>
        <v>4.5820060689746311E-2</v>
      </c>
      <c r="Q104" s="83">
        <f t="shared" si="189"/>
        <v>-0.20765098705217921</v>
      </c>
      <c r="R104" s="83">
        <f t="shared" si="190"/>
        <v>-0.12600319655272141</v>
      </c>
      <c r="S104" s="83">
        <f t="shared" si="191"/>
        <v>9.606143409079948E-5</v>
      </c>
      <c r="T104" s="83">
        <f t="shared" si="192"/>
        <v>-2.3744128284162058E-2</v>
      </c>
      <c r="U104" s="83">
        <f t="shared" si="193"/>
        <v>6.7200174804413093E-2</v>
      </c>
      <c r="V104" s="83">
        <f t="shared" si="194"/>
        <v>-5.3317432560898381E-2</v>
      </c>
      <c r="W104" s="83">
        <f t="shared" si="195"/>
        <v>3.4291071791436867E-3</v>
      </c>
      <c r="X104" s="83">
        <f t="shared" si="196"/>
        <v>-0.16728488191015978</v>
      </c>
      <c r="Y104" s="83">
        <f t="shared" si="197"/>
        <v>-7.7816115099782368E-2</v>
      </c>
      <c r="Z104" s="83">
        <f t="shared" si="198"/>
        <v>1.0096281334133033</v>
      </c>
      <c r="AA104" s="83">
        <f t="shared" si="199"/>
        <v>0.13666870356977734</v>
      </c>
    </row>
    <row r="105" spans="1:27" x14ac:dyDescent="0.25">
      <c r="A105" s="64" t="s">
        <v>37</v>
      </c>
      <c r="B105" s="65"/>
      <c r="C105" s="65"/>
      <c r="D105" s="83"/>
      <c r="E105" s="83">
        <f t="shared" si="177"/>
        <v>5.8477188065418684E-2</v>
      </c>
      <c r="F105" s="83">
        <f t="shared" si="178"/>
        <v>0.13321225844346696</v>
      </c>
      <c r="G105" s="83">
        <f t="shared" si="179"/>
        <v>0.21636750452174147</v>
      </c>
      <c r="H105" s="83">
        <f t="shared" si="180"/>
        <v>0.11142869629583507</v>
      </c>
      <c r="I105" s="83">
        <f t="shared" si="181"/>
        <v>0.1581494369622265</v>
      </c>
      <c r="J105" s="83">
        <f t="shared" si="182"/>
        <v>0.30444532381597522</v>
      </c>
      <c r="K105" s="83">
        <f t="shared" si="183"/>
        <v>0.31343380165608781</v>
      </c>
      <c r="L105" s="83">
        <f t="shared" si="184"/>
        <v>2.7892756875423697E-2</v>
      </c>
      <c r="M105" s="83">
        <f t="shared" si="185"/>
        <v>-0.49864844882853132</v>
      </c>
      <c r="N105" s="83">
        <f t="shared" si="186"/>
        <v>-9.6779856403794384E-2</v>
      </c>
      <c r="O105" s="83">
        <f t="shared" si="187"/>
        <v>0.21442225331260567</v>
      </c>
      <c r="P105" s="83">
        <f t="shared" si="188"/>
        <v>-4.0353539372480651E-2</v>
      </c>
      <c r="Q105" s="83">
        <f t="shared" si="189"/>
        <v>0.12622772575679697</v>
      </c>
      <c r="R105" s="83">
        <f t="shared" si="190"/>
        <v>0.15819699053877723</v>
      </c>
      <c r="S105" s="83">
        <f t="shared" si="191"/>
        <v>2.3938876942426912E-2</v>
      </c>
      <c r="T105" s="83">
        <f t="shared" si="192"/>
        <v>-6.7880314763176797E-2</v>
      </c>
      <c r="U105" s="83">
        <f t="shared" si="193"/>
        <v>2.8683760698713368E-2</v>
      </c>
      <c r="V105" s="83">
        <f t="shared" si="194"/>
        <v>9.703026338709031E-2</v>
      </c>
      <c r="W105" s="83">
        <f t="shared" si="195"/>
        <v>9.8133198474763539E-2</v>
      </c>
      <c r="X105" s="83">
        <f t="shared" si="196"/>
        <v>-5.4569929871006728E-3</v>
      </c>
      <c r="Y105" s="83">
        <f t="shared" si="197"/>
        <v>3.3655300751057604E-2</v>
      </c>
      <c r="Z105" s="83">
        <f t="shared" si="198"/>
        <v>-4.9585983181053006E-3</v>
      </c>
      <c r="AA105" s="83">
        <f t="shared" si="199"/>
        <v>7.0439055585671539E-2</v>
      </c>
    </row>
    <row r="106" spans="1:27" x14ac:dyDescent="0.25">
      <c r="A106" s="64" t="s">
        <v>58</v>
      </c>
      <c r="B106" s="65"/>
      <c r="C106" s="65"/>
      <c r="D106" s="83"/>
      <c r="E106" s="83">
        <f t="shared" si="177"/>
        <v>7.5150231841834003E-2</v>
      </c>
      <c r="F106" s="83">
        <f t="shared" si="178"/>
        <v>1.9608536072445393E-2</v>
      </c>
      <c r="G106" s="83">
        <f t="shared" si="179"/>
        <v>0.12646479606982597</v>
      </c>
      <c r="H106" s="83">
        <f t="shared" si="180"/>
        <v>0.11049601537581721</v>
      </c>
      <c r="I106" s="83">
        <f t="shared" si="181"/>
        <v>4.8640143047385509E-2</v>
      </c>
      <c r="J106" s="83">
        <f t="shared" si="182"/>
        <v>6.3448565256732037E-2</v>
      </c>
      <c r="K106" s="83">
        <f t="shared" si="183"/>
        <v>7.3342058819150013E-2</v>
      </c>
      <c r="L106" s="83">
        <f t="shared" si="184"/>
        <v>-3.2300886871989842E-2</v>
      </c>
      <c r="M106" s="83">
        <f t="shared" si="185"/>
        <v>-0.17939979774305292</v>
      </c>
      <c r="N106" s="83">
        <f t="shared" si="186"/>
        <v>0.12340054885150886</v>
      </c>
      <c r="O106" s="83">
        <f t="shared" si="187"/>
        <v>0.1440629084184657</v>
      </c>
      <c r="P106" s="83">
        <f t="shared" si="188"/>
        <v>5.6170186799684663E-2</v>
      </c>
      <c r="Q106" s="83">
        <f t="shared" si="189"/>
        <v>3.3620326037731907E-2</v>
      </c>
      <c r="R106" s="83">
        <f t="shared" si="190"/>
        <v>3.457886875309546E-2</v>
      </c>
      <c r="S106" s="83">
        <f t="shared" si="191"/>
        <v>6.440621098626309E-3</v>
      </c>
      <c r="T106" s="83">
        <f t="shared" si="192"/>
        <v>1.317767337441178E-2</v>
      </c>
      <c r="U106" s="83">
        <f t="shared" si="193"/>
        <v>2.9286911399111437E-2</v>
      </c>
      <c r="V106" s="83">
        <f t="shared" si="194"/>
        <v>3.6067095450507347E-2</v>
      </c>
      <c r="W106" s="83">
        <f t="shared" si="195"/>
        <v>1.1008147367857157E-2</v>
      </c>
      <c r="X106" s="83">
        <f t="shared" si="196"/>
        <v>9.1996423313569498E-3</v>
      </c>
      <c r="Y106" s="83">
        <f t="shared" si="197"/>
        <v>0.11071296980971179</v>
      </c>
      <c r="Z106" s="83">
        <f t="shared" si="198"/>
        <v>-3.3920144467509239E-2</v>
      </c>
      <c r="AA106" s="83">
        <f t="shared" si="199"/>
        <v>-0.14224426026762904</v>
      </c>
    </row>
    <row r="107" spans="1:27" x14ac:dyDescent="0.25">
      <c r="A107" s="85" t="s">
        <v>158</v>
      </c>
      <c r="B107" s="86"/>
      <c r="C107" s="86"/>
      <c r="D107" s="87"/>
      <c r="E107" s="87" t="str">
        <f t="shared" ref="E107:E108" si="200">IF(D33=0,"",E33/D33-1)</f>
        <v/>
      </c>
      <c r="F107" s="87" t="str">
        <f t="shared" ref="F107:F108" si="201">IF(E33=0,"",F33/E33-1)</f>
        <v/>
      </c>
      <c r="G107" s="87" t="str">
        <f t="shared" ref="G107:G108" si="202">IF(F33=0,"",G33/F33-1)</f>
        <v/>
      </c>
      <c r="H107" s="87" t="str">
        <f t="shared" ref="H107:H108" si="203">IF(G33=0,"",H33/G33-1)</f>
        <v/>
      </c>
      <c r="I107" s="87" t="str">
        <f t="shared" ref="I107:I108" si="204">IF(H33=0,"",I33/H33-1)</f>
        <v/>
      </c>
      <c r="J107" s="87" t="str">
        <f t="shared" ref="J107:J108" si="205">IF(I33=0,"",J33/I33-1)</f>
        <v/>
      </c>
      <c r="K107" s="87" t="str">
        <f t="shared" ref="K107:K108" si="206">IF(J33=0,"",K33/J33-1)</f>
        <v/>
      </c>
      <c r="L107" s="87" t="str">
        <f t="shared" ref="L107:L108" si="207">IF(K33=0,"",L33/K33-1)</f>
        <v/>
      </c>
      <c r="M107" s="87" t="str">
        <f t="shared" ref="M107:M108" si="208">IF(L33=0,"",M33/L33-1)</f>
        <v/>
      </c>
      <c r="N107" s="87" t="str">
        <f t="shared" ref="N107:N108" si="209">IF(M33=0,"",N33/M33-1)</f>
        <v/>
      </c>
      <c r="O107" s="87" t="str">
        <f t="shared" ref="O107:O108" si="210">IF(N33=0,"",O33/N33-1)</f>
        <v/>
      </c>
      <c r="P107" s="87" t="str">
        <f t="shared" ref="P107:P108" si="211">IF(O33=0,"",P33/O33-1)</f>
        <v/>
      </c>
      <c r="Q107" s="87" t="str">
        <f t="shared" ref="Q107:Q108" si="212">IF(P33=0,"",Q33/P33-1)</f>
        <v/>
      </c>
      <c r="R107" s="87" t="str">
        <f t="shared" ref="R107:R108" si="213">IF(Q33=0,"",R33/Q33-1)</f>
        <v/>
      </c>
      <c r="S107" s="87" t="str">
        <f t="shared" ref="S107:S108" si="214">IF(R33=0,"",S33/R33-1)</f>
        <v/>
      </c>
      <c r="T107" s="87" t="str">
        <f t="shared" ref="T107:T108" si="215">IF(S33=0,"",T33/S33-1)</f>
        <v/>
      </c>
      <c r="U107" s="87" t="str">
        <f t="shared" ref="U107:U108" si="216">IF(T33=0,"",U33/T33-1)</f>
        <v/>
      </c>
      <c r="V107" s="87" t="str">
        <f t="shared" ref="V107:V108" si="217">IF(U33=0,"",V33/U33-1)</f>
        <v/>
      </c>
      <c r="W107" s="87" t="str">
        <f t="shared" ref="W107:W108" si="218">IF(V33=0,"",W33/V33-1)</f>
        <v/>
      </c>
      <c r="X107" s="87" t="str">
        <f t="shared" ref="X107:X108" si="219">IF(W33=0,"",X33/W33-1)</f>
        <v/>
      </c>
      <c r="Y107" s="87" t="str">
        <f t="shared" ref="Y107:Y108" si="220">IF(X33=0,"",Y33/X33-1)</f>
        <v/>
      </c>
      <c r="Z107" s="87" t="str">
        <f t="shared" si="198"/>
        <v/>
      </c>
      <c r="AA107" s="87" t="str">
        <f t="shared" si="199"/>
        <v/>
      </c>
    </row>
    <row r="108" spans="1:27" x14ac:dyDescent="0.25">
      <c r="A108" s="88" t="s">
        <v>5</v>
      </c>
      <c r="B108" s="44"/>
      <c r="C108" s="44"/>
      <c r="D108" s="89"/>
      <c r="E108" s="89" t="str">
        <f t="shared" si="200"/>
        <v/>
      </c>
      <c r="F108" s="89" t="str">
        <f t="shared" si="201"/>
        <v/>
      </c>
      <c r="G108" s="89" t="str">
        <f t="shared" si="202"/>
        <v/>
      </c>
      <c r="H108" s="89" t="str">
        <f t="shared" si="203"/>
        <v/>
      </c>
      <c r="I108" s="89" t="str">
        <f t="shared" si="204"/>
        <v/>
      </c>
      <c r="J108" s="89" t="str">
        <f t="shared" si="205"/>
        <v/>
      </c>
      <c r="K108" s="89" t="str">
        <f t="shared" si="206"/>
        <v/>
      </c>
      <c r="L108" s="89" t="str">
        <f t="shared" si="207"/>
        <v/>
      </c>
      <c r="M108" s="89" t="str">
        <f t="shared" si="208"/>
        <v/>
      </c>
      <c r="N108" s="89" t="str">
        <f t="shared" si="209"/>
        <v/>
      </c>
      <c r="O108" s="89" t="str">
        <f t="shared" si="210"/>
        <v/>
      </c>
      <c r="P108" s="89" t="str">
        <f t="shared" si="211"/>
        <v/>
      </c>
      <c r="Q108" s="89" t="str">
        <f t="shared" si="212"/>
        <v/>
      </c>
      <c r="R108" s="89" t="str">
        <f t="shared" si="213"/>
        <v/>
      </c>
      <c r="S108" s="89" t="str">
        <f t="shared" si="214"/>
        <v/>
      </c>
      <c r="T108" s="89" t="str">
        <f t="shared" si="215"/>
        <v/>
      </c>
      <c r="U108" s="89" t="str">
        <f t="shared" si="216"/>
        <v/>
      </c>
      <c r="V108" s="89" t="str">
        <f t="shared" si="217"/>
        <v/>
      </c>
      <c r="W108" s="89" t="str">
        <f t="shared" si="218"/>
        <v/>
      </c>
      <c r="X108" s="89" t="str">
        <f t="shared" si="219"/>
        <v/>
      </c>
      <c r="Y108" s="89" t="str">
        <f t="shared" si="220"/>
        <v/>
      </c>
      <c r="Z108" s="89" t="str">
        <f t="shared" si="198"/>
        <v/>
      </c>
      <c r="AA108" s="89" t="str">
        <f t="shared" si="199"/>
        <v/>
      </c>
    </row>
    <row r="109" spans="1:27" x14ac:dyDescent="0.25">
      <c r="A109" s="88" t="s">
        <v>263</v>
      </c>
      <c r="B109" s="44"/>
      <c r="C109" s="44"/>
      <c r="D109" s="89"/>
      <c r="E109" s="89" t="str">
        <f t="shared" ref="E109" si="221">IF(D37=0,"",E37/D37-1)</f>
        <v/>
      </c>
      <c r="F109" s="89" t="str">
        <f t="shared" ref="F109" si="222">IF(E37=0,"",F37/E37-1)</f>
        <v/>
      </c>
      <c r="G109" s="89" t="str">
        <f t="shared" ref="G109" si="223">IF(F37=0,"",G37/F37-1)</f>
        <v/>
      </c>
      <c r="H109" s="89" t="str">
        <f t="shared" ref="H109" si="224">IF(G37=0,"",H37/G37-1)</f>
        <v/>
      </c>
      <c r="I109" s="89" t="str">
        <f t="shared" ref="I109" si="225">IF(H37=0,"",I37/H37-1)</f>
        <v/>
      </c>
      <c r="J109" s="89" t="str">
        <f t="shared" ref="J109" si="226">IF(I37=0,"",J37/I37-1)</f>
        <v/>
      </c>
      <c r="K109" s="89" t="str">
        <f t="shared" ref="K109" si="227">IF(J37=0,"",K37/J37-1)</f>
        <v/>
      </c>
      <c r="L109" s="89" t="str">
        <f t="shared" ref="L109" si="228">IF(K37=0,"",L37/K37-1)</f>
        <v/>
      </c>
      <c r="M109" s="89" t="str">
        <f t="shared" ref="M109" si="229">IF(L37=0,"",M37/L37-1)</f>
        <v/>
      </c>
      <c r="N109" s="89" t="str">
        <f t="shared" ref="N109" si="230">IF(M37=0,"",N37/M37-1)</f>
        <v/>
      </c>
      <c r="O109" s="89" t="str">
        <f t="shared" ref="O109" si="231">IF(N37=0,"",O37/N37-1)</f>
        <v/>
      </c>
      <c r="P109" s="89" t="str">
        <f t="shared" ref="P109" si="232">IF(O37=0,"",P37/O37-1)</f>
        <v/>
      </c>
      <c r="Q109" s="89" t="str">
        <f t="shared" ref="Q109" si="233">IF(P37=0,"",Q37/P37-1)</f>
        <v/>
      </c>
      <c r="R109" s="89" t="str">
        <f t="shared" ref="R109" si="234">IF(Q37=0,"",R37/Q37-1)</f>
        <v/>
      </c>
      <c r="S109" s="89" t="str">
        <f t="shared" ref="S109" si="235">IF(R37=0,"",S37/R37-1)</f>
        <v/>
      </c>
      <c r="T109" s="89" t="str">
        <f t="shared" ref="T109" si="236">IF(S37=0,"",T37/S37-1)</f>
        <v/>
      </c>
      <c r="U109" s="89" t="str">
        <f t="shared" ref="U109" si="237">IF(T37=0,"",U37/T37-1)</f>
        <v/>
      </c>
      <c r="V109" s="89" t="str">
        <f t="shared" ref="V109" si="238">IF(U37=0,"",V37/U37-1)</f>
        <v/>
      </c>
      <c r="W109" s="89" t="str">
        <f t="shared" ref="W109" si="239">IF(V37=0,"",W37/V37-1)</f>
        <v/>
      </c>
      <c r="X109" s="89" t="str">
        <f t="shared" ref="X109" si="240">IF(W37=0,"",X37/W37-1)</f>
        <v/>
      </c>
      <c r="Y109" s="89" t="str">
        <f t="shared" ref="Y109" si="241">IF(X37=0,"",Y37/X37-1)</f>
        <v/>
      </c>
      <c r="Z109" s="89" t="str">
        <f t="shared" ref="Z109" si="242">IF(Y37=0,"",Z37/Y37-1)</f>
        <v/>
      </c>
      <c r="AA109" s="89" t="str">
        <f t="shared" ref="AA109" si="243">IF(Z37=0,"",AA37/Z37-1)</f>
        <v/>
      </c>
    </row>
    <row r="110" spans="1:27" x14ac:dyDescent="0.25">
      <c r="A110" s="68" t="s">
        <v>265</v>
      </c>
      <c r="B110" s="44"/>
      <c r="C110" s="44"/>
      <c r="D110" s="89"/>
      <c r="E110" s="89">
        <f t="shared" ref="E110:E111" si="244">IF(D43=0,"",E43/D43-1)</f>
        <v>-0.12657779076917652</v>
      </c>
      <c r="F110" s="89">
        <f t="shared" ref="F110:F111" si="245">IF(E43=0,"",F43/E43-1)</f>
        <v>5.0818583551571539E-2</v>
      </c>
      <c r="G110" s="89">
        <f t="shared" ref="G110:G111" si="246">IF(F43=0,"",G43/F43-1)</f>
        <v>5.3847746613473024E-2</v>
      </c>
      <c r="H110" s="89">
        <f t="shared" ref="H110:H111" si="247">IF(G43=0,"",H43/G43-1)</f>
        <v>0.22369679804675169</v>
      </c>
      <c r="I110" s="89">
        <f t="shared" ref="I110:I111" si="248">IF(H43=0,"",I43/H43-1)</f>
        <v>0.19134219582967815</v>
      </c>
      <c r="J110" s="89">
        <f t="shared" ref="J110:J111" si="249">IF(I43=0,"",J43/I43-1)</f>
        <v>0.33265212150469403</v>
      </c>
      <c r="K110" s="89">
        <f t="shared" ref="K110:K111" si="250">IF(J43=0,"",K43/J43-1)</f>
        <v>0.45625454509742891</v>
      </c>
      <c r="L110" s="89">
        <f t="shared" ref="L110:L111" si="251">IF(K43=0,"",L43/K43-1)</f>
        <v>0.18582215510048972</v>
      </c>
      <c r="M110" s="89">
        <f t="shared" ref="M110:M111" si="252">IF(L43=0,"",M43/L43-1)</f>
        <v>-0.33945509777789573</v>
      </c>
      <c r="N110" s="89">
        <f t="shared" ref="N110:N111" si="253">IF(M43=0,"",N43/M43-1)</f>
        <v>0.21947259930403207</v>
      </c>
      <c r="O110" s="89">
        <f t="shared" ref="O110:O111" si="254">IF(N43=0,"",O43/N43-1)</f>
        <v>0.26778757720190738</v>
      </c>
      <c r="P110" s="89">
        <f t="shared" ref="P110:P111" si="255">IF(O43=0,"",P43/O43-1)</f>
        <v>-3.3345597494705004E-3</v>
      </c>
      <c r="Q110" s="89">
        <f t="shared" ref="Q110:Q111" si="256">IF(P43=0,"",Q43/P43-1)</f>
        <v>-0.24354917462522718</v>
      </c>
      <c r="R110" s="89">
        <f t="shared" ref="R110:R111" si="257">IF(Q43=0,"",R43/Q43-1)</f>
        <v>1.507982903091154E-2</v>
      </c>
      <c r="S110" s="89">
        <f t="shared" ref="S110:S111" si="258">IF(R43=0,"",S43/R43-1)</f>
        <v>3.5672372847812994E-2</v>
      </c>
      <c r="T110" s="89">
        <f t="shared" ref="T110:T111" si="259">IF(S43=0,"",T43/S43-1)</f>
        <v>-9.1376200448713196E-2</v>
      </c>
      <c r="U110" s="89">
        <f t="shared" ref="U110:U111" si="260">IF(T43=0,"",U43/T43-1)</f>
        <v>-1.4680796383207295E-2</v>
      </c>
      <c r="V110" s="89">
        <f t="shared" ref="V110:V111" si="261">IF(U43=0,"",V43/U43-1)</f>
        <v>0.22139113878760663</v>
      </c>
      <c r="W110" s="89">
        <f t="shared" ref="W110:W111" si="262">IF(V43=0,"",W43/V43-1)</f>
        <v>6.1741908382453969E-2</v>
      </c>
      <c r="X110" s="89">
        <f t="shared" ref="X110:X111" si="263">IF(W43=0,"",X43/W43-1)</f>
        <v>0.32655214201249017</v>
      </c>
      <c r="Y110" s="89">
        <f t="shared" ref="Y110:Y111" si="264">IF(X43=0,"",Y43/X43-1)</f>
        <v>0.3071804272135279</v>
      </c>
      <c r="Z110" s="89">
        <f t="shared" ref="Z110:Z111" si="265">IF(Y43=0,"",Z43/Y43-1)</f>
        <v>-6.6288262129229225E-2</v>
      </c>
      <c r="AA110" s="89">
        <f t="shared" ref="AA110:AA111" si="266">IF(Z43=0,"",AA43/Z43-1)</f>
        <v>-0.16110609027771194</v>
      </c>
    </row>
    <row r="111" spans="1:27" x14ac:dyDescent="0.25">
      <c r="A111" s="88" t="s">
        <v>266</v>
      </c>
      <c r="B111" s="44"/>
      <c r="C111" s="44"/>
      <c r="D111" s="89"/>
      <c r="E111" s="89">
        <f t="shared" si="244"/>
        <v>-0.12657779076917652</v>
      </c>
      <c r="F111" s="89">
        <f t="shared" si="245"/>
        <v>5.0818583551571539E-2</v>
      </c>
      <c r="G111" s="89">
        <f t="shared" si="246"/>
        <v>5.3847746613473024E-2</v>
      </c>
      <c r="H111" s="89">
        <f t="shared" si="247"/>
        <v>0.22369679804675169</v>
      </c>
      <c r="I111" s="89">
        <f t="shared" si="248"/>
        <v>0.19134219582967815</v>
      </c>
      <c r="J111" s="89">
        <f t="shared" si="249"/>
        <v>0.33265212150469403</v>
      </c>
      <c r="K111" s="89">
        <f t="shared" si="250"/>
        <v>0.45625454509742891</v>
      </c>
      <c r="L111" s="89">
        <f t="shared" si="251"/>
        <v>0.18582215510048972</v>
      </c>
      <c r="M111" s="89">
        <f t="shared" si="252"/>
        <v>-0.33945509777789573</v>
      </c>
      <c r="N111" s="89">
        <f t="shared" si="253"/>
        <v>0.21947259930403207</v>
      </c>
      <c r="O111" s="89">
        <f t="shared" si="254"/>
        <v>0.26778757720190738</v>
      </c>
      <c r="P111" s="89">
        <f t="shared" si="255"/>
        <v>-3.3345597494705004E-3</v>
      </c>
      <c r="Q111" s="89">
        <f t="shared" si="256"/>
        <v>-0.24354917462522718</v>
      </c>
      <c r="R111" s="89">
        <f t="shared" si="257"/>
        <v>1.507982903091154E-2</v>
      </c>
      <c r="S111" s="89">
        <f t="shared" si="258"/>
        <v>3.5672372847812994E-2</v>
      </c>
      <c r="T111" s="89">
        <f t="shared" si="259"/>
        <v>-9.1376200448713196E-2</v>
      </c>
      <c r="U111" s="89">
        <f t="shared" si="260"/>
        <v>-1.4680796383207295E-2</v>
      </c>
      <c r="V111" s="89">
        <f t="shared" si="261"/>
        <v>0.22139113878760663</v>
      </c>
      <c r="W111" s="89">
        <f t="shared" si="262"/>
        <v>6.1741908382453969E-2</v>
      </c>
      <c r="X111" s="89">
        <f t="shared" si="263"/>
        <v>0.32655214201249017</v>
      </c>
      <c r="Y111" s="89">
        <f t="shared" si="264"/>
        <v>0.3071804272135279</v>
      </c>
      <c r="Z111" s="89">
        <f t="shared" si="265"/>
        <v>-6.6288262129229225E-2</v>
      </c>
      <c r="AA111" s="89">
        <f t="shared" si="266"/>
        <v>-0.16110609027771194</v>
      </c>
    </row>
    <row r="112" spans="1:27" x14ac:dyDescent="0.25">
      <c r="A112" s="88" t="s">
        <v>11</v>
      </c>
      <c r="B112" s="44"/>
      <c r="C112" s="44"/>
      <c r="D112" s="89"/>
      <c r="E112" s="89" t="str">
        <f t="shared" ref="E112:E113" si="267">IF(D47=0,"",E47/D47-1)</f>
        <v/>
      </c>
      <c r="F112" s="89" t="str">
        <f t="shared" ref="F112:F113" si="268">IF(E47=0,"",F47/E47-1)</f>
        <v/>
      </c>
      <c r="G112" s="89" t="str">
        <f t="shared" ref="G112:G113" si="269">IF(F47=0,"",G47/F47-1)</f>
        <v/>
      </c>
      <c r="H112" s="89" t="str">
        <f t="shared" ref="H112:H113" si="270">IF(G47=0,"",H47/G47-1)</f>
        <v/>
      </c>
      <c r="I112" s="89" t="str">
        <f t="shared" ref="I112:I113" si="271">IF(H47=0,"",I47/H47-1)</f>
        <v/>
      </c>
      <c r="J112" s="89" t="str">
        <f t="shared" ref="J112:J113" si="272">IF(I47=0,"",J47/I47-1)</f>
        <v/>
      </c>
      <c r="K112" s="89" t="str">
        <f t="shared" ref="K112:K113" si="273">IF(J47=0,"",K47/J47-1)</f>
        <v/>
      </c>
      <c r="L112" s="89" t="str">
        <f t="shared" ref="L112:L113" si="274">IF(K47=0,"",L47/K47-1)</f>
        <v/>
      </c>
      <c r="M112" s="89" t="str">
        <f t="shared" ref="M112:M113" si="275">IF(L47=0,"",M47/L47-1)</f>
        <v/>
      </c>
      <c r="N112" s="89" t="str">
        <f t="shared" ref="N112:N113" si="276">IF(M47=0,"",N47/M47-1)</f>
        <v/>
      </c>
      <c r="O112" s="89" t="str">
        <f t="shared" ref="O112:O113" si="277">IF(N47=0,"",O47/N47-1)</f>
        <v/>
      </c>
      <c r="P112" s="89" t="str">
        <f t="shared" ref="P112:P113" si="278">IF(O47=0,"",P47/O47-1)</f>
        <v/>
      </c>
      <c r="Q112" s="89" t="str">
        <f t="shared" ref="Q112:Q113" si="279">IF(P47=0,"",Q47/P47-1)</f>
        <v/>
      </c>
      <c r="R112" s="89" t="str">
        <f t="shared" ref="R112:R113" si="280">IF(Q47=0,"",R47/Q47-1)</f>
        <v/>
      </c>
      <c r="S112" s="89" t="str">
        <f t="shared" ref="S112:S113" si="281">IF(R47=0,"",S47/R47-1)</f>
        <v/>
      </c>
      <c r="T112" s="89" t="str">
        <f t="shared" ref="T112:T113" si="282">IF(S47=0,"",T47/S47-1)</f>
        <v/>
      </c>
      <c r="U112" s="89" t="str">
        <f t="shared" ref="U112:U113" si="283">IF(T47=0,"",U47/T47-1)</f>
        <v/>
      </c>
      <c r="V112" s="89" t="str">
        <f t="shared" ref="V112:V113" si="284">IF(U47=0,"",V47/U47-1)</f>
        <v/>
      </c>
      <c r="W112" s="89" t="str">
        <f t="shared" ref="W112:W113" si="285">IF(V47=0,"",W47/V47-1)</f>
        <v/>
      </c>
      <c r="X112" s="89" t="str">
        <f t="shared" ref="X112:X113" si="286">IF(W47=0,"",X47/W47-1)</f>
        <v/>
      </c>
      <c r="Y112" s="89" t="str">
        <f t="shared" ref="Y112:Y113" si="287">IF(X47=0,"",Y47/X47-1)</f>
        <v/>
      </c>
      <c r="Z112" s="89" t="str">
        <f t="shared" ref="Z112:Z113" si="288">IF(Y47=0,"",Z47/Y47-1)</f>
        <v/>
      </c>
      <c r="AA112" s="89" t="str">
        <f t="shared" ref="AA112:AA113" si="289">IF(Z47=0,"",AA47/Z47-1)</f>
        <v/>
      </c>
    </row>
    <row r="113" spans="1:27" x14ac:dyDescent="0.25">
      <c r="A113" s="68" t="s">
        <v>4</v>
      </c>
      <c r="B113" s="44"/>
      <c r="C113" s="44"/>
      <c r="D113" s="89"/>
      <c r="E113" s="89">
        <f t="shared" si="267"/>
        <v>5.0284478098065355E-2</v>
      </c>
      <c r="F113" s="89">
        <f t="shared" si="268"/>
        <v>1.5770979981841071E-2</v>
      </c>
      <c r="G113" s="89">
        <f t="shared" si="269"/>
        <v>0.21978842302718515</v>
      </c>
      <c r="H113" s="89">
        <f t="shared" si="270"/>
        <v>0.12366676158159917</v>
      </c>
      <c r="I113" s="89">
        <f t="shared" si="271"/>
        <v>0.26565680810020353</v>
      </c>
      <c r="J113" s="89">
        <f t="shared" si="272"/>
        <v>0.31431172137154273</v>
      </c>
      <c r="K113" s="89">
        <f t="shared" si="273"/>
        <v>3.1484700462249826E-2</v>
      </c>
      <c r="L113" s="89">
        <f t="shared" si="274"/>
        <v>-0.11288641623973927</v>
      </c>
      <c r="M113" s="89">
        <f t="shared" si="275"/>
        <v>-0.47159209171858385</v>
      </c>
      <c r="N113" s="89">
        <f t="shared" si="276"/>
        <v>0.10204583321643046</v>
      </c>
      <c r="O113" s="89">
        <f t="shared" si="277"/>
        <v>0.20182441178851795</v>
      </c>
      <c r="P113" s="89">
        <f t="shared" si="278"/>
        <v>6.4953100943715647E-2</v>
      </c>
      <c r="Q113" s="89">
        <f t="shared" si="279"/>
        <v>0.15716210110487894</v>
      </c>
      <c r="R113" s="89">
        <f t="shared" si="280"/>
        <v>6.7209488787631777E-2</v>
      </c>
      <c r="S113" s="89">
        <f t="shared" si="281"/>
        <v>-9.7981766917293212E-2</v>
      </c>
      <c r="T113" s="89">
        <f t="shared" si="282"/>
        <v>5.8807181949156462E-2</v>
      </c>
      <c r="U113" s="89">
        <f t="shared" si="283"/>
        <v>-3.5576170287928699E-3</v>
      </c>
      <c r="V113" s="89">
        <f t="shared" si="284"/>
        <v>1.550009759369364E-2</v>
      </c>
      <c r="W113" s="89">
        <f t="shared" si="285"/>
        <v>8.8863696113004043E-3</v>
      </c>
      <c r="X113" s="89">
        <f t="shared" si="286"/>
        <v>-5.4719505645483557E-2</v>
      </c>
      <c r="Y113" s="89">
        <f t="shared" si="287"/>
        <v>7.0454512675667047E-2</v>
      </c>
      <c r="Z113" s="89">
        <f t="shared" si="288"/>
        <v>-8.3468393795308349E-2</v>
      </c>
      <c r="AA113" s="89">
        <f t="shared" si="289"/>
        <v>-0.16512280601472062</v>
      </c>
    </row>
    <row r="114" spans="1:27" x14ac:dyDescent="0.25">
      <c r="A114" s="68" t="s">
        <v>3</v>
      </c>
      <c r="B114" s="44"/>
      <c r="C114" s="44"/>
      <c r="D114" s="89"/>
      <c r="E114" s="89">
        <f t="shared" ref="E114:E115" si="290">IF(D52=0,"",E52/D52-1)</f>
        <v>0.10123233184463643</v>
      </c>
      <c r="F114" s="89">
        <f t="shared" ref="F114:F115" si="291">IF(E52=0,"",F52/E52-1)</f>
        <v>-7.1776917862779066E-2</v>
      </c>
      <c r="G114" s="89">
        <f t="shared" ref="G114:G115" si="292">IF(F52=0,"",G52/F52-1)</f>
        <v>0.21094013627677133</v>
      </c>
      <c r="H114" s="89">
        <f t="shared" ref="H114:H115" si="293">IF(G52=0,"",H52/G52-1)</f>
        <v>2.3749315336797583E-2</v>
      </c>
      <c r="I114" s="89">
        <f t="shared" ref="I114:I115" si="294">IF(H52=0,"",I52/H52-1)</f>
        <v>1.1393412891558263E-3</v>
      </c>
      <c r="J114" s="89">
        <f t="shared" ref="J114:J115" si="295">IF(I52=0,"",J52/I52-1)</f>
        <v>0.10929342711966328</v>
      </c>
      <c r="K114" s="89">
        <f t="shared" ref="K114:K115" si="296">IF(J52=0,"",K52/J52-1)</f>
        <v>-1.0928821170928305E-2</v>
      </c>
      <c r="L114" s="89">
        <f t="shared" ref="L114:L115" si="297">IF(K52=0,"",L52/K52-1)</f>
        <v>0.18840118299640229</v>
      </c>
      <c r="M114" s="89">
        <f t="shared" ref="M114:M115" si="298">IF(L52=0,"",M52/L52-1)</f>
        <v>-0.17700134401018253</v>
      </c>
      <c r="N114" s="89">
        <f t="shared" ref="N114:N115" si="299">IF(M52=0,"",N52/M52-1)</f>
        <v>0.25795880606190402</v>
      </c>
      <c r="O114" s="89">
        <f t="shared" ref="O114:O115" si="300">IF(N52=0,"",O52/N52-1)</f>
        <v>0.14893915116226863</v>
      </c>
      <c r="P114" s="89">
        <f t="shared" ref="P114:P115" si="301">IF(O52=0,"",P52/O52-1)</f>
        <v>7.1990985302435417E-2</v>
      </c>
      <c r="Q114" s="89">
        <f t="shared" ref="Q114:Q115" si="302">IF(P52=0,"",Q52/P52-1)</f>
        <v>0.12979327605407698</v>
      </c>
      <c r="R114" s="89">
        <f t="shared" ref="R114:R115" si="303">IF(Q52=0,"",R52/Q52-1)</f>
        <v>3.197525992360073E-2</v>
      </c>
      <c r="S114" s="89">
        <f t="shared" ref="S114:S115" si="304">IF(R52=0,"",S52/R52-1)</f>
        <v>-5.0498552589872681E-5</v>
      </c>
      <c r="T114" s="89">
        <f t="shared" ref="T114:T115" si="305">IF(S52=0,"",T52/S52-1)</f>
        <v>2.2986699696428525E-2</v>
      </c>
      <c r="U114" s="89">
        <f t="shared" ref="U114:U115" si="306">IF(T52=0,"",U52/T52-1)</f>
        <v>2.4722485424493845E-2</v>
      </c>
      <c r="V114" s="89">
        <f t="shared" ref="V114:V115" si="307">IF(U52=0,"",V52/U52-1)</f>
        <v>3.4974030149470092E-2</v>
      </c>
      <c r="W114" s="89">
        <f t="shared" ref="W114:W115" si="308">IF(V52=0,"",W52/V52-1)</f>
        <v>1.3752318599692392E-2</v>
      </c>
      <c r="X114" s="89">
        <f t="shared" ref="X114:X115" si="309">IF(W52=0,"",X52/W52-1)</f>
        <v>-5.5571844868061437E-2</v>
      </c>
      <c r="Y114" s="89">
        <f t="shared" ref="Y114:Y115" si="310">IF(X52=0,"",Y52/X52-1)</f>
        <v>2.3020870329060417E-2</v>
      </c>
      <c r="Z114" s="89">
        <f t="shared" ref="Z114:Z115" si="311">IF(Y52=0,"",Z52/Y52-1)</f>
        <v>-1.4139576003665444E-2</v>
      </c>
      <c r="AA114" s="89">
        <f t="shared" ref="AA114:AA115" si="312">IF(Z52=0,"",AA52/Z52-1)</f>
        <v>-0.13746567237728091</v>
      </c>
    </row>
    <row r="115" spans="1:27" x14ac:dyDescent="0.25">
      <c r="A115" s="88" t="s">
        <v>21</v>
      </c>
      <c r="B115" s="44"/>
      <c r="C115" s="44"/>
      <c r="D115" s="89"/>
      <c r="E115" s="89">
        <f t="shared" si="290"/>
        <v>0.18717300760789546</v>
      </c>
      <c r="F115" s="89">
        <f t="shared" si="291"/>
        <v>1.2734091078023813E-3</v>
      </c>
      <c r="G115" s="89">
        <f t="shared" si="292"/>
        <v>2.2089221724027608E-2</v>
      </c>
      <c r="H115" s="89">
        <f t="shared" si="293"/>
        <v>0.1675039297146772</v>
      </c>
      <c r="I115" s="89">
        <f t="shared" si="294"/>
        <v>-3.2998771969576013E-2</v>
      </c>
      <c r="J115" s="89">
        <f t="shared" si="295"/>
        <v>-6.8178307501184032E-2</v>
      </c>
      <c r="K115" s="89">
        <f t="shared" si="296"/>
        <v>3.5160374811231687E-2</v>
      </c>
      <c r="L115" s="89">
        <f t="shared" si="297"/>
        <v>9.6539561393915063E-2</v>
      </c>
      <c r="M115" s="89">
        <f t="shared" si="298"/>
        <v>-7.9220237562447893E-2</v>
      </c>
      <c r="N115" s="89">
        <f t="shared" si="299"/>
        <v>0.46430656694796446</v>
      </c>
      <c r="O115" s="89">
        <f t="shared" si="300"/>
        <v>0.10038886072320774</v>
      </c>
      <c r="P115" s="89">
        <f t="shared" si="301"/>
        <v>3.9898436805437587E-2</v>
      </c>
      <c r="Q115" s="89">
        <f t="shared" si="302"/>
        <v>0.19899957820376968</v>
      </c>
      <c r="R115" s="89">
        <f t="shared" si="303"/>
        <v>8.9610353909101326E-2</v>
      </c>
      <c r="S115" s="89">
        <f t="shared" si="304"/>
        <v>3.4999999999996145E-3</v>
      </c>
      <c r="T115" s="89">
        <f t="shared" si="305"/>
        <v>5.5814234995644307E-2</v>
      </c>
      <c r="U115" s="89">
        <f t="shared" si="306"/>
        <v>7.9490897963551133E-2</v>
      </c>
      <c r="V115" s="89">
        <f t="shared" si="307"/>
        <v>6.2263993584315225E-2</v>
      </c>
      <c r="W115" s="89">
        <f t="shared" si="308"/>
        <v>-1.1029015522142194E-2</v>
      </c>
      <c r="X115" s="89">
        <f t="shared" si="309"/>
        <v>-3.4110649059832743E-2</v>
      </c>
      <c r="Y115" s="89">
        <f t="shared" si="310"/>
        <v>4.6568494756967116E-2</v>
      </c>
      <c r="Z115" s="89">
        <f t="shared" si="311"/>
        <v>4.2781547652011698E-2</v>
      </c>
      <c r="AA115" s="89">
        <f t="shared" si="312"/>
        <v>-0.11501870592403851</v>
      </c>
    </row>
    <row r="116" spans="1:27" x14ac:dyDescent="0.25">
      <c r="A116" s="88" t="s">
        <v>16</v>
      </c>
      <c r="B116" s="44"/>
      <c r="C116" s="44"/>
      <c r="D116" s="89"/>
      <c r="E116" s="89">
        <f t="shared" ref="E116:E122" si="313">IF(D56=0,"",E56/D56-1)</f>
        <v>2.1689224996756629E-2</v>
      </c>
      <c r="F116" s="89">
        <f t="shared" ref="F116:F122" si="314">IF(E56=0,"",F56/E56-1)</f>
        <v>-0.15034047705755516</v>
      </c>
      <c r="G116" s="89">
        <f t="shared" ref="G116:G122" si="315">IF(F56=0,"",G56/F56-1)</f>
        <v>0.45028594776875175</v>
      </c>
      <c r="H116" s="89">
        <f t="shared" ref="H116:H122" si="316">IF(G56=0,"",H56/G56-1)</f>
        <v>-0.10465029419040595</v>
      </c>
      <c r="I116" s="89">
        <f t="shared" ref="I116:I122" si="317">IF(H56=0,"",I56/H56-1)</f>
        <v>4.089940573930595E-2</v>
      </c>
      <c r="J116" s="89">
        <f t="shared" ref="J116:J122" si="318">IF(I56=0,"",J56/I56-1)</f>
        <v>0.30131721128161404</v>
      </c>
      <c r="K116" s="89">
        <f t="shared" ref="K116:K122" si="319">IF(J56=0,"",K56/J56-1)</f>
        <v>-4.6637567607556552E-2</v>
      </c>
      <c r="L116" s="89">
        <f t="shared" ref="L116:L122" si="320">IF(K56=0,"",L56/K56-1)</f>
        <v>0.26567977216949457</v>
      </c>
      <c r="M116" s="89">
        <f t="shared" ref="M116:M122" si="321">IF(L56=0,"",M56/L56-1)</f>
        <v>-0.2482670333040724</v>
      </c>
      <c r="N116" s="89">
        <f t="shared" ref="N116:N122" si="322">IF(M56=0,"",N56/M56-1)</f>
        <v>7.3746994863990611E-2</v>
      </c>
      <c r="O116" s="89">
        <f t="shared" ref="O116:O122" si="323">IF(N56=0,"",O56/N56-1)</f>
        <v>0.20804624314640274</v>
      </c>
      <c r="P116" s="89">
        <f t="shared" ref="P116:P122" si="324">IF(O56=0,"",P56/O56-1)</f>
        <v>0.10757988762151527</v>
      </c>
      <c r="Q116" s="89">
        <f t="shared" ref="Q116:Q122" si="325">IF(P56=0,"",Q56/P56-1)</f>
        <v>5.7736986325570117E-2</v>
      </c>
      <c r="R116" s="89">
        <f t="shared" ref="R116:R122" si="326">IF(Q56=0,"",R56/Q56-1)</f>
        <v>-3.6047554489519018E-2</v>
      </c>
      <c r="S116" s="89">
        <f t="shared" ref="S116:S122" si="327">IF(R56=0,"",S56/R56-1)</f>
        <v>-4.7871621621632388E-3</v>
      </c>
      <c r="T116" s="89">
        <f t="shared" ref="T116:T122" si="328">IF(S56=0,"",T56/S56-1)</f>
        <v>-2.1172672163303541E-2</v>
      </c>
      <c r="U116" s="89">
        <f t="shared" ref="U116:U122" si="329">IF(T56=0,"",U56/T56-1)</f>
        <v>-5.4746229553694015E-2</v>
      </c>
      <c r="V116" s="89">
        <f t="shared" ref="V116:V122" si="330">IF(U56=0,"",V56/U56-1)</f>
        <v>-1.0246906921832055E-2</v>
      </c>
      <c r="W116" s="89">
        <f t="shared" ref="W116:W122" si="331">IF(V56=0,"",W56/V56-1)</f>
        <v>5.7824736795125009E-2</v>
      </c>
      <c r="X116" s="89">
        <f t="shared" ref="X116:X122" si="332">IF(W56=0,"",X56/W56-1)</f>
        <v>-9.1255221629148786E-2</v>
      </c>
      <c r="Y116" s="89">
        <f t="shared" ref="Y116:Y122" si="333">IF(X56=0,"",Y56/X56-1)</f>
        <v>-1.8593619846413945E-2</v>
      </c>
      <c r="Z116" s="89">
        <f t="shared" ref="Z116:Z122" si="334">IF(Y56=0,"",Z56/Y56-1)</f>
        <v>-0.12141240217725746</v>
      </c>
      <c r="AA116" s="89">
        <f t="shared" ref="AA116:AA122" si="335">IF(Z56=0,"",AA56/Z56-1)</f>
        <v>-0.1876747432177257</v>
      </c>
    </row>
    <row r="117" spans="1:27" x14ac:dyDescent="0.25">
      <c r="A117" s="68" t="s">
        <v>2</v>
      </c>
      <c r="B117" s="44"/>
      <c r="C117" s="44"/>
      <c r="D117" s="89"/>
      <c r="E117" s="89">
        <f t="shared" si="313"/>
        <v>3.6397788254064922E-2</v>
      </c>
      <c r="F117" s="89">
        <f t="shared" si="314"/>
        <v>-4.2282747561370404E-2</v>
      </c>
      <c r="G117" s="89">
        <f t="shared" si="315"/>
        <v>6.5614829772759009E-2</v>
      </c>
      <c r="H117" s="89">
        <f t="shared" si="316"/>
        <v>2.5632908206004501E-2</v>
      </c>
      <c r="I117" s="89">
        <f t="shared" si="317"/>
        <v>5.2960154486694666E-2</v>
      </c>
      <c r="J117" s="89">
        <f t="shared" si="318"/>
        <v>7.1904715152564247E-3</v>
      </c>
      <c r="K117" s="89">
        <f t="shared" si="319"/>
        <v>0.11443077896064047</v>
      </c>
      <c r="L117" s="89">
        <f t="shared" si="320"/>
        <v>-5.9295000928498376E-2</v>
      </c>
      <c r="M117" s="89">
        <f t="shared" si="321"/>
        <v>0.11489692405671437</v>
      </c>
      <c r="N117" s="89">
        <f t="shared" si="322"/>
        <v>2.9696626823360051E-2</v>
      </c>
      <c r="O117" s="89">
        <f t="shared" si="323"/>
        <v>7.4094892832492265E-2</v>
      </c>
      <c r="P117" s="89">
        <f t="shared" si="324"/>
        <v>3.7931478193127255E-2</v>
      </c>
      <c r="Q117" s="89">
        <f t="shared" si="325"/>
        <v>5.5565145186921905E-2</v>
      </c>
      <c r="R117" s="89">
        <f t="shared" si="326"/>
        <v>2.6552414434879434E-3</v>
      </c>
      <c r="S117" s="89">
        <f t="shared" si="327"/>
        <v>-1.9886220445769154E-2</v>
      </c>
      <c r="T117" s="89">
        <f t="shared" si="328"/>
        <v>-2.5794036730645731E-2</v>
      </c>
      <c r="U117" s="89">
        <f t="shared" si="329"/>
        <v>1.4493986518626656E-2</v>
      </c>
      <c r="V117" s="89">
        <f t="shared" si="330"/>
        <v>1.8867559727764993E-2</v>
      </c>
      <c r="W117" s="89">
        <f t="shared" si="331"/>
        <v>-5.9437556996233543E-4</v>
      </c>
      <c r="X117" s="89">
        <f t="shared" si="332"/>
        <v>-9.028736931286363E-3</v>
      </c>
      <c r="Y117" s="89">
        <f t="shared" si="333"/>
        <v>-3.849261912921409E-2</v>
      </c>
      <c r="Z117" s="89">
        <f t="shared" si="334"/>
        <v>-6.8645046986540614E-2</v>
      </c>
      <c r="AA117" s="89">
        <f t="shared" si="335"/>
        <v>-0.15423607434689535</v>
      </c>
    </row>
    <row r="118" spans="1:27" x14ac:dyDescent="0.25">
      <c r="A118" s="68" t="s">
        <v>269</v>
      </c>
      <c r="B118" s="44"/>
      <c r="C118" s="44"/>
      <c r="D118" s="89"/>
      <c r="E118" s="89">
        <f t="shared" si="313"/>
        <v>4.7495516796111303E-2</v>
      </c>
      <c r="F118" s="89">
        <f t="shared" si="314"/>
        <v>5.5231835781341498E-2</v>
      </c>
      <c r="G118" s="89">
        <f t="shared" si="315"/>
        <v>0.38710322729955804</v>
      </c>
      <c r="H118" s="89">
        <f t="shared" si="316"/>
        <v>0.18749904000689921</v>
      </c>
      <c r="I118" s="89">
        <f t="shared" si="317"/>
        <v>2.2560552989389748E-2</v>
      </c>
      <c r="J118" s="89">
        <f t="shared" si="318"/>
        <v>6.9176689993087237E-2</v>
      </c>
      <c r="K118" s="89">
        <f t="shared" si="319"/>
        <v>-0.10882927329435199</v>
      </c>
      <c r="L118" s="89">
        <f t="shared" si="320"/>
        <v>0.1177302147288255</v>
      </c>
      <c r="M118" s="89">
        <f t="shared" si="321"/>
        <v>-0.36737638745996193</v>
      </c>
      <c r="N118" s="89">
        <f t="shared" si="322"/>
        <v>0.12320776308746928</v>
      </c>
      <c r="O118" s="89">
        <f t="shared" si="323"/>
        <v>-0.16131520150400114</v>
      </c>
      <c r="P118" s="89">
        <f t="shared" si="324"/>
        <v>0.22506919025087035</v>
      </c>
      <c r="Q118" s="89">
        <f t="shared" si="325"/>
        <v>0.13309082539428396</v>
      </c>
      <c r="R118" s="89">
        <f t="shared" si="326"/>
        <v>-2.5084848192616138E-2</v>
      </c>
      <c r="S118" s="89">
        <f t="shared" si="327"/>
        <v>7.7894563426688546E-2</v>
      </c>
      <c r="T118" s="89">
        <f t="shared" si="328"/>
        <v>9.8896270812746101E-2</v>
      </c>
      <c r="U118" s="89">
        <f t="shared" si="329"/>
        <v>0.13460601285325269</v>
      </c>
      <c r="V118" s="89">
        <f t="shared" si="330"/>
        <v>5.341875662568496E-2</v>
      </c>
      <c r="W118" s="89">
        <f t="shared" si="331"/>
        <v>8.0405098238313988E-2</v>
      </c>
      <c r="X118" s="89">
        <f t="shared" si="332"/>
        <v>-1.0230225131243276E-2</v>
      </c>
      <c r="Y118" s="89">
        <f t="shared" si="333"/>
        <v>0.1431109781642228</v>
      </c>
      <c r="Z118" s="89">
        <f t="shared" si="334"/>
        <v>-4.310847010946417E-3</v>
      </c>
      <c r="AA118" s="89">
        <f t="shared" si="335"/>
        <v>-0.10536465696715669</v>
      </c>
    </row>
    <row r="119" spans="1:27" x14ac:dyDescent="0.25">
      <c r="A119" s="68" t="s">
        <v>270</v>
      </c>
      <c r="B119" s="44"/>
      <c r="C119" s="44"/>
      <c r="D119" s="89"/>
      <c r="E119" s="89">
        <f t="shared" si="313"/>
        <v>7.9535015412538046E-2</v>
      </c>
      <c r="F119" s="89">
        <f t="shared" si="314"/>
        <v>6.9583201114992388E-2</v>
      </c>
      <c r="G119" s="89">
        <f t="shared" si="315"/>
        <v>0.19992641757817742</v>
      </c>
      <c r="H119" s="89">
        <f t="shared" si="316"/>
        <v>0.23313873325911372</v>
      </c>
      <c r="I119" s="89">
        <f t="shared" si="317"/>
        <v>4.9099234305018502E-2</v>
      </c>
      <c r="J119" s="89">
        <f t="shared" si="318"/>
        <v>8.2270804326376457E-3</v>
      </c>
      <c r="K119" s="89">
        <f t="shared" si="319"/>
        <v>8.2231567085700341E-2</v>
      </c>
      <c r="L119" s="89">
        <f t="shared" si="320"/>
        <v>-3.9145671969561202E-2</v>
      </c>
      <c r="M119" s="89">
        <f t="shared" si="321"/>
        <v>-0.27934690886635249</v>
      </c>
      <c r="N119" s="89">
        <f t="shared" si="322"/>
        <v>0.16559808024289202</v>
      </c>
      <c r="O119" s="89">
        <f t="shared" si="323"/>
        <v>0.1658046070708985</v>
      </c>
      <c r="P119" s="89">
        <f t="shared" si="324"/>
        <v>7.9147548583695437E-2</v>
      </c>
      <c r="Q119" s="89">
        <f t="shared" si="325"/>
        <v>2.2536970023693037E-2</v>
      </c>
      <c r="R119" s="89">
        <f t="shared" si="326"/>
        <v>1.6331861429056183E-2</v>
      </c>
      <c r="S119" s="89">
        <f t="shared" si="327"/>
        <v>4.7097373074008297E-2</v>
      </c>
      <c r="T119" s="89">
        <f t="shared" si="328"/>
        <v>5.9573398685308865E-2</v>
      </c>
      <c r="U119" s="89">
        <f t="shared" si="329"/>
        <v>0.11389615689701671</v>
      </c>
      <c r="V119" s="89">
        <f t="shared" si="330"/>
        <v>1.9192182033898941E-2</v>
      </c>
      <c r="W119" s="89">
        <f t="shared" si="331"/>
        <v>4.5429862493866935E-2</v>
      </c>
      <c r="X119" s="89">
        <f t="shared" si="332"/>
        <v>-1.923309340090551E-2</v>
      </c>
      <c r="Y119" s="89">
        <f t="shared" si="333"/>
        <v>0.19729249733768439</v>
      </c>
      <c r="Z119" s="89">
        <f t="shared" si="334"/>
        <v>-3.7345281559490462E-2</v>
      </c>
      <c r="AA119" s="89">
        <f t="shared" si="335"/>
        <v>-0.14641454583034441</v>
      </c>
    </row>
    <row r="120" spans="1:27" x14ac:dyDescent="0.25">
      <c r="A120" s="68" t="s">
        <v>1</v>
      </c>
      <c r="B120" s="44"/>
      <c r="C120" s="44"/>
      <c r="D120" s="89"/>
      <c r="E120" s="89">
        <f t="shared" si="313"/>
        <v>8.3233187313174195E-2</v>
      </c>
      <c r="F120" s="89">
        <f t="shared" si="314"/>
        <v>-6.2092903465342353E-2</v>
      </c>
      <c r="G120" s="89">
        <f t="shared" si="315"/>
        <v>-1.7331018637683715E-2</v>
      </c>
      <c r="H120" s="89">
        <f t="shared" si="316"/>
        <v>8.792992842581171E-3</v>
      </c>
      <c r="I120" s="89">
        <f t="shared" si="317"/>
        <v>-9.6211465360330983E-2</v>
      </c>
      <c r="J120" s="89">
        <f t="shared" si="318"/>
        <v>-8.7633467507371998E-2</v>
      </c>
      <c r="K120" s="89">
        <f t="shared" si="319"/>
        <v>-6.5830087428262019E-2</v>
      </c>
      <c r="L120" s="89">
        <f t="shared" si="320"/>
        <v>-0.1844909130706015</v>
      </c>
      <c r="M120" s="89">
        <f t="shared" si="321"/>
        <v>-0.19563409937039522</v>
      </c>
      <c r="N120" s="89">
        <f t="shared" si="322"/>
        <v>0.17713118968181396</v>
      </c>
      <c r="O120" s="89">
        <f t="shared" si="323"/>
        <v>0.13920228693564085</v>
      </c>
      <c r="P120" s="89">
        <f t="shared" si="324"/>
        <v>2.2583268268629109E-2</v>
      </c>
      <c r="Q120" s="89">
        <f t="shared" si="325"/>
        <v>3.2317998400689163E-2</v>
      </c>
      <c r="R120" s="89">
        <f t="shared" si="326"/>
        <v>6.1665990185840291E-2</v>
      </c>
      <c r="S120" s="89">
        <f t="shared" si="327"/>
        <v>-1.9175794714669014E-2</v>
      </c>
      <c r="T120" s="89">
        <f t="shared" si="328"/>
        <v>3.507276561542283E-2</v>
      </c>
      <c r="U120" s="89">
        <f t="shared" si="329"/>
        <v>-1.3096779553179116E-2</v>
      </c>
      <c r="V120" s="89">
        <f t="shared" si="330"/>
        <v>-7.3674734969835121E-2</v>
      </c>
      <c r="W120" s="89">
        <f t="shared" si="331"/>
        <v>-4.6817358642430751E-2</v>
      </c>
      <c r="X120" s="89">
        <f t="shared" si="332"/>
        <v>-0.10544064748201443</v>
      </c>
      <c r="Y120" s="89">
        <f t="shared" si="333"/>
        <v>-1.0104804786600474E-2</v>
      </c>
      <c r="Z120" s="89">
        <f t="shared" si="334"/>
        <v>-6.1713886022032427E-2</v>
      </c>
      <c r="AA120" s="89">
        <f t="shared" si="335"/>
        <v>-0.1590536753951205</v>
      </c>
    </row>
    <row r="121" spans="1:27" x14ac:dyDescent="0.25">
      <c r="A121" s="68" t="s">
        <v>0</v>
      </c>
      <c r="B121" s="44"/>
      <c r="C121" s="44"/>
      <c r="D121" s="89"/>
      <c r="E121" s="89">
        <f t="shared" si="313"/>
        <v>0.16447522316394347</v>
      </c>
      <c r="F121" s="89">
        <f t="shared" si="314"/>
        <v>0.17349718647509937</v>
      </c>
      <c r="G121" s="89">
        <f t="shared" si="315"/>
        <v>0.18419694919810015</v>
      </c>
      <c r="H121" s="89">
        <f t="shared" si="316"/>
        <v>0.12982854780331965</v>
      </c>
      <c r="I121" s="89">
        <f t="shared" si="317"/>
        <v>5.4491187585930634E-2</v>
      </c>
      <c r="J121" s="89">
        <f t="shared" si="318"/>
        <v>2.9580757453906426E-3</v>
      </c>
      <c r="K121" s="89">
        <f t="shared" si="319"/>
        <v>5.892586904238839E-2</v>
      </c>
      <c r="L121" s="89">
        <f t="shared" si="320"/>
        <v>-0.19026421114754755</v>
      </c>
      <c r="M121" s="89">
        <f t="shared" si="321"/>
        <v>-0.18899861125442585</v>
      </c>
      <c r="N121" s="89">
        <f t="shared" si="322"/>
        <v>0.16785121219494314</v>
      </c>
      <c r="O121" s="89">
        <f t="shared" si="323"/>
        <v>0.12635181239090776</v>
      </c>
      <c r="P121" s="89">
        <f t="shared" si="324"/>
        <v>-2.0376017861492901E-2</v>
      </c>
      <c r="Q121" s="89">
        <f t="shared" si="325"/>
        <v>0.10039967651389325</v>
      </c>
      <c r="R121" s="89">
        <f t="shared" si="326"/>
        <v>7.0897194379341277E-2</v>
      </c>
      <c r="S121" s="89">
        <f t="shared" si="327"/>
        <v>8.4348941629248664E-3</v>
      </c>
      <c r="T121" s="89">
        <f t="shared" si="328"/>
        <v>4.4839409657307261E-2</v>
      </c>
      <c r="U121" s="89">
        <f t="shared" si="329"/>
        <v>-4.1292767956495502E-2</v>
      </c>
      <c r="V121" s="89">
        <f t="shared" si="330"/>
        <v>3.3848732900660039E-2</v>
      </c>
      <c r="W121" s="89">
        <f t="shared" si="331"/>
        <v>-1.6391212637977493E-2</v>
      </c>
      <c r="X121" s="89">
        <f t="shared" si="332"/>
        <v>-1.237964642344247E-2</v>
      </c>
      <c r="Y121" s="89">
        <f t="shared" si="333"/>
        <v>0.22589890423251346</v>
      </c>
      <c r="Z121" s="89">
        <f t="shared" si="334"/>
        <v>9.8273434078909983E-2</v>
      </c>
      <c r="AA121" s="89">
        <f t="shared" si="335"/>
        <v>-9.1776653352488524E-2</v>
      </c>
    </row>
    <row r="122" spans="1:27" x14ac:dyDescent="0.25">
      <c r="A122" s="90" t="s">
        <v>272</v>
      </c>
      <c r="B122" s="47"/>
      <c r="C122" s="47"/>
      <c r="D122" s="91"/>
      <c r="E122" s="91">
        <f t="shared" si="313"/>
        <v>0.25613485400335079</v>
      </c>
      <c r="F122" s="91">
        <f t="shared" si="314"/>
        <v>0.19094349897789176</v>
      </c>
      <c r="G122" s="91">
        <f t="shared" si="315"/>
        <v>0.2706427544488188</v>
      </c>
      <c r="H122" s="91">
        <f t="shared" si="316"/>
        <v>0.21234973814848224</v>
      </c>
      <c r="I122" s="91">
        <f t="shared" si="317"/>
        <v>9.6392570067065586E-2</v>
      </c>
      <c r="J122" s="91">
        <f t="shared" si="318"/>
        <v>0.16555225684129082</v>
      </c>
      <c r="K122" s="91">
        <f t="shared" si="319"/>
        <v>2.7902384389147938E-2</v>
      </c>
      <c r="L122" s="91">
        <f t="shared" si="320"/>
        <v>2.289271109757296E-3</v>
      </c>
      <c r="M122" s="91">
        <f t="shared" si="321"/>
        <v>-0.18896908050603711</v>
      </c>
      <c r="N122" s="91">
        <f t="shared" si="322"/>
        <v>0.1214556844205894</v>
      </c>
      <c r="O122" s="91">
        <f t="shared" si="323"/>
        <v>0.2172662081131862</v>
      </c>
      <c r="P122" s="91">
        <f t="shared" si="324"/>
        <v>0.12619510743715145</v>
      </c>
      <c r="Q122" s="91">
        <f t="shared" si="325"/>
        <v>9.5704116556246888E-2</v>
      </c>
      <c r="R122" s="91">
        <f t="shared" si="326"/>
        <v>7.3847223268706852E-2</v>
      </c>
      <c r="S122" s="91">
        <f t="shared" si="327"/>
        <v>2.3407196209139558E-2</v>
      </c>
      <c r="T122" s="91">
        <f t="shared" si="328"/>
        <v>2.5468215789644644E-2</v>
      </c>
      <c r="U122" s="91">
        <f t="shared" si="329"/>
        <v>3.8285385784107673E-2</v>
      </c>
      <c r="V122" s="91">
        <f t="shared" si="330"/>
        <v>4.6429238635528725E-2</v>
      </c>
      <c r="W122" s="91">
        <f t="shared" si="331"/>
        <v>-5.4186596479979254E-3</v>
      </c>
      <c r="X122" s="91">
        <f t="shared" si="332"/>
        <v>-1.1458228187858133E-2</v>
      </c>
      <c r="Y122" s="91">
        <f t="shared" si="333"/>
        <v>0.10564342812998784</v>
      </c>
      <c r="Z122" s="91">
        <f t="shared" si="334"/>
        <v>-2.2202634278165378E-2</v>
      </c>
      <c r="AA122" s="91">
        <f t="shared" si="335"/>
        <v>-0.13856596741570182</v>
      </c>
    </row>
  </sheetData>
  <pageMargins left="0.75" right="0.75" top="1" bottom="1" header="0.5" footer="0.5"/>
  <pageSetup paperSize="9" scale="68" fitToHeight="0" orientation="landscape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D112"/>
  <sheetViews>
    <sheetView showGridLines="0" zoomScale="110" zoomScaleNormal="110" workbookViewId="0">
      <pane ySplit="1" topLeftCell="A2" activePane="bottomLeft" state="frozen"/>
      <selection pane="bottomLeft" activeCell="A2" sqref="A2"/>
    </sheetView>
  </sheetViews>
  <sheetFormatPr defaultColWidth="9.140625" defaultRowHeight="11.25" x14ac:dyDescent="0.25"/>
  <cols>
    <col min="1" max="1" width="33.7109375" style="1" customWidth="1"/>
    <col min="2" max="2" width="14.85546875" style="1" bestFit="1" customWidth="1"/>
    <col min="3" max="3" width="92.42578125" style="1" bestFit="1" customWidth="1"/>
    <col min="4" max="4" width="38.28515625" style="1" bestFit="1" customWidth="1"/>
    <col min="5" max="16384" width="9.140625" style="1"/>
  </cols>
  <sheetData>
    <row r="1" spans="1:4" x14ac:dyDescent="0.25">
      <c r="A1" s="95" t="s">
        <v>244</v>
      </c>
      <c r="B1" s="96" t="s">
        <v>136</v>
      </c>
      <c r="C1" s="95" t="s">
        <v>137</v>
      </c>
      <c r="D1" s="95" t="s">
        <v>138</v>
      </c>
    </row>
    <row r="2" spans="1:4" x14ac:dyDescent="0.25">
      <c r="A2" s="40" t="s">
        <v>139</v>
      </c>
      <c r="B2" s="97" t="s">
        <v>24</v>
      </c>
      <c r="C2" s="40" t="s">
        <v>25</v>
      </c>
      <c r="D2" s="98" t="s">
        <v>140</v>
      </c>
    </row>
    <row r="3" spans="1:4" x14ac:dyDescent="0.25">
      <c r="A3" s="94" t="s">
        <v>141</v>
      </c>
      <c r="B3" s="99" t="s">
        <v>26</v>
      </c>
      <c r="C3" s="94" t="s">
        <v>27</v>
      </c>
      <c r="D3" s="39" t="s">
        <v>140</v>
      </c>
    </row>
    <row r="4" spans="1:4" ht="11.25" customHeight="1" x14ac:dyDescent="0.25">
      <c r="A4" s="46" t="s">
        <v>142</v>
      </c>
      <c r="B4" s="100" t="s">
        <v>28</v>
      </c>
      <c r="C4" s="46" t="s">
        <v>143</v>
      </c>
      <c r="D4" s="101" t="s">
        <v>140</v>
      </c>
    </row>
    <row r="5" spans="1:4" ht="11.25" customHeight="1" x14ac:dyDescent="0.25">
      <c r="A5" s="102" t="s">
        <v>33</v>
      </c>
      <c r="B5" s="103" t="s">
        <v>32</v>
      </c>
      <c r="C5" s="102"/>
      <c r="D5" s="98"/>
    </row>
    <row r="6" spans="1:4" ht="11.25" customHeight="1" x14ac:dyDescent="0.25">
      <c r="A6" s="101"/>
      <c r="B6" s="104" t="s">
        <v>32</v>
      </c>
      <c r="C6" s="101" t="s">
        <v>33</v>
      </c>
      <c r="D6" s="101" t="s">
        <v>144</v>
      </c>
    </row>
    <row r="7" spans="1:4" ht="11.25" customHeight="1" x14ac:dyDescent="0.25">
      <c r="A7" s="102" t="s">
        <v>56</v>
      </c>
      <c r="B7" s="103" t="s">
        <v>55</v>
      </c>
      <c r="C7" s="102"/>
      <c r="D7" s="98"/>
    </row>
    <row r="8" spans="1:4" ht="11.25" customHeight="1" x14ac:dyDescent="0.25">
      <c r="A8" s="101"/>
      <c r="B8" s="104" t="s">
        <v>55</v>
      </c>
      <c r="C8" s="101" t="s">
        <v>56</v>
      </c>
      <c r="D8" s="101" t="s">
        <v>145</v>
      </c>
    </row>
    <row r="9" spans="1:4" ht="11.25" customHeight="1" x14ac:dyDescent="0.25">
      <c r="A9" s="105" t="s">
        <v>146</v>
      </c>
      <c r="B9" s="106" t="s">
        <v>147</v>
      </c>
      <c r="C9" s="105"/>
      <c r="D9" s="107"/>
    </row>
    <row r="10" spans="1:4" x14ac:dyDescent="0.25">
      <c r="A10" s="108" t="s">
        <v>148</v>
      </c>
      <c r="B10" s="109" t="s">
        <v>149</v>
      </c>
      <c r="C10" s="108"/>
      <c r="D10" s="108"/>
    </row>
    <row r="11" spans="1:4" x14ac:dyDescent="0.25">
      <c r="A11" s="110"/>
      <c r="B11" s="110" t="s">
        <v>65</v>
      </c>
      <c r="C11" s="111" t="s">
        <v>66</v>
      </c>
      <c r="D11" s="112" t="s">
        <v>145</v>
      </c>
    </row>
    <row r="12" spans="1:4" x14ac:dyDescent="0.25">
      <c r="A12" s="113"/>
      <c r="B12" s="113" t="s">
        <v>67</v>
      </c>
      <c r="C12" s="106" t="s">
        <v>68</v>
      </c>
      <c r="D12" s="39" t="s">
        <v>145</v>
      </c>
    </row>
    <row r="13" spans="1:4" x14ac:dyDescent="0.25">
      <c r="A13" s="113"/>
      <c r="B13" s="113" t="s">
        <v>73</v>
      </c>
      <c r="C13" s="106" t="s">
        <v>74</v>
      </c>
      <c r="D13" s="39" t="s">
        <v>145</v>
      </c>
    </row>
    <row r="14" spans="1:4" x14ac:dyDescent="0.25">
      <c r="A14" s="113"/>
      <c r="B14" s="113" t="s">
        <v>75</v>
      </c>
      <c r="C14" s="106" t="s">
        <v>76</v>
      </c>
      <c r="D14" s="39" t="s">
        <v>145</v>
      </c>
    </row>
    <row r="15" spans="1:4" x14ac:dyDescent="0.25">
      <c r="A15" s="113"/>
      <c r="B15" s="113" t="s">
        <v>77</v>
      </c>
      <c r="C15" s="106" t="s">
        <v>78</v>
      </c>
      <c r="D15" s="39" t="s">
        <v>145</v>
      </c>
    </row>
    <row r="16" spans="1:4" ht="11.25" customHeight="1" x14ac:dyDescent="0.25">
      <c r="A16" s="114"/>
      <c r="B16" s="114" t="s">
        <v>79</v>
      </c>
      <c r="C16" s="115" t="s">
        <v>80</v>
      </c>
      <c r="D16" s="116" t="s">
        <v>145</v>
      </c>
    </row>
    <row r="17" spans="1:4" ht="11.25" customHeight="1" x14ac:dyDescent="0.25">
      <c r="A17" s="108" t="s">
        <v>150</v>
      </c>
      <c r="B17" s="109" t="s">
        <v>151</v>
      </c>
      <c r="C17" s="108"/>
      <c r="D17" s="107"/>
    </row>
    <row r="18" spans="1:4" ht="11.25" customHeight="1" x14ac:dyDescent="0.25">
      <c r="A18" s="110"/>
      <c r="B18" s="110" t="s">
        <v>40</v>
      </c>
      <c r="C18" s="111" t="s">
        <v>41</v>
      </c>
      <c r="D18" s="112" t="s">
        <v>145</v>
      </c>
    </row>
    <row r="19" spans="1:4" ht="11.25" customHeight="1" x14ac:dyDescent="0.25">
      <c r="A19" s="113"/>
      <c r="B19" s="113" t="s">
        <v>42</v>
      </c>
      <c r="C19" s="106" t="s">
        <v>43</v>
      </c>
      <c r="D19" s="107" t="s">
        <v>145</v>
      </c>
    </row>
    <row r="20" spans="1:4" ht="11.25" customHeight="1" x14ac:dyDescent="0.25">
      <c r="A20" s="113"/>
      <c r="B20" s="113" t="s">
        <v>44</v>
      </c>
      <c r="C20" s="106" t="s">
        <v>45</v>
      </c>
      <c r="D20" s="107" t="s">
        <v>145</v>
      </c>
    </row>
    <row r="21" spans="1:4" ht="11.25" customHeight="1" x14ac:dyDescent="0.25">
      <c r="A21" s="113"/>
      <c r="B21" s="113" t="s">
        <v>69</v>
      </c>
      <c r="C21" s="106" t="s">
        <v>70</v>
      </c>
      <c r="D21" s="107" t="s">
        <v>145</v>
      </c>
    </row>
    <row r="22" spans="1:4" ht="11.25" customHeight="1" x14ac:dyDescent="0.25">
      <c r="A22" s="113"/>
      <c r="B22" s="113" t="s">
        <v>71</v>
      </c>
      <c r="C22" s="106" t="s">
        <v>72</v>
      </c>
      <c r="D22" s="107" t="s">
        <v>145</v>
      </c>
    </row>
    <row r="23" spans="1:4" ht="11.25" customHeight="1" x14ac:dyDescent="0.25">
      <c r="A23" s="113"/>
      <c r="B23" s="113" t="s">
        <v>81</v>
      </c>
      <c r="C23" s="106" t="s">
        <v>82</v>
      </c>
      <c r="D23" s="107" t="s">
        <v>145</v>
      </c>
    </row>
    <row r="24" spans="1:4" ht="11.25" customHeight="1" x14ac:dyDescent="0.25">
      <c r="A24" s="113"/>
      <c r="B24" s="113" t="s">
        <v>83</v>
      </c>
      <c r="C24" s="106" t="s">
        <v>84</v>
      </c>
      <c r="D24" s="107" t="s">
        <v>145</v>
      </c>
    </row>
    <row r="25" spans="1:4" ht="11.25" customHeight="1" x14ac:dyDescent="0.25">
      <c r="A25" s="114"/>
      <c r="B25" s="114" t="s">
        <v>85</v>
      </c>
      <c r="C25" s="115" t="s">
        <v>86</v>
      </c>
      <c r="D25" s="116" t="s">
        <v>145</v>
      </c>
    </row>
    <row r="26" spans="1:4" ht="11.25" customHeight="1" x14ac:dyDescent="0.25">
      <c r="A26" s="67" t="s">
        <v>152</v>
      </c>
      <c r="B26" s="106" t="s">
        <v>153</v>
      </c>
      <c r="C26" s="67"/>
      <c r="D26" s="107"/>
    </row>
    <row r="27" spans="1:4" ht="11.25" customHeight="1" x14ac:dyDescent="0.25">
      <c r="A27" s="110"/>
      <c r="B27" s="110" t="s">
        <v>134</v>
      </c>
      <c r="C27" s="111" t="s">
        <v>135</v>
      </c>
      <c r="D27" s="112" t="s">
        <v>145</v>
      </c>
    </row>
    <row r="28" spans="1:4" ht="11.25" customHeight="1" x14ac:dyDescent="0.25">
      <c r="A28" s="113"/>
      <c r="B28" s="113" t="s">
        <v>61</v>
      </c>
      <c r="C28" s="106" t="s">
        <v>62</v>
      </c>
      <c r="D28" s="107" t="s">
        <v>145</v>
      </c>
    </row>
    <row r="29" spans="1:4" ht="11.25" customHeight="1" x14ac:dyDescent="0.25">
      <c r="A29" s="113"/>
      <c r="B29" s="113" t="s">
        <v>63</v>
      </c>
      <c r="C29" s="106" t="s">
        <v>64</v>
      </c>
      <c r="D29" s="107" t="s">
        <v>145</v>
      </c>
    </row>
    <row r="30" spans="1:4" ht="11.25" customHeight="1" x14ac:dyDescent="0.25">
      <c r="A30" s="102" t="s">
        <v>154</v>
      </c>
      <c r="B30" s="98" t="s">
        <v>155</v>
      </c>
      <c r="C30" s="102"/>
      <c r="D30" s="98"/>
    </row>
    <row r="31" spans="1:4" ht="11.25" customHeight="1" x14ac:dyDescent="0.25">
      <c r="A31" s="113"/>
      <c r="B31" s="113" t="s">
        <v>94</v>
      </c>
      <c r="C31" s="106" t="s">
        <v>95</v>
      </c>
      <c r="D31" s="39" t="s">
        <v>156</v>
      </c>
    </row>
    <row r="32" spans="1:4" ht="11.25" customHeight="1" x14ac:dyDescent="0.25">
      <c r="A32" s="104"/>
      <c r="B32" s="104" t="s">
        <v>59</v>
      </c>
      <c r="C32" s="117" t="s">
        <v>60</v>
      </c>
      <c r="D32" s="101" t="s">
        <v>145</v>
      </c>
    </row>
    <row r="33" spans="1:4" ht="11.25" customHeight="1" x14ac:dyDescent="0.25">
      <c r="A33" s="102" t="s">
        <v>37</v>
      </c>
      <c r="B33" s="103" t="s">
        <v>36</v>
      </c>
      <c r="C33" s="102"/>
      <c r="D33" s="98"/>
    </row>
    <row r="34" spans="1:4" ht="11.25" customHeight="1" x14ac:dyDescent="0.25">
      <c r="A34" s="101"/>
      <c r="B34" s="104" t="s">
        <v>36</v>
      </c>
      <c r="C34" s="101" t="s">
        <v>37</v>
      </c>
      <c r="D34" s="101" t="s">
        <v>144</v>
      </c>
    </row>
    <row r="35" spans="1:4" ht="11.25" customHeight="1" x14ac:dyDescent="0.25">
      <c r="A35" s="102" t="s">
        <v>58</v>
      </c>
      <c r="B35" s="81" t="s">
        <v>157</v>
      </c>
      <c r="C35" s="102"/>
      <c r="D35" s="98"/>
    </row>
    <row r="36" spans="1:4" ht="11.25" customHeight="1" x14ac:dyDescent="0.25">
      <c r="A36" s="118" t="s">
        <v>158</v>
      </c>
      <c r="B36" s="103" t="s">
        <v>124</v>
      </c>
      <c r="C36" s="118"/>
      <c r="D36" s="98"/>
    </row>
    <row r="37" spans="1:4" ht="11.25" customHeight="1" x14ac:dyDescent="0.25">
      <c r="A37" s="113"/>
      <c r="B37" s="113" t="s">
        <v>124</v>
      </c>
      <c r="C37" s="106" t="s">
        <v>125</v>
      </c>
      <c r="D37" s="39" t="s">
        <v>156</v>
      </c>
    </row>
    <row r="38" spans="1:4" ht="11.25" customHeight="1" x14ac:dyDescent="0.25">
      <c r="A38" s="119" t="s">
        <v>5</v>
      </c>
      <c r="B38" s="120"/>
      <c r="C38" s="119"/>
      <c r="D38" s="121"/>
    </row>
    <row r="39" spans="1:4" ht="11.25" customHeight="1" x14ac:dyDescent="0.25">
      <c r="A39" s="68"/>
      <c r="B39" s="113" t="s">
        <v>159</v>
      </c>
      <c r="C39" s="106" t="s">
        <v>160</v>
      </c>
      <c r="D39" s="39" t="s">
        <v>161</v>
      </c>
    </row>
    <row r="40" spans="1:4" ht="11.25" customHeight="1" x14ac:dyDescent="0.25">
      <c r="A40" s="68"/>
      <c r="B40" s="113" t="s">
        <v>162</v>
      </c>
      <c r="C40" s="106" t="s">
        <v>163</v>
      </c>
      <c r="D40" s="39" t="s">
        <v>161</v>
      </c>
    </row>
    <row r="41" spans="1:4" ht="11.25" customHeight="1" x14ac:dyDescent="0.25">
      <c r="A41" s="68"/>
      <c r="B41" s="113" t="s">
        <v>164</v>
      </c>
      <c r="C41" s="106" t="s">
        <v>165</v>
      </c>
      <c r="D41" s="39" t="s">
        <v>161</v>
      </c>
    </row>
    <row r="42" spans="1:4" ht="11.25" customHeight="1" x14ac:dyDescent="0.25">
      <c r="A42" s="68"/>
      <c r="B42" s="113" t="s">
        <v>166</v>
      </c>
      <c r="C42" s="106" t="s">
        <v>167</v>
      </c>
      <c r="D42" s="39" t="s">
        <v>161</v>
      </c>
    </row>
    <row r="43" spans="1:4" ht="11.25" customHeight="1" x14ac:dyDescent="0.25">
      <c r="A43" s="90"/>
      <c r="B43" s="104" t="s">
        <v>168</v>
      </c>
      <c r="C43" s="117" t="s">
        <v>169</v>
      </c>
      <c r="D43" s="101" t="s">
        <v>161</v>
      </c>
    </row>
    <row r="44" spans="1:4" ht="11.25" customHeight="1" x14ac:dyDescent="0.25">
      <c r="A44" s="119" t="s">
        <v>170</v>
      </c>
      <c r="B44" s="120"/>
      <c r="C44" s="119"/>
      <c r="D44" s="121"/>
    </row>
    <row r="45" spans="1:4" ht="11.25" customHeight="1" x14ac:dyDescent="0.25">
      <c r="A45" s="88" t="s">
        <v>14</v>
      </c>
      <c r="B45" s="122"/>
      <c r="C45" s="88"/>
      <c r="D45" s="39"/>
    </row>
    <row r="46" spans="1:4" x14ac:dyDescent="0.25">
      <c r="A46" s="88" t="s">
        <v>19</v>
      </c>
      <c r="B46" s="39"/>
      <c r="C46" s="39"/>
      <c r="D46" s="39"/>
    </row>
    <row r="47" spans="1:4" x14ac:dyDescent="0.25">
      <c r="A47" s="123" t="s">
        <v>13</v>
      </c>
      <c r="B47" s="116"/>
      <c r="C47" s="116"/>
      <c r="D47" s="116"/>
    </row>
    <row r="48" spans="1:4" x14ac:dyDescent="0.25">
      <c r="A48" s="68"/>
      <c r="B48" s="113" t="s">
        <v>171</v>
      </c>
      <c r="C48" s="106" t="s">
        <v>19</v>
      </c>
      <c r="D48" s="39" t="s">
        <v>161</v>
      </c>
    </row>
    <row r="49" spans="1:4" x14ac:dyDescent="0.25">
      <c r="A49" s="68"/>
      <c r="B49" s="113" t="s">
        <v>172</v>
      </c>
      <c r="C49" s="106" t="s">
        <v>173</v>
      </c>
      <c r="D49" s="39" t="s">
        <v>161</v>
      </c>
    </row>
    <row r="50" spans="1:4" x14ac:dyDescent="0.25">
      <c r="A50" s="68"/>
      <c r="B50" s="113" t="s">
        <v>174</v>
      </c>
      <c r="C50" s="106" t="s">
        <v>175</v>
      </c>
      <c r="D50" s="39" t="s">
        <v>161</v>
      </c>
    </row>
    <row r="51" spans="1:4" x14ac:dyDescent="0.25">
      <c r="A51" s="68"/>
      <c r="B51" s="113" t="s">
        <v>176</v>
      </c>
      <c r="C51" s="106" t="s">
        <v>177</v>
      </c>
      <c r="D51" s="39" t="s">
        <v>161</v>
      </c>
    </row>
    <row r="52" spans="1:4" x14ac:dyDescent="0.25">
      <c r="A52" s="68"/>
      <c r="B52" s="113" t="s">
        <v>178</v>
      </c>
      <c r="C52" s="106" t="s">
        <v>179</v>
      </c>
      <c r="D52" s="39" t="s">
        <v>161</v>
      </c>
    </row>
    <row r="53" spans="1:4" x14ac:dyDescent="0.25">
      <c r="A53" s="68"/>
      <c r="B53" s="113" t="s">
        <v>180</v>
      </c>
      <c r="C53" s="106" t="s">
        <v>181</v>
      </c>
      <c r="D53" s="39" t="s">
        <v>161</v>
      </c>
    </row>
    <row r="54" spans="1:4" x14ac:dyDescent="0.25">
      <c r="A54" s="68"/>
      <c r="B54" s="113" t="s">
        <v>182</v>
      </c>
      <c r="C54" s="106" t="s">
        <v>183</v>
      </c>
      <c r="D54" s="39" t="s">
        <v>161</v>
      </c>
    </row>
    <row r="55" spans="1:4" ht="11.25" customHeight="1" thickBot="1" x14ac:dyDescent="0.3">
      <c r="A55" s="124"/>
      <c r="B55" s="125" t="s">
        <v>184</v>
      </c>
      <c r="C55" s="126" t="s">
        <v>185</v>
      </c>
      <c r="D55" s="127" t="s">
        <v>161</v>
      </c>
    </row>
    <row r="56" spans="1:4" ht="11.25" customHeight="1" x14ac:dyDescent="0.25">
      <c r="A56" s="67" t="s">
        <v>265</v>
      </c>
      <c r="B56" s="106" t="s">
        <v>186</v>
      </c>
      <c r="C56" s="67"/>
      <c r="D56" s="39"/>
    </row>
    <row r="57" spans="1:4" x14ac:dyDescent="0.25">
      <c r="A57" s="128" t="s">
        <v>266</v>
      </c>
      <c r="B57" s="129" t="s">
        <v>96</v>
      </c>
      <c r="C57" s="128"/>
      <c r="D57" s="98"/>
    </row>
    <row r="58" spans="1:4" ht="11.25" customHeight="1" x14ac:dyDescent="0.25">
      <c r="A58" s="130"/>
      <c r="B58" s="114" t="s">
        <v>96</v>
      </c>
      <c r="C58" s="115" t="s">
        <v>97</v>
      </c>
      <c r="D58" s="116" t="s">
        <v>156</v>
      </c>
    </row>
    <row r="59" spans="1:4" ht="11.25" customHeight="1" x14ac:dyDescent="0.25">
      <c r="A59" s="88" t="s">
        <v>20</v>
      </c>
      <c r="B59" s="122"/>
      <c r="C59" s="88"/>
      <c r="D59" s="39"/>
    </row>
    <row r="60" spans="1:4" ht="11.25" customHeight="1" x14ac:dyDescent="0.25">
      <c r="A60" s="88"/>
      <c r="B60" s="113" t="s">
        <v>187</v>
      </c>
      <c r="C60" s="106" t="s">
        <v>188</v>
      </c>
      <c r="D60" s="39" t="s">
        <v>161</v>
      </c>
    </row>
    <row r="61" spans="1:4" ht="11.25" customHeight="1" x14ac:dyDescent="0.25">
      <c r="A61" s="88"/>
      <c r="B61" s="113" t="s">
        <v>189</v>
      </c>
      <c r="C61" s="106" t="s">
        <v>190</v>
      </c>
      <c r="D61" s="39" t="s">
        <v>161</v>
      </c>
    </row>
    <row r="62" spans="1:4" ht="11.25" customHeight="1" x14ac:dyDescent="0.25">
      <c r="A62" s="88"/>
      <c r="B62" s="113" t="s">
        <v>191</v>
      </c>
      <c r="C62" s="106" t="s">
        <v>192</v>
      </c>
      <c r="D62" s="39" t="s">
        <v>161</v>
      </c>
    </row>
    <row r="63" spans="1:4" ht="11.25" customHeight="1" x14ac:dyDescent="0.25">
      <c r="A63" s="123"/>
      <c r="B63" s="114" t="s">
        <v>193</v>
      </c>
      <c r="C63" s="115" t="s">
        <v>194</v>
      </c>
      <c r="D63" s="116" t="s">
        <v>161</v>
      </c>
    </row>
    <row r="64" spans="1:4" ht="11.25" customHeight="1" x14ac:dyDescent="0.25">
      <c r="A64" s="88" t="s">
        <v>12</v>
      </c>
      <c r="B64" s="122"/>
      <c r="C64" s="88"/>
      <c r="D64" s="39"/>
    </row>
    <row r="65" spans="1:4" ht="11.25" customHeight="1" x14ac:dyDescent="0.25">
      <c r="A65" s="88"/>
      <c r="B65" s="113" t="s">
        <v>195</v>
      </c>
      <c r="C65" s="106" t="s">
        <v>196</v>
      </c>
      <c r="D65" s="39" t="s">
        <v>161</v>
      </c>
    </row>
    <row r="66" spans="1:4" ht="11.25" customHeight="1" x14ac:dyDescent="0.25">
      <c r="A66" s="88"/>
      <c r="B66" s="113" t="s">
        <v>197</v>
      </c>
      <c r="C66" s="106" t="s">
        <v>198</v>
      </c>
      <c r="D66" s="39" t="s">
        <v>161</v>
      </c>
    </row>
    <row r="67" spans="1:4" ht="11.25" customHeight="1" x14ac:dyDescent="0.25">
      <c r="A67" s="88"/>
      <c r="B67" s="113" t="s">
        <v>199</v>
      </c>
      <c r="C67" s="106" t="s">
        <v>200</v>
      </c>
      <c r="D67" s="39" t="s">
        <v>161</v>
      </c>
    </row>
    <row r="68" spans="1:4" ht="11.25" customHeight="1" x14ac:dyDescent="0.25">
      <c r="A68" s="88"/>
      <c r="B68" s="113" t="s">
        <v>201</v>
      </c>
      <c r="C68" s="106" t="s">
        <v>202</v>
      </c>
      <c r="D68" s="39" t="s">
        <v>161</v>
      </c>
    </row>
    <row r="69" spans="1:4" ht="11.25" customHeight="1" x14ac:dyDescent="0.25">
      <c r="A69" s="88"/>
      <c r="B69" s="113" t="s">
        <v>203</v>
      </c>
      <c r="C69" s="106" t="s">
        <v>204</v>
      </c>
      <c r="D69" s="39" t="s">
        <v>161</v>
      </c>
    </row>
    <row r="70" spans="1:4" ht="11.25" customHeight="1" x14ac:dyDescent="0.25">
      <c r="A70" s="88"/>
      <c r="B70" s="113" t="s">
        <v>205</v>
      </c>
      <c r="C70" s="106" t="s">
        <v>206</v>
      </c>
      <c r="D70" s="39" t="s">
        <v>161</v>
      </c>
    </row>
    <row r="71" spans="1:4" ht="11.25" customHeight="1" x14ac:dyDescent="0.25">
      <c r="A71" s="131"/>
      <c r="B71" s="104" t="s">
        <v>207</v>
      </c>
      <c r="C71" s="117" t="s">
        <v>208</v>
      </c>
      <c r="D71" s="101" t="s">
        <v>161</v>
      </c>
    </row>
    <row r="72" spans="1:4" x14ac:dyDescent="0.25">
      <c r="A72" s="128" t="s">
        <v>11</v>
      </c>
      <c r="B72" s="129" t="s">
        <v>98</v>
      </c>
      <c r="C72" s="128"/>
      <c r="D72" s="98"/>
    </row>
    <row r="73" spans="1:4" ht="11.25" customHeight="1" thickBot="1" x14ac:dyDescent="0.3">
      <c r="A73" s="124"/>
      <c r="B73" s="125" t="s">
        <v>98</v>
      </c>
      <c r="C73" s="126" t="s">
        <v>99</v>
      </c>
      <c r="D73" s="127" t="s">
        <v>156</v>
      </c>
    </row>
    <row r="74" spans="1:4" ht="11.25" customHeight="1" x14ac:dyDescent="0.25">
      <c r="A74" s="67" t="s">
        <v>4</v>
      </c>
      <c r="B74" s="106" t="s">
        <v>122</v>
      </c>
      <c r="C74" s="67"/>
      <c r="D74" s="39"/>
    </row>
    <row r="75" spans="1:4" ht="11.25" customHeight="1" x14ac:dyDescent="0.25">
      <c r="A75" s="104"/>
      <c r="B75" s="104" t="s">
        <v>122</v>
      </c>
      <c r="C75" s="117" t="s">
        <v>123</v>
      </c>
      <c r="D75" s="101" t="s">
        <v>156</v>
      </c>
    </row>
    <row r="76" spans="1:4" ht="11.25" customHeight="1" x14ac:dyDescent="0.25">
      <c r="A76" s="119" t="s">
        <v>209</v>
      </c>
      <c r="B76" s="120"/>
      <c r="C76" s="119"/>
      <c r="D76" s="121"/>
    </row>
    <row r="77" spans="1:4" ht="11.25" customHeight="1" x14ac:dyDescent="0.25">
      <c r="A77" s="88"/>
      <c r="B77" s="113" t="s">
        <v>210</v>
      </c>
      <c r="C77" s="106" t="s">
        <v>211</v>
      </c>
      <c r="D77" s="39" t="s">
        <v>161</v>
      </c>
    </row>
    <row r="78" spans="1:4" ht="11.25" customHeight="1" x14ac:dyDescent="0.25">
      <c r="A78" s="123"/>
      <c r="B78" s="114" t="s">
        <v>212</v>
      </c>
      <c r="C78" s="115" t="s">
        <v>213</v>
      </c>
      <c r="D78" s="116" t="s">
        <v>161</v>
      </c>
    </row>
    <row r="79" spans="1:4" ht="11.25" customHeight="1" x14ac:dyDescent="0.25">
      <c r="A79" s="119" t="s">
        <v>18</v>
      </c>
      <c r="B79" s="120"/>
      <c r="C79" s="119"/>
      <c r="D79" s="121"/>
    </row>
    <row r="80" spans="1:4" ht="11.25" customHeight="1" x14ac:dyDescent="0.25">
      <c r="A80" s="123"/>
      <c r="B80" s="114" t="s">
        <v>214</v>
      </c>
      <c r="C80" s="115" t="s">
        <v>215</v>
      </c>
      <c r="D80" s="116" t="s">
        <v>161</v>
      </c>
    </row>
    <row r="81" spans="1:4" ht="11.25" customHeight="1" x14ac:dyDescent="0.25">
      <c r="A81" s="119" t="s">
        <v>9</v>
      </c>
      <c r="B81" s="120"/>
      <c r="C81" s="119"/>
      <c r="D81" s="121"/>
    </row>
    <row r="82" spans="1:4" ht="11.25" customHeight="1" x14ac:dyDescent="0.25">
      <c r="A82" s="88"/>
      <c r="B82" s="113" t="s">
        <v>216</v>
      </c>
      <c r="C82" s="106" t="s">
        <v>217</v>
      </c>
      <c r="D82" s="39" t="s">
        <v>161</v>
      </c>
    </row>
    <row r="83" spans="1:4" ht="11.25" customHeight="1" x14ac:dyDescent="0.25">
      <c r="A83" s="88"/>
      <c r="B83" s="113" t="s">
        <v>218</v>
      </c>
      <c r="C83" s="106" t="s">
        <v>219</v>
      </c>
      <c r="D83" s="39" t="s">
        <v>161</v>
      </c>
    </row>
    <row r="84" spans="1:4" ht="11.25" customHeight="1" x14ac:dyDescent="0.25">
      <c r="A84" s="88"/>
      <c r="B84" s="113" t="s">
        <v>220</v>
      </c>
      <c r="C84" s="106" t="s">
        <v>221</v>
      </c>
      <c r="D84" s="39" t="s">
        <v>161</v>
      </c>
    </row>
    <row r="85" spans="1:4" ht="11.25" customHeight="1" x14ac:dyDescent="0.25">
      <c r="A85" s="88"/>
      <c r="B85" s="113" t="s">
        <v>222</v>
      </c>
      <c r="C85" s="106" t="s">
        <v>223</v>
      </c>
      <c r="D85" s="39" t="s">
        <v>161</v>
      </c>
    </row>
    <row r="86" spans="1:4" ht="11.25" customHeight="1" thickBot="1" x14ac:dyDescent="0.3">
      <c r="A86" s="132"/>
      <c r="B86" s="125" t="s">
        <v>224</v>
      </c>
      <c r="C86" s="126" t="s">
        <v>225</v>
      </c>
      <c r="D86" s="127" t="s">
        <v>161</v>
      </c>
    </row>
    <row r="87" spans="1:4" ht="11.25" customHeight="1" x14ac:dyDescent="0.25">
      <c r="A87" s="67" t="s">
        <v>3</v>
      </c>
      <c r="B87" s="106" t="s">
        <v>226</v>
      </c>
      <c r="C87" s="67"/>
      <c r="D87" s="39"/>
    </row>
    <row r="88" spans="1:4" x14ac:dyDescent="0.25">
      <c r="A88" s="128" t="s">
        <v>21</v>
      </c>
      <c r="B88" s="129" t="s">
        <v>117</v>
      </c>
      <c r="C88" s="128"/>
      <c r="D88" s="98"/>
    </row>
    <row r="89" spans="1:4" ht="11.25" customHeight="1" x14ac:dyDescent="0.25">
      <c r="A89" s="130"/>
      <c r="B89" s="114" t="s">
        <v>117</v>
      </c>
      <c r="C89" s="115" t="s">
        <v>118</v>
      </c>
      <c r="D89" s="116" t="s">
        <v>156</v>
      </c>
    </row>
    <row r="90" spans="1:4" ht="11.25" customHeight="1" x14ac:dyDescent="0.25">
      <c r="A90" s="88" t="s">
        <v>8</v>
      </c>
      <c r="B90" s="122"/>
      <c r="C90" s="88"/>
      <c r="D90" s="39"/>
    </row>
    <row r="91" spans="1:4" ht="11.25" customHeight="1" x14ac:dyDescent="0.25">
      <c r="A91" s="123"/>
      <c r="B91" s="114" t="s">
        <v>227</v>
      </c>
      <c r="C91" s="115" t="s">
        <v>228</v>
      </c>
      <c r="D91" s="116" t="s">
        <v>161</v>
      </c>
    </row>
    <row r="92" spans="1:4" ht="11.25" customHeight="1" x14ac:dyDescent="0.25">
      <c r="A92" s="88" t="s">
        <v>17</v>
      </c>
      <c r="B92" s="122"/>
      <c r="C92" s="88"/>
      <c r="D92" s="39"/>
    </row>
    <row r="93" spans="1:4" ht="11.25" customHeight="1" x14ac:dyDescent="0.25">
      <c r="A93" s="88"/>
      <c r="B93" s="113" t="s">
        <v>229</v>
      </c>
      <c r="C93" s="106" t="s">
        <v>230</v>
      </c>
      <c r="D93" s="39" t="s">
        <v>161</v>
      </c>
    </row>
    <row r="94" spans="1:4" ht="11.25" customHeight="1" x14ac:dyDescent="0.25">
      <c r="A94" s="131"/>
      <c r="B94" s="104" t="s">
        <v>231</v>
      </c>
      <c r="C94" s="117" t="s">
        <v>232</v>
      </c>
      <c r="D94" s="101" t="s">
        <v>161</v>
      </c>
    </row>
    <row r="95" spans="1:4" x14ac:dyDescent="0.25">
      <c r="A95" s="128" t="s">
        <v>16</v>
      </c>
      <c r="B95" s="129" t="s">
        <v>119</v>
      </c>
      <c r="C95" s="128"/>
      <c r="D95" s="98"/>
    </row>
    <row r="96" spans="1:4" ht="11.25" customHeight="1" thickBot="1" x14ac:dyDescent="0.3">
      <c r="A96" s="124"/>
      <c r="B96" s="125" t="s">
        <v>119</v>
      </c>
      <c r="C96" s="126" t="s">
        <v>7</v>
      </c>
      <c r="D96" s="127" t="s">
        <v>156</v>
      </c>
    </row>
    <row r="97" spans="1:4" ht="11.25" customHeight="1" x14ac:dyDescent="0.25">
      <c r="A97" s="118" t="s">
        <v>2</v>
      </c>
      <c r="B97" s="103" t="s">
        <v>88</v>
      </c>
      <c r="C97" s="118"/>
      <c r="D97" s="98"/>
    </row>
    <row r="98" spans="1:4" ht="11.25" customHeight="1" thickBot="1" x14ac:dyDescent="0.3">
      <c r="A98" s="125"/>
      <c r="B98" s="125" t="s">
        <v>88</v>
      </c>
      <c r="C98" s="126" t="s">
        <v>89</v>
      </c>
      <c r="D98" s="127" t="s">
        <v>233</v>
      </c>
    </row>
    <row r="99" spans="1:4" ht="11.25" customHeight="1" x14ac:dyDescent="0.25">
      <c r="A99" s="118" t="s">
        <v>269</v>
      </c>
      <c r="B99" s="103" t="s">
        <v>110</v>
      </c>
      <c r="C99" s="118"/>
      <c r="D99" s="98"/>
    </row>
    <row r="100" spans="1:4" ht="11.25" customHeight="1" thickBot="1" x14ac:dyDescent="0.3">
      <c r="A100" s="125"/>
      <c r="B100" s="125" t="s">
        <v>110</v>
      </c>
      <c r="C100" s="126" t="s">
        <v>111</v>
      </c>
      <c r="D100" s="127" t="s">
        <v>233</v>
      </c>
    </row>
    <row r="101" spans="1:4" ht="11.25" customHeight="1" x14ac:dyDescent="0.25">
      <c r="A101" s="118" t="s">
        <v>270</v>
      </c>
      <c r="B101" s="103" t="s">
        <v>234</v>
      </c>
      <c r="C101" s="118"/>
      <c r="D101" s="98"/>
    </row>
    <row r="102" spans="1:4" ht="11.25" customHeight="1" x14ac:dyDescent="0.25">
      <c r="A102" s="67"/>
      <c r="B102" s="113" t="s">
        <v>126</v>
      </c>
      <c r="C102" s="106" t="s">
        <v>127</v>
      </c>
      <c r="D102" s="107" t="s">
        <v>156</v>
      </c>
    </row>
    <row r="103" spans="1:4" ht="11.25" customHeight="1" x14ac:dyDescent="0.25">
      <c r="A103" s="67"/>
      <c r="B103" s="113" t="s">
        <v>104</v>
      </c>
      <c r="C103" s="106" t="s">
        <v>105</v>
      </c>
      <c r="D103" s="107" t="s">
        <v>156</v>
      </c>
    </row>
    <row r="104" spans="1:4" ht="11.25" customHeight="1" x14ac:dyDescent="0.25">
      <c r="A104" s="67"/>
      <c r="B104" s="113" t="s">
        <v>106</v>
      </c>
      <c r="C104" s="106" t="s">
        <v>107</v>
      </c>
      <c r="D104" s="107" t="s">
        <v>156</v>
      </c>
    </row>
    <row r="105" spans="1:4" ht="11.25" customHeight="1" thickBot="1" x14ac:dyDescent="0.3">
      <c r="A105" s="125"/>
      <c r="B105" s="125" t="s">
        <v>108</v>
      </c>
      <c r="C105" s="126" t="s">
        <v>109</v>
      </c>
      <c r="D105" s="127" t="s">
        <v>156</v>
      </c>
    </row>
    <row r="106" spans="1:4" ht="11.25" customHeight="1" x14ac:dyDescent="0.25">
      <c r="A106" s="118" t="s">
        <v>1</v>
      </c>
      <c r="B106" s="103" t="s">
        <v>90</v>
      </c>
      <c r="C106" s="118"/>
      <c r="D106" s="98"/>
    </row>
    <row r="107" spans="1:4" ht="11.25" customHeight="1" thickBot="1" x14ac:dyDescent="0.3">
      <c r="A107" s="125"/>
      <c r="B107" s="125" t="s">
        <v>90</v>
      </c>
      <c r="C107" s="126" t="s">
        <v>91</v>
      </c>
      <c r="D107" s="127" t="s">
        <v>233</v>
      </c>
    </row>
    <row r="108" spans="1:4" ht="11.25" customHeight="1" x14ac:dyDescent="0.25">
      <c r="A108" s="118" t="s">
        <v>0</v>
      </c>
      <c r="B108" s="103" t="s">
        <v>115</v>
      </c>
      <c r="C108" s="118"/>
      <c r="D108" s="98"/>
    </row>
    <row r="109" spans="1:4" ht="11.25" customHeight="1" thickBot="1" x14ac:dyDescent="0.3">
      <c r="A109" s="125"/>
      <c r="B109" s="125" t="s">
        <v>115</v>
      </c>
      <c r="C109" s="126" t="s">
        <v>116</v>
      </c>
      <c r="D109" s="127" t="s">
        <v>156</v>
      </c>
    </row>
    <row r="110" spans="1:4" ht="11.25" customHeight="1" x14ac:dyDescent="0.25">
      <c r="A110" s="118" t="s">
        <v>272</v>
      </c>
      <c r="B110" s="103" t="s">
        <v>235</v>
      </c>
      <c r="C110" s="118"/>
      <c r="D110" s="98"/>
    </row>
    <row r="111" spans="1:4" ht="11.25" customHeight="1" x14ac:dyDescent="0.25">
      <c r="A111" s="67"/>
      <c r="B111" s="113" t="s">
        <v>120</v>
      </c>
      <c r="C111" s="106" t="s">
        <v>121</v>
      </c>
      <c r="D111" s="107" t="s">
        <v>156</v>
      </c>
    </row>
    <row r="112" spans="1:4" ht="11.25" customHeight="1" thickBot="1" x14ac:dyDescent="0.3">
      <c r="A112" s="125"/>
      <c r="B112" s="125" t="s">
        <v>132</v>
      </c>
      <c r="C112" s="126" t="s">
        <v>133</v>
      </c>
      <c r="D112" s="127" t="s">
        <v>156</v>
      </c>
    </row>
  </sheetData>
  <pageMargins left="0.19685039370078741" right="0.19685039370078741" top="0.19685039370078741" bottom="0.19685039370078741" header="0.11811023622047244" footer="0.11811023622047244"/>
  <pageSetup paperSize="9" scale="80" fitToHeight="0" orientation="landscape" horizontalDpi="1200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cover</vt:lpstr>
      <vt:lpstr>index</vt:lpstr>
      <vt:lpstr>Macro_CurrPrices</vt:lpstr>
      <vt:lpstr>Macro_euro2023</vt:lpstr>
      <vt:lpstr>Macro_JRC-IDEES</vt:lpstr>
      <vt:lpstr>definitions</vt:lpstr>
      <vt:lpstr>definitions!Print_Area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JRC-IDEES-2023</dc:title>
  <dc:creator>JRC C.6</dc:creator>
  <dc:description>v2023-1.00</dc:description>
  <cp:lastModifiedBy>JRC-SVQ-ROZSAMA</cp:lastModifiedBy>
  <dcterms:created xsi:type="dcterms:W3CDTF">2025-11-06T10:26:42Z</dcterms:created>
  <dcterms:modified xsi:type="dcterms:W3CDTF">2025-11-06T10:26:42Z</dcterms:modified>
</cp:coreProperties>
</file>